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00" yWindow="45" windowWidth="13695" windowHeight="8280" activeTab="1"/>
  </bookViews>
  <sheets>
    <sheet name="data" sheetId="1" r:id="rId1"/>
    <sheet name="受付台帳" sheetId="8" r:id="rId2"/>
    <sheet name="FAXヘッダー" sheetId="2" r:id="rId3"/>
    <sheet name="耐用期間終了後のご案内" sheetId="4" r:id="rId4"/>
    <sheet name="修理前報告書" sheetId="6" r:id="rId5"/>
    <sheet name="修理不能書" sheetId="7" r:id="rId6"/>
  </sheets>
  <functionGroups builtInGroupCount="17"/>
  <externalReferences>
    <externalReference r:id="rId7"/>
  </externalReferences>
  <definedNames>
    <definedName name="_xlnm.Print_Area" localSheetId="2">FAXヘッダー!$B$21:$J$73</definedName>
    <definedName name="_xlnm.Print_Area" localSheetId="4">修理前報告書!$B$21:$L$125</definedName>
    <definedName name="_xlnm.Print_Area" localSheetId="5">修理不能書!$B$21:$K$72</definedName>
    <definedName name="_xlnm.Print_Area" localSheetId="3">耐用期間終了後のご案内!$B$21:$K$77</definedName>
    <definedName name="担当者">data!$A$7:$A$12</definedName>
  </definedNames>
  <calcPr calcId="145621"/>
</workbook>
</file>

<file path=xl/calcChain.xml><?xml version="1.0" encoding="utf-8"?>
<calcChain xmlns="http://schemas.openxmlformats.org/spreadsheetml/2006/main">
  <c r="T6" i="6" l="1"/>
  <c r="S6" i="6"/>
  <c r="R6" i="6"/>
  <c r="Q6" i="6"/>
  <c r="P6" i="6"/>
  <c r="O6" i="6"/>
  <c r="P3" i="6" s="1"/>
  <c r="T6" i="2"/>
  <c r="S6" i="2"/>
  <c r="R6" i="2"/>
  <c r="Q6" i="2"/>
  <c r="P6" i="2"/>
  <c r="O6" i="2"/>
  <c r="P3" i="2" s="1"/>
  <c r="J22" i="7"/>
  <c r="I46" i="6"/>
  <c r="C46" i="6"/>
  <c r="I44" i="6"/>
  <c r="C44" i="6"/>
  <c r="B24" i="6"/>
  <c r="L22" i="6"/>
  <c r="J23" i="6"/>
  <c r="T6" i="4"/>
  <c r="F53" i="4" s="1"/>
  <c r="S6" i="4"/>
  <c r="F52" i="4" s="1"/>
  <c r="R6" i="4"/>
  <c r="Q6" i="4"/>
  <c r="P6" i="4"/>
  <c r="B23" i="4" s="1"/>
  <c r="O6" i="4"/>
  <c r="C65" i="2"/>
  <c r="C64" i="2"/>
  <c r="B57" i="2"/>
  <c r="B55" i="2"/>
  <c r="H45" i="2"/>
  <c r="C43" i="2"/>
  <c r="C41" i="2"/>
  <c r="B38" i="2"/>
  <c r="C34" i="2"/>
  <c r="AY875" i="8"/>
  <c r="AU875" i="8"/>
  <c r="AQ875" i="8"/>
  <c r="AM875" i="8"/>
  <c r="AI875" i="8"/>
  <c r="AE875" i="8"/>
  <c r="AA875" i="8"/>
  <c r="Q875" i="8"/>
  <c r="M875" i="8"/>
  <c r="G875" i="8"/>
  <c r="C875" i="8"/>
  <c r="AV874" i="8"/>
  <c r="AR874" i="8"/>
  <c r="AN874" i="8"/>
  <c r="AJ874" i="8"/>
  <c r="AF874" i="8"/>
  <c r="AB874" i="8"/>
  <c r="S874" i="8"/>
  <c r="N874" i="8"/>
  <c r="H874" i="8"/>
  <c r="D874" i="8"/>
  <c r="AW873" i="8"/>
  <c r="AS873" i="8"/>
  <c r="AO873" i="8"/>
  <c r="AK873" i="8"/>
  <c r="AG873" i="8"/>
  <c r="AC873" i="8"/>
  <c r="T873" i="8"/>
  <c r="O873" i="8"/>
  <c r="I873" i="8"/>
  <c r="E873" i="8"/>
  <c r="AX872" i="8"/>
  <c r="AT872" i="8"/>
  <c r="AP872" i="8"/>
  <c r="AL872" i="8"/>
  <c r="AH872" i="8"/>
  <c r="AD872" i="8"/>
  <c r="U872" i="8"/>
  <c r="P872" i="8"/>
  <c r="K872" i="8"/>
  <c r="F872" i="8"/>
  <c r="AY871" i="8"/>
  <c r="AU871" i="8"/>
  <c r="AQ871" i="8"/>
  <c r="AM871" i="8"/>
  <c r="AI871" i="8"/>
  <c r="AE871" i="8"/>
  <c r="AA871" i="8"/>
  <c r="Q871" i="8"/>
  <c r="M871" i="8"/>
  <c r="G871" i="8"/>
  <c r="C871" i="8"/>
  <c r="AV870" i="8"/>
  <c r="AR870" i="8"/>
  <c r="AN870" i="8"/>
  <c r="AJ870" i="8"/>
  <c r="AF870" i="8"/>
  <c r="AB870" i="8"/>
  <c r="S870" i="8"/>
  <c r="N870" i="8"/>
  <c r="H870" i="8"/>
  <c r="D870" i="8"/>
  <c r="AW869" i="8"/>
  <c r="AS869" i="8"/>
  <c r="AO869" i="8"/>
  <c r="AK869" i="8"/>
  <c r="AG869" i="8"/>
  <c r="AC869" i="8"/>
  <c r="T869" i="8"/>
  <c r="O869" i="8"/>
  <c r="I869" i="8"/>
  <c r="E869" i="8"/>
  <c r="AX868" i="8"/>
  <c r="AT868" i="8"/>
  <c r="AP868" i="8"/>
  <c r="AL868" i="8"/>
  <c r="AH868" i="8"/>
  <c r="AD868" i="8"/>
  <c r="U868" i="8"/>
  <c r="P868" i="8"/>
  <c r="K868" i="8"/>
  <c r="F868" i="8"/>
  <c r="AY867" i="8"/>
  <c r="AU867" i="8"/>
  <c r="AQ867" i="8"/>
  <c r="AM867" i="8"/>
  <c r="AI867" i="8"/>
  <c r="AE867" i="8"/>
  <c r="AA867" i="8"/>
  <c r="Q867" i="8"/>
  <c r="M867" i="8"/>
  <c r="G867" i="8"/>
  <c r="C867" i="8"/>
  <c r="AV866" i="8"/>
  <c r="AR866" i="8"/>
  <c r="AN866" i="8"/>
  <c r="AJ866" i="8"/>
  <c r="AF866" i="8"/>
  <c r="AB866" i="8"/>
  <c r="S866" i="8"/>
  <c r="N866" i="8"/>
  <c r="H866" i="8"/>
  <c r="D866" i="8"/>
  <c r="AW865" i="8"/>
  <c r="AS865" i="8"/>
  <c r="AO865" i="8"/>
  <c r="AK865" i="8"/>
  <c r="AG865" i="8"/>
  <c r="AC865" i="8"/>
  <c r="T865" i="8"/>
  <c r="O865" i="8"/>
  <c r="I865" i="8"/>
  <c r="E865" i="8"/>
  <c r="AX864" i="8"/>
  <c r="AT864" i="8"/>
  <c r="AP864" i="8"/>
  <c r="AL864" i="8"/>
  <c r="AH864" i="8"/>
  <c r="AD864" i="8"/>
  <c r="U864" i="8"/>
  <c r="P864" i="8"/>
  <c r="K864" i="8"/>
  <c r="F864" i="8"/>
  <c r="AY863" i="8"/>
  <c r="AU863" i="8"/>
  <c r="AQ863" i="8"/>
  <c r="AM863" i="8"/>
  <c r="AX875" i="8"/>
  <c r="AT875" i="8"/>
  <c r="AP875" i="8"/>
  <c r="AL875" i="8"/>
  <c r="AH875" i="8"/>
  <c r="AD875" i="8"/>
  <c r="U875" i="8"/>
  <c r="P875" i="8"/>
  <c r="K875" i="8"/>
  <c r="F875" i="8"/>
  <c r="AY874" i="8"/>
  <c r="AU874" i="8"/>
  <c r="AQ874" i="8"/>
  <c r="AM874" i="8"/>
  <c r="AI874" i="8"/>
  <c r="AE874" i="8"/>
  <c r="AA874" i="8"/>
  <c r="Q874" i="8"/>
  <c r="M874" i="8"/>
  <c r="G874" i="8"/>
  <c r="C874" i="8"/>
  <c r="AV873" i="8"/>
  <c r="AR873" i="8"/>
  <c r="AN873" i="8"/>
  <c r="AJ873" i="8"/>
  <c r="AF873" i="8"/>
  <c r="AB873" i="8"/>
  <c r="S873" i="8"/>
  <c r="N873" i="8"/>
  <c r="H873" i="8"/>
  <c r="D873" i="8"/>
  <c r="AW872" i="8"/>
  <c r="AS872" i="8"/>
  <c r="AO872" i="8"/>
  <c r="AK872" i="8"/>
  <c r="AG872" i="8"/>
  <c r="AC872" i="8"/>
  <c r="T872" i="8"/>
  <c r="O872" i="8"/>
  <c r="I872" i="8"/>
  <c r="E872" i="8"/>
  <c r="AX871" i="8"/>
  <c r="AT871" i="8"/>
  <c r="AP871" i="8"/>
  <c r="AL871" i="8"/>
  <c r="AH871" i="8"/>
  <c r="AD871" i="8"/>
  <c r="U871" i="8"/>
  <c r="P871" i="8"/>
  <c r="K871" i="8"/>
  <c r="F871" i="8"/>
  <c r="AY870" i="8"/>
  <c r="AU870" i="8"/>
  <c r="AQ870" i="8"/>
  <c r="AM870" i="8"/>
  <c r="AI870" i="8"/>
  <c r="AE870" i="8"/>
  <c r="AA870" i="8"/>
  <c r="Q870" i="8"/>
  <c r="M870" i="8"/>
  <c r="G870" i="8"/>
  <c r="C870" i="8"/>
  <c r="AV869" i="8"/>
  <c r="AR869" i="8"/>
  <c r="AN869" i="8"/>
  <c r="AJ869" i="8"/>
  <c r="AF869" i="8"/>
  <c r="AB869" i="8"/>
  <c r="S869" i="8"/>
  <c r="N869" i="8"/>
  <c r="H869" i="8"/>
  <c r="D869" i="8"/>
  <c r="AW868" i="8"/>
  <c r="AS868" i="8"/>
  <c r="AO868" i="8"/>
  <c r="AK868" i="8"/>
  <c r="AG868" i="8"/>
  <c r="AC868" i="8"/>
  <c r="T868" i="8"/>
  <c r="O868" i="8"/>
  <c r="I868" i="8"/>
  <c r="E868" i="8"/>
  <c r="AX867" i="8"/>
  <c r="AT867" i="8"/>
  <c r="AP867" i="8"/>
  <c r="AL867" i="8"/>
  <c r="AH867" i="8"/>
  <c r="AD867" i="8"/>
  <c r="U867" i="8"/>
  <c r="P867" i="8"/>
  <c r="K867" i="8"/>
  <c r="F867" i="8"/>
  <c r="AY866" i="8"/>
  <c r="AU866" i="8"/>
  <c r="AV875" i="8"/>
  <c r="AR875" i="8"/>
  <c r="AN875" i="8"/>
  <c r="AJ875" i="8"/>
  <c r="AF875" i="8"/>
  <c r="AB875" i="8"/>
  <c r="S875" i="8"/>
  <c r="N875" i="8"/>
  <c r="H875" i="8"/>
  <c r="D875" i="8"/>
  <c r="AW874" i="8"/>
  <c r="AS874" i="8"/>
  <c r="AO874" i="8"/>
  <c r="AK874" i="8"/>
  <c r="AG874" i="8"/>
  <c r="AC874" i="8"/>
  <c r="T874" i="8"/>
  <c r="O874" i="8"/>
  <c r="I874" i="8"/>
  <c r="E874" i="8"/>
  <c r="AX873" i="8"/>
  <c r="AT873" i="8"/>
  <c r="AP873" i="8"/>
  <c r="AL873" i="8"/>
  <c r="AH873" i="8"/>
  <c r="AD873" i="8"/>
  <c r="U873" i="8"/>
  <c r="P873" i="8"/>
  <c r="K873" i="8"/>
  <c r="F873" i="8"/>
  <c r="AY872" i="8"/>
  <c r="AU872" i="8"/>
  <c r="AQ872" i="8"/>
  <c r="AM872" i="8"/>
  <c r="AI872" i="8"/>
  <c r="AE872" i="8"/>
  <c r="AA872" i="8"/>
  <c r="Q872" i="8"/>
  <c r="M872" i="8"/>
  <c r="G872" i="8"/>
  <c r="C872" i="8"/>
  <c r="AV871" i="8"/>
  <c r="AR871" i="8"/>
  <c r="AN871" i="8"/>
  <c r="AJ871" i="8"/>
  <c r="AF871" i="8"/>
  <c r="AB871" i="8"/>
  <c r="S871" i="8"/>
  <c r="N871" i="8"/>
  <c r="H871" i="8"/>
  <c r="D871" i="8"/>
  <c r="AW870" i="8"/>
  <c r="AS870" i="8"/>
  <c r="AO870" i="8"/>
  <c r="AK870" i="8"/>
  <c r="AG870" i="8"/>
  <c r="AC870" i="8"/>
  <c r="T870" i="8"/>
  <c r="O870" i="8"/>
  <c r="I870" i="8"/>
  <c r="E870" i="8"/>
  <c r="AX869" i="8"/>
  <c r="AT869" i="8"/>
  <c r="AP869" i="8"/>
  <c r="AL869" i="8"/>
  <c r="AH869" i="8"/>
  <c r="AD869" i="8"/>
  <c r="U869" i="8"/>
  <c r="P869" i="8"/>
  <c r="K869" i="8"/>
  <c r="F869" i="8"/>
  <c r="AY868" i="8"/>
  <c r="AU868" i="8"/>
  <c r="AQ868" i="8"/>
  <c r="AM868" i="8"/>
  <c r="AI868" i="8"/>
  <c r="AE868" i="8"/>
  <c r="AA868" i="8"/>
  <c r="Q868" i="8"/>
  <c r="M868" i="8"/>
  <c r="G868" i="8"/>
  <c r="C868" i="8"/>
  <c r="AV867" i="8"/>
  <c r="AR867" i="8"/>
  <c r="AN867" i="8"/>
  <c r="AJ867" i="8"/>
  <c r="AF867" i="8"/>
  <c r="AB867" i="8"/>
  <c r="S867" i="8"/>
  <c r="N867" i="8"/>
  <c r="H867" i="8"/>
  <c r="D867" i="8"/>
  <c r="AW866" i="8"/>
  <c r="AS866" i="8"/>
  <c r="AO866" i="8"/>
  <c r="AK866" i="8"/>
  <c r="AG866" i="8"/>
  <c r="AC866" i="8"/>
  <c r="T866" i="8"/>
  <c r="O866" i="8"/>
  <c r="I866" i="8"/>
  <c r="E866" i="8"/>
  <c r="AX865" i="8"/>
  <c r="AT865" i="8"/>
  <c r="AP865" i="8"/>
  <c r="AL865" i="8"/>
  <c r="AH865" i="8"/>
  <c r="AD865" i="8"/>
  <c r="U865" i="8"/>
  <c r="P865" i="8"/>
  <c r="K865" i="8"/>
  <c r="F865" i="8"/>
  <c r="AW875" i="8"/>
  <c r="AG875" i="8"/>
  <c r="I875" i="8"/>
  <c r="AP874" i="8"/>
  <c r="U874" i="8"/>
  <c r="AY873" i="8"/>
  <c r="AI873" i="8"/>
  <c r="M873" i="8"/>
  <c r="AR872" i="8"/>
  <c r="AB872" i="8"/>
  <c r="D872" i="8"/>
  <c r="AK871" i="8"/>
  <c r="O871" i="8"/>
  <c r="AT870" i="8"/>
  <c r="AD870" i="8"/>
  <c r="F870" i="8"/>
  <c r="AM869" i="8"/>
  <c r="Q869" i="8"/>
  <c r="AV868" i="8"/>
  <c r="AF868" i="8"/>
  <c r="H868" i="8"/>
  <c r="AO867" i="8"/>
  <c r="T867" i="8"/>
  <c r="AX866" i="8"/>
  <c r="AM866" i="8"/>
  <c r="AE866" i="8"/>
  <c r="Q866" i="8"/>
  <c r="G866" i="8"/>
  <c r="AV865" i="8"/>
  <c r="AN865" i="8"/>
  <c r="AF865" i="8"/>
  <c r="S865" i="8"/>
  <c r="H865" i="8"/>
  <c r="AY864" i="8"/>
  <c r="AS864" i="8"/>
  <c r="AN864" i="8"/>
  <c r="AI864" i="8"/>
  <c r="AC864" i="8"/>
  <c r="S864" i="8"/>
  <c r="M864" i="8"/>
  <c r="E864" i="8"/>
  <c r="AW863" i="8"/>
  <c r="AR863" i="8"/>
  <c r="AL863" i="8"/>
  <c r="AH863" i="8"/>
  <c r="AD863" i="8"/>
  <c r="U863" i="8"/>
  <c r="P863" i="8"/>
  <c r="K863" i="8"/>
  <c r="F863" i="8"/>
  <c r="AY862" i="8"/>
  <c r="AU862" i="8"/>
  <c r="AQ862" i="8"/>
  <c r="AM862" i="8"/>
  <c r="AI862" i="8"/>
  <c r="AE862" i="8"/>
  <c r="AA862" i="8"/>
  <c r="Q862" i="8"/>
  <c r="M862" i="8"/>
  <c r="G862" i="8"/>
  <c r="C862" i="8"/>
  <c r="AV861" i="8"/>
  <c r="AR861" i="8"/>
  <c r="AN861" i="8"/>
  <c r="AJ861" i="8"/>
  <c r="AF861" i="8"/>
  <c r="AB861" i="8"/>
  <c r="S861" i="8"/>
  <c r="N861" i="8"/>
  <c r="H861" i="8"/>
  <c r="D861" i="8"/>
  <c r="AW860" i="8"/>
  <c r="AS860" i="8"/>
  <c r="AO860" i="8"/>
  <c r="AK860" i="8"/>
  <c r="AG860" i="8"/>
  <c r="AC860" i="8"/>
  <c r="T860" i="8"/>
  <c r="O860" i="8"/>
  <c r="I860" i="8"/>
  <c r="E860" i="8"/>
  <c r="AX859" i="8"/>
  <c r="AT859" i="8"/>
  <c r="AP859" i="8"/>
  <c r="AL859" i="8"/>
  <c r="AH859" i="8"/>
  <c r="AD859" i="8"/>
  <c r="U859" i="8"/>
  <c r="P859" i="8"/>
  <c r="AS875" i="8"/>
  <c r="AC875" i="8"/>
  <c r="E875" i="8"/>
  <c r="AL874" i="8"/>
  <c r="P874" i="8"/>
  <c r="AU873" i="8"/>
  <c r="AE873" i="8"/>
  <c r="G873" i="8"/>
  <c r="AN872" i="8"/>
  <c r="S872" i="8"/>
  <c r="AW871" i="8"/>
  <c r="AG871" i="8"/>
  <c r="I871" i="8"/>
  <c r="AP870" i="8"/>
  <c r="U870" i="8"/>
  <c r="AY869" i="8"/>
  <c r="AI869" i="8"/>
  <c r="M869" i="8"/>
  <c r="AR868" i="8"/>
  <c r="AB868" i="8"/>
  <c r="D868" i="8"/>
  <c r="AK867" i="8"/>
  <c r="O867" i="8"/>
  <c r="AT866" i="8"/>
  <c r="AL866" i="8"/>
  <c r="AD866" i="8"/>
  <c r="P866" i="8"/>
  <c r="F866" i="8"/>
  <c r="AU865" i="8"/>
  <c r="AM865" i="8"/>
  <c r="AE865" i="8"/>
  <c r="Q865" i="8"/>
  <c r="G865" i="8"/>
  <c r="AW864" i="8"/>
  <c r="AR864" i="8"/>
  <c r="AM864" i="8"/>
  <c r="AG864" i="8"/>
  <c r="AB864" i="8"/>
  <c r="Q864" i="8"/>
  <c r="I864" i="8"/>
  <c r="D864" i="8"/>
  <c r="AV863" i="8"/>
  <c r="AP863" i="8"/>
  <c r="AK863" i="8"/>
  <c r="AG863" i="8"/>
  <c r="AC863" i="8"/>
  <c r="T863" i="8"/>
  <c r="O863" i="8"/>
  <c r="I863" i="8"/>
  <c r="E863" i="8"/>
  <c r="AX862" i="8"/>
  <c r="AT862" i="8"/>
  <c r="AP862" i="8"/>
  <c r="AL862" i="8"/>
  <c r="AH862" i="8"/>
  <c r="AD862" i="8"/>
  <c r="U862" i="8"/>
  <c r="P862" i="8"/>
  <c r="K862" i="8"/>
  <c r="F862" i="8"/>
  <c r="AY861" i="8"/>
  <c r="AU861" i="8"/>
  <c r="AQ861" i="8"/>
  <c r="AM861" i="8"/>
  <c r="AI861" i="8"/>
  <c r="AE861" i="8"/>
  <c r="AA861" i="8"/>
  <c r="Q861" i="8"/>
  <c r="M861" i="8"/>
  <c r="G861" i="8"/>
  <c r="C861" i="8"/>
  <c r="AV860" i="8"/>
  <c r="AR860" i="8"/>
  <c r="AN860" i="8"/>
  <c r="AJ860" i="8"/>
  <c r="AF860" i="8"/>
  <c r="AB860" i="8"/>
  <c r="S860" i="8"/>
  <c r="N860" i="8"/>
  <c r="H860" i="8"/>
  <c r="D860" i="8"/>
  <c r="AW859" i="8"/>
  <c r="AS859" i="8"/>
  <c r="AO875" i="8"/>
  <c r="T875" i="8"/>
  <c r="AX874" i="8"/>
  <c r="AH874" i="8"/>
  <c r="K874" i="8"/>
  <c r="AQ873" i="8"/>
  <c r="AA873" i="8"/>
  <c r="C873" i="8"/>
  <c r="AJ872" i="8"/>
  <c r="N872" i="8"/>
  <c r="AS871" i="8"/>
  <c r="AC871" i="8"/>
  <c r="E871" i="8"/>
  <c r="AL870" i="8"/>
  <c r="P870" i="8"/>
  <c r="AU869" i="8"/>
  <c r="AE869" i="8"/>
  <c r="G869" i="8"/>
  <c r="AN868" i="8"/>
  <c r="S868" i="8"/>
  <c r="AW867" i="8"/>
  <c r="AG867" i="8"/>
  <c r="I867" i="8"/>
  <c r="AQ866" i="8"/>
  <c r="AI866" i="8"/>
  <c r="AA866" i="8"/>
  <c r="M866" i="8"/>
  <c r="C866" i="8"/>
  <c r="AR865" i="8"/>
  <c r="AJ865" i="8"/>
  <c r="AB865" i="8"/>
  <c r="N865" i="8"/>
  <c r="D865" i="8"/>
  <c r="AV864" i="8"/>
  <c r="AQ864" i="8"/>
  <c r="AK864" i="8"/>
  <c r="AF864" i="8"/>
  <c r="AA864" i="8"/>
  <c r="O864" i="8"/>
  <c r="H864" i="8"/>
  <c r="C864" i="8"/>
  <c r="AT863" i="8"/>
  <c r="AO863" i="8"/>
  <c r="AJ863" i="8"/>
  <c r="AF863" i="8"/>
  <c r="AB863" i="8"/>
  <c r="S863" i="8"/>
  <c r="N863" i="8"/>
  <c r="H863" i="8"/>
  <c r="D863" i="8"/>
  <c r="AW862" i="8"/>
  <c r="AS862" i="8"/>
  <c r="AO862" i="8"/>
  <c r="AK862" i="8"/>
  <c r="AG862" i="8"/>
  <c r="AC862" i="8"/>
  <c r="T862" i="8"/>
  <c r="O862" i="8"/>
  <c r="I862" i="8"/>
  <c r="E862" i="8"/>
  <c r="AX861" i="8"/>
  <c r="AT861" i="8"/>
  <c r="AP861" i="8"/>
  <c r="AL861" i="8"/>
  <c r="AH861" i="8"/>
  <c r="AD861" i="8"/>
  <c r="U861" i="8"/>
  <c r="P861" i="8"/>
  <c r="K861" i="8"/>
  <c r="F861" i="8"/>
  <c r="AY860" i="8"/>
  <c r="AU860" i="8"/>
  <c r="AQ860" i="8"/>
  <c r="AM860" i="8"/>
  <c r="AI860" i="8"/>
  <c r="AE860" i="8"/>
  <c r="AA860" i="8"/>
  <c r="Q860" i="8"/>
  <c r="M860" i="8"/>
  <c r="G860" i="8"/>
  <c r="C860" i="8"/>
  <c r="AV859" i="8"/>
  <c r="AR859" i="8"/>
  <c r="AN859" i="8"/>
  <c r="AJ859" i="8"/>
  <c r="AF859" i="8"/>
  <c r="AB859" i="8"/>
  <c r="S859" i="8"/>
  <c r="N859" i="8"/>
  <c r="H859" i="8"/>
  <c r="D859" i="8"/>
  <c r="AW858" i="8"/>
  <c r="AS858" i="8"/>
  <c r="AO858" i="8"/>
  <c r="AK858" i="8"/>
  <c r="AG858" i="8"/>
  <c r="AC858" i="8"/>
  <c r="T858" i="8"/>
  <c r="O858" i="8"/>
  <c r="I858" i="8"/>
  <c r="E858" i="8"/>
  <c r="AX857" i="8"/>
  <c r="AT857" i="8"/>
  <c r="AP857" i="8"/>
  <c r="AL857" i="8"/>
  <c r="AH857" i="8"/>
  <c r="AD857" i="8"/>
  <c r="U857" i="8"/>
  <c r="P857" i="8"/>
  <c r="K857" i="8"/>
  <c r="F857" i="8"/>
  <c r="AY856" i="8"/>
  <c r="AU856" i="8"/>
  <c r="AQ856" i="8"/>
  <c r="AM856" i="8"/>
  <c r="AI856" i="8"/>
  <c r="AE856" i="8"/>
  <c r="AA856" i="8"/>
  <c r="Q856" i="8"/>
  <c r="M856" i="8"/>
  <c r="G856" i="8"/>
  <c r="C856" i="8"/>
  <c r="AV855" i="8"/>
  <c r="AR855" i="8"/>
  <c r="AN855" i="8"/>
  <c r="AJ855" i="8"/>
  <c r="AF855" i="8"/>
  <c r="AK875" i="8"/>
  <c r="F874" i="8"/>
  <c r="AF872" i="8"/>
  <c r="AX870" i="8"/>
  <c r="AA869" i="8"/>
  <c r="AS867" i="8"/>
  <c r="AH866" i="8"/>
  <c r="AQ865" i="8"/>
  <c r="C865" i="8"/>
  <c r="AE864" i="8"/>
  <c r="AX863" i="8"/>
  <c r="AE863" i="8"/>
  <c r="G863" i="8"/>
  <c r="AN862" i="8"/>
  <c r="S862" i="8"/>
  <c r="AW861" i="8"/>
  <c r="AG861" i="8"/>
  <c r="I861" i="8"/>
  <c r="AP860" i="8"/>
  <c r="U860" i="8"/>
  <c r="AY859" i="8"/>
  <c r="AM859" i="8"/>
  <c r="AE859" i="8"/>
  <c r="Q859" i="8"/>
  <c r="I859" i="8"/>
  <c r="C859" i="8"/>
  <c r="AU858" i="8"/>
  <c r="AP858" i="8"/>
  <c r="AJ858" i="8"/>
  <c r="AE858" i="8"/>
  <c r="U858" i="8"/>
  <c r="N858" i="8"/>
  <c r="G858" i="8"/>
  <c r="AY857" i="8"/>
  <c r="AS857" i="8"/>
  <c r="AN857" i="8"/>
  <c r="AI857" i="8"/>
  <c r="AC857" i="8"/>
  <c r="S857" i="8"/>
  <c r="M857" i="8"/>
  <c r="E857" i="8"/>
  <c r="AW856" i="8"/>
  <c r="AR856" i="8"/>
  <c r="AL856" i="8"/>
  <c r="AG856" i="8"/>
  <c r="AB856" i="8"/>
  <c r="P856" i="8"/>
  <c r="I856" i="8"/>
  <c r="D856" i="8"/>
  <c r="AU855" i="8"/>
  <c r="AP855" i="8"/>
  <c r="AK855" i="8"/>
  <c r="AE855" i="8"/>
  <c r="AA855" i="8"/>
  <c r="Q855" i="8"/>
  <c r="M855" i="8"/>
  <c r="G855" i="8"/>
  <c r="C855" i="8"/>
  <c r="AV854" i="8"/>
  <c r="AR854" i="8"/>
  <c r="AN854" i="8"/>
  <c r="AJ854" i="8"/>
  <c r="AF854" i="8"/>
  <c r="AB854" i="8"/>
  <c r="S854" i="8"/>
  <c r="N854" i="8"/>
  <c r="H854" i="8"/>
  <c r="D854" i="8"/>
  <c r="AW853" i="8"/>
  <c r="AS853" i="8"/>
  <c r="AO853" i="8"/>
  <c r="AK853" i="8"/>
  <c r="AG853" i="8"/>
  <c r="AC853" i="8"/>
  <c r="T853" i="8"/>
  <c r="O853" i="8"/>
  <c r="I853" i="8"/>
  <c r="E853" i="8"/>
  <c r="AX852" i="8"/>
  <c r="AT852" i="8"/>
  <c r="AP852" i="8"/>
  <c r="AL852" i="8"/>
  <c r="AH852" i="8"/>
  <c r="AD852" i="8"/>
  <c r="U852" i="8"/>
  <c r="P852" i="8"/>
  <c r="K852" i="8"/>
  <c r="F852" i="8"/>
  <c r="AY851" i="8"/>
  <c r="AU851" i="8"/>
  <c r="AQ851" i="8"/>
  <c r="AM851" i="8"/>
  <c r="AI851" i="8"/>
  <c r="AE851" i="8"/>
  <c r="AA851" i="8"/>
  <c r="Q851" i="8"/>
  <c r="M851" i="8"/>
  <c r="G851" i="8"/>
  <c r="C851" i="8"/>
  <c r="AV850" i="8"/>
  <c r="AR850" i="8"/>
  <c r="AN850" i="8"/>
  <c r="AJ850" i="8"/>
  <c r="AF850" i="8"/>
  <c r="AB850" i="8"/>
  <c r="S850" i="8"/>
  <c r="N850" i="8"/>
  <c r="H850" i="8"/>
  <c r="D850" i="8"/>
  <c r="AW849" i="8"/>
  <c r="AS849" i="8"/>
  <c r="AO849" i="8"/>
  <c r="AK849" i="8"/>
  <c r="AG849" i="8"/>
  <c r="AC849" i="8"/>
  <c r="T849" i="8"/>
  <c r="O849" i="8"/>
  <c r="I849" i="8"/>
  <c r="E849" i="8"/>
  <c r="AX848" i="8"/>
  <c r="AT848" i="8"/>
  <c r="AP848" i="8"/>
  <c r="AL848" i="8"/>
  <c r="AH848" i="8"/>
  <c r="AD848" i="8"/>
  <c r="U848" i="8"/>
  <c r="P848" i="8"/>
  <c r="K848" i="8"/>
  <c r="F848" i="8"/>
  <c r="AY847" i="8"/>
  <c r="AU847" i="8"/>
  <c r="AQ847" i="8"/>
  <c r="AM847" i="8"/>
  <c r="AI847" i="8"/>
  <c r="AE847" i="8"/>
  <c r="AA847" i="8"/>
  <c r="Q847" i="8"/>
  <c r="M847" i="8"/>
  <c r="G847" i="8"/>
  <c r="C847" i="8"/>
  <c r="AV846" i="8"/>
  <c r="AR846" i="8"/>
  <c r="AN846" i="8"/>
  <c r="AJ846" i="8"/>
  <c r="AF846" i="8"/>
  <c r="AB846" i="8"/>
  <c r="S846" i="8"/>
  <c r="N846" i="8"/>
  <c r="H846" i="8"/>
  <c r="D846" i="8"/>
  <c r="AW845" i="8"/>
  <c r="O875" i="8"/>
  <c r="AM873" i="8"/>
  <c r="H872" i="8"/>
  <c r="AH870" i="8"/>
  <c r="C869" i="8"/>
  <c r="AC867" i="8"/>
  <c r="U866" i="8"/>
  <c r="AI865" i="8"/>
  <c r="AU864" i="8"/>
  <c r="T864" i="8"/>
  <c r="AS863" i="8"/>
  <c r="AA863" i="8"/>
  <c r="C863" i="8"/>
  <c r="AJ862" i="8"/>
  <c r="N862" i="8"/>
  <c r="AS861" i="8"/>
  <c r="AC861" i="8"/>
  <c r="E861" i="8"/>
  <c r="AL860" i="8"/>
  <c r="P860" i="8"/>
  <c r="AU859" i="8"/>
  <c r="AK859" i="8"/>
  <c r="AC859" i="8"/>
  <c r="O859" i="8"/>
  <c r="G859" i="8"/>
  <c r="AY858" i="8"/>
  <c r="AT858" i="8"/>
  <c r="AN858" i="8"/>
  <c r="AI858" i="8"/>
  <c r="AD858" i="8"/>
  <c r="S858" i="8"/>
  <c r="M858" i="8"/>
  <c r="F858" i="8"/>
  <c r="AW857" i="8"/>
  <c r="AR857" i="8"/>
  <c r="AM857" i="8"/>
  <c r="AG857" i="8"/>
  <c r="AB857" i="8"/>
  <c r="Q857" i="8"/>
  <c r="I857" i="8"/>
  <c r="D857" i="8"/>
  <c r="AV856" i="8"/>
  <c r="AP856" i="8"/>
  <c r="AK856" i="8"/>
  <c r="AF856" i="8"/>
  <c r="U856" i="8"/>
  <c r="O856" i="8"/>
  <c r="H856" i="8"/>
  <c r="AY855" i="8"/>
  <c r="AT855" i="8"/>
  <c r="AO855" i="8"/>
  <c r="AI855" i="8"/>
  <c r="AD855" i="8"/>
  <c r="U855" i="8"/>
  <c r="P855" i="8"/>
  <c r="K855" i="8"/>
  <c r="F855" i="8"/>
  <c r="AY854" i="8"/>
  <c r="AU854" i="8"/>
  <c r="AQ854" i="8"/>
  <c r="AM854" i="8"/>
  <c r="AI854" i="8"/>
  <c r="AE854" i="8"/>
  <c r="AA854" i="8"/>
  <c r="Q854" i="8"/>
  <c r="M854" i="8"/>
  <c r="G854" i="8"/>
  <c r="C854" i="8"/>
  <c r="AV853" i="8"/>
  <c r="AR853" i="8"/>
  <c r="AN853" i="8"/>
  <c r="AJ853" i="8"/>
  <c r="AF853" i="8"/>
  <c r="AB853" i="8"/>
  <c r="S853" i="8"/>
  <c r="N853" i="8"/>
  <c r="H853" i="8"/>
  <c r="D853" i="8"/>
  <c r="AW852" i="8"/>
  <c r="AS852" i="8"/>
  <c r="AO852" i="8"/>
  <c r="AK852" i="8"/>
  <c r="AG852" i="8"/>
  <c r="AC852" i="8"/>
  <c r="T852" i="8"/>
  <c r="O852" i="8"/>
  <c r="I852" i="8"/>
  <c r="E852" i="8"/>
  <c r="AX851" i="8"/>
  <c r="AT851" i="8"/>
  <c r="AP851" i="8"/>
  <c r="AL851" i="8"/>
  <c r="AH851" i="8"/>
  <c r="AD851" i="8"/>
  <c r="U851" i="8"/>
  <c r="P851" i="8"/>
  <c r="K851" i="8"/>
  <c r="F851" i="8"/>
  <c r="AY850" i="8"/>
  <c r="AU850" i="8"/>
  <c r="AQ850" i="8"/>
  <c r="AM850" i="8"/>
  <c r="AI850" i="8"/>
  <c r="AE850" i="8"/>
  <c r="AA850" i="8"/>
  <c r="Q850" i="8"/>
  <c r="M850" i="8"/>
  <c r="G850" i="8"/>
  <c r="C850" i="8"/>
  <c r="AV849" i="8"/>
  <c r="AR849" i="8"/>
  <c r="AN849" i="8"/>
  <c r="AJ849" i="8"/>
  <c r="AF849" i="8"/>
  <c r="AB849" i="8"/>
  <c r="S849" i="8"/>
  <c r="N849" i="8"/>
  <c r="H849" i="8"/>
  <c r="D849" i="8"/>
  <c r="AW848" i="8"/>
  <c r="AS848" i="8"/>
  <c r="AO848" i="8"/>
  <c r="AK848" i="8"/>
  <c r="AG848" i="8"/>
  <c r="AC848" i="8"/>
  <c r="T848" i="8"/>
  <c r="O848" i="8"/>
  <c r="AT874" i="8"/>
  <c r="Q873" i="8"/>
  <c r="AO871" i="8"/>
  <c r="K870" i="8"/>
  <c r="AJ868" i="8"/>
  <c r="E867" i="8"/>
  <c r="K866" i="8"/>
  <c r="AA865" i="8"/>
  <c r="AO864" i="8"/>
  <c r="N864" i="8"/>
  <c r="AN863" i="8"/>
  <c r="Q863" i="8"/>
  <c r="AV862" i="8"/>
  <c r="AF862" i="8"/>
  <c r="H862" i="8"/>
  <c r="AO861" i="8"/>
  <c r="T861" i="8"/>
  <c r="AX860" i="8"/>
  <c r="AH860" i="8"/>
  <c r="K860" i="8"/>
  <c r="AQ859" i="8"/>
  <c r="AI859" i="8"/>
  <c r="AA859" i="8"/>
  <c r="M859" i="8"/>
  <c r="F859" i="8"/>
  <c r="AX858" i="8"/>
  <c r="AR858" i="8"/>
  <c r="AM858" i="8"/>
  <c r="AH858" i="8"/>
  <c r="AB858" i="8"/>
  <c r="Q858" i="8"/>
  <c r="K858" i="8"/>
  <c r="D858" i="8"/>
  <c r="AV857" i="8"/>
  <c r="AQ857" i="8"/>
  <c r="AK857" i="8"/>
  <c r="AF857" i="8"/>
  <c r="AA857" i="8"/>
  <c r="O857" i="8"/>
  <c r="H857" i="8"/>
  <c r="C857" i="8"/>
  <c r="AT856" i="8"/>
  <c r="AO856" i="8"/>
  <c r="AJ856" i="8"/>
  <c r="AD856" i="8"/>
  <c r="T856" i="8"/>
  <c r="N856" i="8"/>
  <c r="F856" i="8"/>
  <c r="AX855" i="8"/>
  <c r="AS855" i="8"/>
  <c r="AM855" i="8"/>
  <c r="AH855" i="8"/>
  <c r="AC855" i="8"/>
  <c r="T855" i="8"/>
  <c r="O855" i="8"/>
  <c r="I855" i="8"/>
  <c r="E855" i="8"/>
  <c r="AX854" i="8"/>
  <c r="AT854" i="8"/>
  <c r="AP854" i="8"/>
  <c r="AL854" i="8"/>
  <c r="AH854" i="8"/>
  <c r="AD854" i="8"/>
  <c r="U854" i="8"/>
  <c r="P854" i="8"/>
  <c r="K854" i="8"/>
  <c r="F854" i="8"/>
  <c r="AY853" i="8"/>
  <c r="AU853" i="8"/>
  <c r="AQ853" i="8"/>
  <c r="AM853" i="8"/>
  <c r="AI853" i="8"/>
  <c r="AE853" i="8"/>
  <c r="AA853" i="8"/>
  <c r="Q853" i="8"/>
  <c r="M853" i="8"/>
  <c r="G853" i="8"/>
  <c r="C853" i="8"/>
  <c r="AV852" i="8"/>
  <c r="AR852" i="8"/>
  <c r="AN852" i="8"/>
  <c r="AJ852" i="8"/>
  <c r="AF852" i="8"/>
  <c r="AB852" i="8"/>
  <c r="S852" i="8"/>
  <c r="N852" i="8"/>
  <c r="H852" i="8"/>
  <c r="D852" i="8"/>
  <c r="AW851" i="8"/>
  <c r="AS851" i="8"/>
  <c r="AO851" i="8"/>
  <c r="AK851" i="8"/>
  <c r="AG851" i="8"/>
  <c r="AC851" i="8"/>
  <c r="T851" i="8"/>
  <c r="O851" i="8"/>
  <c r="I851" i="8"/>
  <c r="E851" i="8"/>
  <c r="AX850" i="8"/>
  <c r="AT850" i="8"/>
  <c r="AP850" i="8"/>
  <c r="AL850" i="8"/>
  <c r="AH850" i="8"/>
  <c r="AD850" i="8"/>
  <c r="U850" i="8"/>
  <c r="P850" i="8"/>
  <c r="K850" i="8"/>
  <c r="F850" i="8"/>
  <c r="AY849" i="8"/>
  <c r="AU849" i="8"/>
  <c r="AQ849" i="8"/>
  <c r="AM849" i="8"/>
  <c r="AI849" i="8"/>
  <c r="AE849" i="8"/>
  <c r="AA849" i="8"/>
  <c r="Q849" i="8"/>
  <c r="M849" i="8"/>
  <c r="G849" i="8"/>
  <c r="C849" i="8"/>
  <c r="AV848" i="8"/>
  <c r="AR848" i="8"/>
  <c r="AN848" i="8"/>
  <c r="AJ848" i="8"/>
  <c r="AF848" i="8"/>
  <c r="AB848" i="8"/>
  <c r="S848" i="8"/>
  <c r="N848" i="8"/>
  <c r="H848" i="8"/>
  <c r="D848" i="8"/>
  <c r="AW847" i="8"/>
  <c r="AS847" i="8"/>
  <c r="AO847" i="8"/>
  <c r="AD874" i="8"/>
  <c r="N868" i="8"/>
  <c r="AJ864" i="8"/>
  <c r="AR862" i="8"/>
  <c r="O861" i="8"/>
  <c r="AO859" i="8"/>
  <c r="E859" i="8"/>
  <c r="AF858" i="8"/>
  <c r="C858" i="8"/>
  <c r="AE857" i="8"/>
  <c r="AX856" i="8"/>
  <c r="AC856" i="8"/>
  <c r="AW855" i="8"/>
  <c r="AB855" i="8"/>
  <c r="D855" i="8"/>
  <c r="AK854" i="8"/>
  <c r="O854" i="8"/>
  <c r="AT853" i="8"/>
  <c r="AD853" i="8"/>
  <c r="F853" i="8"/>
  <c r="AM852" i="8"/>
  <c r="Q852" i="8"/>
  <c r="AV851" i="8"/>
  <c r="AF851" i="8"/>
  <c r="H851" i="8"/>
  <c r="AO850" i="8"/>
  <c r="T850" i="8"/>
  <c r="AX849" i="8"/>
  <c r="AH849" i="8"/>
  <c r="K849" i="8"/>
  <c r="AQ848" i="8"/>
  <c r="AA848" i="8"/>
  <c r="G848" i="8"/>
  <c r="AV847" i="8"/>
  <c r="AN847" i="8"/>
  <c r="AH847" i="8"/>
  <c r="AC847" i="8"/>
  <c r="S847" i="8"/>
  <c r="K847" i="8"/>
  <c r="E847" i="8"/>
  <c r="AW846" i="8"/>
  <c r="AQ846" i="8"/>
  <c r="AL846" i="8"/>
  <c r="AG846" i="8"/>
  <c r="AA846" i="8"/>
  <c r="P846" i="8"/>
  <c r="I846" i="8"/>
  <c r="C846" i="8"/>
  <c r="AU845" i="8"/>
  <c r="AQ845" i="8"/>
  <c r="AM845" i="8"/>
  <c r="AI845" i="8"/>
  <c r="AE845" i="8"/>
  <c r="AA845" i="8"/>
  <c r="Q845" i="8"/>
  <c r="M845" i="8"/>
  <c r="G845" i="8"/>
  <c r="C845" i="8"/>
  <c r="AV844" i="8"/>
  <c r="AR844" i="8"/>
  <c r="AN844" i="8"/>
  <c r="AJ844" i="8"/>
  <c r="AF844" i="8"/>
  <c r="AB844" i="8"/>
  <c r="S844" i="8"/>
  <c r="N844" i="8"/>
  <c r="H844" i="8"/>
  <c r="D844" i="8"/>
  <c r="AW843" i="8"/>
  <c r="AS843" i="8"/>
  <c r="AO843" i="8"/>
  <c r="AK843" i="8"/>
  <c r="AG843" i="8"/>
  <c r="AC843" i="8"/>
  <c r="T843" i="8"/>
  <c r="O843" i="8"/>
  <c r="I843" i="8"/>
  <c r="E843" i="8"/>
  <c r="AX842" i="8"/>
  <c r="AT842" i="8"/>
  <c r="AP842" i="8"/>
  <c r="AL842" i="8"/>
  <c r="AH842" i="8"/>
  <c r="AD842" i="8"/>
  <c r="U842" i="8"/>
  <c r="P842" i="8"/>
  <c r="K842" i="8"/>
  <c r="F842" i="8"/>
  <c r="AY841" i="8"/>
  <c r="AU841" i="8"/>
  <c r="AQ841" i="8"/>
  <c r="AM841" i="8"/>
  <c r="AI841" i="8"/>
  <c r="AE841" i="8"/>
  <c r="AA841" i="8"/>
  <c r="Q841" i="8"/>
  <c r="M841" i="8"/>
  <c r="G841" i="8"/>
  <c r="C841" i="8"/>
  <c r="AV840" i="8"/>
  <c r="AR840" i="8"/>
  <c r="AN840" i="8"/>
  <c r="AJ840" i="8"/>
  <c r="AF840" i="8"/>
  <c r="AB840" i="8"/>
  <c r="S840" i="8"/>
  <c r="N840" i="8"/>
  <c r="H840" i="8"/>
  <c r="D840" i="8"/>
  <c r="AW839" i="8"/>
  <c r="AS839" i="8"/>
  <c r="AO839" i="8"/>
  <c r="AK839" i="8"/>
  <c r="AG839" i="8"/>
  <c r="AC839" i="8"/>
  <c r="T839" i="8"/>
  <c r="O839" i="8"/>
  <c r="I839" i="8"/>
  <c r="E839" i="8"/>
  <c r="AX838" i="8"/>
  <c r="AT838" i="8"/>
  <c r="AP838" i="8"/>
  <c r="AL838" i="8"/>
  <c r="AH838" i="8"/>
  <c r="AD838" i="8"/>
  <c r="U838" i="8"/>
  <c r="P838" i="8"/>
  <c r="K838" i="8"/>
  <c r="F838" i="8"/>
  <c r="AY837" i="8"/>
  <c r="AU837" i="8"/>
  <c r="AQ837" i="8"/>
  <c r="AM837" i="8"/>
  <c r="AI837" i="8"/>
  <c r="AE837" i="8"/>
  <c r="AA837" i="8"/>
  <c r="Q837" i="8"/>
  <c r="M837" i="8"/>
  <c r="G837" i="8"/>
  <c r="C837" i="8"/>
  <c r="AV836" i="8"/>
  <c r="AR836" i="8"/>
  <c r="AN836" i="8"/>
  <c r="AJ836" i="8"/>
  <c r="AF836" i="8"/>
  <c r="AB836" i="8"/>
  <c r="S836" i="8"/>
  <c r="N836" i="8"/>
  <c r="H836" i="8"/>
  <c r="D836" i="8"/>
  <c r="AW835" i="8"/>
  <c r="AS835" i="8"/>
  <c r="AO835" i="8"/>
  <c r="AK835" i="8"/>
  <c r="AG835" i="8"/>
  <c r="AC835" i="8"/>
  <c r="T835" i="8"/>
  <c r="O835" i="8"/>
  <c r="I835" i="8"/>
  <c r="E835" i="8"/>
  <c r="AX834" i="8"/>
  <c r="AT834" i="8"/>
  <c r="AP834" i="8"/>
  <c r="AL834" i="8"/>
  <c r="AH834" i="8"/>
  <c r="AD834" i="8"/>
  <c r="U834" i="8"/>
  <c r="P834" i="8"/>
  <c r="K834" i="8"/>
  <c r="F834" i="8"/>
  <c r="AY833" i="8"/>
  <c r="AU833" i="8"/>
  <c r="AQ833" i="8"/>
  <c r="AM833" i="8"/>
  <c r="AI833" i="8"/>
  <c r="AE833" i="8"/>
  <c r="AA833" i="8"/>
  <c r="Q833" i="8"/>
  <c r="M833" i="8"/>
  <c r="G833" i="8"/>
  <c r="C833" i="8"/>
  <c r="AV832" i="8"/>
  <c r="AR832" i="8"/>
  <c r="AN832" i="8"/>
  <c r="AJ832" i="8"/>
  <c r="AF832" i="8"/>
  <c r="AB832" i="8"/>
  <c r="S832" i="8"/>
  <c r="N832" i="8"/>
  <c r="H832" i="8"/>
  <c r="D832" i="8"/>
  <c r="AW831" i="8"/>
  <c r="AS831" i="8"/>
  <c r="AO831" i="8"/>
  <c r="AK831" i="8"/>
  <c r="AG831" i="8"/>
  <c r="AC831" i="8"/>
  <c r="T831" i="8"/>
  <c r="O831" i="8"/>
  <c r="H831" i="8"/>
  <c r="D831" i="8"/>
  <c r="AW830" i="8"/>
  <c r="AS830" i="8"/>
  <c r="AO830" i="8"/>
  <c r="AK830" i="8"/>
  <c r="AG830" i="8"/>
  <c r="AC830" i="8"/>
  <c r="T830" i="8"/>
  <c r="O830" i="8"/>
  <c r="H830" i="8"/>
  <c r="D830" i="8"/>
  <c r="AW829" i="8"/>
  <c r="AS829" i="8"/>
  <c r="AO829" i="8"/>
  <c r="AK829" i="8"/>
  <c r="AG829" i="8"/>
  <c r="AC829" i="8"/>
  <c r="T829" i="8"/>
  <c r="O829" i="8"/>
  <c r="I829" i="8"/>
  <c r="E829" i="8"/>
  <c r="AX828" i="8"/>
  <c r="AT828" i="8"/>
  <c r="AP828" i="8"/>
  <c r="AL828" i="8"/>
  <c r="AH828" i="8"/>
  <c r="AD828" i="8"/>
  <c r="U828" i="8"/>
  <c r="P828" i="8"/>
  <c r="K828" i="8"/>
  <c r="F828" i="8"/>
  <c r="AY827" i="8"/>
  <c r="AU827" i="8"/>
  <c r="AQ827" i="8"/>
  <c r="AM827" i="8"/>
  <c r="AI827" i="8"/>
  <c r="AE827" i="8"/>
  <c r="AA827" i="8"/>
  <c r="Q827" i="8"/>
  <c r="M827" i="8"/>
  <c r="G827" i="8"/>
  <c r="C827" i="8"/>
  <c r="AV826" i="8"/>
  <c r="AR826" i="8"/>
  <c r="AN826" i="8"/>
  <c r="AJ826" i="8"/>
  <c r="AF826" i="8"/>
  <c r="AB826" i="8"/>
  <c r="S826" i="8"/>
  <c r="N826" i="8"/>
  <c r="H826" i="8"/>
  <c r="D826" i="8"/>
  <c r="AW825" i="8"/>
  <c r="AS825" i="8"/>
  <c r="AO825" i="8"/>
  <c r="AV872" i="8"/>
  <c r="AP866" i="8"/>
  <c r="G864" i="8"/>
  <c r="AB862" i="8"/>
  <c r="AT860" i="8"/>
  <c r="AG859" i="8"/>
  <c r="AV858" i="8"/>
  <c r="AA858" i="8"/>
  <c r="AU857" i="8"/>
  <c r="T857" i="8"/>
  <c r="AS856" i="8"/>
  <c r="S856" i="8"/>
  <c r="AQ855" i="8"/>
  <c r="S855" i="8"/>
  <c r="AW854" i="8"/>
  <c r="AG854" i="8"/>
  <c r="I854" i="8"/>
  <c r="AP853" i="8"/>
  <c r="U853" i="8"/>
  <c r="AY852" i="8"/>
  <c r="AI852" i="8"/>
  <c r="M852" i="8"/>
  <c r="AR851" i="8"/>
  <c r="AB851" i="8"/>
  <c r="D851" i="8"/>
  <c r="AK850" i="8"/>
  <c r="O850" i="8"/>
  <c r="AT849" i="8"/>
  <c r="AD849" i="8"/>
  <c r="F849" i="8"/>
  <c r="AM848" i="8"/>
  <c r="Q848" i="8"/>
  <c r="E848" i="8"/>
  <c r="AT847" i="8"/>
  <c r="AL847" i="8"/>
  <c r="AG847" i="8"/>
  <c r="AB847" i="8"/>
  <c r="P847" i="8"/>
  <c r="I847" i="8"/>
  <c r="D847" i="8"/>
  <c r="AU846" i="8"/>
  <c r="AP846" i="8"/>
  <c r="AK846" i="8"/>
  <c r="AE846" i="8"/>
  <c r="U846" i="8"/>
  <c r="O846" i="8"/>
  <c r="G846" i="8"/>
  <c r="AY845" i="8"/>
  <c r="AT845" i="8"/>
  <c r="AP845" i="8"/>
  <c r="AL845" i="8"/>
  <c r="AH845" i="8"/>
  <c r="AD845" i="8"/>
  <c r="U845" i="8"/>
  <c r="P845" i="8"/>
  <c r="K845" i="8"/>
  <c r="F845" i="8"/>
  <c r="AY844" i="8"/>
  <c r="AU844" i="8"/>
  <c r="AQ844" i="8"/>
  <c r="AM844" i="8"/>
  <c r="AI844" i="8"/>
  <c r="AE844" i="8"/>
  <c r="AA844" i="8"/>
  <c r="Q844" i="8"/>
  <c r="M844" i="8"/>
  <c r="G844" i="8"/>
  <c r="C844" i="8"/>
  <c r="AV843" i="8"/>
  <c r="AR843" i="8"/>
  <c r="AN843" i="8"/>
  <c r="AJ843" i="8"/>
  <c r="AF843" i="8"/>
  <c r="AB843" i="8"/>
  <c r="S843" i="8"/>
  <c r="N843" i="8"/>
  <c r="H843" i="8"/>
  <c r="D843" i="8"/>
  <c r="AW842" i="8"/>
  <c r="AS842" i="8"/>
  <c r="AO842" i="8"/>
  <c r="AK842" i="8"/>
  <c r="AG842" i="8"/>
  <c r="AC842" i="8"/>
  <c r="T842" i="8"/>
  <c r="O842" i="8"/>
  <c r="I842" i="8"/>
  <c r="E842" i="8"/>
  <c r="AX841" i="8"/>
  <c r="AT841" i="8"/>
  <c r="AP841" i="8"/>
  <c r="AL841" i="8"/>
  <c r="AH841" i="8"/>
  <c r="AD841" i="8"/>
  <c r="U841" i="8"/>
  <c r="P841" i="8"/>
  <c r="K841" i="8"/>
  <c r="F841" i="8"/>
  <c r="AY840" i="8"/>
  <c r="AU840" i="8"/>
  <c r="AQ840" i="8"/>
  <c r="AM840" i="8"/>
  <c r="AI840" i="8"/>
  <c r="AE840" i="8"/>
  <c r="AA840" i="8"/>
  <c r="Q840" i="8"/>
  <c r="M840" i="8"/>
  <c r="G840" i="8"/>
  <c r="C840" i="8"/>
  <c r="AV839" i="8"/>
  <c r="AR839" i="8"/>
  <c r="AN839" i="8"/>
  <c r="AJ839" i="8"/>
  <c r="AF839" i="8"/>
  <c r="AB839" i="8"/>
  <c r="S839" i="8"/>
  <c r="N839" i="8"/>
  <c r="H839" i="8"/>
  <c r="D839" i="8"/>
  <c r="AW838" i="8"/>
  <c r="AS838" i="8"/>
  <c r="AO838" i="8"/>
  <c r="AK838" i="8"/>
  <c r="AG838" i="8"/>
  <c r="AC838" i="8"/>
  <c r="T838" i="8"/>
  <c r="O838" i="8"/>
  <c r="I838" i="8"/>
  <c r="E838" i="8"/>
  <c r="AX837" i="8"/>
  <c r="AT837" i="8"/>
  <c r="AP837" i="8"/>
  <c r="AL837" i="8"/>
  <c r="AH837" i="8"/>
  <c r="AD837" i="8"/>
  <c r="U837" i="8"/>
  <c r="P837" i="8"/>
  <c r="K837" i="8"/>
  <c r="F837" i="8"/>
  <c r="AY836" i="8"/>
  <c r="AU836" i="8"/>
  <c r="AQ836" i="8"/>
  <c r="AM836" i="8"/>
  <c r="AI836" i="8"/>
  <c r="AE836" i="8"/>
  <c r="AA836" i="8"/>
  <c r="Q836" i="8"/>
  <c r="M836" i="8"/>
  <c r="G836" i="8"/>
  <c r="C836" i="8"/>
  <c r="AV835" i="8"/>
  <c r="AR835" i="8"/>
  <c r="AN835" i="8"/>
  <c r="AJ835" i="8"/>
  <c r="AF835" i="8"/>
  <c r="AB835" i="8"/>
  <c r="S835" i="8"/>
  <c r="N835" i="8"/>
  <c r="H835" i="8"/>
  <c r="D835" i="8"/>
  <c r="AW834" i="8"/>
  <c r="AS834" i="8"/>
  <c r="AO834" i="8"/>
  <c r="AK834" i="8"/>
  <c r="AG834" i="8"/>
  <c r="AC834" i="8"/>
  <c r="T834" i="8"/>
  <c r="O834" i="8"/>
  <c r="I834" i="8"/>
  <c r="E834" i="8"/>
  <c r="AX833" i="8"/>
  <c r="AT833" i="8"/>
  <c r="AP833" i="8"/>
  <c r="AL833" i="8"/>
  <c r="AH833" i="8"/>
  <c r="AD833" i="8"/>
  <c r="U833" i="8"/>
  <c r="P833" i="8"/>
  <c r="K833" i="8"/>
  <c r="F833" i="8"/>
  <c r="AY832" i="8"/>
  <c r="AU832" i="8"/>
  <c r="AQ832" i="8"/>
  <c r="AM832" i="8"/>
  <c r="AI832" i="8"/>
  <c r="AE832" i="8"/>
  <c r="AA832" i="8"/>
  <c r="Q832" i="8"/>
  <c r="M832" i="8"/>
  <c r="G832" i="8"/>
  <c r="C832" i="8"/>
  <c r="AV831" i="8"/>
  <c r="T871" i="8"/>
  <c r="AY865" i="8"/>
  <c r="AI863" i="8"/>
  <c r="D862" i="8"/>
  <c r="AD860" i="8"/>
  <c r="T859" i="8"/>
  <c r="AQ858" i="8"/>
  <c r="P858" i="8"/>
  <c r="AO857" i="8"/>
  <c r="N857" i="8"/>
  <c r="AN856" i="8"/>
  <c r="K856" i="8"/>
  <c r="AL855" i="8"/>
  <c r="N855" i="8"/>
  <c r="AS854" i="8"/>
  <c r="AC854" i="8"/>
  <c r="E854" i="8"/>
  <c r="AL853" i="8"/>
  <c r="P853" i="8"/>
  <c r="AU852" i="8"/>
  <c r="AE852" i="8"/>
  <c r="G852" i="8"/>
  <c r="AN851" i="8"/>
  <c r="S851" i="8"/>
  <c r="AW850" i="8"/>
  <c r="AG850" i="8"/>
  <c r="I850" i="8"/>
  <c r="AP849" i="8"/>
  <c r="U849" i="8"/>
  <c r="AY848" i="8"/>
  <c r="AI848" i="8"/>
  <c r="M848" i="8"/>
  <c r="C848" i="8"/>
  <c r="AR847" i="8"/>
  <c r="AK847" i="8"/>
  <c r="AF847" i="8"/>
  <c r="U847" i="8"/>
  <c r="O847" i="8"/>
  <c r="H847" i="8"/>
  <c r="AY846" i="8"/>
  <c r="AT846" i="8"/>
  <c r="AO846" i="8"/>
  <c r="AI846" i="8"/>
  <c r="AD846" i="8"/>
  <c r="T846" i="8"/>
  <c r="M846" i="8"/>
  <c r="F846" i="8"/>
  <c r="AX845" i="8"/>
  <c r="AS845" i="8"/>
  <c r="AO845" i="8"/>
  <c r="AK845" i="8"/>
  <c r="AG845" i="8"/>
  <c r="AC845" i="8"/>
  <c r="T845" i="8"/>
  <c r="O845" i="8"/>
  <c r="I845" i="8"/>
  <c r="E845" i="8"/>
  <c r="AX844" i="8"/>
  <c r="AT844" i="8"/>
  <c r="AP844" i="8"/>
  <c r="AL844" i="8"/>
  <c r="AH844" i="8"/>
  <c r="AD844" i="8"/>
  <c r="U844" i="8"/>
  <c r="P844" i="8"/>
  <c r="K844" i="8"/>
  <c r="F844" i="8"/>
  <c r="AY843" i="8"/>
  <c r="AU843" i="8"/>
  <c r="AQ843" i="8"/>
  <c r="AM843" i="8"/>
  <c r="AI843" i="8"/>
  <c r="AE843" i="8"/>
  <c r="AA843" i="8"/>
  <c r="Q843" i="8"/>
  <c r="M843" i="8"/>
  <c r="G843" i="8"/>
  <c r="C843" i="8"/>
  <c r="AV842" i="8"/>
  <c r="AR842" i="8"/>
  <c r="AN842" i="8"/>
  <c r="AJ842" i="8"/>
  <c r="AF842" i="8"/>
  <c r="AB842" i="8"/>
  <c r="S842" i="8"/>
  <c r="N842" i="8"/>
  <c r="H842" i="8"/>
  <c r="D842" i="8"/>
  <c r="AW841" i="8"/>
  <c r="AS841" i="8"/>
  <c r="AO841" i="8"/>
  <c r="AK841" i="8"/>
  <c r="AG841" i="8"/>
  <c r="AC841" i="8"/>
  <c r="T841" i="8"/>
  <c r="O841" i="8"/>
  <c r="I841" i="8"/>
  <c r="E841" i="8"/>
  <c r="AX840" i="8"/>
  <c r="AT840" i="8"/>
  <c r="AP840" i="8"/>
  <c r="AL840" i="8"/>
  <c r="AH840" i="8"/>
  <c r="AD840" i="8"/>
  <c r="U840" i="8"/>
  <c r="P840" i="8"/>
  <c r="K840" i="8"/>
  <c r="F840" i="8"/>
  <c r="AY839" i="8"/>
  <c r="AU839" i="8"/>
  <c r="AQ839" i="8"/>
  <c r="AM839" i="8"/>
  <c r="AI839" i="8"/>
  <c r="AE839" i="8"/>
  <c r="AA839" i="8"/>
  <c r="Q839" i="8"/>
  <c r="M839" i="8"/>
  <c r="G839" i="8"/>
  <c r="C839" i="8"/>
  <c r="AV838" i="8"/>
  <c r="AR838" i="8"/>
  <c r="AN838" i="8"/>
  <c r="AJ838" i="8"/>
  <c r="AF838" i="8"/>
  <c r="AB838" i="8"/>
  <c r="S838" i="8"/>
  <c r="N838" i="8"/>
  <c r="H838" i="8"/>
  <c r="D838" i="8"/>
  <c r="AW837" i="8"/>
  <c r="AS837" i="8"/>
  <c r="AO837" i="8"/>
  <c r="AK837" i="8"/>
  <c r="AG837" i="8"/>
  <c r="AC837" i="8"/>
  <c r="T837" i="8"/>
  <c r="O837" i="8"/>
  <c r="I837" i="8"/>
  <c r="E837" i="8"/>
  <c r="AX836" i="8"/>
  <c r="AT836" i="8"/>
  <c r="AP836" i="8"/>
  <c r="AL836" i="8"/>
  <c r="AH836" i="8"/>
  <c r="AD836" i="8"/>
  <c r="U836" i="8"/>
  <c r="P836" i="8"/>
  <c r="K836" i="8"/>
  <c r="F836" i="8"/>
  <c r="AY835" i="8"/>
  <c r="AU835" i="8"/>
  <c r="AQ835" i="8"/>
  <c r="AM835" i="8"/>
  <c r="AI835" i="8"/>
  <c r="AE835" i="8"/>
  <c r="AA835" i="8"/>
  <c r="Q835" i="8"/>
  <c r="M835" i="8"/>
  <c r="G835" i="8"/>
  <c r="C835" i="8"/>
  <c r="AV834" i="8"/>
  <c r="AR834" i="8"/>
  <c r="AN834" i="8"/>
  <c r="AJ834" i="8"/>
  <c r="AF834" i="8"/>
  <c r="AB834" i="8"/>
  <c r="S834" i="8"/>
  <c r="N834" i="8"/>
  <c r="H834" i="8"/>
  <c r="D834" i="8"/>
  <c r="AW833" i="8"/>
  <c r="AS833" i="8"/>
  <c r="AO833" i="8"/>
  <c r="AK833" i="8"/>
  <c r="AG833" i="8"/>
  <c r="AC833" i="8"/>
  <c r="T833" i="8"/>
  <c r="O833" i="8"/>
  <c r="I833" i="8"/>
  <c r="E833" i="8"/>
  <c r="AX832" i="8"/>
  <c r="AT832" i="8"/>
  <c r="AP832" i="8"/>
  <c r="AL832" i="8"/>
  <c r="AH832" i="8"/>
  <c r="AD832" i="8"/>
  <c r="U832" i="8"/>
  <c r="P832" i="8"/>
  <c r="K832" i="8"/>
  <c r="F832" i="8"/>
  <c r="AY831" i="8"/>
  <c r="AU831" i="8"/>
  <c r="AQ831" i="8"/>
  <c r="AM831" i="8"/>
  <c r="AI831" i="8"/>
  <c r="AE831" i="8"/>
  <c r="AA831" i="8"/>
  <c r="Q831" i="8"/>
  <c r="M831" i="8"/>
  <c r="F831" i="8"/>
  <c r="AY830" i="8"/>
  <c r="AU830" i="8"/>
  <c r="AQ830" i="8"/>
  <c r="AM830" i="8"/>
  <c r="AI830" i="8"/>
  <c r="AE830" i="8"/>
  <c r="AA830" i="8"/>
  <c r="Q830" i="8"/>
  <c r="M830" i="8"/>
  <c r="AQ869" i="8"/>
  <c r="F860" i="8"/>
  <c r="AJ857" i="8"/>
  <c r="AG855" i="8"/>
  <c r="AX853" i="8"/>
  <c r="AA852" i="8"/>
  <c r="AS850" i="8"/>
  <c r="P849" i="8"/>
  <c r="AX847" i="8"/>
  <c r="T847" i="8"/>
  <c r="AS846" i="8"/>
  <c r="Q846" i="8"/>
  <c r="AR845" i="8"/>
  <c r="AB845" i="8"/>
  <c r="D845" i="8"/>
  <c r="AK844" i="8"/>
  <c r="O844" i="8"/>
  <c r="AT843" i="8"/>
  <c r="AD843" i="8"/>
  <c r="F843" i="8"/>
  <c r="AM842" i="8"/>
  <c r="Q842" i="8"/>
  <c r="AV841" i="8"/>
  <c r="AF841" i="8"/>
  <c r="H841" i="8"/>
  <c r="AO840" i="8"/>
  <c r="T840" i="8"/>
  <c r="AX839" i="8"/>
  <c r="AH839" i="8"/>
  <c r="K839" i="8"/>
  <c r="AQ838" i="8"/>
  <c r="AA838" i="8"/>
  <c r="C838" i="8"/>
  <c r="AJ837" i="8"/>
  <c r="N837" i="8"/>
  <c r="AS836" i="8"/>
  <c r="AC836" i="8"/>
  <c r="E836" i="8"/>
  <c r="AL835" i="8"/>
  <c r="P835" i="8"/>
  <c r="AU834" i="8"/>
  <c r="AE834" i="8"/>
  <c r="G834" i="8"/>
  <c r="AN833" i="8"/>
  <c r="S833" i="8"/>
  <c r="AW832" i="8"/>
  <c r="AG832" i="8"/>
  <c r="I832" i="8"/>
  <c r="AR831" i="8"/>
  <c r="AJ831" i="8"/>
  <c r="AB831" i="8"/>
  <c r="N831" i="8"/>
  <c r="C831" i="8"/>
  <c r="AR830" i="8"/>
  <c r="AJ830" i="8"/>
  <c r="AB830" i="8"/>
  <c r="N830" i="8"/>
  <c r="E830" i="8"/>
  <c r="AV829" i="8"/>
  <c r="AQ829" i="8"/>
  <c r="AL829" i="8"/>
  <c r="AF829" i="8"/>
  <c r="AA829" i="8"/>
  <c r="P829" i="8"/>
  <c r="H829" i="8"/>
  <c r="C829" i="8"/>
  <c r="AU828" i="8"/>
  <c r="AO828" i="8"/>
  <c r="AJ828" i="8"/>
  <c r="AE828" i="8"/>
  <c r="T828" i="8"/>
  <c r="N828" i="8"/>
  <c r="G828" i="8"/>
  <c r="AX827" i="8"/>
  <c r="AS827" i="8"/>
  <c r="AN827" i="8"/>
  <c r="AH827" i="8"/>
  <c r="AC827" i="8"/>
  <c r="S827" i="8"/>
  <c r="K827" i="8"/>
  <c r="E827" i="8"/>
  <c r="AW826" i="8"/>
  <c r="AQ826" i="8"/>
  <c r="AL826" i="8"/>
  <c r="AG826" i="8"/>
  <c r="AA826" i="8"/>
  <c r="P826" i="8"/>
  <c r="I826" i="8"/>
  <c r="C826" i="8"/>
  <c r="AU825" i="8"/>
  <c r="AP825" i="8"/>
  <c r="AK825" i="8"/>
  <c r="AG825" i="8"/>
  <c r="AC825" i="8"/>
  <c r="T825" i="8"/>
  <c r="O825" i="8"/>
  <c r="I825" i="8"/>
  <c r="E825" i="8"/>
  <c r="AX824" i="8"/>
  <c r="AT824" i="8"/>
  <c r="AP824" i="8"/>
  <c r="AL824" i="8"/>
  <c r="AH824" i="8"/>
  <c r="AD824" i="8"/>
  <c r="U824" i="8"/>
  <c r="P824" i="8"/>
  <c r="K824" i="8"/>
  <c r="F824" i="8"/>
  <c r="AY823" i="8"/>
  <c r="AU823" i="8"/>
  <c r="AQ823" i="8"/>
  <c r="AM823" i="8"/>
  <c r="AI823" i="8"/>
  <c r="AE823" i="8"/>
  <c r="AA823" i="8"/>
  <c r="Q823" i="8"/>
  <c r="M823" i="8"/>
  <c r="F823" i="8"/>
  <c r="AY822" i="8"/>
  <c r="AU822" i="8"/>
  <c r="AQ822" i="8"/>
  <c r="AM822" i="8"/>
  <c r="AI822" i="8"/>
  <c r="AE822" i="8"/>
  <c r="AA822" i="8"/>
  <c r="Q822" i="8"/>
  <c r="M822" i="8"/>
  <c r="G822" i="8"/>
  <c r="C822" i="8"/>
  <c r="AV821" i="8"/>
  <c r="AR821" i="8"/>
  <c r="AN821" i="8"/>
  <c r="AJ821" i="8"/>
  <c r="AF821" i="8"/>
  <c r="AB821" i="8"/>
  <c r="S821" i="8"/>
  <c r="N821" i="8"/>
  <c r="H821" i="8"/>
  <c r="D821" i="8"/>
  <c r="AW820" i="8"/>
  <c r="AS820" i="8"/>
  <c r="AO820" i="8"/>
  <c r="AK820" i="8"/>
  <c r="AG820" i="8"/>
  <c r="AC820" i="8"/>
  <c r="T820" i="8"/>
  <c r="O820" i="8"/>
  <c r="H820" i="8"/>
  <c r="D820" i="8"/>
  <c r="AW819" i="8"/>
  <c r="AS819" i="8"/>
  <c r="AO819" i="8"/>
  <c r="AK819" i="8"/>
  <c r="AG819" i="8"/>
  <c r="AC819" i="8"/>
  <c r="T819" i="8"/>
  <c r="O819" i="8"/>
  <c r="I819" i="8"/>
  <c r="E819" i="8"/>
  <c r="AY817" i="8"/>
  <c r="AU817" i="8"/>
  <c r="AQ817" i="8"/>
  <c r="AM817" i="8"/>
  <c r="AI817" i="8"/>
  <c r="AE817" i="8"/>
  <c r="AA817" i="8"/>
  <c r="Q817" i="8"/>
  <c r="M817" i="8"/>
  <c r="G817" i="8"/>
  <c r="C817" i="8"/>
  <c r="AV816" i="8"/>
  <c r="M865" i="8"/>
  <c r="K859" i="8"/>
  <c r="G857" i="8"/>
  <c r="H855" i="8"/>
  <c r="AH853" i="8"/>
  <c r="C852" i="8"/>
  <c r="AC850" i="8"/>
  <c r="AU848" i="8"/>
  <c r="AP847" i="8"/>
  <c r="N847" i="8"/>
  <c r="AM846" i="8"/>
  <c r="K846" i="8"/>
  <c r="AN845" i="8"/>
  <c r="S845" i="8"/>
  <c r="AW844" i="8"/>
  <c r="AG844" i="8"/>
  <c r="I844" i="8"/>
  <c r="AP843" i="8"/>
  <c r="U843" i="8"/>
  <c r="AY842" i="8"/>
  <c r="AI842" i="8"/>
  <c r="M842" i="8"/>
  <c r="AR841" i="8"/>
  <c r="AB841" i="8"/>
  <c r="D841" i="8"/>
  <c r="AK840" i="8"/>
  <c r="O840" i="8"/>
  <c r="AT839" i="8"/>
  <c r="AD839" i="8"/>
  <c r="F839" i="8"/>
  <c r="AM838" i="8"/>
  <c r="Q838" i="8"/>
  <c r="AV837" i="8"/>
  <c r="AF837" i="8"/>
  <c r="H837" i="8"/>
  <c r="AO836" i="8"/>
  <c r="T836" i="8"/>
  <c r="AX835" i="8"/>
  <c r="AH835" i="8"/>
  <c r="K835" i="8"/>
  <c r="AQ834" i="8"/>
  <c r="AA834" i="8"/>
  <c r="C834" i="8"/>
  <c r="AJ833" i="8"/>
  <c r="N833" i="8"/>
  <c r="AS832" i="8"/>
  <c r="AC832" i="8"/>
  <c r="E832" i="8"/>
  <c r="AP831" i="8"/>
  <c r="AH831" i="8"/>
  <c r="U831" i="8"/>
  <c r="I831" i="8"/>
  <c r="AX830" i="8"/>
  <c r="AP830" i="8"/>
  <c r="AH830" i="8"/>
  <c r="U830" i="8"/>
  <c r="I830" i="8"/>
  <c r="C830" i="8"/>
  <c r="AU829" i="8"/>
  <c r="AP829" i="8"/>
  <c r="AJ829" i="8"/>
  <c r="AE829" i="8"/>
  <c r="U829" i="8"/>
  <c r="N829" i="8"/>
  <c r="G829" i="8"/>
  <c r="AY828" i="8"/>
  <c r="AS828" i="8"/>
  <c r="AN828" i="8"/>
  <c r="AI828" i="8"/>
  <c r="AC828" i="8"/>
  <c r="S828" i="8"/>
  <c r="M828" i="8"/>
  <c r="E828" i="8"/>
  <c r="AW827" i="8"/>
  <c r="AR827" i="8"/>
  <c r="AL827" i="8"/>
  <c r="AG827" i="8"/>
  <c r="AB827" i="8"/>
  <c r="P827" i="8"/>
  <c r="I827" i="8"/>
  <c r="D827" i="8"/>
  <c r="AU826" i="8"/>
  <c r="AP826" i="8"/>
  <c r="AK826" i="8"/>
  <c r="AE826" i="8"/>
  <c r="U826" i="8"/>
  <c r="O826" i="8"/>
  <c r="G826" i="8"/>
  <c r="AY825" i="8"/>
  <c r="AT825" i="8"/>
  <c r="AN825" i="8"/>
  <c r="AJ825" i="8"/>
  <c r="AF825" i="8"/>
  <c r="AB825" i="8"/>
  <c r="S825" i="8"/>
  <c r="N825" i="8"/>
  <c r="H825" i="8"/>
  <c r="D825" i="8"/>
  <c r="AW824" i="8"/>
  <c r="AS824" i="8"/>
  <c r="AO824" i="8"/>
  <c r="AK824" i="8"/>
  <c r="AG824" i="8"/>
  <c r="AC824" i="8"/>
  <c r="T824" i="8"/>
  <c r="O824" i="8"/>
  <c r="I824" i="8"/>
  <c r="E824" i="8"/>
  <c r="AX823" i="8"/>
  <c r="AT823" i="8"/>
  <c r="AP823" i="8"/>
  <c r="AL823" i="8"/>
  <c r="AH823" i="8"/>
  <c r="AD823" i="8"/>
  <c r="U823" i="8"/>
  <c r="P823" i="8"/>
  <c r="I823" i="8"/>
  <c r="E823" i="8"/>
  <c r="AX822" i="8"/>
  <c r="AT822" i="8"/>
  <c r="AP822" i="8"/>
  <c r="AL822" i="8"/>
  <c r="AH822" i="8"/>
  <c r="AD822" i="8"/>
  <c r="U822" i="8"/>
  <c r="P822" i="8"/>
  <c r="K822" i="8"/>
  <c r="F822" i="8"/>
  <c r="AY821" i="8"/>
  <c r="AU821" i="8"/>
  <c r="AQ821" i="8"/>
  <c r="AM821" i="8"/>
  <c r="AI821" i="8"/>
  <c r="AE821" i="8"/>
  <c r="AA821" i="8"/>
  <c r="Q821" i="8"/>
  <c r="M821" i="8"/>
  <c r="G821" i="8"/>
  <c r="C821" i="8"/>
  <c r="AV820" i="8"/>
  <c r="AR820" i="8"/>
  <c r="AN820" i="8"/>
  <c r="AJ820" i="8"/>
  <c r="AF820" i="8"/>
  <c r="AB820" i="8"/>
  <c r="S820" i="8"/>
  <c r="N820" i="8"/>
  <c r="G820" i="8"/>
  <c r="C820" i="8"/>
  <c r="AV819" i="8"/>
  <c r="AR819" i="8"/>
  <c r="AN819" i="8"/>
  <c r="AJ819" i="8"/>
  <c r="AF819" i="8"/>
  <c r="AB819" i="8"/>
  <c r="S819" i="8"/>
  <c r="N819" i="8"/>
  <c r="H819" i="8"/>
  <c r="D819" i="8"/>
  <c r="AX817" i="8"/>
  <c r="AT817" i="8"/>
  <c r="AP817" i="8"/>
  <c r="AL817" i="8"/>
  <c r="AH817" i="8"/>
  <c r="AD817" i="8"/>
  <c r="U817" i="8"/>
  <c r="P817" i="8"/>
  <c r="M863" i="8"/>
  <c r="AL858" i="8"/>
  <c r="AH856" i="8"/>
  <c r="AO854" i="8"/>
  <c r="K853" i="8"/>
  <c r="AJ851" i="8"/>
  <c r="E850" i="8"/>
  <c r="AE848" i="8"/>
  <c r="AJ847" i="8"/>
  <c r="F847" i="8"/>
  <c r="AH846" i="8"/>
  <c r="E846" i="8"/>
  <c r="AJ845" i="8"/>
  <c r="N845" i="8"/>
  <c r="AS844" i="8"/>
  <c r="AC844" i="8"/>
  <c r="E844" i="8"/>
  <c r="AL843" i="8"/>
  <c r="P843" i="8"/>
  <c r="AU842" i="8"/>
  <c r="AE842" i="8"/>
  <c r="G842" i="8"/>
  <c r="AN841" i="8"/>
  <c r="S841" i="8"/>
  <c r="AW840" i="8"/>
  <c r="AG840" i="8"/>
  <c r="I840" i="8"/>
  <c r="AP839" i="8"/>
  <c r="U839" i="8"/>
  <c r="AY838" i="8"/>
  <c r="AI838" i="8"/>
  <c r="M838" i="8"/>
  <c r="AR837" i="8"/>
  <c r="AB837" i="8"/>
  <c r="D837" i="8"/>
  <c r="AK836" i="8"/>
  <c r="O836" i="8"/>
  <c r="AT835" i="8"/>
  <c r="AD835" i="8"/>
  <c r="F835" i="8"/>
  <c r="AM834" i="8"/>
  <c r="Q834" i="8"/>
  <c r="AV833" i="8"/>
  <c r="AF833" i="8"/>
  <c r="H833" i="8"/>
  <c r="AO832" i="8"/>
  <c r="T832" i="8"/>
  <c r="AX831" i="8"/>
  <c r="AN831" i="8"/>
  <c r="AF831" i="8"/>
  <c r="S831" i="8"/>
  <c r="G831" i="8"/>
  <c r="AV830" i="8"/>
  <c r="AN830" i="8"/>
  <c r="AF830" i="8"/>
  <c r="S830" i="8"/>
  <c r="G830" i="8"/>
  <c r="AY829" i="8"/>
  <c r="AT829" i="8"/>
  <c r="AN829" i="8"/>
  <c r="AI829" i="8"/>
  <c r="AD829" i="8"/>
  <c r="S829" i="8"/>
  <c r="M829" i="8"/>
  <c r="F829" i="8"/>
  <c r="AW828" i="8"/>
  <c r="AR828" i="8"/>
  <c r="AM828" i="8"/>
  <c r="AG828" i="8"/>
  <c r="AB828" i="8"/>
  <c r="Q828" i="8"/>
  <c r="I828" i="8"/>
  <c r="D828" i="8"/>
  <c r="AV827" i="8"/>
  <c r="AP827" i="8"/>
  <c r="AK827" i="8"/>
  <c r="AF827" i="8"/>
  <c r="U827" i="8"/>
  <c r="O827" i="8"/>
  <c r="H827" i="8"/>
  <c r="AY826" i="8"/>
  <c r="AT826" i="8"/>
  <c r="AO826" i="8"/>
  <c r="AI826" i="8"/>
  <c r="AD826" i="8"/>
  <c r="T826" i="8"/>
  <c r="M826" i="8"/>
  <c r="F826" i="8"/>
  <c r="AX825" i="8"/>
  <c r="AR825" i="8"/>
  <c r="AM825" i="8"/>
  <c r="AI825" i="8"/>
  <c r="AE825" i="8"/>
  <c r="AA825" i="8"/>
  <c r="Q825" i="8"/>
  <c r="M825" i="8"/>
  <c r="G825" i="8"/>
  <c r="C825" i="8"/>
  <c r="AV824" i="8"/>
  <c r="AR824" i="8"/>
  <c r="AN824" i="8"/>
  <c r="AJ824" i="8"/>
  <c r="AF824" i="8"/>
  <c r="AB824" i="8"/>
  <c r="S824" i="8"/>
  <c r="N824" i="8"/>
  <c r="H824" i="8"/>
  <c r="D824" i="8"/>
  <c r="AW823" i="8"/>
  <c r="AS823" i="8"/>
  <c r="AO823" i="8"/>
  <c r="AK823" i="8"/>
  <c r="AG823" i="8"/>
  <c r="AC823" i="8"/>
  <c r="T823" i="8"/>
  <c r="O823" i="8"/>
  <c r="H823" i="8"/>
  <c r="D823" i="8"/>
  <c r="AW822" i="8"/>
  <c r="AS822" i="8"/>
  <c r="AO822" i="8"/>
  <c r="AK822" i="8"/>
  <c r="AG822" i="8"/>
  <c r="AC822" i="8"/>
  <c r="T822" i="8"/>
  <c r="O822" i="8"/>
  <c r="I822" i="8"/>
  <c r="E822" i="8"/>
  <c r="AX821" i="8"/>
  <c r="AT821" i="8"/>
  <c r="AP821" i="8"/>
  <c r="AL821" i="8"/>
  <c r="AH821" i="8"/>
  <c r="AD821" i="8"/>
  <c r="U821" i="8"/>
  <c r="P821" i="8"/>
  <c r="K821" i="8"/>
  <c r="F821" i="8"/>
  <c r="AY820" i="8"/>
  <c r="AU820" i="8"/>
  <c r="AQ820" i="8"/>
  <c r="AM820" i="8"/>
  <c r="AI820" i="8"/>
  <c r="AE820" i="8"/>
  <c r="AA820" i="8"/>
  <c r="Q820" i="8"/>
  <c r="M820" i="8"/>
  <c r="F820" i="8"/>
  <c r="AY819" i="8"/>
  <c r="AU819" i="8"/>
  <c r="AQ819" i="8"/>
  <c r="AM819" i="8"/>
  <c r="AI819" i="8"/>
  <c r="AE819" i="8"/>
  <c r="AA819" i="8"/>
  <c r="Q819" i="8"/>
  <c r="M819" i="8"/>
  <c r="G819" i="8"/>
  <c r="C819" i="8"/>
  <c r="AW817" i="8"/>
  <c r="AS817" i="8"/>
  <c r="AO817" i="8"/>
  <c r="AK817" i="8"/>
  <c r="AG817" i="8"/>
  <c r="AC817" i="8"/>
  <c r="T817" i="8"/>
  <c r="O817" i="8"/>
  <c r="I817" i="8"/>
  <c r="E817" i="8"/>
  <c r="AX816" i="8"/>
  <c r="AT816" i="8"/>
  <c r="AP816" i="8"/>
  <c r="AL816" i="8"/>
  <c r="AH816" i="8"/>
  <c r="AD816" i="8"/>
  <c r="U816" i="8"/>
  <c r="P816" i="8"/>
  <c r="I816" i="8"/>
  <c r="E816" i="8"/>
  <c r="AX815" i="8"/>
  <c r="AT815" i="8"/>
  <c r="AP815" i="8"/>
  <c r="AL815" i="8"/>
  <c r="AH815" i="8"/>
  <c r="AD815" i="8"/>
  <c r="U815" i="8"/>
  <c r="P815" i="8"/>
  <c r="K815" i="8"/>
  <c r="F815" i="8"/>
  <c r="AY814" i="8"/>
  <c r="AU814" i="8"/>
  <c r="AQ814" i="8"/>
  <c r="AM814" i="8"/>
  <c r="AI814" i="8"/>
  <c r="AE814" i="8"/>
  <c r="AA814" i="8"/>
  <c r="Q814" i="8"/>
  <c r="M814" i="8"/>
  <c r="G814" i="8"/>
  <c r="C814" i="8"/>
  <c r="AV812" i="8"/>
  <c r="AR812" i="8"/>
  <c r="AN812" i="8"/>
  <c r="AJ812" i="8"/>
  <c r="AF812" i="8"/>
  <c r="AB812" i="8"/>
  <c r="S812" i="8"/>
  <c r="N812" i="8"/>
  <c r="H812" i="8"/>
  <c r="D812" i="8"/>
  <c r="AW811" i="8"/>
  <c r="AS811" i="8"/>
  <c r="AO811" i="8"/>
  <c r="AK811" i="8"/>
  <c r="AG811" i="8"/>
  <c r="AC811" i="8"/>
  <c r="T811" i="8"/>
  <c r="O811" i="8"/>
  <c r="I811" i="8"/>
  <c r="E811" i="8"/>
  <c r="AX810" i="8"/>
  <c r="AT810" i="8"/>
  <c r="AP810" i="8"/>
  <c r="AL810" i="8"/>
  <c r="AH810" i="8"/>
  <c r="AD810" i="8"/>
  <c r="U810" i="8"/>
  <c r="P810" i="8"/>
  <c r="K810" i="8"/>
  <c r="F810" i="8"/>
  <c r="AY809" i="8"/>
  <c r="AU809" i="8"/>
  <c r="AQ809" i="8"/>
  <c r="AM809" i="8"/>
  <c r="AI809" i="8"/>
  <c r="AE809" i="8"/>
  <c r="AA809" i="8"/>
  <c r="Q809" i="8"/>
  <c r="M809" i="8"/>
  <c r="G809" i="8"/>
  <c r="C809" i="8"/>
  <c r="AV808" i="8"/>
  <c r="AR808" i="8"/>
  <c r="AN808" i="8"/>
  <c r="AJ808" i="8"/>
  <c r="AF808" i="8"/>
  <c r="AB808" i="8"/>
  <c r="S808" i="8"/>
  <c r="N808" i="8"/>
  <c r="H808" i="8"/>
  <c r="D808" i="8"/>
  <c r="AW807" i="8"/>
  <c r="AS807" i="8"/>
  <c r="AO807" i="8"/>
  <c r="AK807" i="8"/>
  <c r="AK861" i="8"/>
  <c r="AQ852" i="8"/>
  <c r="AD847" i="8"/>
  <c r="AF845" i="8"/>
  <c r="AX843" i="8"/>
  <c r="AA842" i="8"/>
  <c r="AS840" i="8"/>
  <c r="P839" i="8"/>
  <c r="AN837" i="8"/>
  <c r="I836" i="8"/>
  <c r="AI834" i="8"/>
  <c r="D833" i="8"/>
  <c r="AL831" i="8"/>
  <c r="AT830" i="8"/>
  <c r="F830" i="8"/>
  <c r="AH829" i="8"/>
  <c r="D829" i="8"/>
  <c r="AF828" i="8"/>
  <c r="C828" i="8"/>
  <c r="AD827" i="8"/>
  <c r="AX826" i="8"/>
  <c r="AC826" i="8"/>
  <c r="AV825" i="8"/>
  <c r="AD825" i="8"/>
  <c r="F825" i="8"/>
  <c r="AM824" i="8"/>
  <c r="Q824" i="8"/>
  <c r="AV823" i="8"/>
  <c r="AF823" i="8"/>
  <c r="G823" i="8"/>
  <c r="AN822" i="8"/>
  <c r="S822" i="8"/>
  <c r="AW821" i="8"/>
  <c r="AG821" i="8"/>
  <c r="I821" i="8"/>
  <c r="AP820" i="8"/>
  <c r="U820" i="8"/>
  <c r="AX819" i="8"/>
  <c r="AH819" i="8"/>
  <c r="K819" i="8"/>
  <c r="AR817" i="8"/>
  <c r="AB817" i="8"/>
  <c r="H817" i="8"/>
  <c r="AW816" i="8"/>
  <c r="AQ816" i="8"/>
  <c r="AK816" i="8"/>
  <c r="AF816" i="8"/>
  <c r="AA816" i="8"/>
  <c r="O816" i="8"/>
  <c r="G816" i="8"/>
  <c r="AY815" i="8"/>
  <c r="AS815" i="8"/>
  <c r="AN815" i="8"/>
  <c r="AI815" i="8"/>
  <c r="AC815" i="8"/>
  <c r="S815" i="8"/>
  <c r="M815" i="8"/>
  <c r="E815" i="8"/>
  <c r="AW814" i="8"/>
  <c r="AR814" i="8"/>
  <c r="AL814" i="8"/>
  <c r="AG814" i="8"/>
  <c r="AB814" i="8"/>
  <c r="P814" i="8"/>
  <c r="I814" i="8"/>
  <c r="D814" i="8"/>
  <c r="AU812" i="8"/>
  <c r="AP812" i="8"/>
  <c r="AK812" i="8"/>
  <c r="AE812" i="8"/>
  <c r="U812" i="8"/>
  <c r="O812" i="8"/>
  <c r="G812" i="8"/>
  <c r="AY811" i="8"/>
  <c r="AT811" i="8"/>
  <c r="AN811" i="8"/>
  <c r="AI811" i="8"/>
  <c r="AD811" i="8"/>
  <c r="S811" i="8"/>
  <c r="M811" i="8"/>
  <c r="F811" i="8"/>
  <c r="AW810" i="8"/>
  <c r="AR810" i="8"/>
  <c r="AM810" i="8"/>
  <c r="AG810" i="8"/>
  <c r="AB810" i="8"/>
  <c r="Q810" i="8"/>
  <c r="I810" i="8"/>
  <c r="D810" i="8"/>
  <c r="AV809" i="8"/>
  <c r="AP809" i="8"/>
  <c r="AK809" i="8"/>
  <c r="AF809" i="8"/>
  <c r="U809" i="8"/>
  <c r="O809" i="8"/>
  <c r="H809" i="8"/>
  <c r="AY808" i="8"/>
  <c r="AT808" i="8"/>
  <c r="AO808" i="8"/>
  <c r="AI808" i="8"/>
  <c r="AD808" i="8"/>
  <c r="T808" i="8"/>
  <c r="M808" i="8"/>
  <c r="F808" i="8"/>
  <c r="AX807" i="8"/>
  <c r="AR807" i="8"/>
  <c r="AM807" i="8"/>
  <c r="AH807" i="8"/>
  <c r="AD807" i="8"/>
  <c r="U807" i="8"/>
  <c r="P807" i="8"/>
  <c r="I807" i="8"/>
  <c r="E807" i="8"/>
  <c r="AX806" i="8"/>
  <c r="AT806" i="8"/>
  <c r="AP806" i="8"/>
  <c r="AL806" i="8"/>
  <c r="AH806" i="8"/>
  <c r="AD806" i="8"/>
  <c r="U806" i="8"/>
  <c r="P806" i="8"/>
  <c r="K806" i="8"/>
  <c r="F806" i="8"/>
  <c r="AY804" i="8"/>
  <c r="AU804" i="8"/>
  <c r="AQ804" i="8"/>
  <c r="AM804" i="8"/>
  <c r="AI804" i="8"/>
  <c r="AE804" i="8"/>
  <c r="AA804" i="8"/>
  <c r="Q804" i="8"/>
  <c r="M804" i="8"/>
  <c r="G804" i="8"/>
  <c r="C804" i="8"/>
  <c r="AV803" i="8"/>
  <c r="AR803" i="8"/>
  <c r="AN803" i="8"/>
  <c r="AJ803" i="8"/>
  <c r="AF803" i="8"/>
  <c r="AB803" i="8"/>
  <c r="S803" i="8"/>
  <c r="N803" i="8"/>
  <c r="H803" i="8"/>
  <c r="D803" i="8"/>
  <c r="AW802" i="8"/>
  <c r="AS802" i="8"/>
  <c r="AO802" i="8"/>
  <c r="AK802" i="8"/>
  <c r="AG802" i="8"/>
  <c r="AC802" i="8"/>
  <c r="T802" i="8"/>
  <c r="O802" i="8"/>
  <c r="I802" i="8"/>
  <c r="E802" i="8"/>
  <c r="AX800" i="8"/>
  <c r="AT800" i="8"/>
  <c r="AP800" i="8"/>
  <c r="AL800" i="8"/>
  <c r="AH800" i="8"/>
  <c r="AD800" i="8"/>
  <c r="U800" i="8"/>
  <c r="P800" i="8"/>
  <c r="I800" i="8"/>
  <c r="E800" i="8"/>
  <c r="AX799" i="8"/>
  <c r="AT799" i="8"/>
  <c r="AP799" i="8"/>
  <c r="AL799" i="8"/>
  <c r="AH799" i="8"/>
  <c r="AD799" i="8"/>
  <c r="U799" i="8"/>
  <c r="P799" i="8"/>
  <c r="K799" i="8"/>
  <c r="F799" i="8"/>
  <c r="AY798" i="8"/>
  <c r="AU798" i="8"/>
  <c r="AQ798" i="8"/>
  <c r="AM798" i="8"/>
  <c r="AI798" i="8"/>
  <c r="AE798" i="8"/>
  <c r="AA798" i="8"/>
  <c r="Q798" i="8"/>
  <c r="M798" i="8"/>
  <c r="G798" i="8"/>
  <c r="C798" i="8"/>
  <c r="AV795" i="8"/>
  <c r="AR795" i="8"/>
  <c r="AN795" i="8"/>
  <c r="AJ795" i="8"/>
  <c r="AF795" i="8"/>
  <c r="AB795" i="8"/>
  <c r="S795" i="8"/>
  <c r="N795" i="8"/>
  <c r="H795" i="8"/>
  <c r="D795" i="8"/>
  <c r="AW790" i="8"/>
  <c r="AS790" i="8"/>
  <c r="AO790" i="8"/>
  <c r="AK790" i="8"/>
  <c r="AG790" i="8"/>
  <c r="AC790" i="8"/>
  <c r="T790" i="8"/>
  <c r="O790" i="8"/>
  <c r="I790" i="8"/>
  <c r="E790" i="8"/>
  <c r="AX788" i="8"/>
  <c r="AT788" i="8"/>
  <c r="AP788" i="8"/>
  <c r="AL788" i="8"/>
  <c r="AH788" i="8"/>
  <c r="AD788" i="8"/>
  <c r="U788" i="8"/>
  <c r="P788" i="8"/>
  <c r="K788" i="8"/>
  <c r="F788" i="8"/>
  <c r="AY787" i="8"/>
  <c r="AU787" i="8"/>
  <c r="AQ787" i="8"/>
  <c r="AM787" i="8"/>
  <c r="AI787" i="8"/>
  <c r="AE787" i="8"/>
  <c r="AA787" i="8"/>
  <c r="Q787" i="8"/>
  <c r="M787" i="8"/>
  <c r="G787" i="8"/>
  <c r="C787" i="8"/>
  <c r="AV786" i="8"/>
  <c r="AR786" i="8"/>
  <c r="AN786" i="8"/>
  <c r="AJ786" i="8"/>
  <c r="AF786" i="8"/>
  <c r="AB786" i="8"/>
  <c r="S786" i="8"/>
  <c r="N786" i="8"/>
  <c r="H786" i="8"/>
  <c r="D786" i="8"/>
  <c r="AW785" i="8"/>
  <c r="AS785" i="8"/>
  <c r="AO785" i="8"/>
  <c r="AK785" i="8"/>
  <c r="AG785" i="8"/>
  <c r="AC785" i="8"/>
  <c r="T785" i="8"/>
  <c r="O785" i="8"/>
  <c r="I785" i="8"/>
  <c r="E785" i="8"/>
  <c r="AX784" i="8"/>
  <c r="AT784" i="8"/>
  <c r="AP784" i="8"/>
  <c r="AL784" i="8"/>
  <c r="AH784" i="8"/>
  <c r="AD784" i="8"/>
  <c r="U784" i="8"/>
  <c r="P784" i="8"/>
  <c r="K784" i="8"/>
  <c r="F784" i="8"/>
  <c r="AY783" i="8"/>
  <c r="AU783" i="8"/>
  <c r="AQ783" i="8"/>
  <c r="AM783" i="8"/>
  <c r="AI783" i="8"/>
  <c r="AE783" i="8"/>
  <c r="AA783" i="8"/>
  <c r="Q783" i="8"/>
  <c r="M783" i="8"/>
  <c r="G783" i="8"/>
  <c r="C783" i="8"/>
  <c r="AV782" i="8"/>
  <c r="AR782" i="8"/>
  <c r="AN782" i="8"/>
  <c r="AJ782" i="8"/>
  <c r="AF782" i="8"/>
  <c r="AB782" i="8"/>
  <c r="S782" i="8"/>
  <c r="N782" i="8"/>
  <c r="H782" i="8"/>
  <c r="D782" i="8"/>
  <c r="AW781" i="8"/>
  <c r="AS781" i="8"/>
  <c r="AO781" i="8"/>
  <c r="AK781" i="8"/>
  <c r="AG781" i="8"/>
  <c r="AC781" i="8"/>
  <c r="T781" i="8"/>
  <c r="O781" i="8"/>
  <c r="I781" i="8"/>
  <c r="E781" i="8"/>
  <c r="AX780" i="8"/>
  <c r="AT780" i="8"/>
  <c r="AP780" i="8"/>
  <c r="AL780" i="8"/>
  <c r="AH780" i="8"/>
  <c r="AD780" i="8"/>
  <c r="U780" i="8"/>
  <c r="P780" i="8"/>
  <c r="K780" i="8"/>
  <c r="F780" i="8"/>
  <c r="AY777" i="8"/>
  <c r="AU777" i="8"/>
  <c r="AQ777" i="8"/>
  <c r="AM777" i="8"/>
  <c r="AI777" i="8"/>
  <c r="AE777" i="8"/>
  <c r="AA777" i="8"/>
  <c r="Q777" i="8"/>
  <c r="M777" i="8"/>
  <c r="G777" i="8"/>
  <c r="C777" i="8"/>
  <c r="AV774" i="8"/>
  <c r="AR774" i="8"/>
  <c r="AN774" i="8"/>
  <c r="AJ774" i="8"/>
  <c r="AF774" i="8"/>
  <c r="AB774" i="8"/>
  <c r="S774" i="8"/>
  <c r="N774" i="8"/>
  <c r="H774" i="8"/>
  <c r="D774" i="8"/>
  <c r="AW773" i="8"/>
  <c r="AS773" i="8"/>
  <c r="AO773" i="8"/>
  <c r="AK773" i="8"/>
  <c r="AG773" i="8"/>
  <c r="AC773" i="8"/>
  <c r="T773" i="8"/>
  <c r="O773" i="8"/>
  <c r="I773" i="8"/>
  <c r="E773" i="8"/>
  <c r="AX771" i="8"/>
  <c r="AT771" i="8"/>
  <c r="AP771" i="8"/>
  <c r="AL771" i="8"/>
  <c r="AH771" i="8"/>
  <c r="AD771" i="8"/>
  <c r="U771" i="8"/>
  <c r="P771" i="8"/>
  <c r="K771" i="8"/>
  <c r="F771" i="8"/>
  <c r="AY768" i="8"/>
  <c r="AU768" i="8"/>
  <c r="AQ768" i="8"/>
  <c r="AM768" i="8"/>
  <c r="AI768" i="8"/>
  <c r="AE768" i="8"/>
  <c r="AA768" i="8"/>
  <c r="Q768" i="8"/>
  <c r="M768" i="8"/>
  <c r="G768" i="8"/>
  <c r="H858" i="8"/>
  <c r="N851" i="8"/>
  <c r="AX846" i="8"/>
  <c r="H845" i="8"/>
  <c r="AH843" i="8"/>
  <c r="C842" i="8"/>
  <c r="AC840" i="8"/>
  <c r="AU838" i="8"/>
  <c r="S837" i="8"/>
  <c r="AP835" i="8"/>
  <c r="M834" i="8"/>
  <c r="AK832" i="8"/>
  <c r="AD831" i="8"/>
  <c r="AL830" i="8"/>
  <c r="AX829" i="8"/>
  <c r="AB829" i="8"/>
  <c r="AV828" i="8"/>
  <c r="AA828" i="8"/>
  <c r="AT827" i="8"/>
  <c r="T827" i="8"/>
  <c r="AS826" i="8"/>
  <c r="Q826" i="8"/>
  <c r="AQ825" i="8"/>
  <c r="U825" i="8"/>
  <c r="AY824" i="8"/>
  <c r="AI824" i="8"/>
  <c r="M824" i="8"/>
  <c r="AR823" i="8"/>
  <c r="AB823" i="8"/>
  <c r="C823" i="8"/>
  <c r="AJ822" i="8"/>
  <c r="N822" i="8"/>
  <c r="AS821" i="8"/>
  <c r="AC821" i="8"/>
  <c r="E821" i="8"/>
  <c r="AL820" i="8"/>
  <c r="P820" i="8"/>
  <c r="AT819" i="8"/>
  <c r="AD819" i="8"/>
  <c r="F819" i="8"/>
  <c r="AN817" i="8"/>
  <c r="S817" i="8"/>
  <c r="F817" i="8"/>
  <c r="AU816" i="8"/>
  <c r="AO816" i="8"/>
  <c r="AJ816" i="8"/>
  <c r="AE816" i="8"/>
  <c r="T816" i="8"/>
  <c r="N816" i="8"/>
  <c r="F816" i="8"/>
  <c r="AW815" i="8"/>
  <c r="AR815" i="8"/>
  <c r="AM815" i="8"/>
  <c r="AG815" i="8"/>
  <c r="AB815" i="8"/>
  <c r="Q815" i="8"/>
  <c r="I815" i="8"/>
  <c r="D815" i="8"/>
  <c r="AV814" i="8"/>
  <c r="AP814" i="8"/>
  <c r="AK814" i="8"/>
  <c r="AF814" i="8"/>
  <c r="U814" i="8"/>
  <c r="O814" i="8"/>
  <c r="H814" i="8"/>
  <c r="AY812" i="8"/>
  <c r="AT812" i="8"/>
  <c r="AO812" i="8"/>
  <c r="AI812" i="8"/>
  <c r="AD812" i="8"/>
  <c r="T812" i="8"/>
  <c r="M812" i="8"/>
  <c r="F812" i="8"/>
  <c r="AX811" i="8"/>
  <c r="AR811" i="8"/>
  <c r="AM811" i="8"/>
  <c r="AH811" i="8"/>
  <c r="AB811" i="8"/>
  <c r="Q811" i="8"/>
  <c r="K811" i="8"/>
  <c r="D811" i="8"/>
  <c r="AV810" i="8"/>
  <c r="AQ810" i="8"/>
  <c r="AK810" i="8"/>
  <c r="AF810" i="8"/>
  <c r="AA810" i="8"/>
  <c r="O810" i="8"/>
  <c r="H810" i="8"/>
  <c r="C810" i="8"/>
  <c r="AT809" i="8"/>
  <c r="AO809" i="8"/>
  <c r="AJ809" i="8"/>
  <c r="AD809" i="8"/>
  <c r="T809" i="8"/>
  <c r="N809" i="8"/>
  <c r="F809" i="8"/>
  <c r="AX808" i="8"/>
  <c r="AS808" i="8"/>
  <c r="AM808" i="8"/>
  <c r="AH808" i="8"/>
  <c r="AC808" i="8"/>
  <c r="Q808" i="8"/>
  <c r="K808" i="8"/>
  <c r="E808" i="8"/>
  <c r="AV807" i="8"/>
  <c r="AQ807" i="8"/>
  <c r="AL807" i="8"/>
  <c r="AG807" i="8"/>
  <c r="AC807" i="8"/>
  <c r="T807" i="8"/>
  <c r="O807" i="8"/>
  <c r="H807" i="8"/>
  <c r="D807" i="8"/>
  <c r="AW806" i="8"/>
  <c r="AS806" i="8"/>
  <c r="AO806" i="8"/>
  <c r="AK806" i="8"/>
  <c r="AG806" i="8"/>
  <c r="AC806" i="8"/>
  <c r="T806" i="8"/>
  <c r="O806" i="8"/>
  <c r="I806" i="8"/>
  <c r="E806" i="8"/>
  <c r="AX804" i="8"/>
  <c r="AT804" i="8"/>
  <c r="AP804" i="8"/>
  <c r="AL804" i="8"/>
  <c r="AH804" i="8"/>
  <c r="AD804" i="8"/>
  <c r="U804" i="8"/>
  <c r="P804" i="8"/>
  <c r="K804" i="8"/>
  <c r="F804" i="8"/>
  <c r="AY803" i="8"/>
  <c r="AU803" i="8"/>
  <c r="AQ803" i="8"/>
  <c r="AM803" i="8"/>
  <c r="AI803" i="8"/>
  <c r="AE803" i="8"/>
  <c r="AA803" i="8"/>
  <c r="Q803" i="8"/>
  <c r="M803" i="8"/>
  <c r="G803" i="8"/>
  <c r="C803" i="8"/>
  <c r="AV802" i="8"/>
  <c r="AR802" i="8"/>
  <c r="AN802" i="8"/>
  <c r="AJ802" i="8"/>
  <c r="AF802" i="8"/>
  <c r="AB802" i="8"/>
  <c r="S802" i="8"/>
  <c r="N802" i="8"/>
  <c r="H802" i="8"/>
  <c r="D802" i="8"/>
  <c r="AW800" i="8"/>
  <c r="AS800" i="8"/>
  <c r="AO800" i="8"/>
  <c r="AK800" i="8"/>
  <c r="AG800" i="8"/>
  <c r="AC800" i="8"/>
  <c r="T800" i="8"/>
  <c r="O800" i="8"/>
  <c r="H800" i="8"/>
  <c r="D800" i="8"/>
  <c r="AW799" i="8"/>
  <c r="AS799" i="8"/>
  <c r="AO799" i="8"/>
  <c r="AK799" i="8"/>
  <c r="AG799" i="8"/>
  <c r="AC799" i="8"/>
  <c r="T799" i="8"/>
  <c r="O799" i="8"/>
  <c r="I799" i="8"/>
  <c r="E799" i="8"/>
  <c r="AX798" i="8"/>
  <c r="AT798" i="8"/>
  <c r="AP798" i="8"/>
  <c r="AL798" i="8"/>
  <c r="AH798" i="8"/>
  <c r="AD798" i="8"/>
  <c r="U798" i="8"/>
  <c r="P798" i="8"/>
  <c r="K798" i="8"/>
  <c r="F798" i="8"/>
  <c r="AY795" i="8"/>
  <c r="AU795" i="8"/>
  <c r="AQ795" i="8"/>
  <c r="AM795" i="8"/>
  <c r="AI795" i="8"/>
  <c r="AE795" i="8"/>
  <c r="AA795" i="8"/>
  <c r="Q795" i="8"/>
  <c r="M795" i="8"/>
  <c r="G795" i="8"/>
  <c r="C795" i="8"/>
  <c r="AV790" i="8"/>
  <c r="AR790" i="8"/>
  <c r="AN790" i="8"/>
  <c r="AJ790" i="8"/>
  <c r="AF790" i="8"/>
  <c r="AB790" i="8"/>
  <c r="S790" i="8"/>
  <c r="N790" i="8"/>
  <c r="H790" i="8"/>
  <c r="D790" i="8"/>
  <c r="AW788" i="8"/>
  <c r="AS788" i="8"/>
  <c r="AO788" i="8"/>
  <c r="AK788" i="8"/>
  <c r="AG788" i="8"/>
  <c r="AC788" i="8"/>
  <c r="T788" i="8"/>
  <c r="O788" i="8"/>
  <c r="I788" i="8"/>
  <c r="E788" i="8"/>
  <c r="AX787" i="8"/>
  <c r="AT787" i="8"/>
  <c r="AP787" i="8"/>
  <c r="AL787" i="8"/>
  <c r="AH787" i="8"/>
  <c r="AD787" i="8"/>
  <c r="U787" i="8"/>
  <c r="P787" i="8"/>
  <c r="K787" i="8"/>
  <c r="F787" i="8"/>
  <c r="AY786" i="8"/>
  <c r="AU786" i="8"/>
  <c r="AQ786" i="8"/>
  <c r="AM786" i="8"/>
  <c r="AI786" i="8"/>
  <c r="AE786" i="8"/>
  <c r="AA786" i="8"/>
  <c r="Q786" i="8"/>
  <c r="M786" i="8"/>
  <c r="G786" i="8"/>
  <c r="C786" i="8"/>
  <c r="AV785" i="8"/>
  <c r="AR785" i="8"/>
  <c r="AN785" i="8"/>
  <c r="AJ785" i="8"/>
  <c r="AF785" i="8"/>
  <c r="AB785" i="8"/>
  <c r="S785" i="8"/>
  <c r="N785" i="8"/>
  <c r="H785" i="8"/>
  <c r="D785" i="8"/>
  <c r="AW784" i="8"/>
  <c r="AS784" i="8"/>
  <c r="AO784" i="8"/>
  <c r="AK784" i="8"/>
  <c r="AG784" i="8"/>
  <c r="AC784" i="8"/>
  <c r="T784" i="8"/>
  <c r="O784" i="8"/>
  <c r="I784" i="8"/>
  <c r="E856" i="8"/>
  <c r="AL849" i="8"/>
  <c r="AC846" i="8"/>
  <c r="AO844" i="8"/>
  <c r="K843" i="8"/>
  <c r="AJ841" i="8"/>
  <c r="E840" i="8"/>
  <c r="AE838" i="8"/>
  <c r="AW836" i="8"/>
  <c r="U835" i="8"/>
  <c r="AR833" i="8"/>
  <c r="O832" i="8"/>
  <c r="P831" i="8"/>
  <c r="AD830" i="8"/>
  <c r="AR829" i="8"/>
  <c r="Q829" i="8"/>
  <c r="AQ828" i="8"/>
  <c r="O828" i="8"/>
  <c r="AO827" i="8"/>
  <c r="N827" i="8"/>
  <c r="AM826" i="8"/>
  <c r="K826" i="8"/>
  <c r="AL825" i="8"/>
  <c r="P825" i="8"/>
  <c r="AU824" i="8"/>
  <c r="AE824" i="8"/>
  <c r="G824" i="8"/>
  <c r="AN823" i="8"/>
  <c r="S823" i="8"/>
  <c r="AV822" i="8"/>
  <c r="AF822" i="8"/>
  <c r="H822" i="8"/>
  <c r="AO821" i="8"/>
  <c r="T821" i="8"/>
  <c r="AX820" i="8"/>
  <c r="AH820" i="8"/>
  <c r="I820" i="8"/>
  <c r="AP819" i="8"/>
  <c r="U819" i="8"/>
  <c r="E818" i="8"/>
  <c r="AJ817" i="8"/>
  <c r="N817" i="8"/>
  <c r="D817" i="8"/>
  <c r="AS816" i="8"/>
  <c r="AN816" i="8"/>
  <c r="AI816" i="8"/>
  <c r="AC816" i="8"/>
  <c r="S816" i="8"/>
  <c r="M816" i="8"/>
  <c r="D816" i="8"/>
  <c r="AV815" i="8"/>
  <c r="AQ815" i="8"/>
  <c r="AK815" i="8"/>
  <c r="AF815" i="8"/>
  <c r="AA815" i="8"/>
  <c r="O815" i="8"/>
  <c r="H815" i="8"/>
  <c r="C815" i="8"/>
  <c r="AT814" i="8"/>
  <c r="AO814" i="8"/>
  <c r="AJ814" i="8"/>
  <c r="AD814" i="8"/>
  <c r="T814" i="8"/>
  <c r="N814" i="8"/>
  <c r="F814" i="8"/>
  <c r="AX812" i="8"/>
  <c r="AS812" i="8"/>
  <c r="AM812" i="8"/>
  <c r="AH812" i="8"/>
  <c r="AC812" i="8"/>
  <c r="Q812" i="8"/>
  <c r="K812" i="8"/>
  <c r="E812" i="8"/>
  <c r="AV811" i="8"/>
  <c r="AQ811" i="8"/>
  <c r="AL811" i="8"/>
  <c r="AF811" i="8"/>
  <c r="AA811" i="8"/>
  <c r="P811" i="8"/>
  <c r="H811" i="8"/>
  <c r="C811" i="8"/>
  <c r="AU810" i="8"/>
  <c r="AO810" i="8"/>
  <c r="AJ810" i="8"/>
  <c r="AE810" i="8"/>
  <c r="T810" i="8"/>
  <c r="N810" i="8"/>
  <c r="G810" i="8"/>
  <c r="AX809" i="8"/>
  <c r="AS809" i="8"/>
  <c r="AN809" i="8"/>
  <c r="AH809" i="8"/>
  <c r="AC809" i="8"/>
  <c r="S809" i="8"/>
  <c r="K809" i="8"/>
  <c r="E809" i="8"/>
  <c r="AW808" i="8"/>
  <c r="AQ808" i="8"/>
  <c r="AL808" i="8"/>
  <c r="AG808" i="8"/>
  <c r="AA808" i="8"/>
  <c r="P808" i="8"/>
  <c r="I808" i="8"/>
  <c r="C808" i="8"/>
  <c r="AU807" i="8"/>
  <c r="AP807" i="8"/>
  <c r="AJ807" i="8"/>
  <c r="AF807" i="8"/>
  <c r="AB807" i="8"/>
  <c r="S807" i="8"/>
  <c r="N807" i="8"/>
  <c r="G807" i="8"/>
  <c r="C807" i="8"/>
  <c r="AV806" i="8"/>
  <c r="AR806" i="8"/>
  <c r="AN806" i="8"/>
  <c r="AJ806" i="8"/>
  <c r="AF806" i="8"/>
  <c r="AB806" i="8"/>
  <c r="S806" i="8"/>
  <c r="N806" i="8"/>
  <c r="H806" i="8"/>
  <c r="D806" i="8"/>
  <c r="AW804" i="8"/>
  <c r="AS804" i="8"/>
  <c r="AO804" i="8"/>
  <c r="AK804" i="8"/>
  <c r="AG804" i="8"/>
  <c r="AC804" i="8"/>
  <c r="T804" i="8"/>
  <c r="O804" i="8"/>
  <c r="I804" i="8"/>
  <c r="E804" i="8"/>
  <c r="AX803" i="8"/>
  <c r="AT803" i="8"/>
  <c r="AP803" i="8"/>
  <c r="AL803" i="8"/>
  <c r="AH803" i="8"/>
  <c r="AD803" i="8"/>
  <c r="U803" i="8"/>
  <c r="P803" i="8"/>
  <c r="K803" i="8"/>
  <c r="F803" i="8"/>
  <c r="AY802" i="8"/>
  <c r="AU802" i="8"/>
  <c r="AQ802" i="8"/>
  <c r="AM802" i="8"/>
  <c r="AI802" i="8"/>
  <c r="AE802" i="8"/>
  <c r="AA802" i="8"/>
  <c r="Q802" i="8"/>
  <c r="M802" i="8"/>
  <c r="G802" i="8"/>
  <c r="C802" i="8"/>
  <c r="AV800" i="8"/>
  <c r="AR800" i="8"/>
  <c r="AN800" i="8"/>
  <c r="AJ800" i="8"/>
  <c r="AF800" i="8"/>
  <c r="AB800" i="8"/>
  <c r="S800" i="8"/>
  <c r="N800" i="8"/>
  <c r="G800" i="8"/>
  <c r="C800" i="8"/>
  <c r="AV799" i="8"/>
  <c r="AR799" i="8"/>
  <c r="AN799" i="8"/>
  <c r="AJ799" i="8"/>
  <c r="AF799" i="8"/>
  <c r="AB799" i="8"/>
  <c r="S799" i="8"/>
  <c r="N799" i="8"/>
  <c r="H799" i="8"/>
  <c r="D799" i="8"/>
  <c r="AW798" i="8"/>
  <c r="AS798" i="8"/>
  <c r="AO798" i="8"/>
  <c r="AK798" i="8"/>
  <c r="AG798" i="8"/>
  <c r="AC798" i="8"/>
  <c r="T798" i="8"/>
  <c r="O798" i="8"/>
  <c r="I798" i="8"/>
  <c r="E798" i="8"/>
  <c r="AX795" i="8"/>
  <c r="AT795" i="8"/>
  <c r="AP795" i="8"/>
  <c r="AL795" i="8"/>
  <c r="AH795" i="8"/>
  <c r="AD795" i="8"/>
  <c r="U795" i="8"/>
  <c r="P795" i="8"/>
  <c r="K795" i="8"/>
  <c r="F795" i="8"/>
  <c r="AY790" i="8"/>
  <c r="AU790" i="8"/>
  <c r="AQ790" i="8"/>
  <c r="AM790" i="8"/>
  <c r="AI790" i="8"/>
  <c r="AE790" i="8"/>
  <c r="AA790" i="8"/>
  <c r="Q790" i="8"/>
  <c r="M790" i="8"/>
  <c r="G790" i="8"/>
  <c r="C790" i="8"/>
  <c r="AV788" i="8"/>
  <c r="AR788" i="8"/>
  <c r="AN788" i="8"/>
  <c r="AJ788" i="8"/>
  <c r="AF788" i="8"/>
  <c r="AB788" i="8"/>
  <c r="S788" i="8"/>
  <c r="N788" i="8"/>
  <c r="H788" i="8"/>
  <c r="D788" i="8"/>
  <c r="AW787" i="8"/>
  <c r="AS787" i="8"/>
  <c r="AO787" i="8"/>
  <c r="AK787" i="8"/>
  <c r="AG787" i="8"/>
  <c r="AC787" i="8"/>
  <c r="T787" i="8"/>
  <c r="O787" i="8"/>
  <c r="I787" i="8"/>
  <c r="E787" i="8"/>
  <c r="AX786" i="8"/>
  <c r="AT786" i="8"/>
  <c r="AP786" i="8"/>
  <c r="AL786" i="8"/>
  <c r="AH786" i="8"/>
  <c r="AD786" i="8"/>
  <c r="U786" i="8"/>
  <c r="P786" i="8"/>
  <c r="K786" i="8"/>
  <c r="F786" i="8"/>
  <c r="AY785" i="8"/>
  <c r="AU785" i="8"/>
  <c r="AQ785" i="8"/>
  <c r="AM785" i="8"/>
  <c r="AI785" i="8"/>
  <c r="AE785" i="8"/>
  <c r="AA785" i="8"/>
  <c r="Q785" i="8"/>
  <c r="M785" i="8"/>
  <c r="G785" i="8"/>
  <c r="C785" i="8"/>
  <c r="AV784" i="8"/>
  <c r="AR784" i="8"/>
  <c r="AN784" i="8"/>
  <c r="AJ784" i="8"/>
  <c r="AF784" i="8"/>
  <c r="AB784" i="8"/>
  <c r="S784" i="8"/>
  <c r="N784" i="8"/>
  <c r="H784" i="8"/>
  <c r="D784" i="8"/>
  <c r="AW783" i="8"/>
  <c r="AS783" i="8"/>
  <c r="AO783" i="8"/>
  <c r="AK783" i="8"/>
  <c r="AG783" i="8"/>
  <c r="AC783" i="8"/>
  <c r="T854" i="8"/>
  <c r="AQ842" i="8"/>
  <c r="AG836" i="8"/>
  <c r="E831" i="8"/>
  <c r="AK828" i="8"/>
  <c r="AH826" i="8"/>
  <c r="AQ824" i="8"/>
  <c r="N823" i="8"/>
  <c r="AK821" i="8"/>
  <c r="E820" i="8"/>
  <c r="AF817" i="8"/>
  <c r="AM816" i="8"/>
  <c r="H816" i="8"/>
  <c r="AJ815" i="8"/>
  <c r="G815" i="8"/>
  <c r="AH814" i="8"/>
  <c r="E814" i="8"/>
  <c r="AG812" i="8"/>
  <c r="C812" i="8"/>
  <c r="AE811" i="8"/>
  <c r="AY810" i="8"/>
  <c r="AC810" i="8"/>
  <c r="AW809" i="8"/>
  <c r="AB809" i="8"/>
  <c r="AU808" i="8"/>
  <c r="U808" i="8"/>
  <c r="AT807" i="8"/>
  <c r="AA807" i="8"/>
  <c r="AY806" i="8"/>
  <c r="AI806" i="8"/>
  <c r="M806" i="8"/>
  <c r="AR804" i="8"/>
  <c r="AB804" i="8"/>
  <c r="D804" i="8"/>
  <c r="AK803" i="8"/>
  <c r="O803" i="8"/>
  <c r="AT802" i="8"/>
  <c r="AD802" i="8"/>
  <c r="F802" i="8"/>
  <c r="AM800" i="8"/>
  <c r="Q800" i="8"/>
  <c r="AU799" i="8"/>
  <c r="AE799" i="8"/>
  <c r="G799" i="8"/>
  <c r="AN798" i="8"/>
  <c r="S798" i="8"/>
  <c r="AW795" i="8"/>
  <c r="AG795" i="8"/>
  <c r="I795" i="8"/>
  <c r="AP790" i="8"/>
  <c r="U790" i="8"/>
  <c r="AY788" i="8"/>
  <c r="AI788" i="8"/>
  <c r="M788" i="8"/>
  <c r="AR787" i="8"/>
  <c r="AB787" i="8"/>
  <c r="D787" i="8"/>
  <c r="AK786" i="8"/>
  <c r="O786" i="8"/>
  <c r="AT785" i="8"/>
  <c r="AD785" i="8"/>
  <c r="F785" i="8"/>
  <c r="AM784" i="8"/>
  <c r="Q784" i="8"/>
  <c r="C784" i="8"/>
  <c r="AR783" i="8"/>
  <c r="AJ783" i="8"/>
  <c r="AB783" i="8"/>
  <c r="P783" i="8"/>
  <c r="I783" i="8"/>
  <c r="D783" i="8"/>
  <c r="AU782" i="8"/>
  <c r="AP782" i="8"/>
  <c r="AK782" i="8"/>
  <c r="AE782" i="8"/>
  <c r="U782" i="8"/>
  <c r="O782" i="8"/>
  <c r="G782" i="8"/>
  <c r="AY781" i="8"/>
  <c r="AT781" i="8"/>
  <c r="AN781" i="8"/>
  <c r="AI781" i="8"/>
  <c r="AD781" i="8"/>
  <c r="S781" i="8"/>
  <c r="M781" i="8"/>
  <c r="F781" i="8"/>
  <c r="AW780" i="8"/>
  <c r="AR780" i="8"/>
  <c r="AM780" i="8"/>
  <c r="AG780" i="8"/>
  <c r="AB780" i="8"/>
  <c r="Q780" i="8"/>
  <c r="I780" i="8"/>
  <c r="D780" i="8"/>
  <c r="AV777" i="8"/>
  <c r="AP777" i="8"/>
  <c r="AK777" i="8"/>
  <c r="AF777" i="8"/>
  <c r="U777" i="8"/>
  <c r="O777" i="8"/>
  <c r="H777" i="8"/>
  <c r="AY774" i="8"/>
  <c r="AT774" i="8"/>
  <c r="AO774" i="8"/>
  <c r="AI774" i="8"/>
  <c r="AD774" i="8"/>
  <c r="T774" i="8"/>
  <c r="M774" i="8"/>
  <c r="F774" i="8"/>
  <c r="AX773" i="8"/>
  <c r="AR773" i="8"/>
  <c r="AM773" i="8"/>
  <c r="AH773" i="8"/>
  <c r="AB773" i="8"/>
  <c r="Q773" i="8"/>
  <c r="K773" i="8"/>
  <c r="D773" i="8"/>
  <c r="AV771" i="8"/>
  <c r="AQ771" i="8"/>
  <c r="AK771" i="8"/>
  <c r="AF771" i="8"/>
  <c r="AA771" i="8"/>
  <c r="O771" i="8"/>
  <c r="H771" i="8"/>
  <c r="C771" i="8"/>
  <c r="AT768" i="8"/>
  <c r="AO768" i="8"/>
  <c r="AJ768" i="8"/>
  <c r="AD768" i="8"/>
  <c r="T768" i="8"/>
  <c r="N768" i="8"/>
  <c r="F768" i="8"/>
  <c r="AY765" i="8"/>
  <c r="AU765" i="8"/>
  <c r="AQ765" i="8"/>
  <c r="AM765" i="8"/>
  <c r="AI765" i="8"/>
  <c r="AE765" i="8"/>
  <c r="AA765" i="8"/>
  <c r="Q765" i="8"/>
  <c r="M765" i="8"/>
  <c r="G765" i="8"/>
  <c r="C765" i="8"/>
  <c r="AV764" i="8"/>
  <c r="AR764" i="8"/>
  <c r="AN764" i="8"/>
  <c r="AJ764" i="8"/>
  <c r="AF764" i="8"/>
  <c r="AB764" i="8"/>
  <c r="S764" i="8"/>
  <c r="N764" i="8"/>
  <c r="H764" i="8"/>
  <c r="D764" i="8"/>
  <c r="AW763" i="8"/>
  <c r="AS763" i="8"/>
  <c r="AO763" i="8"/>
  <c r="AK763" i="8"/>
  <c r="AG763" i="8"/>
  <c r="AC763" i="8"/>
  <c r="T763" i="8"/>
  <c r="O763" i="8"/>
  <c r="I763" i="8"/>
  <c r="E763" i="8"/>
  <c r="AX762" i="8"/>
  <c r="AT762" i="8"/>
  <c r="AP762" i="8"/>
  <c r="AL762" i="8"/>
  <c r="AH762" i="8"/>
  <c r="AD762" i="8"/>
  <c r="U762" i="8"/>
  <c r="P762" i="8"/>
  <c r="K762" i="8"/>
  <c r="F762" i="8"/>
  <c r="AY757" i="8"/>
  <c r="AU757" i="8"/>
  <c r="AQ757" i="8"/>
  <c r="AM757" i="8"/>
  <c r="AI757" i="8"/>
  <c r="AE757" i="8"/>
  <c r="AA757" i="8"/>
  <c r="Q757" i="8"/>
  <c r="M757" i="8"/>
  <c r="F757" i="8"/>
  <c r="AY756" i="8"/>
  <c r="AU756" i="8"/>
  <c r="AQ756" i="8"/>
  <c r="AM756" i="8"/>
  <c r="AI756" i="8"/>
  <c r="AE756" i="8"/>
  <c r="AA756" i="8"/>
  <c r="Q756" i="8"/>
  <c r="M756" i="8"/>
  <c r="G756" i="8"/>
  <c r="C756" i="8"/>
  <c r="AV755" i="8"/>
  <c r="AR755" i="8"/>
  <c r="AN755" i="8"/>
  <c r="AJ755" i="8"/>
  <c r="AF755" i="8"/>
  <c r="AB755" i="8"/>
  <c r="S755" i="8"/>
  <c r="N755" i="8"/>
  <c r="H755" i="8"/>
  <c r="D755" i="8"/>
  <c r="AW753" i="8"/>
  <c r="AS753" i="8"/>
  <c r="AO753" i="8"/>
  <c r="AK753" i="8"/>
  <c r="AG753" i="8"/>
  <c r="AC753" i="8"/>
  <c r="T753" i="8"/>
  <c r="O753" i="8"/>
  <c r="I753" i="8"/>
  <c r="E753" i="8"/>
  <c r="AX751" i="8"/>
  <c r="AT751" i="8"/>
  <c r="AP751" i="8"/>
  <c r="AL751" i="8"/>
  <c r="AH751" i="8"/>
  <c r="AD751" i="8"/>
  <c r="U751" i="8"/>
  <c r="P751" i="8"/>
  <c r="I751" i="8"/>
  <c r="E751" i="8"/>
  <c r="AX748" i="8"/>
  <c r="AT748" i="8"/>
  <c r="AP748" i="8"/>
  <c r="AL748" i="8"/>
  <c r="AH748" i="8"/>
  <c r="AD748" i="8"/>
  <c r="U748" i="8"/>
  <c r="P748" i="8"/>
  <c r="K748" i="8"/>
  <c r="F748" i="8"/>
  <c r="AY743" i="8"/>
  <c r="AU743" i="8"/>
  <c r="AQ743" i="8"/>
  <c r="AM743" i="8"/>
  <c r="AI743" i="8"/>
  <c r="AE743" i="8"/>
  <c r="AA743" i="8"/>
  <c r="Q743" i="8"/>
  <c r="M743" i="8"/>
  <c r="G743" i="8"/>
  <c r="C743" i="8"/>
  <c r="AV741" i="8"/>
  <c r="AR741" i="8"/>
  <c r="AN741" i="8"/>
  <c r="AJ741" i="8"/>
  <c r="AF741" i="8"/>
  <c r="AB741" i="8"/>
  <c r="S741" i="8"/>
  <c r="N741" i="8"/>
  <c r="H741" i="8"/>
  <c r="D741" i="8"/>
  <c r="AW740" i="8"/>
  <c r="AS740" i="8"/>
  <c r="AO740" i="8"/>
  <c r="AK740" i="8"/>
  <c r="AG740" i="8"/>
  <c r="AC740" i="8"/>
  <c r="T740" i="8"/>
  <c r="O740" i="8"/>
  <c r="I740" i="8"/>
  <c r="E740" i="8"/>
  <c r="AX739" i="8"/>
  <c r="AT739" i="8"/>
  <c r="AP739" i="8"/>
  <c r="AL739" i="8"/>
  <c r="AH739" i="8"/>
  <c r="AD739" i="8"/>
  <c r="U739" i="8"/>
  <c r="P739" i="8"/>
  <c r="K739" i="8"/>
  <c r="F739" i="8"/>
  <c r="AY738" i="8"/>
  <c r="AU738" i="8"/>
  <c r="AQ738" i="8"/>
  <c r="AM738" i="8"/>
  <c r="AI738" i="8"/>
  <c r="AE738" i="8"/>
  <c r="AA738" i="8"/>
  <c r="Q738" i="8"/>
  <c r="M738" i="8"/>
  <c r="G738" i="8"/>
  <c r="C738" i="8"/>
  <c r="AV737" i="8"/>
  <c r="AR737" i="8"/>
  <c r="AN737" i="8"/>
  <c r="AJ737" i="8"/>
  <c r="AF737" i="8"/>
  <c r="AB737" i="8"/>
  <c r="S737" i="8"/>
  <c r="N737" i="8"/>
  <c r="H737" i="8"/>
  <c r="D737" i="8"/>
  <c r="AW735" i="8"/>
  <c r="AS735" i="8"/>
  <c r="AO735" i="8"/>
  <c r="AK735" i="8"/>
  <c r="AG735" i="8"/>
  <c r="AC735" i="8"/>
  <c r="T735" i="8"/>
  <c r="O735" i="8"/>
  <c r="I735" i="8"/>
  <c r="E735" i="8"/>
  <c r="AX733" i="8"/>
  <c r="AT733" i="8"/>
  <c r="AP733" i="8"/>
  <c r="AL733" i="8"/>
  <c r="AH733" i="8"/>
  <c r="AD733" i="8"/>
  <c r="U733" i="8"/>
  <c r="P733" i="8"/>
  <c r="K733" i="8"/>
  <c r="F733" i="8"/>
  <c r="AY732" i="8"/>
  <c r="AU732" i="8"/>
  <c r="AQ732" i="8"/>
  <c r="AM732" i="8"/>
  <c r="AI732" i="8"/>
  <c r="AE732" i="8"/>
  <c r="AA732" i="8"/>
  <c r="Q732" i="8"/>
  <c r="M732" i="8"/>
  <c r="G732" i="8"/>
  <c r="C732" i="8"/>
  <c r="AV731" i="8"/>
  <c r="AR731" i="8"/>
  <c r="AN731" i="8"/>
  <c r="AJ731" i="8"/>
  <c r="AF731" i="8"/>
  <c r="AB731" i="8"/>
  <c r="S731" i="8"/>
  <c r="N731" i="8"/>
  <c r="H731" i="8"/>
  <c r="D731" i="8"/>
  <c r="AW730" i="8"/>
  <c r="AS730" i="8"/>
  <c r="AO730" i="8"/>
  <c r="AK730" i="8"/>
  <c r="AG730" i="8"/>
  <c r="AC730" i="8"/>
  <c r="T730" i="8"/>
  <c r="O730" i="8"/>
  <c r="I730" i="8"/>
  <c r="E730" i="8"/>
  <c r="AX725" i="8"/>
  <c r="I848" i="8"/>
  <c r="N841" i="8"/>
  <c r="AY834" i="8"/>
  <c r="P830" i="8"/>
  <c r="H828" i="8"/>
  <c r="E826" i="8"/>
  <c r="AA824" i="8"/>
  <c r="AR822" i="8"/>
  <c r="O821" i="8"/>
  <c r="AL819" i="8"/>
  <c r="K817" i="8"/>
  <c r="AG816" i="8"/>
  <c r="C816" i="8"/>
  <c r="AE815" i="8"/>
  <c r="AX814" i="8"/>
  <c r="AC814" i="8"/>
  <c r="AW812" i="8"/>
  <c r="AA812" i="8"/>
  <c r="AU811" i="8"/>
  <c r="U811" i="8"/>
  <c r="AS810" i="8"/>
  <c r="S810" i="8"/>
  <c r="AR809" i="8"/>
  <c r="P809" i="8"/>
  <c r="AP808" i="8"/>
  <c r="O808" i="8"/>
  <c r="AN807" i="8"/>
  <c r="Q807" i="8"/>
  <c r="AU806" i="8"/>
  <c r="AE806" i="8"/>
  <c r="G806" i="8"/>
  <c r="AN804" i="8"/>
  <c r="S804" i="8"/>
  <c r="AW803" i="8"/>
  <c r="AG803" i="8"/>
  <c r="I803" i="8"/>
  <c r="AP802" i="8"/>
  <c r="U802" i="8"/>
  <c r="AY800" i="8"/>
  <c r="AI800" i="8"/>
  <c r="M800" i="8"/>
  <c r="AQ799" i="8"/>
  <c r="AA799" i="8"/>
  <c r="C799" i="8"/>
  <c r="AJ798" i="8"/>
  <c r="N798" i="8"/>
  <c r="AS795" i="8"/>
  <c r="AC795" i="8"/>
  <c r="E795" i="8"/>
  <c r="AL790" i="8"/>
  <c r="P790" i="8"/>
  <c r="AU788" i="8"/>
  <c r="AE788" i="8"/>
  <c r="G788" i="8"/>
  <c r="AN787" i="8"/>
  <c r="S787" i="8"/>
  <c r="AW786" i="8"/>
  <c r="AG786" i="8"/>
  <c r="I786" i="8"/>
  <c r="AP785" i="8"/>
  <c r="U785" i="8"/>
  <c r="AY784" i="8"/>
  <c r="AI784" i="8"/>
  <c r="M784" i="8"/>
  <c r="AX783" i="8"/>
  <c r="AP783" i="8"/>
  <c r="AH783" i="8"/>
  <c r="U783" i="8"/>
  <c r="O783" i="8"/>
  <c r="H783" i="8"/>
  <c r="AY782" i="8"/>
  <c r="AT782" i="8"/>
  <c r="AO782" i="8"/>
  <c r="AI782" i="8"/>
  <c r="AD782" i="8"/>
  <c r="T782" i="8"/>
  <c r="M782" i="8"/>
  <c r="F782" i="8"/>
  <c r="AX781" i="8"/>
  <c r="AR781" i="8"/>
  <c r="AM781" i="8"/>
  <c r="AH781" i="8"/>
  <c r="AB781" i="8"/>
  <c r="Q781" i="8"/>
  <c r="K781" i="8"/>
  <c r="D781" i="8"/>
  <c r="AV780" i="8"/>
  <c r="AQ780" i="8"/>
  <c r="AK780" i="8"/>
  <c r="AF780" i="8"/>
  <c r="AA780" i="8"/>
  <c r="O780" i="8"/>
  <c r="H780" i="8"/>
  <c r="C780" i="8"/>
  <c r="AT777" i="8"/>
  <c r="AO777" i="8"/>
  <c r="AJ777" i="8"/>
  <c r="AD777" i="8"/>
  <c r="T777" i="8"/>
  <c r="N777" i="8"/>
  <c r="F777" i="8"/>
  <c r="AX774" i="8"/>
  <c r="AS774" i="8"/>
  <c r="AM774" i="8"/>
  <c r="AH774" i="8"/>
  <c r="AC774" i="8"/>
  <c r="Q774" i="8"/>
  <c r="K774" i="8"/>
  <c r="E774" i="8"/>
  <c r="AV773" i="8"/>
  <c r="AQ773" i="8"/>
  <c r="AL773" i="8"/>
  <c r="AF773" i="8"/>
  <c r="AA773" i="8"/>
  <c r="P773" i="8"/>
  <c r="H773" i="8"/>
  <c r="C773" i="8"/>
  <c r="AU771" i="8"/>
  <c r="AO771" i="8"/>
  <c r="AJ771" i="8"/>
  <c r="AE771" i="8"/>
  <c r="T771" i="8"/>
  <c r="N771" i="8"/>
  <c r="G771" i="8"/>
  <c r="AX768" i="8"/>
  <c r="AS768" i="8"/>
  <c r="AN768" i="8"/>
  <c r="AH768" i="8"/>
  <c r="AC768" i="8"/>
  <c r="S768" i="8"/>
  <c r="K768" i="8"/>
  <c r="E768" i="8"/>
  <c r="AX765" i="8"/>
  <c r="AT765" i="8"/>
  <c r="AP765" i="8"/>
  <c r="AL765" i="8"/>
  <c r="AH765" i="8"/>
  <c r="AD765" i="8"/>
  <c r="U765" i="8"/>
  <c r="P765" i="8"/>
  <c r="K765" i="8"/>
  <c r="F765" i="8"/>
  <c r="AY764" i="8"/>
  <c r="AU764" i="8"/>
  <c r="AQ764" i="8"/>
  <c r="AM764" i="8"/>
  <c r="AI764" i="8"/>
  <c r="AE764" i="8"/>
  <c r="AA764" i="8"/>
  <c r="Q764" i="8"/>
  <c r="M764" i="8"/>
  <c r="G764" i="8"/>
  <c r="C764" i="8"/>
  <c r="AV763" i="8"/>
  <c r="AR763" i="8"/>
  <c r="AN763" i="8"/>
  <c r="AJ763" i="8"/>
  <c r="AF763" i="8"/>
  <c r="AB763" i="8"/>
  <c r="S763" i="8"/>
  <c r="N763" i="8"/>
  <c r="H763" i="8"/>
  <c r="D763" i="8"/>
  <c r="AW762" i="8"/>
  <c r="AS762" i="8"/>
  <c r="AO762" i="8"/>
  <c r="AK762" i="8"/>
  <c r="AG762" i="8"/>
  <c r="AC762" i="8"/>
  <c r="T762" i="8"/>
  <c r="O762" i="8"/>
  <c r="I762" i="8"/>
  <c r="E762" i="8"/>
  <c r="AX757" i="8"/>
  <c r="AT757" i="8"/>
  <c r="AP757" i="8"/>
  <c r="AL757" i="8"/>
  <c r="AH757" i="8"/>
  <c r="AD757" i="8"/>
  <c r="U757" i="8"/>
  <c r="P757" i="8"/>
  <c r="I757" i="8"/>
  <c r="E757" i="8"/>
  <c r="AX756" i="8"/>
  <c r="AT756" i="8"/>
  <c r="AP756" i="8"/>
  <c r="AL756" i="8"/>
  <c r="AH756" i="8"/>
  <c r="AD756" i="8"/>
  <c r="U756" i="8"/>
  <c r="P756" i="8"/>
  <c r="K756" i="8"/>
  <c r="F756" i="8"/>
  <c r="AY755" i="8"/>
  <c r="AU755" i="8"/>
  <c r="AQ755" i="8"/>
  <c r="AM755" i="8"/>
  <c r="AI755" i="8"/>
  <c r="AE755" i="8"/>
  <c r="AA755" i="8"/>
  <c r="Q755" i="8"/>
  <c r="M755" i="8"/>
  <c r="G755" i="8"/>
  <c r="C755" i="8"/>
  <c r="AV753" i="8"/>
  <c r="AR753" i="8"/>
  <c r="AN753" i="8"/>
  <c r="AJ753" i="8"/>
  <c r="AF753" i="8"/>
  <c r="AB753" i="8"/>
  <c r="S753" i="8"/>
  <c r="N753" i="8"/>
  <c r="H753" i="8"/>
  <c r="D753" i="8"/>
  <c r="AW751" i="8"/>
  <c r="AS751" i="8"/>
  <c r="AO751" i="8"/>
  <c r="AK751" i="8"/>
  <c r="AG751" i="8"/>
  <c r="AC751" i="8"/>
  <c r="T751" i="8"/>
  <c r="O751" i="8"/>
  <c r="H751" i="8"/>
  <c r="D751" i="8"/>
  <c r="AW748" i="8"/>
  <c r="AS748" i="8"/>
  <c r="AO748" i="8"/>
  <c r="AK748" i="8"/>
  <c r="AG748" i="8"/>
  <c r="AC748" i="8"/>
  <c r="T748" i="8"/>
  <c r="O748" i="8"/>
  <c r="I748" i="8"/>
  <c r="E748" i="8"/>
  <c r="AX743" i="8"/>
  <c r="AT743" i="8"/>
  <c r="AP743" i="8"/>
  <c r="AL743" i="8"/>
  <c r="AH743" i="8"/>
  <c r="AD743" i="8"/>
  <c r="U743" i="8"/>
  <c r="P743" i="8"/>
  <c r="K743" i="8"/>
  <c r="F743" i="8"/>
  <c r="AY741" i="8"/>
  <c r="AU741" i="8"/>
  <c r="AQ741" i="8"/>
  <c r="AM741" i="8"/>
  <c r="AI741" i="8"/>
  <c r="AE741" i="8"/>
  <c r="AA741" i="8"/>
  <c r="Q741" i="8"/>
  <c r="M741" i="8"/>
  <c r="G741" i="8"/>
  <c r="C741" i="8"/>
  <c r="AV740" i="8"/>
  <c r="AR740" i="8"/>
  <c r="AN740" i="8"/>
  <c r="AJ740" i="8"/>
  <c r="AF740" i="8"/>
  <c r="AB740" i="8"/>
  <c r="S740" i="8"/>
  <c r="N740" i="8"/>
  <c r="H740" i="8"/>
  <c r="D740" i="8"/>
  <c r="AW739" i="8"/>
  <c r="AS739" i="8"/>
  <c r="AO739" i="8"/>
  <c r="AK739" i="8"/>
  <c r="AG739" i="8"/>
  <c r="AC739" i="8"/>
  <c r="T739" i="8"/>
  <c r="O739" i="8"/>
  <c r="I739" i="8"/>
  <c r="E739" i="8"/>
  <c r="AX738" i="8"/>
  <c r="AT738" i="8"/>
  <c r="AP738" i="8"/>
  <c r="AL738" i="8"/>
  <c r="AH738" i="8"/>
  <c r="AD738" i="8"/>
  <c r="U738" i="8"/>
  <c r="P738" i="8"/>
  <c r="K738" i="8"/>
  <c r="F738" i="8"/>
  <c r="AY737" i="8"/>
  <c r="AU737" i="8"/>
  <c r="AQ737" i="8"/>
  <c r="AM737" i="8"/>
  <c r="AI737" i="8"/>
  <c r="AE737" i="8"/>
  <c r="AA737" i="8"/>
  <c r="Q737" i="8"/>
  <c r="M737" i="8"/>
  <c r="G737" i="8"/>
  <c r="C737" i="8"/>
  <c r="AV735" i="8"/>
  <c r="AR735" i="8"/>
  <c r="AN735" i="8"/>
  <c r="AJ735" i="8"/>
  <c r="AF735" i="8"/>
  <c r="AB735" i="8"/>
  <c r="S735" i="8"/>
  <c r="N735" i="8"/>
  <c r="H735" i="8"/>
  <c r="D735" i="8"/>
  <c r="AW733" i="8"/>
  <c r="AS733" i="8"/>
  <c r="AO733" i="8"/>
  <c r="AK733" i="8"/>
  <c r="AG733" i="8"/>
  <c r="AC733" i="8"/>
  <c r="T733" i="8"/>
  <c r="O733" i="8"/>
  <c r="I733" i="8"/>
  <c r="E733" i="8"/>
  <c r="AX732" i="8"/>
  <c r="AT732" i="8"/>
  <c r="AP732" i="8"/>
  <c r="AL732" i="8"/>
  <c r="AH732" i="8"/>
  <c r="AD732" i="8"/>
  <c r="U732" i="8"/>
  <c r="P732" i="8"/>
  <c r="K732" i="8"/>
  <c r="F732" i="8"/>
  <c r="AY731" i="8"/>
  <c r="AU731" i="8"/>
  <c r="AQ731" i="8"/>
  <c r="AV845" i="8"/>
  <c r="AL839" i="8"/>
  <c r="AB833" i="8"/>
  <c r="AM829" i="8"/>
  <c r="AJ827" i="8"/>
  <c r="AH825" i="8"/>
  <c r="C824" i="8"/>
  <c r="AB822" i="8"/>
  <c r="AT820" i="8"/>
  <c r="P819" i="8"/>
  <c r="AY816" i="8"/>
  <c r="AB816" i="8"/>
  <c r="AU815" i="8"/>
  <c r="T815" i="8"/>
  <c r="AS814" i="8"/>
  <c r="S814" i="8"/>
  <c r="AQ812" i="8"/>
  <c r="P812" i="8"/>
  <c r="AP811" i="8"/>
  <c r="N811" i="8"/>
  <c r="AN810" i="8"/>
  <c r="M810" i="8"/>
  <c r="AL809" i="8"/>
  <c r="I809" i="8"/>
  <c r="AK808" i="8"/>
  <c r="G808" i="8"/>
  <c r="AI807" i="8"/>
  <c r="M807" i="8"/>
  <c r="AQ806" i="8"/>
  <c r="AA806" i="8"/>
  <c r="C806" i="8"/>
  <c r="AJ804" i="8"/>
  <c r="N804" i="8"/>
  <c r="AS803" i="8"/>
  <c r="AC803" i="8"/>
  <c r="E803" i="8"/>
  <c r="AL802" i="8"/>
  <c r="P802" i="8"/>
  <c r="AU800" i="8"/>
  <c r="AE800" i="8"/>
  <c r="F800" i="8"/>
  <c r="AM799" i="8"/>
  <c r="Q799" i="8"/>
  <c r="AV798" i="8"/>
  <c r="AF798" i="8"/>
  <c r="H798" i="8"/>
  <c r="AO795" i="8"/>
  <c r="T795" i="8"/>
  <c r="AX790" i="8"/>
  <c r="AH790" i="8"/>
  <c r="K790" i="8"/>
  <c r="AQ788" i="8"/>
  <c r="AA788" i="8"/>
  <c r="C788" i="8"/>
  <c r="AJ787" i="8"/>
  <c r="N787" i="8"/>
  <c r="AS786" i="8"/>
  <c r="AC786" i="8"/>
  <c r="E786" i="8"/>
  <c r="AL785" i="8"/>
  <c r="P785" i="8"/>
  <c r="AU784" i="8"/>
  <c r="AE784" i="8"/>
  <c r="G784" i="8"/>
  <c r="AV783" i="8"/>
  <c r="AN783" i="8"/>
  <c r="AF783" i="8"/>
  <c r="T783" i="8"/>
  <c r="N783" i="8"/>
  <c r="F783" i="8"/>
  <c r="AX782" i="8"/>
  <c r="AS782" i="8"/>
  <c r="AM782" i="8"/>
  <c r="AH782" i="8"/>
  <c r="AC782" i="8"/>
  <c r="Q782" i="8"/>
  <c r="K782" i="8"/>
  <c r="E782" i="8"/>
  <c r="AV781" i="8"/>
  <c r="AQ781" i="8"/>
  <c r="AL781" i="8"/>
  <c r="AF781" i="8"/>
  <c r="AA781" i="8"/>
  <c r="P781" i="8"/>
  <c r="H781" i="8"/>
  <c r="C781" i="8"/>
  <c r="AU780" i="8"/>
  <c r="AO780" i="8"/>
  <c r="AJ780" i="8"/>
  <c r="AE780" i="8"/>
  <c r="T780" i="8"/>
  <c r="N780" i="8"/>
  <c r="G780" i="8"/>
  <c r="AX777" i="8"/>
  <c r="AS777" i="8"/>
  <c r="AN777" i="8"/>
  <c r="AH777" i="8"/>
  <c r="AC777" i="8"/>
  <c r="S777" i="8"/>
  <c r="K777" i="8"/>
  <c r="E777" i="8"/>
  <c r="AW774" i="8"/>
  <c r="AQ774" i="8"/>
  <c r="AL774" i="8"/>
  <c r="AG774" i="8"/>
  <c r="AA774" i="8"/>
  <c r="P774" i="8"/>
  <c r="I774" i="8"/>
  <c r="C774" i="8"/>
  <c r="AU773" i="8"/>
  <c r="AP773" i="8"/>
  <c r="AJ773" i="8"/>
  <c r="AE773" i="8"/>
  <c r="U773" i="8"/>
  <c r="N773" i="8"/>
  <c r="G773" i="8"/>
  <c r="AY771" i="8"/>
  <c r="AS771" i="8"/>
  <c r="AN771" i="8"/>
  <c r="AI771" i="8"/>
  <c r="AC771" i="8"/>
  <c r="S771" i="8"/>
  <c r="M771" i="8"/>
  <c r="E771" i="8"/>
  <c r="AW768" i="8"/>
  <c r="AR768" i="8"/>
  <c r="AL768" i="8"/>
  <c r="AG768" i="8"/>
  <c r="AB768" i="8"/>
  <c r="P768" i="8"/>
  <c r="I768" i="8"/>
  <c r="D768" i="8"/>
  <c r="AW765" i="8"/>
  <c r="AS765" i="8"/>
  <c r="AO765" i="8"/>
  <c r="AK765" i="8"/>
  <c r="AG765" i="8"/>
  <c r="AC765" i="8"/>
  <c r="T765" i="8"/>
  <c r="O765" i="8"/>
  <c r="I765" i="8"/>
  <c r="E765" i="8"/>
  <c r="AX764" i="8"/>
  <c r="AT764" i="8"/>
  <c r="AP764" i="8"/>
  <c r="AL764" i="8"/>
  <c r="AH764" i="8"/>
  <c r="AD764" i="8"/>
  <c r="U764" i="8"/>
  <c r="P764" i="8"/>
  <c r="K764" i="8"/>
  <c r="F764" i="8"/>
  <c r="AY763" i="8"/>
  <c r="AU763" i="8"/>
  <c r="AQ763" i="8"/>
  <c r="AM763" i="8"/>
  <c r="AI763" i="8"/>
  <c r="AE763" i="8"/>
  <c r="AA763" i="8"/>
  <c r="Q763" i="8"/>
  <c r="M763" i="8"/>
  <c r="G763" i="8"/>
  <c r="C763" i="8"/>
  <c r="AV762" i="8"/>
  <c r="AR762" i="8"/>
  <c r="AN762" i="8"/>
  <c r="AJ762" i="8"/>
  <c r="AF762" i="8"/>
  <c r="AB762" i="8"/>
  <c r="S762" i="8"/>
  <c r="N762" i="8"/>
  <c r="H762" i="8"/>
  <c r="D762" i="8"/>
  <c r="AW757" i="8"/>
  <c r="AS757" i="8"/>
  <c r="AO757" i="8"/>
  <c r="AK757" i="8"/>
  <c r="AG757" i="8"/>
  <c r="AC757" i="8"/>
  <c r="T757" i="8"/>
  <c r="O757" i="8"/>
  <c r="H757" i="8"/>
  <c r="D757" i="8"/>
  <c r="AW756" i="8"/>
  <c r="AS756" i="8"/>
  <c r="AO756" i="8"/>
  <c r="AK756" i="8"/>
  <c r="AG756" i="8"/>
  <c r="AC756" i="8"/>
  <c r="T756" i="8"/>
  <c r="O756" i="8"/>
  <c r="I756" i="8"/>
  <c r="E756" i="8"/>
  <c r="AX755" i="8"/>
  <c r="AT755" i="8"/>
  <c r="AP755" i="8"/>
  <c r="AL755" i="8"/>
  <c r="AH755" i="8"/>
  <c r="AD755" i="8"/>
  <c r="U755" i="8"/>
  <c r="P755" i="8"/>
  <c r="K755" i="8"/>
  <c r="F755" i="8"/>
  <c r="AY753" i="8"/>
  <c r="AU753" i="8"/>
  <c r="AQ753" i="8"/>
  <c r="AM753" i="8"/>
  <c r="AI753" i="8"/>
  <c r="AE753" i="8"/>
  <c r="AA753" i="8"/>
  <c r="Q753" i="8"/>
  <c r="M753" i="8"/>
  <c r="G753" i="8"/>
  <c r="C753" i="8"/>
  <c r="AV751" i="8"/>
  <c r="AR751" i="8"/>
  <c r="AN751" i="8"/>
  <c r="AJ751" i="8"/>
  <c r="AF751" i="8"/>
  <c r="AB751" i="8"/>
  <c r="S751" i="8"/>
  <c r="N751" i="8"/>
  <c r="G751" i="8"/>
  <c r="C751" i="8"/>
  <c r="AV748" i="8"/>
  <c r="AR748" i="8"/>
  <c r="AN748" i="8"/>
  <c r="AJ748" i="8"/>
  <c r="AF748" i="8"/>
  <c r="AB748" i="8"/>
  <c r="S748" i="8"/>
  <c r="N748" i="8"/>
  <c r="H748" i="8"/>
  <c r="D748" i="8"/>
  <c r="AW743" i="8"/>
  <c r="AS743" i="8"/>
  <c r="AO743" i="8"/>
  <c r="AK743" i="8"/>
  <c r="AG743" i="8"/>
  <c r="AC743" i="8"/>
  <c r="T743" i="8"/>
  <c r="O743" i="8"/>
  <c r="I743" i="8"/>
  <c r="E743" i="8"/>
  <c r="AX741" i="8"/>
  <c r="AT741" i="8"/>
  <c r="AP741" i="8"/>
  <c r="AL741" i="8"/>
  <c r="AH741" i="8"/>
  <c r="AD741" i="8"/>
  <c r="U741" i="8"/>
  <c r="P741" i="8"/>
  <c r="K741" i="8"/>
  <c r="F741" i="8"/>
  <c r="AY740" i="8"/>
  <c r="AU740" i="8"/>
  <c r="AQ740" i="8"/>
  <c r="AM740" i="8"/>
  <c r="AI740" i="8"/>
  <c r="AE740" i="8"/>
  <c r="AA740" i="8"/>
  <c r="Q740" i="8"/>
  <c r="M740" i="8"/>
  <c r="G740" i="8"/>
  <c r="C740" i="8"/>
  <c r="AV739" i="8"/>
  <c r="AR739" i="8"/>
  <c r="AN739" i="8"/>
  <c r="AJ739" i="8"/>
  <c r="AF739" i="8"/>
  <c r="AB739" i="8"/>
  <c r="S739" i="8"/>
  <c r="N739" i="8"/>
  <c r="H739" i="8"/>
  <c r="D739" i="8"/>
  <c r="AW738" i="8"/>
  <c r="AS738" i="8"/>
  <c r="AO738" i="8"/>
  <c r="AK738" i="8"/>
  <c r="AG738" i="8"/>
  <c r="AC738" i="8"/>
  <c r="T738" i="8"/>
  <c r="O738" i="8"/>
  <c r="I738" i="8"/>
  <c r="E738" i="8"/>
  <c r="AX737" i="8"/>
  <c r="AT737" i="8"/>
  <c r="AP737" i="8"/>
  <c r="AL737" i="8"/>
  <c r="AH737" i="8"/>
  <c r="AD737" i="8"/>
  <c r="U737" i="8"/>
  <c r="P737" i="8"/>
  <c r="K737" i="8"/>
  <c r="F737" i="8"/>
  <c r="AY735" i="8"/>
  <c r="AU735" i="8"/>
  <c r="AQ735" i="8"/>
  <c r="AM735" i="8"/>
  <c r="AI735" i="8"/>
  <c r="AE735" i="8"/>
  <c r="AA735" i="8"/>
  <c r="Q735" i="8"/>
  <c r="M735" i="8"/>
  <c r="G735" i="8"/>
  <c r="C735" i="8"/>
  <c r="AV733" i="8"/>
  <c r="AR733" i="8"/>
  <c r="AN733" i="8"/>
  <c r="AJ733" i="8"/>
  <c r="AF733" i="8"/>
  <c r="AB733" i="8"/>
  <c r="S733" i="8"/>
  <c r="N733" i="8"/>
  <c r="H733" i="8"/>
  <c r="D733" i="8"/>
  <c r="AW732" i="8"/>
  <c r="AS732" i="8"/>
  <c r="AO732" i="8"/>
  <c r="AK732" i="8"/>
  <c r="AG732" i="8"/>
  <c r="AC732" i="8"/>
  <c r="T732" i="8"/>
  <c r="O732" i="8"/>
  <c r="I732" i="8"/>
  <c r="E732" i="8"/>
  <c r="AX731" i="8"/>
  <c r="AT731" i="8"/>
  <c r="AP731" i="8"/>
  <c r="AL731" i="8"/>
  <c r="AH731" i="8"/>
  <c r="AD731" i="8"/>
  <c r="U731" i="8"/>
  <c r="P731" i="8"/>
  <c r="K731" i="8"/>
  <c r="F731" i="8"/>
  <c r="AY730" i="8"/>
  <c r="AU730" i="8"/>
  <c r="AQ730" i="8"/>
  <c r="AM730" i="8"/>
  <c r="AI730" i="8"/>
  <c r="AE730" i="8"/>
  <c r="AA730" i="8"/>
  <c r="Q730" i="8"/>
  <c r="M730" i="8"/>
  <c r="G730" i="8"/>
  <c r="C730" i="8"/>
  <c r="AV725" i="8"/>
  <c r="AR725" i="8"/>
  <c r="AN725" i="8"/>
  <c r="AJ725" i="8"/>
  <c r="AF725" i="8"/>
  <c r="AB725" i="8"/>
  <c r="S725" i="8"/>
  <c r="N725" i="8"/>
  <c r="H725" i="8"/>
  <c r="D725" i="8"/>
  <c r="AW720" i="8"/>
  <c r="AS720" i="8"/>
  <c r="AO720" i="8"/>
  <c r="AK720" i="8"/>
  <c r="AG720" i="8"/>
  <c r="AC720" i="8"/>
  <c r="T720" i="8"/>
  <c r="O720" i="8"/>
  <c r="I720" i="8"/>
  <c r="E720" i="8"/>
  <c r="AX713" i="8"/>
  <c r="AT713" i="8"/>
  <c r="AP713" i="8"/>
  <c r="AL713" i="8"/>
  <c r="AH713" i="8"/>
  <c r="AD713" i="8"/>
  <c r="U713" i="8"/>
  <c r="P713" i="8"/>
  <c r="K713" i="8"/>
  <c r="F713" i="8"/>
  <c r="AY709" i="8"/>
  <c r="AU709" i="8"/>
  <c r="AQ709" i="8"/>
  <c r="AM709" i="8"/>
  <c r="AI709" i="8"/>
  <c r="AE709" i="8"/>
  <c r="AA709" i="8"/>
  <c r="Q709" i="8"/>
  <c r="M709" i="8"/>
  <c r="G709" i="8"/>
  <c r="C709" i="8"/>
  <c r="AV707" i="8"/>
  <c r="AR707" i="8"/>
  <c r="AN707" i="8"/>
  <c r="AJ707" i="8"/>
  <c r="AF707" i="8"/>
  <c r="AB707" i="8"/>
  <c r="S707" i="8"/>
  <c r="N707" i="8"/>
  <c r="H707" i="8"/>
  <c r="D707" i="8"/>
  <c r="AW705" i="8"/>
  <c r="AS705" i="8"/>
  <c r="AO705" i="8"/>
  <c r="AK705" i="8"/>
  <c r="AG705" i="8"/>
  <c r="AC705" i="8"/>
  <c r="T705" i="8"/>
  <c r="O705" i="8"/>
  <c r="I705" i="8"/>
  <c r="E705" i="8"/>
  <c r="AX703" i="8"/>
  <c r="AT703" i="8"/>
  <c r="AP703" i="8"/>
  <c r="AL703" i="8"/>
  <c r="AH703" i="8"/>
  <c r="AD703" i="8"/>
  <c r="U703" i="8"/>
  <c r="P703" i="8"/>
  <c r="K703" i="8"/>
  <c r="F703" i="8"/>
  <c r="AY698" i="8"/>
  <c r="AU698" i="8"/>
  <c r="AQ698" i="8"/>
  <c r="AM698" i="8"/>
  <c r="AI698" i="8"/>
  <c r="AE698" i="8"/>
  <c r="AA698" i="8"/>
  <c r="Q698" i="8"/>
  <c r="M698" i="8"/>
  <c r="G698" i="8"/>
  <c r="C698" i="8"/>
  <c r="AV695" i="8"/>
  <c r="AR695" i="8"/>
  <c r="AN695" i="8"/>
  <c r="AJ695" i="8"/>
  <c r="AF695" i="8"/>
  <c r="AB695" i="8"/>
  <c r="S695" i="8"/>
  <c r="N695" i="8"/>
  <c r="G695" i="8"/>
  <c r="C695" i="8"/>
  <c r="AV693" i="8"/>
  <c r="AR693" i="8"/>
  <c r="AN693" i="8"/>
  <c r="AJ693" i="8"/>
  <c r="AF693" i="8"/>
  <c r="AB693" i="8"/>
  <c r="S693" i="8"/>
  <c r="N693" i="8"/>
  <c r="H693" i="8"/>
  <c r="D693" i="8"/>
  <c r="AW691" i="8"/>
  <c r="AS691" i="8"/>
  <c r="AO691" i="8"/>
  <c r="AK691" i="8"/>
  <c r="AG691" i="8"/>
  <c r="AC691" i="8"/>
  <c r="T691" i="8"/>
  <c r="O691" i="8"/>
  <c r="I691" i="8"/>
  <c r="E691" i="8"/>
  <c r="AX690" i="8"/>
  <c r="AT690" i="8"/>
  <c r="AP690" i="8"/>
  <c r="AL690" i="8"/>
  <c r="AH690" i="8"/>
  <c r="AD690" i="8"/>
  <c r="U690" i="8"/>
  <c r="P690" i="8"/>
  <c r="K690" i="8"/>
  <c r="F690" i="8"/>
  <c r="AY687" i="8"/>
  <c r="AU687" i="8"/>
  <c r="AQ687" i="8"/>
  <c r="AM687" i="8"/>
  <c r="AI687" i="8"/>
  <c r="AE687" i="8"/>
  <c r="AA687" i="8"/>
  <c r="Q687" i="8"/>
  <c r="M687" i="8"/>
  <c r="G687" i="8"/>
  <c r="C687" i="8"/>
  <c r="AV686" i="8"/>
  <c r="AR686" i="8"/>
  <c r="AN686" i="8"/>
  <c r="AJ686" i="8"/>
  <c r="AF686" i="8"/>
  <c r="AB686" i="8"/>
  <c r="S686" i="8"/>
  <c r="N686" i="8"/>
  <c r="H686" i="8"/>
  <c r="D686" i="8"/>
  <c r="AW685" i="8"/>
  <c r="AS685" i="8"/>
  <c r="AO685" i="8"/>
  <c r="AK685" i="8"/>
  <c r="AG685" i="8"/>
  <c r="AC685" i="8"/>
  <c r="T685" i="8"/>
  <c r="O685" i="8"/>
  <c r="I685" i="8"/>
  <c r="E685" i="8"/>
  <c r="AX683" i="8"/>
  <c r="AT683" i="8"/>
  <c r="AP683" i="8"/>
  <c r="AL683" i="8"/>
  <c r="AH683" i="8"/>
  <c r="AD683" i="8"/>
  <c r="U683" i="8"/>
  <c r="P683" i="8"/>
  <c r="K683" i="8"/>
  <c r="F683" i="8"/>
  <c r="AY679" i="8"/>
  <c r="T844" i="8"/>
  <c r="F827" i="8"/>
  <c r="AD820" i="8"/>
  <c r="AO815" i="8"/>
  <c r="AL812" i="8"/>
  <c r="AI810" i="8"/>
  <c r="AE808" i="8"/>
  <c r="AM806" i="8"/>
  <c r="H804" i="8"/>
  <c r="AH802" i="8"/>
  <c r="AY799" i="8"/>
  <c r="AB798" i="8"/>
  <c r="AT790" i="8"/>
  <c r="Q788" i="8"/>
  <c r="AO786" i="8"/>
  <c r="K785" i="8"/>
  <c r="AT783" i="8"/>
  <c r="K783" i="8"/>
  <c r="AL782" i="8"/>
  <c r="I782" i="8"/>
  <c r="AJ781" i="8"/>
  <c r="G781" i="8"/>
  <c r="AI780" i="8"/>
  <c r="E780" i="8"/>
  <c r="AG777" i="8"/>
  <c r="D777" i="8"/>
  <c r="AE774" i="8"/>
  <c r="AY773" i="8"/>
  <c r="AD773" i="8"/>
  <c r="AW771" i="8"/>
  <c r="AB771" i="8"/>
  <c r="AV768" i="8"/>
  <c r="U768" i="8"/>
  <c r="AV765" i="8"/>
  <c r="AF765" i="8"/>
  <c r="H765" i="8"/>
  <c r="AO764" i="8"/>
  <c r="T764" i="8"/>
  <c r="AX763" i="8"/>
  <c r="AH763" i="8"/>
  <c r="K763" i="8"/>
  <c r="AQ762" i="8"/>
  <c r="AA762" i="8"/>
  <c r="C762" i="8"/>
  <c r="AJ757" i="8"/>
  <c r="N757" i="8"/>
  <c r="AR756" i="8"/>
  <c r="AB756" i="8"/>
  <c r="D756" i="8"/>
  <c r="AK755" i="8"/>
  <c r="O755" i="8"/>
  <c r="AT753" i="8"/>
  <c r="AD753" i="8"/>
  <c r="F753" i="8"/>
  <c r="AM751" i="8"/>
  <c r="Q751" i="8"/>
  <c r="AU748" i="8"/>
  <c r="AE748" i="8"/>
  <c r="G748" i="8"/>
  <c r="AN743" i="8"/>
  <c r="S743" i="8"/>
  <c r="AW741" i="8"/>
  <c r="AG741" i="8"/>
  <c r="I741" i="8"/>
  <c r="AP740" i="8"/>
  <c r="U740" i="8"/>
  <c r="AY739" i="8"/>
  <c r="AI739" i="8"/>
  <c r="M739" i="8"/>
  <c r="AR738" i="8"/>
  <c r="AB738" i="8"/>
  <c r="D738" i="8"/>
  <c r="AK737" i="8"/>
  <c r="O737" i="8"/>
  <c r="AT735" i="8"/>
  <c r="AD735" i="8"/>
  <c r="F735" i="8"/>
  <c r="AM733" i="8"/>
  <c r="Q733" i="8"/>
  <c r="AV732" i="8"/>
  <c r="AF732" i="8"/>
  <c r="H732" i="8"/>
  <c r="AO731" i="8"/>
  <c r="AG731" i="8"/>
  <c r="T731" i="8"/>
  <c r="I731" i="8"/>
  <c r="AX730" i="8"/>
  <c r="AP730" i="8"/>
  <c r="AH730" i="8"/>
  <c r="U730" i="8"/>
  <c r="K730" i="8"/>
  <c r="AY725" i="8"/>
  <c r="AS725" i="8"/>
  <c r="AM725" i="8"/>
  <c r="AH725" i="8"/>
  <c r="AC725" i="8"/>
  <c r="Q725" i="8"/>
  <c r="K725" i="8"/>
  <c r="E725" i="8"/>
  <c r="AV720" i="8"/>
  <c r="AQ720" i="8"/>
  <c r="AL720" i="8"/>
  <c r="AF720" i="8"/>
  <c r="AA720" i="8"/>
  <c r="P720" i="8"/>
  <c r="H720" i="8"/>
  <c r="C720" i="8"/>
  <c r="AU713" i="8"/>
  <c r="AO713" i="8"/>
  <c r="AJ713" i="8"/>
  <c r="AE713" i="8"/>
  <c r="T713" i="8"/>
  <c r="N713" i="8"/>
  <c r="G713" i="8"/>
  <c r="AX709" i="8"/>
  <c r="AS709" i="8"/>
  <c r="AN709" i="8"/>
  <c r="AH709" i="8"/>
  <c r="AC709" i="8"/>
  <c r="S709" i="8"/>
  <c r="K709" i="8"/>
  <c r="E709" i="8"/>
  <c r="AW707" i="8"/>
  <c r="AQ707" i="8"/>
  <c r="AL707" i="8"/>
  <c r="AG707" i="8"/>
  <c r="AA707" i="8"/>
  <c r="P707" i="8"/>
  <c r="I707" i="8"/>
  <c r="C707" i="8"/>
  <c r="AU705" i="8"/>
  <c r="AP705" i="8"/>
  <c r="AJ705" i="8"/>
  <c r="AE705" i="8"/>
  <c r="U705" i="8"/>
  <c r="N705" i="8"/>
  <c r="G705" i="8"/>
  <c r="AY703" i="8"/>
  <c r="AS703" i="8"/>
  <c r="AN703" i="8"/>
  <c r="AI703" i="8"/>
  <c r="AC703" i="8"/>
  <c r="S703" i="8"/>
  <c r="M703" i="8"/>
  <c r="E703" i="8"/>
  <c r="AW698" i="8"/>
  <c r="AR698" i="8"/>
  <c r="AL698" i="8"/>
  <c r="AG698" i="8"/>
  <c r="AB698" i="8"/>
  <c r="P698" i="8"/>
  <c r="I698" i="8"/>
  <c r="D698" i="8"/>
  <c r="AU695" i="8"/>
  <c r="AP695" i="8"/>
  <c r="AK695" i="8"/>
  <c r="AE695" i="8"/>
  <c r="U695" i="8"/>
  <c r="O695" i="8"/>
  <c r="F695" i="8"/>
  <c r="AX693" i="8"/>
  <c r="AS693" i="8"/>
  <c r="AM693" i="8"/>
  <c r="AH693" i="8"/>
  <c r="AC693" i="8"/>
  <c r="Q693" i="8"/>
  <c r="K693" i="8"/>
  <c r="E693" i="8"/>
  <c r="AV691" i="8"/>
  <c r="AQ691" i="8"/>
  <c r="AL691" i="8"/>
  <c r="AF691" i="8"/>
  <c r="AA691" i="8"/>
  <c r="P691" i="8"/>
  <c r="H691" i="8"/>
  <c r="C691" i="8"/>
  <c r="AU690" i="8"/>
  <c r="AO690" i="8"/>
  <c r="AJ690" i="8"/>
  <c r="AE690" i="8"/>
  <c r="T690" i="8"/>
  <c r="N690" i="8"/>
  <c r="G690" i="8"/>
  <c r="AX687" i="8"/>
  <c r="AS687" i="8"/>
  <c r="AN687" i="8"/>
  <c r="AH687" i="8"/>
  <c r="AC687" i="8"/>
  <c r="S687" i="8"/>
  <c r="K687" i="8"/>
  <c r="E687" i="8"/>
  <c r="AW686" i="8"/>
  <c r="AQ686" i="8"/>
  <c r="AL686" i="8"/>
  <c r="AG686" i="8"/>
  <c r="AA686" i="8"/>
  <c r="P686" i="8"/>
  <c r="I686" i="8"/>
  <c r="C686" i="8"/>
  <c r="AU685" i="8"/>
  <c r="AP685" i="8"/>
  <c r="AJ685" i="8"/>
  <c r="AE685" i="8"/>
  <c r="U685" i="8"/>
  <c r="N685" i="8"/>
  <c r="G685" i="8"/>
  <c r="AY683" i="8"/>
  <c r="AS683" i="8"/>
  <c r="AN683" i="8"/>
  <c r="AI683" i="8"/>
  <c r="AC683" i="8"/>
  <c r="S683" i="8"/>
  <c r="M683" i="8"/>
  <c r="E683" i="8"/>
  <c r="AW679" i="8"/>
  <c r="AS679" i="8"/>
  <c r="AO679" i="8"/>
  <c r="AK679" i="8"/>
  <c r="AG679" i="8"/>
  <c r="AC679" i="8"/>
  <c r="T679" i="8"/>
  <c r="O679" i="8"/>
  <c r="I679" i="8"/>
  <c r="E679" i="8"/>
  <c r="AX678" i="8"/>
  <c r="AT678" i="8"/>
  <c r="AP678" i="8"/>
  <c r="AL678" i="8"/>
  <c r="AH678" i="8"/>
  <c r="AD678" i="8"/>
  <c r="U678" i="8"/>
  <c r="P678" i="8"/>
  <c r="K678" i="8"/>
  <c r="F678" i="8"/>
  <c r="AY674" i="8"/>
  <c r="AU674" i="8"/>
  <c r="AQ674" i="8"/>
  <c r="AM674" i="8"/>
  <c r="AI674" i="8"/>
  <c r="AE674" i="8"/>
  <c r="AA674" i="8"/>
  <c r="Q674" i="8"/>
  <c r="M674" i="8"/>
  <c r="G674" i="8"/>
  <c r="C674" i="8"/>
  <c r="AV672" i="8"/>
  <c r="AR672" i="8"/>
  <c r="AN672" i="8"/>
  <c r="AJ672" i="8"/>
  <c r="AF672" i="8"/>
  <c r="AB672" i="8"/>
  <c r="S672" i="8"/>
  <c r="N672" i="8"/>
  <c r="H672" i="8"/>
  <c r="D672" i="8"/>
  <c r="AW668" i="8"/>
  <c r="AS668" i="8"/>
  <c r="AO668" i="8"/>
  <c r="AK668" i="8"/>
  <c r="AG668" i="8"/>
  <c r="AC668" i="8"/>
  <c r="T668" i="8"/>
  <c r="O668" i="8"/>
  <c r="H668" i="8"/>
  <c r="D668" i="8"/>
  <c r="AW665" i="8"/>
  <c r="AS665" i="8"/>
  <c r="AO665" i="8"/>
  <c r="AK665" i="8"/>
  <c r="AG665" i="8"/>
  <c r="AC665" i="8"/>
  <c r="T665" i="8"/>
  <c r="O665" i="8"/>
  <c r="I665" i="8"/>
  <c r="E665" i="8"/>
  <c r="AX664" i="8"/>
  <c r="AT664" i="8"/>
  <c r="AP664" i="8"/>
  <c r="AL664" i="8"/>
  <c r="AH664" i="8"/>
  <c r="AD664" i="8"/>
  <c r="U664" i="8"/>
  <c r="P664" i="8"/>
  <c r="K664" i="8"/>
  <c r="F664" i="8"/>
  <c r="AY662" i="8"/>
  <c r="AU662" i="8"/>
  <c r="AQ662" i="8"/>
  <c r="AM662" i="8"/>
  <c r="AI662" i="8"/>
  <c r="AE662" i="8"/>
  <c r="AA662" i="8"/>
  <c r="Q662" i="8"/>
  <c r="M662" i="8"/>
  <c r="G662" i="8"/>
  <c r="C662" i="8"/>
  <c r="AV661" i="8"/>
  <c r="AR661" i="8"/>
  <c r="AN661" i="8"/>
  <c r="AJ661" i="8"/>
  <c r="AF661" i="8"/>
  <c r="AB661" i="8"/>
  <c r="S661" i="8"/>
  <c r="N661" i="8"/>
  <c r="H661" i="8"/>
  <c r="D661" i="8"/>
  <c r="AW660" i="8"/>
  <c r="AS660" i="8"/>
  <c r="AO660" i="8"/>
  <c r="AK660" i="8"/>
  <c r="AG660" i="8"/>
  <c r="AC660" i="8"/>
  <c r="T660" i="8"/>
  <c r="O660" i="8"/>
  <c r="I660" i="8"/>
  <c r="E660" i="8"/>
  <c r="AX655" i="8"/>
  <c r="AT655" i="8"/>
  <c r="AP655" i="8"/>
  <c r="AL655" i="8"/>
  <c r="AH655" i="8"/>
  <c r="AD655" i="8"/>
  <c r="U655" i="8"/>
  <c r="P655" i="8"/>
  <c r="K655" i="8"/>
  <c r="F655" i="8"/>
  <c r="AY652" i="8"/>
  <c r="AU652" i="8"/>
  <c r="AQ652" i="8"/>
  <c r="AM652" i="8"/>
  <c r="AI652" i="8"/>
  <c r="AE652" i="8"/>
  <c r="AA652" i="8"/>
  <c r="Q652" i="8"/>
  <c r="M652" i="8"/>
  <c r="F652" i="8"/>
  <c r="AY648" i="8"/>
  <c r="AU648" i="8"/>
  <c r="AQ648" i="8"/>
  <c r="AM648" i="8"/>
  <c r="AI648" i="8"/>
  <c r="AE648" i="8"/>
  <c r="AA648" i="8"/>
  <c r="Q648" i="8"/>
  <c r="M648" i="8"/>
  <c r="G648" i="8"/>
  <c r="C648" i="8"/>
  <c r="AV647" i="8"/>
  <c r="AR647" i="8"/>
  <c r="AN647" i="8"/>
  <c r="AJ647" i="8"/>
  <c r="AF647" i="8"/>
  <c r="AB647" i="8"/>
  <c r="S647" i="8"/>
  <c r="N647" i="8"/>
  <c r="H647" i="8"/>
  <c r="D647" i="8"/>
  <c r="AW645" i="8"/>
  <c r="AS645" i="8"/>
  <c r="AO645" i="8"/>
  <c r="AK645" i="8"/>
  <c r="AG645" i="8"/>
  <c r="AC645" i="8"/>
  <c r="T645" i="8"/>
  <c r="O645" i="8"/>
  <c r="I645" i="8"/>
  <c r="E645" i="8"/>
  <c r="AX644" i="8"/>
  <c r="AT644" i="8"/>
  <c r="AP644" i="8"/>
  <c r="AL644" i="8"/>
  <c r="AH644" i="8"/>
  <c r="AD644" i="8"/>
  <c r="U644" i="8"/>
  <c r="P644" i="8"/>
  <c r="I644" i="8"/>
  <c r="E644" i="8"/>
  <c r="AX640" i="8"/>
  <c r="AT640" i="8"/>
  <c r="AP640" i="8"/>
  <c r="AL640" i="8"/>
  <c r="AH640" i="8"/>
  <c r="AD640" i="8"/>
  <c r="U640" i="8"/>
  <c r="P640" i="8"/>
  <c r="K640" i="8"/>
  <c r="F640" i="8"/>
  <c r="AY638" i="8"/>
  <c r="AU638" i="8"/>
  <c r="AQ638" i="8"/>
  <c r="AM638" i="8"/>
  <c r="AI638" i="8"/>
  <c r="AE638" i="8"/>
  <c r="AA638" i="8"/>
  <c r="Q638" i="8"/>
  <c r="M638" i="8"/>
  <c r="G638" i="8"/>
  <c r="C638" i="8"/>
  <c r="AV636" i="8"/>
  <c r="AR636" i="8"/>
  <c r="AN636" i="8"/>
  <c r="AJ636" i="8"/>
  <c r="AF636" i="8"/>
  <c r="AB636" i="8"/>
  <c r="S636" i="8"/>
  <c r="N636" i="8"/>
  <c r="H636" i="8"/>
  <c r="D636" i="8"/>
  <c r="AW633" i="8"/>
  <c r="AS633" i="8"/>
  <c r="AO633" i="8"/>
  <c r="AK633" i="8"/>
  <c r="AG633" i="8"/>
  <c r="AC633" i="8"/>
  <c r="T633" i="8"/>
  <c r="O633" i="8"/>
  <c r="I633" i="8"/>
  <c r="E633" i="8"/>
  <c r="AX631" i="8"/>
  <c r="AT631" i="8"/>
  <c r="AP631" i="8"/>
  <c r="AL631" i="8"/>
  <c r="AH631" i="8"/>
  <c r="AD631" i="8"/>
  <c r="U631" i="8"/>
  <c r="P631" i="8"/>
  <c r="K631" i="8"/>
  <c r="F631" i="8"/>
  <c r="AY622" i="8"/>
  <c r="AU622" i="8"/>
  <c r="AQ622" i="8"/>
  <c r="AM622" i="8"/>
  <c r="AI622" i="8"/>
  <c r="AE622" i="8"/>
  <c r="AA622" i="8"/>
  <c r="Q622" i="8"/>
  <c r="M622" i="8"/>
  <c r="G622" i="8"/>
  <c r="C622" i="8"/>
  <c r="AV621" i="8"/>
  <c r="AR621" i="8"/>
  <c r="AN621" i="8"/>
  <c r="AJ621" i="8"/>
  <c r="AF621" i="8"/>
  <c r="AB621" i="8"/>
  <c r="S621" i="8"/>
  <c r="N621" i="8"/>
  <c r="H621" i="8"/>
  <c r="D621" i="8"/>
  <c r="AW617" i="8"/>
  <c r="AS617" i="8"/>
  <c r="AO617" i="8"/>
  <c r="AK617" i="8"/>
  <c r="AG617" i="8"/>
  <c r="AC617" i="8"/>
  <c r="T617" i="8"/>
  <c r="O617" i="8"/>
  <c r="I617" i="8"/>
  <c r="E617" i="8"/>
  <c r="AX614" i="8"/>
  <c r="AT614" i="8"/>
  <c r="AP614" i="8"/>
  <c r="AL614" i="8"/>
  <c r="AH614" i="8"/>
  <c r="AD614" i="8"/>
  <c r="U614" i="8"/>
  <c r="P614" i="8"/>
  <c r="K614" i="8"/>
  <c r="F614" i="8"/>
  <c r="AY605" i="8"/>
  <c r="AU605" i="8"/>
  <c r="AQ605" i="8"/>
  <c r="AM605" i="8"/>
  <c r="AI605" i="8"/>
  <c r="AE605" i="8"/>
  <c r="AA605" i="8"/>
  <c r="Q605" i="8"/>
  <c r="M605" i="8"/>
  <c r="G605" i="8"/>
  <c r="C605" i="8"/>
  <c r="AV597" i="8"/>
  <c r="AR597" i="8"/>
  <c r="AN597" i="8"/>
  <c r="AJ597" i="8"/>
  <c r="AF597" i="8"/>
  <c r="AB597" i="8"/>
  <c r="S597" i="8"/>
  <c r="N597" i="8"/>
  <c r="H597" i="8"/>
  <c r="D597" i="8"/>
  <c r="AW590" i="8"/>
  <c r="AS590" i="8"/>
  <c r="AO590" i="8"/>
  <c r="AK590" i="8"/>
  <c r="AG590" i="8"/>
  <c r="AC590" i="8"/>
  <c r="T590" i="8"/>
  <c r="O590" i="8"/>
  <c r="I590" i="8"/>
  <c r="E590" i="8"/>
  <c r="AX584" i="8"/>
  <c r="AT584" i="8"/>
  <c r="AP584" i="8"/>
  <c r="AL584" i="8"/>
  <c r="AH584" i="8"/>
  <c r="AD584" i="8"/>
  <c r="U584" i="8"/>
  <c r="P584" i="8"/>
  <c r="K584" i="8"/>
  <c r="F584" i="8"/>
  <c r="AY578" i="8"/>
  <c r="G838" i="8"/>
  <c r="K825" i="8"/>
  <c r="AV817" i="8"/>
  <c r="N815" i="8"/>
  <c r="I812" i="8"/>
  <c r="E810" i="8"/>
  <c r="AY807" i="8"/>
  <c r="Q806" i="8"/>
  <c r="AO803" i="8"/>
  <c r="K802" i="8"/>
  <c r="AI799" i="8"/>
  <c r="D798" i="8"/>
  <c r="AD790" i="8"/>
  <c r="AV787" i="8"/>
  <c r="T786" i="8"/>
  <c r="AQ784" i="8"/>
  <c r="AL783" i="8"/>
  <c r="E783" i="8"/>
  <c r="AG782" i="8"/>
  <c r="C782" i="8"/>
  <c r="AE781" i="8"/>
  <c r="AY780" i="8"/>
  <c r="AC780" i="8"/>
  <c r="AW777" i="8"/>
  <c r="AB777" i="8"/>
  <c r="AU774" i="8"/>
  <c r="U774" i="8"/>
  <c r="AT773" i="8"/>
  <c r="S773" i="8"/>
  <c r="AR771" i="8"/>
  <c r="Q771" i="8"/>
  <c r="AP768" i="8"/>
  <c r="O768" i="8"/>
  <c r="AR765" i="8"/>
  <c r="AB765" i="8"/>
  <c r="D765" i="8"/>
  <c r="AK764" i="8"/>
  <c r="O764" i="8"/>
  <c r="AT763" i="8"/>
  <c r="AD763" i="8"/>
  <c r="F763" i="8"/>
  <c r="AM762" i="8"/>
  <c r="Q762" i="8"/>
  <c r="AV757" i="8"/>
  <c r="AF757" i="8"/>
  <c r="G757" i="8"/>
  <c r="AN756" i="8"/>
  <c r="S756" i="8"/>
  <c r="AW755" i="8"/>
  <c r="AG755" i="8"/>
  <c r="I755" i="8"/>
  <c r="AP753" i="8"/>
  <c r="U753" i="8"/>
  <c r="AY751" i="8"/>
  <c r="AI751" i="8"/>
  <c r="M751" i="8"/>
  <c r="AQ748" i="8"/>
  <c r="AA748" i="8"/>
  <c r="C748" i="8"/>
  <c r="AJ743" i="8"/>
  <c r="N743" i="8"/>
  <c r="AS741" i="8"/>
  <c r="AC741" i="8"/>
  <c r="E741" i="8"/>
  <c r="AL740" i="8"/>
  <c r="P740" i="8"/>
  <c r="AU739" i="8"/>
  <c r="AE739" i="8"/>
  <c r="G739" i="8"/>
  <c r="AN738" i="8"/>
  <c r="S738" i="8"/>
  <c r="AW737" i="8"/>
  <c r="AG737" i="8"/>
  <c r="I737" i="8"/>
  <c r="AP735" i="8"/>
  <c r="U735" i="8"/>
  <c r="AY733" i="8"/>
  <c r="AI733" i="8"/>
  <c r="M733" i="8"/>
  <c r="AR732" i="8"/>
  <c r="AB732" i="8"/>
  <c r="D732" i="8"/>
  <c r="AM731" i="8"/>
  <c r="AE731" i="8"/>
  <c r="Q731" i="8"/>
  <c r="G731" i="8"/>
  <c r="AV730" i="8"/>
  <c r="AN730" i="8"/>
  <c r="AF730" i="8"/>
  <c r="S730" i="8"/>
  <c r="H730" i="8"/>
  <c r="AW725" i="8"/>
  <c r="AQ725" i="8"/>
  <c r="AL725" i="8"/>
  <c r="AG725" i="8"/>
  <c r="AA725" i="8"/>
  <c r="P725" i="8"/>
  <c r="I725" i="8"/>
  <c r="C725" i="8"/>
  <c r="AU720" i="8"/>
  <c r="AP720" i="8"/>
  <c r="AJ720" i="8"/>
  <c r="AE720" i="8"/>
  <c r="U720" i="8"/>
  <c r="N720" i="8"/>
  <c r="G720" i="8"/>
  <c r="AY713" i="8"/>
  <c r="AS713" i="8"/>
  <c r="AN713" i="8"/>
  <c r="AI713" i="8"/>
  <c r="AC713" i="8"/>
  <c r="S713" i="8"/>
  <c r="M713" i="8"/>
  <c r="E713" i="8"/>
  <c r="AW709" i="8"/>
  <c r="AR709" i="8"/>
  <c r="AL709" i="8"/>
  <c r="AG709" i="8"/>
  <c r="AB709" i="8"/>
  <c r="P709" i="8"/>
  <c r="I709" i="8"/>
  <c r="D709" i="8"/>
  <c r="AU707" i="8"/>
  <c r="AP707" i="8"/>
  <c r="AK707" i="8"/>
  <c r="AE707" i="8"/>
  <c r="U707" i="8"/>
  <c r="O707" i="8"/>
  <c r="G707" i="8"/>
  <c r="AY705" i="8"/>
  <c r="AT705" i="8"/>
  <c r="AN705" i="8"/>
  <c r="AI705" i="8"/>
  <c r="AD705" i="8"/>
  <c r="S705" i="8"/>
  <c r="M705" i="8"/>
  <c r="F705" i="8"/>
  <c r="AW703" i="8"/>
  <c r="AR703" i="8"/>
  <c r="AM703" i="8"/>
  <c r="AG703" i="8"/>
  <c r="AB703" i="8"/>
  <c r="Q703" i="8"/>
  <c r="I703" i="8"/>
  <c r="D703" i="8"/>
  <c r="AV698" i="8"/>
  <c r="AP698" i="8"/>
  <c r="AK698" i="8"/>
  <c r="AF698" i="8"/>
  <c r="U698" i="8"/>
  <c r="O698" i="8"/>
  <c r="H698" i="8"/>
  <c r="AY695" i="8"/>
  <c r="AT695" i="8"/>
  <c r="AO695" i="8"/>
  <c r="AI695" i="8"/>
  <c r="AD695" i="8"/>
  <c r="T695" i="8"/>
  <c r="M695" i="8"/>
  <c r="E695" i="8"/>
  <c r="AW693" i="8"/>
  <c r="AQ693" i="8"/>
  <c r="AL693" i="8"/>
  <c r="AG693" i="8"/>
  <c r="AA693" i="8"/>
  <c r="P693" i="8"/>
  <c r="I693" i="8"/>
  <c r="C693" i="8"/>
  <c r="AU691" i="8"/>
  <c r="AP691" i="8"/>
  <c r="AJ691" i="8"/>
  <c r="AE691" i="8"/>
  <c r="U691" i="8"/>
  <c r="N691" i="8"/>
  <c r="G691" i="8"/>
  <c r="AY690" i="8"/>
  <c r="AS690" i="8"/>
  <c r="AN690" i="8"/>
  <c r="AI690" i="8"/>
  <c r="AC690" i="8"/>
  <c r="S690" i="8"/>
  <c r="M690" i="8"/>
  <c r="E690" i="8"/>
  <c r="AW687" i="8"/>
  <c r="AR687" i="8"/>
  <c r="AL687" i="8"/>
  <c r="AG687" i="8"/>
  <c r="AB687" i="8"/>
  <c r="P687" i="8"/>
  <c r="I687" i="8"/>
  <c r="D687" i="8"/>
  <c r="AU686" i="8"/>
  <c r="AP686" i="8"/>
  <c r="AK686" i="8"/>
  <c r="AE686" i="8"/>
  <c r="U686" i="8"/>
  <c r="O686" i="8"/>
  <c r="G686" i="8"/>
  <c r="AY685" i="8"/>
  <c r="AT685" i="8"/>
  <c r="AN685" i="8"/>
  <c r="AI685" i="8"/>
  <c r="AD685" i="8"/>
  <c r="S685" i="8"/>
  <c r="M685" i="8"/>
  <c r="F685" i="8"/>
  <c r="AW683" i="8"/>
  <c r="AR683" i="8"/>
  <c r="AM683" i="8"/>
  <c r="AG683" i="8"/>
  <c r="AB683" i="8"/>
  <c r="Q683" i="8"/>
  <c r="I683" i="8"/>
  <c r="D683" i="8"/>
  <c r="AV679" i="8"/>
  <c r="AR679" i="8"/>
  <c r="AN679" i="8"/>
  <c r="AJ679" i="8"/>
  <c r="AF679" i="8"/>
  <c r="AB679" i="8"/>
  <c r="S679" i="8"/>
  <c r="N679" i="8"/>
  <c r="H679" i="8"/>
  <c r="D679" i="8"/>
  <c r="AW678" i="8"/>
  <c r="AS678" i="8"/>
  <c r="AO678" i="8"/>
  <c r="AK678" i="8"/>
  <c r="AG678" i="8"/>
  <c r="AC678" i="8"/>
  <c r="T678" i="8"/>
  <c r="O678" i="8"/>
  <c r="I678" i="8"/>
  <c r="E678" i="8"/>
  <c r="AX674" i="8"/>
  <c r="AT674" i="8"/>
  <c r="AP674" i="8"/>
  <c r="AL674" i="8"/>
  <c r="AH674" i="8"/>
  <c r="AD674" i="8"/>
  <c r="U674" i="8"/>
  <c r="P674" i="8"/>
  <c r="K674" i="8"/>
  <c r="F674" i="8"/>
  <c r="AY672" i="8"/>
  <c r="AU672" i="8"/>
  <c r="AQ672" i="8"/>
  <c r="AM672" i="8"/>
  <c r="AI672" i="8"/>
  <c r="AE672" i="8"/>
  <c r="AA672" i="8"/>
  <c r="Q672" i="8"/>
  <c r="M672" i="8"/>
  <c r="G672" i="8"/>
  <c r="C672" i="8"/>
  <c r="AV668" i="8"/>
  <c r="AR668" i="8"/>
  <c r="AN668" i="8"/>
  <c r="AJ668" i="8"/>
  <c r="AF668" i="8"/>
  <c r="AB668" i="8"/>
  <c r="S668" i="8"/>
  <c r="N668" i="8"/>
  <c r="G668" i="8"/>
  <c r="C668" i="8"/>
  <c r="AV665" i="8"/>
  <c r="AR665" i="8"/>
  <c r="AN665" i="8"/>
  <c r="AJ665" i="8"/>
  <c r="AF665" i="8"/>
  <c r="AB665" i="8"/>
  <c r="S665" i="8"/>
  <c r="N665" i="8"/>
  <c r="H665" i="8"/>
  <c r="D665" i="8"/>
  <c r="AW664" i="8"/>
  <c r="AS664" i="8"/>
  <c r="AO664" i="8"/>
  <c r="AK664" i="8"/>
  <c r="AG664" i="8"/>
  <c r="AC664" i="8"/>
  <c r="T664" i="8"/>
  <c r="O664" i="8"/>
  <c r="I664" i="8"/>
  <c r="E664" i="8"/>
  <c r="AX662" i="8"/>
  <c r="AT662" i="8"/>
  <c r="AP662" i="8"/>
  <c r="AL662" i="8"/>
  <c r="AH662" i="8"/>
  <c r="AD662" i="8"/>
  <c r="U662" i="8"/>
  <c r="P662" i="8"/>
  <c r="K662" i="8"/>
  <c r="F662" i="8"/>
  <c r="AY661" i="8"/>
  <c r="AU661" i="8"/>
  <c r="AQ661" i="8"/>
  <c r="AM661" i="8"/>
  <c r="AI661" i="8"/>
  <c r="AE661" i="8"/>
  <c r="AA661" i="8"/>
  <c r="Q661" i="8"/>
  <c r="M661" i="8"/>
  <c r="G661" i="8"/>
  <c r="C661" i="8"/>
  <c r="AV660" i="8"/>
  <c r="AR660" i="8"/>
  <c r="AN660" i="8"/>
  <c r="AJ660" i="8"/>
  <c r="AF660" i="8"/>
  <c r="AB660" i="8"/>
  <c r="S660" i="8"/>
  <c r="N660" i="8"/>
  <c r="H660" i="8"/>
  <c r="D660" i="8"/>
  <c r="AW655" i="8"/>
  <c r="AS655" i="8"/>
  <c r="AO655" i="8"/>
  <c r="AK655" i="8"/>
  <c r="AG655" i="8"/>
  <c r="AC655" i="8"/>
  <c r="T655" i="8"/>
  <c r="O655" i="8"/>
  <c r="I655" i="8"/>
  <c r="E655" i="8"/>
  <c r="AX652" i="8"/>
  <c r="AT652" i="8"/>
  <c r="AP652" i="8"/>
  <c r="AL652" i="8"/>
  <c r="AH652" i="8"/>
  <c r="AD652" i="8"/>
  <c r="U652" i="8"/>
  <c r="P652" i="8"/>
  <c r="I652" i="8"/>
  <c r="E652" i="8"/>
  <c r="AX648" i="8"/>
  <c r="AT648" i="8"/>
  <c r="AP648" i="8"/>
  <c r="AL648" i="8"/>
  <c r="AH648" i="8"/>
  <c r="AD648" i="8"/>
  <c r="U648" i="8"/>
  <c r="P648" i="8"/>
  <c r="K648" i="8"/>
  <c r="F648" i="8"/>
  <c r="AY647" i="8"/>
  <c r="AU647" i="8"/>
  <c r="AQ647" i="8"/>
  <c r="AM647" i="8"/>
  <c r="AI647" i="8"/>
  <c r="AE647" i="8"/>
  <c r="AA647" i="8"/>
  <c r="Q647" i="8"/>
  <c r="M647" i="8"/>
  <c r="G647" i="8"/>
  <c r="C647" i="8"/>
  <c r="AV645" i="8"/>
  <c r="AR645" i="8"/>
  <c r="AN645" i="8"/>
  <c r="AJ645" i="8"/>
  <c r="AF645" i="8"/>
  <c r="AB645" i="8"/>
  <c r="AT831" i="8"/>
  <c r="AJ823" i="8"/>
  <c r="AR816" i="8"/>
  <c r="AN814" i="8"/>
  <c r="AJ811" i="8"/>
  <c r="AG809" i="8"/>
  <c r="AE807" i="8"/>
  <c r="AV804" i="8"/>
  <c r="T803" i="8"/>
  <c r="AQ800" i="8"/>
  <c r="M799" i="8"/>
  <c r="AK795" i="8"/>
  <c r="F790" i="8"/>
  <c r="AF787" i="8"/>
  <c r="AX785" i="8"/>
  <c r="AA784" i="8"/>
  <c r="AD783" i="8"/>
  <c r="AW782" i="8"/>
  <c r="AA782" i="8"/>
  <c r="AU781" i="8"/>
  <c r="U781" i="8"/>
  <c r="AS780" i="8"/>
  <c r="S780" i="8"/>
  <c r="AR777" i="8"/>
  <c r="P777" i="8"/>
  <c r="AP774" i="8"/>
  <c r="O774" i="8"/>
  <c r="AN773" i="8"/>
  <c r="M773" i="8"/>
  <c r="AM771" i="8"/>
  <c r="I771" i="8"/>
  <c r="AK768" i="8"/>
  <c r="H768" i="8"/>
  <c r="AN765" i="8"/>
  <c r="S765" i="8"/>
  <c r="AW764" i="8"/>
  <c r="AG764" i="8"/>
  <c r="I764" i="8"/>
  <c r="AP763" i="8"/>
  <c r="U763" i="8"/>
  <c r="AY762" i="8"/>
  <c r="AI762" i="8"/>
  <c r="M762" i="8"/>
  <c r="AR757" i="8"/>
  <c r="AB757" i="8"/>
  <c r="C757" i="8"/>
  <c r="AJ756" i="8"/>
  <c r="N756" i="8"/>
  <c r="AS755" i="8"/>
  <c r="AC755" i="8"/>
  <c r="E755" i="8"/>
  <c r="AL753" i="8"/>
  <c r="P753" i="8"/>
  <c r="AU751" i="8"/>
  <c r="AE751" i="8"/>
  <c r="F751" i="8"/>
  <c r="AM748" i="8"/>
  <c r="Q748" i="8"/>
  <c r="AV743" i="8"/>
  <c r="AF743" i="8"/>
  <c r="H743" i="8"/>
  <c r="AO741" i="8"/>
  <c r="T741" i="8"/>
  <c r="AX740" i="8"/>
  <c r="AH740" i="8"/>
  <c r="K740" i="8"/>
  <c r="AQ739" i="8"/>
  <c r="AA739" i="8"/>
  <c r="C739" i="8"/>
  <c r="AJ738" i="8"/>
  <c r="N738" i="8"/>
  <c r="AS737" i="8"/>
  <c r="AC737" i="8"/>
  <c r="E737" i="8"/>
  <c r="AL735" i="8"/>
  <c r="P735" i="8"/>
  <c r="AU733" i="8"/>
  <c r="AE733" i="8"/>
  <c r="G733" i="8"/>
  <c r="AN732" i="8"/>
  <c r="S732" i="8"/>
  <c r="AW731" i="8"/>
  <c r="AK731" i="8"/>
  <c r="AC731" i="8"/>
  <c r="O731" i="8"/>
  <c r="E731" i="8"/>
  <c r="AT730" i="8"/>
  <c r="AL730" i="8"/>
  <c r="AD730" i="8"/>
  <c r="P730" i="8"/>
  <c r="F730" i="8"/>
  <c r="AU725" i="8"/>
  <c r="AP725" i="8"/>
  <c r="AK725" i="8"/>
  <c r="AE725" i="8"/>
  <c r="U725" i="8"/>
  <c r="O725" i="8"/>
  <c r="G725" i="8"/>
  <c r="AY720" i="8"/>
  <c r="AT720" i="8"/>
  <c r="AN720" i="8"/>
  <c r="AI720" i="8"/>
  <c r="AD720" i="8"/>
  <c r="S720" i="8"/>
  <c r="M720" i="8"/>
  <c r="F720" i="8"/>
  <c r="AW713" i="8"/>
  <c r="AR713" i="8"/>
  <c r="AM713" i="8"/>
  <c r="AG713" i="8"/>
  <c r="AB713" i="8"/>
  <c r="Q713" i="8"/>
  <c r="I713" i="8"/>
  <c r="D713" i="8"/>
  <c r="AV709" i="8"/>
  <c r="AP709" i="8"/>
  <c r="AK709" i="8"/>
  <c r="AF709" i="8"/>
  <c r="U709" i="8"/>
  <c r="O709" i="8"/>
  <c r="H709" i="8"/>
  <c r="AY707" i="8"/>
  <c r="AT707" i="8"/>
  <c r="AO707" i="8"/>
  <c r="AI707" i="8"/>
  <c r="AD707" i="8"/>
  <c r="T707" i="8"/>
  <c r="M707" i="8"/>
  <c r="F707" i="8"/>
  <c r="AX705" i="8"/>
  <c r="AR705" i="8"/>
  <c r="AM705" i="8"/>
  <c r="AH705" i="8"/>
  <c r="AB705" i="8"/>
  <c r="Q705" i="8"/>
  <c r="K705" i="8"/>
  <c r="D705" i="8"/>
  <c r="AV703" i="8"/>
  <c r="AQ703" i="8"/>
  <c r="AK703" i="8"/>
  <c r="AF703" i="8"/>
  <c r="AA703" i="8"/>
  <c r="O703" i="8"/>
  <c r="H703" i="8"/>
  <c r="C703" i="8"/>
  <c r="AT698" i="8"/>
  <c r="AO698" i="8"/>
  <c r="AJ698" i="8"/>
  <c r="AD698" i="8"/>
  <c r="T698" i="8"/>
  <c r="N698" i="8"/>
  <c r="F698" i="8"/>
  <c r="AX695" i="8"/>
  <c r="AS695" i="8"/>
  <c r="AM695" i="8"/>
  <c r="AH695" i="8"/>
  <c r="AC695" i="8"/>
  <c r="Q695" i="8"/>
  <c r="I695" i="8"/>
  <c r="D695" i="8"/>
  <c r="AU693" i="8"/>
  <c r="AP693" i="8"/>
  <c r="AK693" i="8"/>
  <c r="AE693" i="8"/>
  <c r="U693" i="8"/>
  <c r="O693" i="8"/>
  <c r="G693" i="8"/>
  <c r="AY691" i="8"/>
  <c r="AT691" i="8"/>
  <c r="AN691" i="8"/>
  <c r="AI691" i="8"/>
  <c r="AD691" i="8"/>
  <c r="S691" i="8"/>
  <c r="M691" i="8"/>
  <c r="F691" i="8"/>
  <c r="AW690" i="8"/>
  <c r="AR690" i="8"/>
  <c r="AM690" i="8"/>
  <c r="AG690" i="8"/>
  <c r="AB690" i="8"/>
  <c r="Q690" i="8"/>
  <c r="I690" i="8"/>
  <c r="D690" i="8"/>
  <c r="AV687" i="8"/>
  <c r="AP687" i="8"/>
  <c r="AK687" i="8"/>
  <c r="AF687" i="8"/>
  <c r="U687" i="8"/>
  <c r="O687" i="8"/>
  <c r="H687" i="8"/>
  <c r="AY686" i="8"/>
  <c r="AT686" i="8"/>
  <c r="AO686" i="8"/>
  <c r="AI686" i="8"/>
  <c r="AD686" i="8"/>
  <c r="T686" i="8"/>
  <c r="M686" i="8"/>
  <c r="F686" i="8"/>
  <c r="AX685" i="8"/>
  <c r="AR685" i="8"/>
  <c r="AM685" i="8"/>
  <c r="AH685" i="8"/>
  <c r="AB685" i="8"/>
  <c r="Q685" i="8"/>
  <c r="K685" i="8"/>
  <c r="D685" i="8"/>
  <c r="AV683" i="8"/>
  <c r="AQ683" i="8"/>
  <c r="AK683" i="8"/>
  <c r="AF683" i="8"/>
  <c r="AA683" i="8"/>
  <c r="O683" i="8"/>
  <c r="H683" i="8"/>
  <c r="C683" i="8"/>
  <c r="AU679" i="8"/>
  <c r="AQ679" i="8"/>
  <c r="AM679" i="8"/>
  <c r="AI679" i="8"/>
  <c r="AE679" i="8"/>
  <c r="AA679" i="8"/>
  <c r="Q679" i="8"/>
  <c r="M679" i="8"/>
  <c r="G679" i="8"/>
  <c r="C679" i="8"/>
  <c r="AV678" i="8"/>
  <c r="AR678" i="8"/>
  <c r="AN678" i="8"/>
  <c r="AJ678" i="8"/>
  <c r="AF678" i="8"/>
  <c r="AB678" i="8"/>
  <c r="S678" i="8"/>
  <c r="N678" i="8"/>
  <c r="H678" i="8"/>
  <c r="D678" i="8"/>
  <c r="AW674" i="8"/>
  <c r="AS674" i="8"/>
  <c r="AO674" i="8"/>
  <c r="AK674" i="8"/>
  <c r="AG674" i="8"/>
  <c r="AC674" i="8"/>
  <c r="T674" i="8"/>
  <c r="O674" i="8"/>
  <c r="I674" i="8"/>
  <c r="E674" i="8"/>
  <c r="AX672" i="8"/>
  <c r="AT672" i="8"/>
  <c r="AP672" i="8"/>
  <c r="AL672" i="8"/>
  <c r="AH672" i="8"/>
  <c r="AD672" i="8"/>
  <c r="U672" i="8"/>
  <c r="P672" i="8"/>
  <c r="K672" i="8"/>
  <c r="F672" i="8"/>
  <c r="AY668" i="8"/>
  <c r="AU668" i="8"/>
  <c r="AQ668" i="8"/>
  <c r="AM668" i="8"/>
  <c r="AI668" i="8"/>
  <c r="AE668" i="8"/>
  <c r="AA668" i="8"/>
  <c r="Q668" i="8"/>
  <c r="M668" i="8"/>
  <c r="F668" i="8"/>
  <c r="AY665" i="8"/>
  <c r="AU665" i="8"/>
  <c r="AQ665" i="8"/>
  <c r="AM665" i="8"/>
  <c r="AI665" i="8"/>
  <c r="AE665" i="8"/>
  <c r="AA665" i="8"/>
  <c r="Q665" i="8"/>
  <c r="M665" i="8"/>
  <c r="G665" i="8"/>
  <c r="C665" i="8"/>
  <c r="AV664" i="8"/>
  <c r="AR664" i="8"/>
  <c r="AN664" i="8"/>
  <c r="AJ664" i="8"/>
  <c r="AF664" i="8"/>
  <c r="AB664" i="8"/>
  <c r="S664" i="8"/>
  <c r="N664" i="8"/>
  <c r="H664" i="8"/>
  <c r="D664" i="8"/>
  <c r="AW662" i="8"/>
  <c r="AS662" i="8"/>
  <c r="AO662" i="8"/>
  <c r="AK662" i="8"/>
  <c r="AG662" i="8"/>
  <c r="AC662" i="8"/>
  <c r="T662" i="8"/>
  <c r="O662" i="8"/>
  <c r="I662" i="8"/>
  <c r="E662" i="8"/>
  <c r="AX661" i="8"/>
  <c r="AT661" i="8"/>
  <c r="AP661" i="8"/>
  <c r="AL661" i="8"/>
  <c r="AH661" i="8"/>
  <c r="AD661" i="8"/>
  <c r="U661" i="8"/>
  <c r="P661" i="8"/>
  <c r="K661" i="8"/>
  <c r="F661" i="8"/>
  <c r="AY660" i="8"/>
  <c r="AU660" i="8"/>
  <c r="AQ660" i="8"/>
  <c r="AM660" i="8"/>
  <c r="AI660" i="8"/>
  <c r="AE660" i="8"/>
  <c r="AA660" i="8"/>
  <c r="Q660" i="8"/>
  <c r="M660" i="8"/>
  <c r="G660" i="8"/>
  <c r="C660" i="8"/>
  <c r="AV655" i="8"/>
  <c r="AR655" i="8"/>
  <c r="AN655" i="8"/>
  <c r="AJ655" i="8"/>
  <c r="AF655" i="8"/>
  <c r="AB655" i="8"/>
  <c r="S655" i="8"/>
  <c r="N655" i="8"/>
  <c r="H655" i="8"/>
  <c r="D655" i="8"/>
  <c r="AW652" i="8"/>
  <c r="AS652" i="8"/>
  <c r="AO652" i="8"/>
  <c r="AK652" i="8"/>
  <c r="AG652" i="8"/>
  <c r="AC652" i="8"/>
  <c r="T652" i="8"/>
  <c r="O652" i="8"/>
  <c r="H652" i="8"/>
  <c r="D652" i="8"/>
  <c r="AW648" i="8"/>
  <c r="AS648" i="8"/>
  <c r="AO648" i="8"/>
  <c r="AK648" i="8"/>
  <c r="AG648" i="8"/>
  <c r="AC648" i="8"/>
  <c r="T648" i="8"/>
  <c r="O648" i="8"/>
  <c r="I648" i="8"/>
  <c r="E648" i="8"/>
  <c r="AX647" i="8"/>
  <c r="AT647" i="8"/>
  <c r="AP647" i="8"/>
  <c r="AL647" i="8"/>
  <c r="AH647" i="8"/>
  <c r="AD647" i="8"/>
  <c r="U647" i="8"/>
  <c r="P647" i="8"/>
  <c r="K647" i="8"/>
  <c r="F647" i="8"/>
  <c r="AY645" i="8"/>
  <c r="AU645" i="8"/>
  <c r="AQ645" i="8"/>
  <c r="AM645" i="8"/>
  <c r="AI645" i="8"/>
  <c r="AE645" i="8"/>
  <c r="AA645" i="8"/>
  <c r="Q645" i="8"/>
  <c r="M645" i="8"/>
  <c r="G645" i="8"/>
  <c r="C645" i="8"/>
  <c r="AV644" i="8"/>
  <c r="AR644" i="8"/>
  <c r="AN644" i="8"/>
  <c r="AJ644" i="8"/>
  <c r="K829" i="8"/>
  <c r="G811" i="8"/>
  <c r="AX802" i="8"/>
  <c r="AM788" i="8"/>
  <c r="S783" i="8"/>
  <c r="N781" i="8"/>
  <c r="I777" i="8"/>
  <c r="F773" i="8"/>
  <c r="C768" i="8"/>
  <c r="AC764" i="8"/>
  <c r="AU762" i="8"/>
  <c r="S757" i="8"/>
  <c r="AO755" i="8"/>
  <c r="K753" i="8"/>
  <c r="AI748" i="8"/>
  <c r="D743" i="8"/>
  <c r="AD740" i="8"/>
  <c r="AV738" i="8"/>
  <c r="T737" i="8"/>
  <c r="AQ733" i="8"/>
  <c r="N732" i="8"/>
  <c r="M731" i="8"/>
  <c r="AB730" i="8"/>
  <c r="AO725" i="8"/>
  <c r="M725" i="8"/>
  <c r="AM720" i="8"/>
  <c r="K720" i="8"/>
  <c r="AK713" i="8"/>
  <c r="H713" i="8"/>
  <c r="AJ709" i="8"/>
  <c r="F709" i="8"/>
  <c r="AH707" i="8"/>
  <c r="E707" i="8"/>
  <c r="AF705" i="8"/>
  <c r="C705" i="8"/>
  <c r="AE703" i="8"/>
  <c r="AX698" i="8"/>
  <c r="AC698" i="8"/>
  <c r="AW695" i="8"/>
  <c r="AA695" i="8"/>
  <c r="AT693" i="8"/>
  <c r="T693" i="8"/>
  <c r="AR691" i="8"/>
  <c r="Q691" i="8"/>
  <c r="AQ690" i="8"/>
  <c r="O690" i="8"/>
  <c r="AO687" i="8"/>
  <c r="N687" i="8"/>
  <c r="AM686" i="8"/>
  <c r="K686" i="8"/>
  <c r="AL685" i="8"/>
  <c r="H685" i="8"/>
  <c r="AJ683" i="8"/>
  <c r="G683" i="8"/>
  <c r="AL679" i="8"/>
  <c r="P679" i="8"/>
  <c r="AU678" i="8"/>
  <c r="AE678" i="8"/>
  <c r="G678" i="8"/>
  <c r="AN674" i="8"/>
  <c r="S674" i="8"/>
  <c r="AW672" i="8"/>
  <c r="AG672" i="8"/>
  <c r="I672" i="8"/>
  <c r="AP668" i="8"/>
  <c r="U668" i="8"/>
  <c r="AX665" i="8"/>
  <c r="AH665" i="8"/>
  <c r="K665" i="8"/>
  <c r="AQ664" i="8"/>
  <c r="AA664" i="8"/>
  <c r="C664" i="8"/>
  <c r="AJ662" i="8"/>
  <c r="N662" i="8"/>
  <c r="AS661" i="8"/>
  <c r="AC661" i="8"/>
  <c r="E661" i="8"/>
  <c r="AL660" i="8"/>
  <c r="P660" i="8"/>
  <c r="AU655" i="8"/>
  <c r="AE655" i="8"/>
  <c r="G655" i="8"/>
  <c r="AN652" i="8"/>
  <c r="S652" i="8"/>
  <c r="AV648" i="8"/>
  <c r="AF648" i="8"/>
  <c r="H648" i="8"/>
  <c r="AO647" i="8"/>
  <c r="T647" i="8"/>
  <c r="AX645" i="8"/>
  <c r="AH645" i="8"/>
  <c r="P645" i="8"/>
  <c r="F645" i="8"/>
  <c r="AU644" i="8"/>
  <c r="AM644" i="8"/>
  <c r="AF644" i="8"/>
  <c r="AA644" i="8"/>
  <c r="O644" i="8"/>
  <c r="G644" i="8"/>
  <c r="AY640" i="8"/>
  <c r="AS640" i="8"/>
  <c r="AN640" i="8"/>
  <c r="AI640" i="8"/>
  <c r="AC640" i="8"/>
  <c r="S640" i="8"/>
  <c r="M640" i="8"/>
  <c r="E640" i="8"/>
  <c r="AW638" i="8"/>
  <c r="AR638" i="8"/>
  <c r="AL638" i="8"/>
  <c r="AG638" i="8"/>
  <c r="AB638" i="8"/>
  <c r="P638" i="8"/>
  <c r="I638" i="8"/>
  <c r="D638" i="8"/>
  <c r="AU636" i="8"/>
  <c r="AP636" i="8"/>
  <c r="AK636" i="8"/>
  <c r="AE636" i="8"/>
  <c r="U636" i="8"/>
  <c r="O636" i="8"/>
  <c r="G636" i="8"/>
  <c r="AY633" i="8"/>
  <c r="AT633" i="8"/>
  <c r="AN633" i="8"/>
  <c r="AI633" i="8"/>
  <c r="AD633" i="8"/>
  <c r="S633" i="8"/>
  <c r="M633" i="8"/>
  <c r="F633" i="8"/>
  <c r="AW631" i="8"/>
  <c r="AR631" i="8"/>
  <c r="AM631" i="8"/>
  <c r="AG631" i="8"/>
  <c r="AB631" i="8"/>
  <c r="Q631" i="8"/>
  <c r="I631" i="8"/>
  <c r="D631" i="8"/>
  <c r="AV622" i="8"/>
  <c r="AP622" i="8"/>
  <c r="AK622" i="8"/>
  <c r="AF622" i="8"/>
  <c r="U622" i="8"/>
  <c r="O622" i="8"/>
  <c r="H622" i="8"/>
  <c r="AY621" i="8"/>
  <c r="AT621" i="8"/>
  <c r="AO621" i="8"/>
  <c r="AI621" i="8"/>
  <c r="AD621" i="8"/>
  <c r="T621" i="8"/>
  <c r="M621" i="8"/>
  <c r="F621" i="8"/>
  <c r="AX617" i="8"/>
  <c r="AR617" i="8"/>
  <c r="AM617" i="8"/>
  <c r="AH617" i="8"/>
  <c r="AB617" i="8"/>
  <c r="Q617" i="8"/>
  <c r="K617" i="8"/>
  <c r="D617" i="8"/>
  <c r="AV614" i="8"/>
  <c r="AQ614" i="8"/>
  <c r="AK614" i="8"/>
  <c r="AF614" i="8"/>
  <c r="AA614" i="8"/>
  <c r="O614" i="8"/>
  <c r="H614" i="8"/>
  <c r="C614" i="8"/>
  <c r="AT605" i="8"/>
  <c r="AO605" i="8"/>
  <c r="AJ605" i="8"/>
  <c r="AD605" i="8"/>
  <c r="T605" i="8"/>
  <c r="N605" i="8"/>
  <c r="F605" i="8"/>
  <c r="AX597" i="8"/>
  <c r="AS597" i="8"/>
  <c r="AM597" i="8"/>
  <c r="AH597" i="8"/>
  <c r="AC597" i="8"/>
  <c r="Q597" i="8"/>
  <c r="K597" i="8"/>
  <c r="E597" i="8"/>
  <c r="AV590" i="8"/>
  <c r="AQ590" i="8"/>
  <c r="AL590" i="8"/>
  <c r="AF590" i="8"/>
  <c r="AA590" i="8"/>
  <c r="P590" i="8"/>
  <c r="H590" i="8"/>
  <c r="C590" i="8"/>
  <c r="AU584" i="8"/>
  <c r="AO584" i="8"/>
  <c r="AJ584" i="8"/>
  <c r="AE584" i="8"/>
  <c r="T584" i="8"/>
  <c r="N584" i="8"/>
  <c r="G584" i="8"/>
  <c r="AX578" i="8"/>
  <c r="AT578" i="8"/>
  <c r="AP578" i="8"/>
  <c r="AL578" i="8"/>
  <c r="AH578" i="8"/>
  <c r="AD578" i="8"/>
  <c r="U578" i="8"/>
  <c r="P578" i="8"/>
  <c r="K578" i="8"/>
  <c r="F578" i="8"/>
  <c r="AY577" i="8"/>
  <c r="AU577" i="8"/>
  <c r="AQ577" i="8"/>
  <c r="AM577" i="8"/>
  <c r="AI577" i="8"/>
  <c r="AE577" i="8"/>
  <c r="AA577" i="8"/>
  <c r="Q577" i="8"/>
  <c r="M577" i="8"/>
  <c r="G577" i="8"/>
  <c r="C577" i="8"/>
  <c r="AV574" i="8"/>
  <c r="AR574" i="8"/>
  <c r="AN574" i="8"/>
  <c r="AJ574" i="8"/>
  <c r="AF574" i="8"/>
  <c r="AB574" i="8"/>
  <c r="S574" i="8"/>
  <c r="N574" i="8"/>
  <c r="G574" i="8"/>
  <c r="C574" i="8"/>
  <c r="AV573" i="8"/>
  <c r="AR573" i="8"/>
  <c r="AN573" i="8"/>
  <c r="AJ573" i="8"/>
  <c r="AF573" i="8"/>
  <c r="AB573" i="8"/>
  <c r="S573" i="8"/>
  <c r="N573" i="8"/>
  <c r="H573" i="8"/>
  <c r="D573" i="8"/>
  <c r="AW570" i="8"/>
  <c r="AS570" i="8"/>
  <c r="AO570" i="8"/>
  <c r="AK570" i="8"/>
  <c r="AG570" i="8"/>
  <c r="AC570" i="8"/>
  <c r="T570" i="8"/>
  <c r="O570" i="8"/>
  <c r="I570" i="8"/>
  <c r="E570" i="8"/>
  <c r="AX563" i="8"/>
  <c r="AT563" i="8"/>
  <c r="AP563" i="8"/>
  <c r="AL563" i="8"/>
  <c r="AH563" i="8"/>
  <c r="AD563" i="8"/>
  <c r="U563" i="8"/>
  <c r="P563" i="8"/>
  <c r="K563" i="8"/>
  <c r="F563" i="8"/>
  <c r="AY558" i="8"/>
  <c r="AU558" i="8"/>
  <c r="AQ558" i="8"/>
  <c r="AM558" i="8"/>
  <c r="AI558" i="8"/>
  <c r="AE558" i="8"/>
  <c r="AA558" i="8"/>
  <c r="Q558" i="8"/>
  <c r="M558" i="8"/>
  <c r="G558" i="8"/>
  <c r="C558" i="8"/>
  <c r="AV556" i="8"/>
  <c r="AR556" i="8"/>
  <c r="AN556" i="8"/>
  <c r="AJ556" i="8"/>
  <c r="AF556" i="8"/>
  <c r="AB556" i="8"/>
  <c r="S556" i="8"/>
  <c r="N556" i="8"/>
  <c r="H556" i="8"/>
  <c r="D556" i="8"/>
  <c r="AW550" i="8"/>
  <c r="AS550" i="8"/>
  <c r="AO550" i="8"/>
  <c r="AK550" i="8"/>
  <c r="AG550" i="8"/>
  <c r="AC550" i="8"/>
  <c r="T550" i="8"/>
  <c r="O550" i="8"/>
  <c r="I550" i="8"/>
  <c r="E550" i="8"/>
  <c r="AX543" i="8"/>
  <c r="AT543" i="8"/>
  <c r="AP543" i="8"/>
  <c r="AL543" i="8"/>
  <c r="AH543" i="8"/>
  <c r="AD543" i="8"/>
  <c r="U543" i="8"/>
  <c r="P543" i="8"/>
  <c r="K543" i="8"/>
  <c r="F543" i="8"/>
  <c r="AY539" i="8"/>
  <c r="AU539" i="8"/>
  <c r="AQ539" i="8"/>
  <c r="AM539" i="8"/>
  <c r="AI539" i="8"/>
  <c r="AE539" i="8"/>
  <c r="AA539" i="8"/>
  <c r="Q539" i="8"/>
  <c r="M539" i="8"/>
  <c r="G539" i="8"/>
  <c r="C539" i="8"/>
  <c r="AV532" i="8"/>
  <c r="AR532" i="8"/>
  <c r="AN532" i="8"/>
  <c r="AJ532" i="8"/>
  <c r="AF532" i="8"/>
  <c r="AB532" i="8"/>
  <c r="S532" i="8"/>
  <c r="N532" i="8"/>
  <c r="H532" i="8"/>
  <c r="D532" i="8"/>
  <c r="AW525" i="8"/>
  <c r="AS525" i="8"/>
  <c r="AO525" i="8"/>
  <c r="AK525" i="8"/>
  <c r="AG525" i="8"/>
  <c r="AC525" i="8"/>
  <c r="T525" i="8"/>
  <c r="O525" i="8"/>
  <c r="I525" i="8"/>
  <c r="E525" i="8"/>
  <c r="AX521" i="8"/>
  <c r="AT521" i="8"/>
  <c r="AP521" i="8"/>
  <c r="AL521" i="8"/>
  <c r="AH521" i="8"/>
  <c r="AD521" i="8"/>
  <c r="U521" i="8"/>
  <c r="P521" i="8"/>
  <c r="K521" i="8"/>
  <c r="F521" i="8"/>
  <c r="AU503" i="8"/>
  <c r="AQ503" i="8"/>
  <c r="AM503" i="8"/>
  <c r="AI503" i="8"/>
  <c r="AE503" i="8"/>
  <c r="AA503" i="8"/>
  <c r="Q503" i="8"/>
  <c r="M503" i="8"/>
  <c r="G503" i="8"/>
  <c r="C503" i="8"/>
  <c r="AR501" i="8"/>
  <c r="AN501" i="8"/>
  <c r="AJ501" i="8"/>
  <c r="AF501" i="8"/>
  <c r="AB501" i="8"/>
  <c r="S501" i="8"/>
  <c r="N501" i="8"/>
  <c r="H501" i="8"/>
  <c r="D501" i="8"/>
  <c r="AS488" i="8"/>
  <c r="AO488" i="8"/>
  <c r="AK488" i="8"/>
  <c r="AG488" i="8"/>
  <c r="AC488" i="8"/>
  <c r="T488" i="8"/>
  <c r="O488" i="8"/>
  <c r="I488" i="8"/>
  <c r="E488" i="8"/>
  <c r="AT472" i="8"/>
  <c r="AP472" i="8"/>
  <c r="AL472" i="8"/>
  <c r="AH472" i="8"/>
  <c r="AD472" i="8"/>
  <c r="U472" i="8"/>
  <c r="P472" i="8"/>
  <c r="K472" i="8"/>
  <c r="F472" i="8"/>
  <c r="AU462" i="8"/>
  <c r="AQ462" i="8"/>
  <c r="AM462" i="8"/>
  <c r="AI462" i="8"/>
  <c r="AE462" i="8"/>
  <c r="AA462" i="8"/>
  <c r="Q462" i="8"/>
  <c r="M462" i="8"/>
  <c r="G462" i="8"/>
  <c r="C462" i="8"/>
  <c r="AR457" i="8"/>
  <c r="AN457" i="8"/>
  <c r="AJ457" i="8"/>
  <c r="AF457" i="8"/>
  <c r="AB457" i="8"/>
  <c r="S457" i="8"/>
  <c r="N457" i="8"/>
  <c r="H457" i="8"/>
  <c r="D457" i="8"/>
  <c r="AS455" i="8"/>
  <c r="AO455" i="8"/>
  <c r="AK455" i="8"/>
  <c r="AG455" i="8"/>
  <c r="AC455" i="8"/>
  <c r="T455" i="8"/>
  <c r="O455" i="8"/>
  <c r="I455" i="8"/>
  <c r="E455" i="8"/>
  <c r="AT447" i="8"/>
  <c r="AP447" i="8"/>
  <c r="AL447" i="8"/>
  <c r="AH447" i="8"/>
  <c r="AD447" i="8"/>
  <c r="U447" i="8"/>
  <c r="P447" i="8"/>
  <c r="K447" i="8"/>
  <c r="F447" i="8"/>
  <c r="AU434" i="8"/>
  <c r="AQ434" i="8"/>
  <c r="AM434" i="8"/>
  <c r="AI434" i="8"/>
  <c r="AE434" i="8"/>
  <c r="AA434" i="8"/>
  <c r="Q434" i="8"/>
  <c r="M434" i="8"/>
  <c r="G434" i="8"/>
  <c r="C434" i="8"/>
  <c r="AR404" i="8"/>
  <c r="AN404" i="8"/>
  <c r="AJ404" i="8"/>
  <c r="AF404" i="8"/>
  <c r="AB404" i="8"/>
  <c r="S404" i="8"/>
  <c r="N404" i="8"/>
  <c r="H404" i="8"/>
  <c r="D404" i="8"/>
  <c r="AS394" i="8"/>
  <c r="AO394" i="8"/>
  <c r="AK394" i="8"/>
  <c r="AG394" i="8"/>
  <c r="AC394" i="8"/>
  <c r="T394" i="8"/>
  <c r="O394" i="8"/>
  <c r="I394" i="8"/>
  <c r="E394" i="8"/>
  <c r="AT374" i="8"/>
  <c r="AP374" i="8"/>
  <c r="AL374" i="8"/>
  <c r="AH374" i="8"/>
  <c r="AD374" i="8"/>
  <c r="U374" i="8"/>
  <c r="P374" i="8"/>
  <c r="K374" i="8"/>
  <c r="F374" i="8"/>
  <c r="AU372" i="8"/>
  <c r="AQ372" i="8"/>
  <c r="AM372" i="8"/>
  <c r="AI372" i="8"/>
  <c r="AE372" i="8"/>
  <c r="AA372" i="8"/>
  <c r="Q372" i="8"/>
  <c r="M372" i="8"/>
  <c r="G372" i="8"/>
  <c r="C372" i="8"/>
  <c r="AR369" i="8"/>
  <c r="AN369" i="8"/>
  <c r="AJ369" i="8"/>
  <c r="AF369" i="8"/>
  <c r="AB369" i="8"/>
  <c r="S369" i="8"/>
  <c r="N369" i="8"/>
  <c r="H369" i="8"/>
  <c r="D369" i="8"/>
  <c r="AS358" i="8"/>
  <c r="AO358" i="8"/>
  <c r="AK358" i="8"/>
  <c r="AG358" i="8"/>
  <c r="AC358" i="8"/>
  <c r="T358" i="8"/>
  <c r="O358" i="8"/>
  <c r="I358" i="8"/>
  <c r="E358" i="8"/>
  <c r="AT354" i="8"/>
  <c r="AP354" i="8"/>
  <c r="AL354" i="8"/>
  <c r="AH354" i="8"/>
  <c r="AD354" i="8"/>
  <c r="U354" i="8"/>
  <c r="P354" i="8"/>
  <c r="K354" i="8"/>
  <c r="F354" i="8"/>
  <c r="AU343" i="8"/>
  <c r="AQ343" i="8"/>
  <c r="AM343" i="8"/>
  <c r="AI343" i="8"/>
  <c r="AE343" i="8"/>
  <c r="AA343" i="8"/>
  <c r="Q343" i="8"/>
  <c r="M343" i="8"/>
  <c r="G343" i="8"/>
  <c r="C343" i="8"/>
  <c r="AR336" i="8"/>
  <c r="AN336" i="8"/>
  <c r="AJ336" i="8"/>
  <c r="AF336" i="8"/>
  <c r="AB336" i="8"/>
  <c r="S336" i="8"/>
  <c r="N336" i="8"/>
  <c r="H336" i="8"/>
  <c r="D336" i="8"/>
  <c r="AS330" i="8"/>
  <c r="AO330" i="8"/>
  <c r="AK330" i="8"/>
  <c r="AG330" i="8"/>
  <c r="AC330" i="8"/>
  <c r="T330" i="8"/>
  <c r="O330" i="8"/>
  <c r="I330" i="8"/>
  <c r="E330" i="8"/>
  <c r="AT319" i="8"/>
  <c r="AP319" i="8"/>
  <c r="AL319" i="8"/>
  <c r="AH319" i="8"/>
  <c r="AD319" i="8"/>
  <c r="U319" i="8"/>
  <c r="P319" i="8"/>
  <c r="K319" i="8"/>
  <c r="F319" i="8"/>
  <c r="AU304" i="8"/>
  <c r="AQ304" i="8"/>
  <c r="AM304" i="8"/>
  <c r="D822" i="8"/>
  <c r="D809" i="8"/>
  <c r="AA800" i="8"/>
  <c r="H787" i="8"/>
  <c r="AQ782" i="8"/>
  <c r="AN780" i="8"/>
  <c r="AK774" i="8"/>
  <c r="AG771" i="8"/>
  <c r="AJ765" i="8"/>
  <c r="E764" i="8"/>
  <c r="AE762" i="8"/>
  <c r="AV756" i="8"/>
  <c r="T755" i="8"/>
  <c r="AQ751" i="8"/>
  <c r="M748" i="8"/>
  <c r="AK741" i="8"/>
  <c r="F740" i="8"/>
  <c r="AF738" i="8"/>
  <c r="AX735" i="8"/>
  <c r="AA733" i="8"/>
  <c r="AS731" i="8"/>
  <c r="C731" i="8"/>
  <c r="N730" i="8"/>
  <c r="AI725" i="8"/>
  <c r="F725" i="8"/>
  <c r="AH720" i="8"/>
  <c r="D720" i="8"/>
  <c r="AF713" i="8"/>
  <c r="C713" i="8"/>
  <c r="AD709" i="8"/>
  <c r="AX707" i="8"/>
  <c r="AC707" i="8"/>
  <c r="AV705" i="8"/>
  <c r="AA705" i="8"/>
  <c r="AU703" i="8"/>
  <c r="T703" i="8"/>
  <c r="AS698" i="8"/>
  <c r="S698" i="8"/>
  <c r="AQ695" i="8"/>
  <c r="P695" i="8"/>
  <c r="AO693" i="8"/>
  <c r="M693" i="8"/>
  <c r="AM691" i="8"/>
  <c r="K691" i="8"/>
  <c r="AK690" i="8"/>
  <c r="H690" i="8"/>
  <c r="AJ687" i="8"/>
  <c r="F687" i="8"/>
  <c r="AH686" i="8"/>
  <c r="E686" i="8"/>
  <c r="AF685" i="8"/>
  <c r="C685" i="8"/>
  <c r="AE683" i="8"/>
  <c r="AX679" i="8"/>
  <c r="AH679" i="8"/>
  <c r="K679" i="8"/>
  <c r="AQ678" i="8"/>
  <c r="AA678" i="8"/>
  <c r="C678" i="8"/>
  <c r="AJ674" i="8"/>
  <c r="N674" i="8"/>
  <c r="AS672" i="8"/>
  <c r="AC672" i="8"/>
  <c r="E672" i="8"/>
  <c r="AL668" i="8"/>
  <c r="P668" i="8"/>
  <c r="AT665" i="8"/>
  <c r="AD665" i="8"/>
  <c r="F665" i="8"/>
  <c r="AM664" i="8"/>
  <c r="Q664" i="8"/>
  <c r="AV662" i="8"/>
  <c r="AF662" i="8"/>
  <c r="H662" i="8"/>
  <c r="AO661" i="8"/>
  <c r="T661" i="8"/>
  <c r="AX660" i="8"/>
  <c r="AH660" i="8"/>
  <c r="K660" i="8"/>
  <c r="AQ655" i="8"/>
  <c r="AA655" i="8"/>
  <c r="C655" i="8"/>
  <c r="AJ652" i="8"/>
  <c r="N652" i="8"/>
  <c r="AR648" i="8"/>
  <c r="AB648" i="8"/>
  <c r="D648" i="8"/>
  <c r="AK647" i="8"/>
  <c r="O647" i="8"/>
  <c r="AT645" i="8"/>
  <c r="AD645" i="8"/>
  <c r="N645" i="8"/>
  <c r="D645" i="8"/>
  <c r="AS644" i="8"/>
  <c r="AK644" i="8"/>
  <c r="AE644" i="8"/>
  <c r="T644" i="8"/>
  <c r="N644" i="8"/>
  <c r="F644" i="8"/>
  <c r="AW640" i="8"/>
  <c r="AR640" i="8"/>
  <c r="AM640" i="8"/>
  <c r="AG640" i="8"/>
  <c r="AB640" i="8"/>
  <c r="Q640" i="8"/>
  <c r="I640" i="8"/>
  <c r="D640" i="8"/>
  <c r="AV638" i="8"/>
  <c r="AP638" i="8"/>
  <c r="AK638" i="8"/>
  <c r="AF638" i="8"/>
  <c r="U638" i="8"/>
  <c r="O638" i="8"/>
  <c r="H638" i="8"/>
  <c r="AY636" i="8"/>
  <c r="AT636" i="8"/>
  <c r="AO636" i="8"/>
  <c r="AI636" i="8"/>
  <c r="AD636" i="8"/>
  <c r="T636" i="8"/>
  <c r="M636" i="8"/>
  <c r="F636" i="8"/>
  <c r="AX633" i="8"/>
  <c r="AR633" i="8"/>
  <c r="AM633" i="8"/>
  <c r="AH633" i="8"/>
  <c r="AB633" i="8"/>
  <c r="Q633" i="8"/>
  <c r="K633" i="8"/>
  <c r="D633" i="8"/>
  <c r="AV631" i="8"/>
  <c r="AQ631" i="8"/>
  <c r="AK631" i="8"/>
  <c r="AF631" i="8"/>
  <c r="AA631" i="8"/>
  <c r="O631" i="8"/>
  <c r="H631" i="8"/>
  <c r="C631" i="8"/>
  <c r="AT622" i="8"/>
  <c r="AO622" i="8"/>
  <c r="AJ622" i="8"/>
  <c r="AD622" i="8"/>
  <c r="T622" i="8"/>
  <c r="N622" i="8"/>
  <c r="F622" i="8"/>
  <c r="AX621" i="8"/>
  <c r="AS621" i="8"/>
  <c r="AM621" i="8"/>
  <c r="AH621" i="8"/>
  <c r="AC621" i="8"/>
  <c r="Q621" i="8"/>
  <c r="K621" i="8"/>
  <c r="E621" i="8"/>
  <c r="AV617" i="8"/>
  <c r="AQ617" i="8"/>
  <c r="AL617" i="8"/>
  <c r="AF617" i="8"/>
  <c r="AA617" i="8"/>
  <c r="P617" i="8"/>
  <c r="H617" i="8"/>
  <c r="C617" i="8"/>
  <c r="AU614" i="8"/>
  <c r="AO614" i="8"/>
  <c r="AJ614" i="8"/>
  <c r="AE614" i="8"/>
  <c r="T614" i="8"/>
  <c r="N614" i="8"/>
  <c r="G614" i="8"/>
  <c r="AX605" i="8"/>
  <c r="AS605" i="8"/>
  <c r="AN605" i="8"/>
  <c r="AH605" i="8"/>
  <c r="AC605" i="8"/>
  <c r="S605" i="8"/>
  <c r="K605" i="8"/>
  <c r="E605" i="8"/>
  <c r="AW597" i="8"/>
  <c r="AQ597" i="8"/>
  <c r="AL597" i="8"/>
  <c r="AG597" i="8"/>
  <c r="AA597" i="8"/>
  <c r="P597" i="8"/>
  <c r="I597" i="8"/>
  <c r="C597" i="8"/>
  <c r="AU590" i="8"/>
  <c r="AP590" i="8"/>
  <c r="AJ590" i="8"/>
  <c r="AE590" i="8"/>
  <c r="U590" i="8"/>
  <c r="N590" i="8"/>
  <c r="G590" i="8"/>
  <c r="AY584" i="8"/>
  <c r="AS584" i="8"/>
  <c r="AN584" i="8"/>
  <c r="AI584" i="8"/>
  <c r="AC584" i="8"/>
  <c r="S584" i="8"/>
  <c r="M584" i="8"/>
  <c r="E584" i="8"/>
  <c r="AW578" i="8"/>
  <c r="AS578" i="8"/>
  <c r="AO578" i="8"/>
  <c r="AK578" i="8"/>
  <c r="AG578" i="8"/>
  <c r="AC578" i="8"/>
  <c r="T578" i="8"/>
  <c r="O578" i="8"/>
  <c r="I578" i="8"/>
  <c r="E578" i="8"/>
  <c r="AX577" i="8"/>
  <c r="AT577" i="8"/>
  <c r="AP577" i="8"/>
  <c r="AL577" i="8"/>
  <c r="AH577" i="8"/>
  <c r="AD577" i="8"/>
  <c r="U577" i="8"/>
  <c r="P577" i="8"/>
  <c r="K577" i="8"/>
  <c r="F577" i="8"/>
  <c r="AY574" i="8"/>
  <c r="AU574" i="8"/>
  <c r="AQ574" i="8"/>
  <c r="AM574" i="8"/>
  <c r="AI574" i="8"/>
  <c r="AE574" i="8"/>
  <c r="AA574" i="8"/>
  <c r="Q574" i="8"/>
  <c r="M574" i="8"/>
  <c r="F574" i="8"/>
  <c r="AY573" i="8"/>
  <c r="AU573" i="8"/>
  <c r="AQ573" i="8"/>
  <c r="AM573" i="8"/>
  <c r="AI573" i="8"/>
  <c r="AE573" i="8"/>
  <c r="AA573" i="8"/>
  <c r="Q573" i="8"/>
  <c r="M573" i="8"/>
  <c r="G573" i="8"/>
  <c r="C573" i="8"/>
  <c r="AV570" i="8"/>
  <c r="AR570" i="8"/>
  <c r="AN570" i="8"/>
  <c r="AJ570" i="8"/>
  <c r="AF570" i="8"/>
  <c r="AB570" i="8"/>
  <c r="S570" i="8"/>
  <c r="N570" i="8"/>
  <c r="H570" i="8"/>
  <c r="D570" i="8"/>
  <c r="AW563" i="8"/>
  <c r="AS563" i="8"/>
  <c r="AO563" i="8"/>
  <c r="AK563" i="8"/>
  <c r="AG563" i="8"/>
  <c r="AC563" i="8"/>
  <c r="T563" i="8"/>
  <c r="O563" i="8"/>
  <c r="I563" i="8"/>
  <c r="E563" i="8"/>
  <c r="AX558" i="8"/>
  <c r="AT558" i="8"/>
  <c r="AP558" i="8"/>
  <c r="AL558" i="8"/>
  <c r="AH558" i="8"/>
  <c r="AD558" i="8"/>
  <c r="U558" i="8"/>
  <c r="P558" i="8"/>
  <c r="K558" i="8"/>
  <c r="F558" i="8"/>
  <c r="AY556" i="8"/>
  <c r="AU556" i="8"/>
  <c r="AQ556" i="8"/>
  <c r="AM556" i="8"/>
  <c r="AI556" i="8"/>
  <c r="AE556" i="8"/>
  <c r="AA556" i="8"/>
  <c r="Q556" i="8"/>
  <c r="M556" i="8"/>
  <c r="G556" i="8"/>
  <c r="C556" i="8"/>
  <c r="AV550" i="8"/>
  <c r="AR550" i="8"/>
  <c r="AN550" i="8"/>
  <c r="AJ550" i="8"/>
  <c r="AF550" i="8"/>
  <c r="AB550" i="8"/>
  <c r="S550" i="8"/>
  <c r="N550" i="8"/>
  <c r="H550" i="8"/>
  <c r="D550" i="8"/>
  <c r="AW543" i="8"/>
  <c r="AS543" i="8"/>
  <c r="AO543" i="8"/>
  <c r="AK543" i="8"/>
  <c r="AG543" i="8"/>
  <c r="AC543" i="8"/>
  <c r="T543" i="8"/>
  <c r="O543" i="8"/>
  <c r="I543" i="8"/>
  <c r="E543" i="8"/>
  <c r="AX539" i="8"/>
  <c r="AT539" i="8"/>
  <c r="AP539" i="8"/>
  <c r="AL539" i="8"/>
  <c r="AH539" i="8"/>
  <c r="AD539" i="8"/>
  <c r="U539" i="8"/>
  <c r="P539" i="8"/>
  <c r="K539" i="8"/>
  <c r="F539" i="8"/>
  <c r="AY532" i="8"/>
  <c r="AU532" i="8"/>
  <c r="AQ532" i="8"/>
  <c r="AM532" i="8"/>
  <c r="AI532" i="8"/>
  <c r="AE532" i="8"/>
  <c r="AA532" i="8"/>
  <c r="Q532" i="8"/>
  <c r="M532" i="8"/>
  <c r="G532" i="8"/>
  <c r="C532" i="8"/>
  <c r="AV525" i="8"/>
  <c r="AR525" i="8"/>
  <c r="AN525" i="8"/>
  <c r="AJ525" i="8"/>
  <c r="AF525" i="8"/>
  <c r="AB525" i="8"/>
  <c r="S525" i="8"/>
  <c r="N525" i="8"/>
  <c r="H525" i="8"/>
  <c r="D525" i="8"/>
  <c r="AW521" i="8"/>
  <c r="AS521" i="8"/>
  <c r="AO521" i="8"/>
  <c r="AK521" i="8"/>
  <c r="AG521" i="8"/>
  <c r="AC521" i="8"/>
  <c r="T521" i="8"/>
  <c r="O521" i="8"/>
  <c r="I521" i="8"/>
  <c r="E521" i="8"/>
  <c r="AT503" i="8"/>
  <c r="AP503" i="8"/>
  <c r="AL503" i="8"/>
  <c r="AH503" i="8"/>
  <c r="AD503" i="8"/>
  <c r="U503" i="8"/>
  <c r="P503" i="8"/>
  <c r="K503" i="8"/>
  <c r="F503" i="8"/>
  <c r="AU501" i="8"/>
  <c r="AQ501" i="8"/>
  <c r="AM501" i="8"/>
  <c r="AI501" i="8"/>
  <c r="AE501" i="8"/>
  <c r="AA501" i="8"/>
  <c r="Q501" i="8"/>
  <c r="M501" i="8"/>
  <c r="G501" i="8"/>
  <c r="C501" i="8"/>
  <c r="AR488" i="8"/>
  <c r="AN488" i="8"/>
  <c r="AJ488" i="8"/>
  <c r="AF488" i="8"/>
  <c r="AB488" i="8"/>
  <c r="S488" i="8"/>
  <c r="N488" i="8"/>
  <c r="H488" i="8"/>
  <c r="D488" i="8"/>
  <c r="AS472" i="8"/>
  <c r="AO472" i="8"/>
  <c r="AK472" i="8"/>
  <c r="AG472" i="8"/>
  <c r="AC472" i="8"/>
  <c r="T472" i="8"/>
  <c r="O472" i="8"/>
  <c r="I472" i="8"/>
  <c r="E472" i="8"/>
  <c r="AT462" i="8"/>
  <c r="AP462" i="8"/>
  <c r="AL462" i="8"/>
  <c r="AH462" i="8"/>
  <c r="AD462" i="8"/>
  <c r="U462" i="8"/>
  <c r="P462" i="8"/>
  <c r="K462" i="8"/>
  <c r="F462" i="8"/>
  <c r="AU457" i="8"/>
  <c r="AQ457" i="8"/>
  <c r="AM457" i="8"/>
  <c r="AI457" i="8"/>
  <c r="AE457" i="8"/>
  <c r="AA457" i="8"/>
  <c r="Q457" i="8"/>
  <c r="M457" i="8"/>
  <c r="G457" i="8"/>
  <c r="C457" i="8"/>
  <c r="AR455" i="8"/>
  <c r="AN455" i="8"/>
  <c r="AJ455" i="8"/>
  <c r="AF455" i="8"/>
  <c r="AB455" i="8"/>
  <c r="S455" i="8"/>
  <c r="N455" i="8"/>
  <c r="H455" i="8"/>
  <c r="D455" i="8"/>
  <c r="AS447" i="8"/>
  <c r="AO447" i="8"/>
  <c r="AK447" i="8"/>
  <c r="AG447" i="8"/>
  <c r="AC447" i="8"/>
  <c r="T447" i="8"/>
  <c r="O447" i="8"/>
  <c r="I447" i="8"/>
  <c r="E447" i="8"/>
  <c r="AT434" i="8"/>
  <c r="AP434" i="8"/>
  <c r="AL434" i="8"/>
  <c r="AH434" i="8"/>
  <c r="AD434" i="8"/>
  <c r="U434" i="8"/>
  <c r="P434" i="8"/>
  <c r="K434" i="8"/>
  <c r="F434" i="8"/>
  <c r="AU404" i="8"/>
  <c r="AQ404" i="8"/>
  <c r="AM404" i="8"/>
  <c r="AI404" i="8"/>
  <c r="AE404" i="8"/>
  <c r="AA404" i="8"/>
  <c r="Q404" i="8"/>
  <c r="M404" i="8"/>
  <c r="G404" i="8"/>
  <c r="C404" i="8"/>
  <c r="AR394" i="8"/>
  <c r="AN394" i="8"/>
  <c r="AJ394" i="8"/>
  <c r="AF394" i="8"/>
  <c r="AB394" i="8"/>
  <c r="S394" i="8"/>
  <c r="N394" i="8"/>
  <c r="H394" i="8"/>
  <c r="D394" i="8"/>
  <c r="AS374" i="8"/>
  <c r="AO374" i="8"/>
  <c r="AK374" i="8"/>
  <c r="AG374" i="8"/>
  <c r="AC374" i="8"/>
  <c r="T374" i="8"/>
  <c r="O374" i="8"/>
  <c r="I374" i="8"/>
  <c r="E374" i="8"/>
  <c r="AT372" i="8"/>
  <c r="AP372" i="8"/>
  <c r="AL372" i="8"/>
  <c r="AH372" i="8"/>
  <c r="AD372" i="8"/>
  <c r="U372" i="8"/>
  <c r="P372" i="8"/>
  <c r="K372" i="8"/>
  <c r="F372" i="8"/>
  <c r="AU369" i="8"/>
  <c r="AQ369" i="8"/>
  <c r="AM369" i="8"/>
  <c r="AI369" i="8"/>
  <c r="AE369" i="8"/>
  <c r="AA369" i="8"/>
  <c r="Q369" i="8"/>
  <c r="M369" i="8"/>
  <c r="G369" i="8"/>
  <c r="C369" i="8"/>
  <c r="AR358" i="8"/>
  <c r="AN358" i="8"/>
  <c r="AJ358" i="8"/>
  <c r="AF358" i="8"/>
  <c r="AB358" i="8"/>
  <c r="S358" i="8"/>
  <c r="N358" i="8"/>
  <c r="H358" i="8"/>
  <c r="D358" i="8"/>
  <c r="AS354" i="8"/>
  <c r="AO354" i="8"/>
  <c r="AK354" i="8"/>
  <c r="AG354" i="8"/>
  <c r="AC354" i="8"/>
  <c r="T354" i="8"/>
  <c r="O354" i="8"/>
  <c r="I354" i="8"/>
  <c r="E354" i="8"/>
  <c r="AT343" i="8"/>
  <c r="AP343" i="8"/>
  <c r="AL343" i="8"/>
  <c r="AH343" i="8"/>
  <c r="AD343" i="8"/>
  <c r="U343" i="8"/>
  <c r="P343" i="8"/>
  <c r="K343" i="8"/>
  <c r="F343" i="8"/>
  <c r="AU336" i="8"/>
  <c r="AQ336" i="8"/>
  <c r="AM336" i="8"/>
  <c r="AI336" i="8"/>
  <c r="AE336" i="8"/>
  <c r="AA336" i="8"/>
  <c r="Q336" i="8"/>
  <c r="M336" i="8"/>
  <c r="G336" i="8"/>
  <c r="C336" i="8"/>
  <c r="AR330" i="8"/>
  <c r="AN330" i="8"/>
  <c r="Q816" i="8"/>
  <c r="F807" i="8"/>
  <c r="AR798" i="8"/>
  <c r="AH785" i="8"/>
  <c r="P782" i="8"/>
  <c r="M780" i="8"/>
  <c r="G774" i="8"/>
  <c r="D771" i="8"/>
  <c r="N765" i="8"/>
  <c r="AL763" i="8"/>
  <c r="G762" i="8"/>
  <c r="AF756" i="8"/>
  <c r="AX753" i="8"/>
  <c r="AA751" i="8"/>
  <c r="AR743" i="8"/>
  <c r="O741" i="8"/>
  <c r="AM739" i="8"/>
  <c r="H738" i="8"/>
  <c r="AH735" i="8"/>
  <c r="C733" i="8"/>
  <c r="AI731" i="8"/>
  <c r="AR730" i="8"/>
  <c r="D730" i="8"/>
  <c r="AD725" i="8"/>
  <c r="AX720" i="8"/>
  <c r="AB720" i="8"/>
  <c r="AV713" i="8"/>
  <c r="AA713" i="8"/>
  <c r="AT709" i="8"/>
  <c r="T709" i="8"/>
  <c r="AS707" i="8"/>
  <c r="Q707" i="8"/>
  <c r="AQ705" i="8"/>
  <c r="P705" i="8"/>
  <c r="AO703" i="8"/>
  <c r="N703" i="8"/>
  <c r="AN698" i="8"/>
  <c r="K698" i="8"/>
  <c r="AL695" i="8"/>
  <c r="H695" i="8"/>
  <c r="AI693" i="8"/>
  <c r="F693" i="8"/>
  <c r="AH691" i="8"/>
  <c r="D691" i="8"/>
  <c r="AF690" i="8"/>
  <c r="C690" i="8"/>
  <c r="AD687" i="8"/>
  <c r="AX686" i="8"/>
  <c r="AC686" i="8"/>
  <c r="AV685" i="8"/>
  <c r="AA685" i="8"/>
  <c r="AU683" i="8"/>
  <c r="T683" i="8"/>
  <c r="AT679" i="8"/>
  <c r="AD679" i="8"/>
  <c r="F679" i="8"/>
  <c r="AM678" i="8"/>
  <c r="Q678" i="8"/>
  <c r="AV674" i="8"/>
  <c r="AF674" i="8"/>
  <c r="H674" i="8"/>
  <c r="AO672" i="8"/>
  <c r="T672" i="8"/>
  <c r="AX668" i="8"/>
  <c r="AH668" i="8"/>
  <c r="I668" i="8"/>
  <c r="AP665" i="8"/>
  <c r="U665" i="8"/>
  <c r="AY664" i="8"/>
  <c r="AI664" i="8"/>
  <c r="M664" i="8"/>
  <c r="AR662" i="8"/>
  <c r="AB662" i="8"/>
  <c r="D662" i="8"/>
  <c r="AK661" i="8"/>
  <c r="O661" i="8"/>
  <c r="AT660" i="8"/>
  <c r="AD660" i="8"/>
  <c r="F660" i="8"/>
  <c r="AM655" i="8"/>
  <c r="Q655" i="8"/>
  <c r="AV652" i="8"/>
  <c r="AF652" i="8"/>
  <c r="G652" i="8"/>
  <c r="AN648" i="8"/>
  <c r="S648" i="8"/>
  <c r="AW647" i="8"/>
  <c r="AG647" i="8"/>
  <c r="I647" i="8"/>
  <c r="AP645" i="8"/>
  <c r="U645" i="8"/>
  <c r="K645" i="8"/>
  <c r="AY644" i="8"/>
  <c r="AQ644" i="8"/>
  <c r="AI644" i="8"/>
  <c r="AC644" i="8"/>
  <c r="S644" i="8"/>
  <c r="M644" i="8"/>
  <c r="D644" i="8"/>
  <c r="AV640" i="8"/>
  <c r="AQ640" i="8"/>
  <c r="AK640" i="8"/>
  <c r="AF640" i="8"/>
  <c r="AA640" i="8"/>
  <c r="O640" i="8"/>
  <c r="H640" i="8"/>
  <c r="C640" i="8"/>
  <c r="AT638" i="8"/>
  <c r="AO638" i="8"/>
  <c r="AJ638" i="8"/>
  <c r="AD638" i="8"/>
  <c r="T638" i="8"/>
  <c r="N638" i="8"/>
  <c r="F638" i="8"/>
  <c r="AX636" i="8"/>
  <c r="AS636" i="8"/>
  <c r="AM636" i="8"/>
  <c r="AH636" i="8"/>
  <c r="AC636" i="8"/>
  <c r="Q636" i="8"/>
  <c r="K636" i="8"/>
  <c r="E636" i="8"/>
  <c r="AV633" i="8"/>
  <c r="AQ633" i="8"/>
  <c r="AL633" i="8"/>
  <c r="AF633" i="8"/>
  <c r="AA633" i="8"/>
  <c r="P633" i="8"/>
  <c r="H633" i="8"/>
  <c r="C633" i="8"/>
  <c r="AU631" i="8"/>
  <c r="AO631" i="8"/>
  <c r="AJ631" i="8"/>
  <c r="AE631" i="8"/>
  <c r="T631" i="8"/>
  <c r="N631" i="8"/>
  <c r="G631" i="8"/>
  <c r="AX622" i="8"/>
  <c r="AS622" i="8"/>
  <c r="AN622" i="8"/>
  <c r="AH622" i="8"/>
  <c r="AC622" i="8"/>
  <c r="S622" i="8"/>
  <c r="K622" i="8"/>
  <c r="E622" i="8"/>
  <c r="AW621" i="8"/>
  <c r="AQ621" i="8"/>
  <c r="AL621" i="8"/>
  <c r="AG621" i="8"/>
  <c r="AA621" i="8"/>
  <c r="P621" i="8"/>
  <c r="I621" i="8"/>
  <c r="C621" i="8"/>
  <c r="AU617" i="8"/>
  <c r="AP617" i="8"/>
  <c r="AJ617" i="8"/>
  <c r="AE617" i="8"/>
  <c r="U617" i="8"/>
  <c r="N617" i="8"/>
  <c r="G617" i="8"/>
  <c r="AY614" i="8"/>
  <c r="AS614" i="8"/>
  <c r="AN614" i="8"/>
  <c r="AI614" i="8"/>
  <c r="AC614" i="8"/>
  <c r="S614" i="8"/>
  <c r="M614" i="8"/>
  <c r="E614" i="8"/>
  <c r="AW605" i="8"/>
  <c r="AR605" i="8"/>
  <c r="AL605" i="8"/>
  <c r="AG605" i="8"/>
  <c r="AB605" i="8"/>
  <c r="P605" i="8"/>
  <c r="I605" i="8"/>
  <c r="D605" i="8"/>
  <c r="AU597" i="8"/>
  <c r="AP597" i="8"/>
  <c r="AK597" i="8"/>
  <c r="AE597" i="8"/>
  <c r="U597" i="8"/>
  <c r="O597" i="8"/>
  <c r="G597" i="8"/>
  <c r="AY590" i="8"/>
  <c r="AT590" i="8"/>
  <c r="AN590" i="8"/>
  <c r="AI590" i="8"/>
  <c r="AD590" i="8"/>
  <c r="S590" i="8"/>
  <c r="M590" i="8"/>
  <c r="F590" i="8"/>
  <c r="AW584" i="8"/>
  <c r="AR584" i="8"/>
  <c r="AM584" i="8"/>
  <c r="AG584" i="8"/>
  <c r="AB584" i="8"/>
  <c r="Q584" i="8"/>
  <c r="I584" i="8"/>
  <c r="D584" i="8"/>
  <c r="AV578" i="8"/>
  <c r="AR578" i="8"/>
  <c r="AN578" i="8"/>
  <c r="AJ578" i="8"/>
  <c r="AF578" i="8"/>
  <c r="AB578" i="8"/>
  <c r="S578" i="8"/>
  <c r="N578" i="8"/>
  <c r="H578" i="8"/>
  <c r="D578" i="8"/>
  <c r="AW577" i="8"/>
  <c r="AS577" i="8"/>
  <c r="AO577" i="8"/>
  <c r="AK577" i="8"/>
  <c r="AG577" i="8"/>
  <c r="AC577" i="8"/>
  <c r="T577" i="8"/>
  <c r="O577" i="8"/>
  <c r="I577" i="8"/>
  <c r="E577" i="8"/>
  <c r="AX574" i="8"/>
  <c r="AT574" i="8"/>
  <c r="AP574" i="8"/>
  <c r="AL574" i="8"/>
  <c r="AH574" i="8"/>
  <c r="AD574" i="8"/>
  <c r="U574" i="8"/>
  <c r="P574" i="8"/>
  <c r="I574" i="8"/>
  <c r="E574" i="8"/>
  <c r="AX573" i="8"/>
  <c r="AT573" i="8"/>
  <c r="AP573" i="8"/>
  <c r="AL573" i="8"/>
  <c r="AH573" i="8"/>
  <c r="AD573" i="8"/>
  <c r="U573" i="8"/>
  <c r="P573" i="8"/>
  <c r="K573" i="8"/>
  <c r="F573" i="8"/>
  <c r="AY570" i="8"/>
  <c r="AU570" i="8"/>
  <c r="AQ570" i="8"/>
  <c r="AM570" i="8"/>
  <c r="AI570" i="8"/>
  <c r="AE570" i="8"/>
  <c r="AA570" i="8"/>
  <c r="Q570" i="8"/>
  <c r="M570" i="8"/>
  <c r="G570" i="8"/>
  <c r="C570" i="8"/>
  <c r="AV563" i="8"/>
  <c r="AR563" i="8"/>
  <c r="AN563" i="8"/>
  <c r="AJ563" i="8"/>
  <c r="AF563" i="8"/>
  <c r="AB563" i="8"/>
  <c r="S563" i="8"/>
  <c r="N563" i="8"/>
  <c r="H563" i="8"/>
  <c r="D563" i="8"/>
  <c r="AW558" i="8"/>
  <c r="AS558" i="8"/>
  <c r="AO558" i="8"/>
  <c r="AK558" i="8"/>
  <c r="AG558" i="8"/>
  <c r="AC558" i="8"/>
  <c r="T558" i="8"/>
  <c r="O558" i="8"/>
  <c r="I558" i="8"/>
  <c r="E558" i="8"/>
  <c r="AX556" i="8"/>
  <c r="AT556" i="8"/>
  <c r="AP556" i="8"/>
  <c r="AL556" i="8"/>
  <c r="AH556" i="8"/>
  <c r="AD556" i="8"/>
  <c r="U556" i="8"/>
  <c r="P556" i="8"/>
  <c r="K556" i="8"/>
  <c r="F556" i="8"/>
  <c r="AY550" i="8"/>
  <c r="AU550" i="8"/>
  <c r="AQ550" i="8"/>
  <c r="AM550" i="8"/>
  <c r="AI550" i="8"/>
  <c r="AE550" i="8"/>
  <c r="AA550" i="8"/>
  <c r="Q550" i="8"/>
  <c r="M550" i="8"/>
  <c r="G550" i="8"/>
  <c r="C550" i="8"/>
  <c r="AV543" i="8"/>
  <c r="AR543" i="8"/>
  <c r="AN543" i="8"/>
  <c r="AJ543" i="8"/>
  <c r="AF543" i="8"/>
  <c r="AB543" i="8"/>
  <c r="S543" i="8"/>
  <c r="N543" i="8"/>
  <c r="H543" i="8"/>
  <c r="D543" i="8"/>
  <c r="AW539" i="8"/>
  <c r="AS539" i="8"/>
  <c r="AO539" i="8"/>
  <c r="AK539" i="8"/>
  <c r="AG539" i="8"/>
  <c r="AC539" i="8"/>
  <c r="T539" i="8"/>
  <c r="O539" i="8"/>
  <c r="I539" i="8"/>
  <c r="E539" i="8"/>
  <c r="AX532" i="8"/>
  <c r="AT532" i="8"/>
  <c r="AP532" i="8"/>
  <c r="AL532" i="8"/>
  <c r="AH532" i="8"/>
  <c r="AD532" i="8"/>
  <c r="U532" i="8"/>
  <c r="P532" i="8"/>
  <c r="K532" i="8"/>
  <c r="F532" i="8"/>
  <c r="AY525" i="8"/>
  <c r="AU525" i="8"/>
  <c r="AQ525" i="8"/>
  <c r="AM525" i="8"/>
  <c r="AI525" i="8"/>
  <c r="AE525" i="8"/>
  <c r="AA525" i="8"/>
  <c r="Q525" i="8"/>
  <c r="M525" i="8"/>
  <c r="G525" i="8"/>
  <c r="C525" i="8"/>
  <c r="AV521" i="8"/>
  <c r="AR521" i="8"/>
  <c r="AN521" i="8"/>
  <c r="AJ521" i="8"/>
  <c r="AF521" i="8"/>
  <c r="AB521" i="8"/>
  <c r="S521" i="8"/>
  <c r="N521" i="8"/>
  <c r="H521" i="8"/>
  <c r="D521" i="8"/>
  <c r="AS503" i="8"/>
  <c r="AO503" i="8"/>
  <c r="AK503" i="8"/>
  <c r="AG503" i="8"/>
  <c r="AC503" i="8"/>
  <c r="T503" i="8"/>
  <c r="O503" i="8"/>
  <c r="I503" i="8"/>
  <c r="E503" i="8"/>
  <c r="AT501" i="8"/>
  <c r="AP501" i="8"/>
  <c r="AL501" i="8"/>
  <c r="AH501" i="8"/>
  <c r="AD501" i="8"/>
  <c r="U501" i="8"/>
  <c r="P501" i="8"/>
  <c r="K501" i="8"/>
  <c r="F501" i="8"/>
  <c r="AU488" i="8"/>
  <c r="AQ488" i="8"/>
  <c r="AM488" i="8"/>
  <c r="AI488" i="8"/>
  <c r="AE488" i="8"/>
  <c r="AA488" i="8"/>
  <c r="Q488" i="8"/>
  <c r="M488" i="8"/>
  <c r="G488" i="8"/>
  <c r="C488" i="8"/>
  <c r="AR472" i="8"/>
  <c r="AN472" i="8"/>
  <c r="AJ472" i="8"/>
  <c r="AF472" i="8"/>
  <c r="AB472" i="8"/>
  <c r="S472" i="8"/>
  <c r="N472" i="8"/>
  <c r="H472" i="8"/>
  <c r="D472" i="8"/>
  <c r="AS462" i="8"/>
  <c r="AO462" i="8"/>
  <c r="AK462" i="8"/>
  <c r="AG462" i="8"/>
  <c r="AC462" i="8"/>
  <c r="T462" i="8"/>
  <c r="O462" i="8"/>
  <c r="I462" i="8"/>
  <c r="E462" i="8"/>
  <c r="AT457" i="8"/>
  <c r="AP457" i="8"/>
  <c r="AL457" i="8"/>
  <c r="AH457" i="8"/>
  <c r="AD457" i="8"/>
  <c r="U457" i="8"/>
  <c r="P457" i="8"/>
  <c r="K457" i="8"/>
  <c r="F457" i="8"/>
  <c r="AU455" i="8"/>
  <c r="AQ455" i="8"/>
  <c r="AM455" i="8"/>
  <c r="AI455" i="8"/>
  <c r="AE455" i="8"/>
  <c r="AA455" i="8"/>
  <c r="Q455" i="8"/>
  <c r="M455" i="8"/>
  <c r="G455" i="8"/>
  <c r="C455" i="8"/>
  <c r="AR447" i="8"/>
  <c r="AN447" i="8"/>
  <c r="AJ447" i="8"/>
  <c r="AF447" i="8"/>
  <c r="AB447" i="8"/>
  <c r="S447" i="8"/>
  <c r="N447" i="8"/>
  <c r="H447" i="8"/>
  <c r="D447" i="8"/>
  <c r="AS434" i="8"/>
  <c r="AO434" i="8"/>
  <c r="AK434" i="8"/>
  <c r="AG434" i="8"/>
  <c r="AC434" i="8"/>
  <c r="T434" i="8"/>
  <c r="O434" i="8"/>
  <c r="I434" i="8"/>
  <c r="E434" i="8"/>
  <c r="AT404" i="8"/>
  <c r="AP404" i="8"/>
  <c r="AL404" i="8"/>
  <c r="AH404" i="8"/>
  <c r="AD404" i="8"/>
  <c r="U404" i="8"/>
  <c r="P404" i="8"/>
  <c r="K404" i="8"/>
  <c r="F404" i="8"/>
  <c r="AU394" i="8"/>
  <c r="AQ394" i="8"/>
  <c r="AM394" i="8"/>
  <c r="AI394" i="8"/>
  <c r="AE394" i="8"/>
  <c r="AA394" i="8"/>
  <c r="Q394" i="8"/>
  <c r="M394" i="8"/>
  <c r="G394" i="8"/>
  <c r="C394" i="8"/>
  <c r="AR374" i="8"/>
  <c r="AN374" i="8"/>
  <c r="AJ374" i="8"/>
  <c r="AF374" i="8"/>
  <c r="AB374" i="8"/>
  <c r="S374" i="8"/>
  <c r="N374" i="8"/>
  <c r="H374" i="8"/>
  <c r="D374" i="8"/>
  <c r="AS372" i="8"/>
  <c r="AO372" i="8"/>
  <c r="AK372" i="8"/>
  <c r="AG372" i="8"/>
  <c r="AC372" i="8"/>
  <c r="T372" i="8"/>
  <c r="O372" i="8"/>
  <c r="I372" i="8"/>
  <c r="E372" i="8"/>
  <c r="AT369" i="8"/>
  <c r="AP369" i="8"/>
  <c r="AL369" i="8"/>
  <c r="AH369" i="8"/>
  <c r="AD369" i="8"/>
  <c r="U369" i="8"/>
  <c r="P369" i="8"/>
  <c r="K369" i="8"/>
  <c r="F369" i="8"/>
  <c r="AU358" i="8"/>
  <c r="AQ358" i="8"/>
  <c r="AM358" i="8"/>
  <c r="AI358" i="8"/>
  <c r="AE358" i="8"/>
  <c r="AA358" i="8"/>
  <c r="Q358" i="8"/>
  <c r="M358" i="8"/>
  <c r="G358" i="8"/>
  <c r="C358" i="8"/>
  <c r="AR354" i="8"/>
  <c r="AN354" i="8"/>
  <c r="AJ354" i="8"/>
  <c r="AF354" i="8"/>
  <c r="AB354" i="8"/>
  <c r="S354" i="8"/>
  <c r="N354" i="8"/>
  <c r="H354" i="8"/>
  <c r="D354" i="8"/>
  <c r="AS343" i="8"/>
  <c r="AO343" i="8"/>
  <c r="AK343" i="8"/>
  <c r="AG343" i="8"/>
  <c r="AC343" i="8"/>
  <c r="T343" i="8"/>
  <c r="O343" i="8"/>
  <c r="I343" i="8"/>
  <c r="E343" i="8"/>
  <c r="AT336" i="8"/>
  <c r="AP336" i="8"/>
  <c r="AL336" i="8"/>
  <c r="AH336" i="8"/>
  <c r="AD336" i="8"/>
  <c r="U336" i="8"/>
  <c r="P336" i="8"/>
  <c r="K336" i="8"/>
  <c r="F336" i="8"/>
  <c r="AU330" i="8"/>
  <c r="AQ330" i="8"/>
  <c r="AM330" i="8"/>
  <c r="AI330" i="8"/>
  <c r="AE330" i="8"/>
  <c r="AA330" i="8"/>
  <c r="Q330" i="8"/>
  <c r="M330" i="8"/>
  <c r="G330" i="8"/>
  <c r="C330" i="8"/>
  <c r="AR319" i="8"/>
  <c r="AN319" i="8"/>
  <c r="AJ319" i="8"/>
  <c r="AF319" i="8"/>
  <c r="AB319" i="8"/>
  <c r="S319" i="8"/>
  <c r="N319" i="8"/>
  <c r="H319" i="8"/>
  <c r="D319" i="8"/>
  <c r="AS304" i="8"/>
  <c r="AO304" i="8"/>
  <c r="AK304" i="8"/>
  <c r="AG304" i="8"/>
  <c r="AC304" i="8"/>
  <c r="T304" i="8"/>
  <c r="O304" i="8"/>
  <c r="I304" i="8"/>
  <c r="E304" i="8"/>
  <c r="AT293" i="8"/>
  <c r="AP293" i="8"/>
  <c r="AL293" i="8"/>
  <c r="AH293" i="8"/>
  <c r="AD293" i="8"/>
  <c r="U293" i="8"/>
  <c r="P293" i="8"/>
  <c r="K293" i="8"/>
  <c r="F293" i="8"/>
  <c r="AU288" i="8"/>
  <c r="AQ288" i="8"/>
  <c r="AM288" i="8"/>
  <c r="AI288" i="8"/>
  <c r="AE288" i="8"/>
  <c r="AA288" i="8"/>
  <c r="Q288" i="8"/>
  <c r="M288" i="8"/>
  <c r="G288" i="8"/>
  <c r="C288" i="8"/>
  <c r="AR267" i="8"/>
  <c r="AN267" i="8"/>
  <c r="AJ267" i="8"/>
  <c r="AF267" i="8"/>
  <c r="AB267" i="8"/>
  <c r="S267" i="8"/>
  <c r="N267" i="8"/>
  <c r="H267" i="8"/>
  <c r="D267" i="8"/>
  <c r="AS252" i="8"/>
  <c r="AO252" i="8"/>
  <c r="AK252" i="8"/>
  <c r="AG252" i="8"/>
  <c r="AC252" i="8"/>
  <c r="T252" i="8"/>
  <c r="O252" i="8"/>
  <c r="I252" i="8"/>
  <c r="E252" i="8"/>
  <c r="AT241" i="8"/>
  <c r="AP241" i="8"/>
  <c r="AL241" i="8"/>
  <c r="AH241" i="8"/>
  <c r="AD241" i="8"/>
  <c r="U241" i="8"/>
  <c r="P241" i="8"/>
  <c r="I241" i="8"/>
  <c r="E241" i="8"/>
  <c r="AT221" i="8"/>
  <c r="AP221" i="8"/>
  <c r="AL221" i="8"/>
  <c r="AH221" i="8"/>
  <c r="AD221" i="8"/>
  <c r="U221" i="8"/>
  <c r="P221" i="8"/>
  <c r="K221" i="8"/>
  <c r="F221" i="8"/>
  <c r="AU193" i="8"/>
  <c r="AQ193" i="8"/>
  <c r="AM193" i="8"/>
  <c r="AI193" i="8"/>
  <c r="AE193" i="8"/>
  <c r="AA193" i="8"/>
  <c r="Q193" i="8"/>
  <c r="M193" i="8"/>
  <c r="G193" i="8"/>
  <c r="C193" i="8"/>
  <c r="AR152" i="8"/>
  <c r="AN152" i="8"/>
  <c r="AJ152" i="8"/>
  <c r="AF152" i="8"/>
  <c r="AB152" i="8"/>
  <c r="S152" i="8"/>
  <c r="N152" i="8"/>
  <c r="G152" i="8"/>
  <c r="C152" i="8"/>
  <c r="AR90" i="8"/>
  <c r="AN90" i="8"/>
  <c r="AJ90" i="8"/>
  <c r="AF90" i="8"/>
  <c r="AB90" i="8"/>
  <c r="S90" i="8"/>
  <c r="N90" i="8"/>
  <c r="H90" i="8"/>
  <c r="D90" i="8"/>
  <c r="AS88" i="8"/>
  <c r="AO88" i="8"/>
  <c r="AK88" i="8"/>
  <c r="AG88" i="8"/>
  <c r="AC88" i="8"/>
  <c r="T88" i="8"/>
  <c r="O88" i="8"/>
  <c r="I88" i="8"/>
  <c r="E88" i="8"/>
  <c r="AT64" i="8"/>
  <c r="AP64" i="8"/>
  <c r="AL64" i="8"/>
  <c r="AH64" i="8"/>
  <c r="AD64" i="8"/>
  <c r="U64" i="8"/>
  <c r="P64" i="8"/>
  <c r="K64" i="8"/>
  <c r="F64" i="8"/>
  <c r="AU36" i="8"/>
  <c r="AQ36" i="8"/>
  <c r="AM36" i="8"/>
  <c r="AI36" i="8"/>
  <c r="AE36" i="8"/>
  <c r="AA36" i="8"/>
  <c r="Q36" i="8"/>
  <c r="M36" i="8"/>
  <c r="G36" i="8"/>
  <c r="C36" i="8"/>
  <c r="K814" i="8"/>
  <c r="AP781" i="8"/>
  <c r="AS764" i="8"/>
  <c r="AH753" i="8"/>
  <c r="Q739" i="8"/>
  <c r="AA731" i="8"/>
  <c r="AR720" i="8"/>
  <c r="AO709" i="8"/>
  <c r="AL705" i="8"/>
  <c r="AH698" i="8"/>
  <c r="AD693" i="8"/>
  <c r="AA690" i="8"/>
  <c r="Q686" i="8"/>
  <c r="N683" i="8"/>
  <c r="AI678" i="8"/>
  <c r="D674" i="8"/>
  <c r="AD668" i="8"/>
  <c r="AU664" i="8"/>
  <c r="S662" i="8"/>
  <c r="AP660" i="8"/>
  <c r="M655" i="8"/>
  <c r="AJ648" i="8"/>
  <c r="E647" i="8"/>
  <c r="AW644" i="8"/>
  <c r="Q644" i="8"/>
  <c r="AO640" i="8"/>
  <c r="N640" i="8"/>
  <c r="AN638" i="8"/>
  <c r="K638" i="8"/>
  <c r="AL636" i="8"/>
  <c r="I636" i="8"/>
  <c r="AJ633" i="8"/>
  <c r="G633" i="8"/>
  <c r="AI631" i="8"/>
  <c r="E631" i="8"/>
  <c r="AG622" i="8"/>
  <c r="D622" i="8"/>
  <c r="AE621" i="8"/>
  <c r="AY617" i="8"/>
  <c r="AD617" i="8"/>
  <c r="AW614" i="8"/>
  <c r="AB614" i="8"/>
  <c r="AV605" i="8"/>
  <c r="U605" i="8"/>
  <c r="AT597" i="8"/>
  <c r="T597" i="8"/>
  <c r="AR590" i="8"/>
  <c r="Q590" i="8"/>
  <c r="AQ584" i="8"/>
  <c r="O584" i="8"/>
  <c r="AQ578" i="8"/>
  <c r="AA578" i="8"/>
  <c r="C578" i="8"/>
  <c r="AJ577" i="8"/>
  <c r="N577" i="8"/>
  <c r="AS574" i="8"/>
  <c r="AC574" i="8"/>
  <c r="D574" i="8"/>
  <c r="AK573" i="8"/>
  <c r="O573" i="8"/>
  <c r="AT570" i="8"/>
  <c r="AD570" i="8"/>
  <c r="F570" i="8"/>
  <c r="AM563" i="8"/>
  <c r="Q563" i="8"/>
  <c r="AV558" i="8"/>
  <c r="AF558" i="8"/>
  <c r="H558" i="8"/>
  <c r="AO556" i="8"/>
  <c r="T556" i="8"/>
  <c r="AX550" i="8"/>
  <c r="AH550" i="8"/>
  <c r="K550" i="8"/>
  <c r="AQ543" i="8"/>
  <c r="AA543" i="8"/>
  <c r="C543" i="8"/>
  <c r="AJ539" i="8"/>
  <c r="N539" i="8"/>
  <c r="AS532" i="8"/>
  <c r="AC532" i="8"/>
  <c r="E532" i="8"/>
  <c r="AL525" i="8"/>
  <c r="P525" i="8"/>
  <c r="AU521" i="8"/>
  <c r="AE521" i="8"/>
  <c r="G521" i="8"/>
  <c r="AJ503" i="8"/>
  <c r="N503" i="8"/>
  <c r="AO501" i="8"/>
  <c r="T501" i="8"/>
  <c r="AT488" i="8"/>
  <c r="AD488" i="8"/>
  <c r="F488" i="8"/>
  <c r="AI472" i="8"/>
  <c r="M472" i="8"/>
  <c r="AN462" i="8"/>
  <c r="S462" i="8"/>
  <c r="AS457" i="8"/>
  <c r="AC457" i="8"/>
  <c r="E457" i="8"/>
  <c r="AH455" i="8"/>
  <c r="K455" i="8"/>
  <c r="AM447" i="8"/>
  <c r="Q447" i="8"/>
  <c r="AR434" i="8"/>
  <c r="AB434" i="8"/>
  <c r="D434" i="8"/>
  <c r="AG404" i="8"/>
  <c r="I404" i="8"/>
  <c r="AL394" i="8"/>
  <c r="P394" i="8"/>
  <c r="AQ374" i="8"/>
  <c r="AA374" i="8"/>
  <c r="C374" i="8"/>
  <c r="AF372" i="8"/>
  <c r="H372" i="8"/>
  <c r="AK369" i="8"/>
  <c r="O369" i="8"/>
  <c r="AP358" i="8"/>
  <c r="U358" i="8"/>
  <c r="AU354" i="8"/>
  <c r="AE354" i="8"/>
  <c r="G354" i="8"/>
  <c r="AJ343" i="8"/>
  <c r="N343" i="8"/>
  <c r="AO336" i="8"/>
  <c r="T336" i="8"/>
  <c r="AT330" i="8"/>
  <c r="AH330" i="8"/>
  <c r="U330" i="8"/>
  <c r="K330" i="8"/>
  <c r="AU319" i="8"/>
  <c r="AM319" i="8"/>
  <c r="AE319" i="8"/>
  <c r="Q319" i="8"/>
  <c r="G319" i="8"/>
  <c r="AR304" i="8"/>
  <c r="AJ304" i="8"/>
  <c r="AE304" i="8"/>
  <c r="U304" i="8"/>
  <c r="N304" i="8"/>
  <c r="G304" i="8"/>
  <c r="AU293" i="8"/>
  <c r="AO293" i="8"/>
  <c r="AJ293" i="8"/>
  <c r="AE293" i="8"/>
  <c r="T293" i="8"/>
  <c r="N293" i="8"/>
  <c r="G293" i="8"/>
  <c r="AT288" i="8"/>
  <c r="AO288" i="8"/>
  <c r="AJ288" i="8"/>
  <c r="AD288" i="8"/>
  <c r="T288" i="8"/>
  <c r="N288" i="8"/>
  <c r="F288" i="8"/>
  <c r="AT267" i="8"/>
  <c r="AO267" i="8"/>
  <c r="AI267" i="8"/>
  <c r="AD267" i="8"/>
  <c r="T267" i="8"/>
  <c r="M267" i="8"/>
  <c r="F267" i="8"/>
  <c r="AT252" i="8"/>
  <c r="AN252" i="8"/>
  <c r="AI252" i="8"/>
  <c r="AD252" i="8"/>
  <c r="S252" i="8"/>
  <c r="M252" i="8"/>
  <c r="F252" i="8"/>
  <c r="AS241" i="8"/>
  <c r="AN241" i="8"/>
  <c r="AI241" i="8"/>
  <c r="AC241" i="8"/>
  <c r="S241" i="8"/>
  <c r="M241" i="8"/>
  <c r="D241" i="8"/>
  <c r="AR221" i="8"/>
  <c r="AM221" i="8"/>
  <c r="AG221" i="8"/>
  <c r="AB221" i="8"/>
  <c r="Q221" i="8"/>
  <c r="I221" i="8"/>
  <c r="D221" i="8"/>
  <c r="AF804" i="8"/>
  <c r="AL777" i="8"/>
  <c r="P763" i="8"/>
  <c r="AY748" i="8"/>
  <c r="AO737" i="8"/>
  <c r="AJ730" i="8"/>
  <c r="Q720" i="8"/>
  <c r="N709" i="8"/>
  <c r="H705" i="8"/>
  <c r="E698" i="8"/>
  <c r="AX691" i="8"/>
  <c r="AT687" i="8"/>
  <c r="AQ685" i="8"/>
  <c r="AP679" i="8"/>
  <c r="M678" i="8"/>
  <c r="AK672" i="8"/>
  <c r="E668" i="8"/>
  <c r="AE664" i="8"/>
  <c r="AW661" i="8"/>
  <c r="U660" i="8"/>
  <c r="AR652" i="8"/>
  <c r="N648" i="8"/>
  <c r="AL645" i="8"/>
  <c r="AO644" i="8"/>
  <c r="H644" i="8"/>
  <c r="AJ640" i="8"/>
  <c r="G640" i="8"/>
  <c r="AH638" i="8"/>
  <c r="E638" i="8"/>
  <c r="AG636" i="8"/>
  <c r="C636" i="8"/>
  <c r="AE633" i="8"/>
  <c r="AY631" i="8"/>
  <c r="AC631" i="8"/>
  <c r="AW622" i="8"/>
  <c r="AB622" i="8"/>
  <c r="AU621" i="8"/>
  <c r="U621" i="8"/>
  <c r="AT617" i="8"/>
  <c r="S617" i="8"/>
  <c r="AR614" i="8"/>
  <c r="Q614" i="8"/>
  <c r="AP605" i="8"/>
  <c r="O605" i="8"/>
  <c r="AO597" i="8"/>
  <c r="M597" i="8"/>
  <c r="AM590" i="8"/>
  <c r="K590" i="8"/>
  <c r="AK584" i="8"/>
  <c r="H584" i="8"/>
  <c r="AM578" i="8"/>
  <c r="Q578" i="8"/>
  <c r="AV577" i="8"/>
  <c r="AF577" i="8"/>
  <c r="H577" i="8"/>
  <c r="AO574" i="8"/>
  <c r="T574" i="8"/>
  <c r="AW573" i="8"/>
  <c r="AG573" i="8"/>
  <c r="I573" i="8"/>
  <c r="AP570" i="8"/>
  <c r="U570" i="8"/>
  <c r="AY563" i="8"/>
  <c r="AI563" i="8"/>
  <c r="M563" i="8"/>
  <c r="AR558" i="8"/>
  <c r="AB558" i="8"/>
  <c r="D558" i="8"/>
  <c r="AK556" i="8"/>
  <c r="O556" i="8"/>
  <c r="AT550" i="8"/>
  <c r="AD550" i="8"/>
  <c r="F550" i="8"/>
  <c r="AM543" i="8"/>
  <c r="Q543" i="8"/>
  <c r="AV539" i="8"/>
  <c r="AF539" i="8"/>
  <c r="H539" i="8"/>
  <c r="AO532" i="8"/>
  <c r="T532" i="8"/>
  <c r="AX525" i="8"/>
  <c r="AH525" i="8"/>
  <c r="K525" i="8"/>
  <c r="AQ521" i="8"/>
  <c r="AA521" i="8"/>
  <c r="C521" i="8"/>
  <c r="AF503" i="8"/>
  <c r="H503" i="8"/>
  <c r="AK501" i="8"/>
  <c r="O501" i="8"/>
  <c r="AP488" i="8"/>
  <c r="U488" i="8"/>
  <c r="AU472" i="8"/>
  <c r="AE472" i="8"/>
  <c r="G472" i="8"/>
  <c r="AJ462" i="8"/>
  <c r="N462" i="8"/>
  <c r="AO457" i="8"/>
  <c r="T457" i="8"/>
  <c r="AT455" i="8"/>
  <c r="AD455" i="8"/>
  <c r="F455" i="8"/>
  <c r="AI447" i="8"/>
  <c r="M447" i="8"/>
  <c r="AN434" i="8"/>
  <c r="S434" i="8"/>
  <c r="AS404" i="8"/>
  <c r="AC404" i="8"/>
  <c r="E404" i="8"/>
  <c r="AH394" i="8"/>
  <c r="K394" i="8"/>
  <c r="AM374" i="8"/>
  <c r="Q374" i="8"/>
  <c r="E784" i="8"/>
  <c r="AF768" i="8"/>
  <c r="H756" i="8"/>
  <c r="AT740" i="8"/>
  <c r="AJ732" i="8"/>
  <c r="T725" i="8"/>
  <c r="O713" i="8"/>
  <c r="K707" i="8"/>
  <c r="G703" i="8"/>
  <c r="AY693" i="8"/>
  <c r="AV690" i="8"/>
  <c r="AS686" i="8"/>
  <c r="AO683" i="8"/>
  <c r="AY678" i="8"/>
  <c r="AB674" i="8"/>
  <c r="AT668" i="8"/>
  <c r="P665" i="8"/>
  <c r="AN662" i="8"/>
  <c r="I661" i="8"/>
  <c r="AI655" i="8"/>
  <c r="C652" i="8"/>
  <c r="AC647" i="8"/>
  <c r="H645" i="8"/>
  <c r="AB644" i="8"/>
  <c r="AU640" i="8"/>
  <c r="T640" i="8"/>
  <c r="AS638" i="8"/>
  <c r="S638" i="8"/>
  <c r="AQ636" i="8"/>
  <c r="P636" i="8"/>
  <c r="AP633" i="8"/>
  <c r="N633" i="8"/>
  <c r="AN631" i="8"/>
  <c r="M631" i="8"/>
  <c r="AL622" i="8"/>
  <c r="I622" i="8"/>
  <c r="AK621" i="8"/>
  <c r="G621" i="8"/>
  <c r="AI617" i="8"/>
  <c r="F617" i="8"/>
  <c r="AG614" i="8"/>
  <c r="D614" i="8"/>
  <c r="AF605" i="8"/>
  <c r="AY597" i="8"/>
  <c r="AD597" i="8"/>
  <c r="AX590" i="8"/>
  <c r="AB590" i="8"/>
  <c r="AV584" i="8"/>
  <c r="AA584" i="8"/>
  <c r="AU578" i="8"/>
  <c r="AE578" i="8"/>
  <c r="G578" i="8"/>
  <c r="AN577" i="8"/>
  <c r="S577" i="8"/>
  <c r="AW574" i="8"/>
  <c r="AG574" i="8"/>
  <c r="H574" i="8"/>
  <c r="AO573" i="8"/>
  <c r="T573" i="8"/>
  <c r="AX570" i="8"/>
  <c r="AH570" i="8"/>
  <c r="K570" i="8"/>
  <c r="AQ563" i="8"/>
  <c r="AA563" i="8"/>
  <c r="C563" i="8"/>
  <c r="AJ558" i="8"/>
  <c r="N558" i="8"/>
  <c r="AS556" i="8"/>
  <c r="AC556" i="8"/>
  <c r="E556" i="8"/>
  <c r="AL550" i="8"/>
  <c r="P550" i="8"/>
  <c r="AU543" i="8"/>
  <c r="AE543" i="8"/>
  <c r="G543" i="8"/>
  <c r="AN539" i="8"/>
  <c r="S539" i="8"/>
  <c r="AW532" i="8"/>
  <c r="AG532" i="8"/>
  <c r="I532" i="8"/>
  <c r="AP525" i="8"/>
  <c r="U525" i="8"/>
  <c r="AY521" i="8"/>
  <c r="AI521" i="8"/>
  <c r="M521" i="8"/>
  <c r="AN503" i="8"/>
  <c r="S503" i="8"/>
  <c r="AS501" i="8"/>
  <c r="AC501" i="8"/>
  <c r="E501" i="8"/>
  <c r="AH488" i="8"/>
  <c r="K488" i="8"/>
  <c r="AM472" i="8"/>
  <c r="Q472" i="8"/>
  <c r="AR462" i="8"/>
  <c r="AB462" i="8"/>
  <c r="D462" i="8"/>
  <c r="AG457" i="8"/>
  <c r="I457" i="8"/>
  <c r="AL455" i="8"/>
  <c r="P455" i="8"/>
  <c r="AQ447" i="8"/>
  <c r="AA447" i="8"/>
  <c r="C447" i="8"/>
  <c r="AF434" i="8"/>
  <c r="H434" i="8"/>
  <c r="AK404" i="8"/>
  <c r="O404" i="8"/>
  <c r="AP394" i="8"/>
  <c r="U394" i="8"/>
  <c r="AU374" i="8"/>
  <c r="AE374" i="8"/>
  <c r="G374" i="8"/>
  <c r="AJ372" i="8"/>
  <c r="N372" i="8"/>
  <c r="AO369" i="8"/>
  <c r="T369" i="8"/>
  <c r="AT358" i="8"/>
  <c r="AD358" i="8"/>
  <c r="F358" i="8"/>
  <c r="AI354" i="8"/>
  <c r="M354" i="8"/>
  <c r="AN343" i="8"/>
  <c r="S343" i="8"/>
  <c r="AS336" i="8"/>
  <c r="AC336" i="8"/>
  <c r="E336" i="8"/>
  <c r="O795" i="8"/>
  <c r="K735" i="8"/>
  <c r="AJ703" i="8"/>
  <c r="P685" i="8"/>
  <c r="AL665" i="8"/>
  <c r="AB652" i="8"/>
  <c r="C644" i="8"/>
  <c r="AW636" i="8"/>
  <c r="AS631" i="8"/>
  <c r="AP621" i="8"/>
  <c r="AM614" i="8"/>
  <c r="AI597" i="8"/>
  <c r="AF584" i="8"/>
  <c r="AR577" i="8"/>
  <c r="O574" i="8"/>
  <c r="AL570" i="8"/>
  <c r="G563" i="8"/>
  <c r="AG556" i="8"/>
  <c r="AY543" i="8"/>
  <c r="AB539" i="8"/>
  <c r="AT525" i="8"/>
  <c r="Q521" i="8"/>
  <c r="AG501" i="8"/>
  <c r="AQ472" i="8"/>
  <c r="H462" i="8"/>
  <c r="U455" i="8"/>
  <c r="AJ434" i="8"/>
  <c r="AT394" i="8"/>
  <c r="M374" i="8"/>
  <c r="S372" i="8"/>
  <c r="AC369" i="8"/>
  <c r="AH358" i="8"/>
  <c r="AM354" i="8"/>
  <c r="AR343" i="8"/>
  <c r="D343" i="8"/>
  <c r="I336" i="8"/>
  <c r="AF330" i="8"/>
  <c r="P330" i="8"/>
  <c r="D330" i="8"/>
  <c r="AK319" i="8"/>
  <c r="AA319" i="8"/>
  <c r="I319" i="8"/>
  <c r="AP304" i="8"/>
  <c r="AH304" i="8"/>
  <c r="AA304" i="8"/>
  <c r="M304" i="8"/>
  <c r="D304" i="8"/>
  <c r="AQ293" i="8"/>
  <c r="AI293" i="8"/>
  <c r="AB293" i="8"/>
  <c r="O293" i="8"/>
  <c r="E293" i="8"/>
  <c r="AR288" i="8"/>
  <c r="AK288" i="8"/>
  <c r="AC288" i="8"/>
  <c r="P288" i="8"/>
  <c r="H288" i="8"/>
  <c r="AS267" i="8"/>
  <c r="AL267" i="8"/>
  <c r="AE267" i="8"/>
  <c r="Q267" i="8"/>
  <c r="I267" i="8"/>
  <c r="AU252" i="8"/>
  <c r="AM252" i="8"/>
  <c r="AF252" i="8"/>
  <c r="U252" i="8"/>
  <c r="K252" i="8"/>
  <c r="C252" i="8"/>
  <c r="AO241" i="8"/>
  <c r="AG241" i="8"/>
  <c r="AA241" i="8"/>
  <c r="N241" i="8"/>
  <c r="C241" i="8"/>
  <c r="AO221" i="8"/>
  <c r="AI221" i="8"/>
  <c r="AA221" i="8"/>
  <c r="N221" i="8"/>
  <c r="E221" i="8"/>
  <c r="AR193" i="8"/>
  <c r="AL193" i="8"/>
  <c r="AG193" i="8"/>
  <c r="AB193" i="8"/>
  <c r="P193" i="8"/>
  <c r="I193" i="8"/>
  <c r="D193" i="8"/>
  <c r="AQ152" i="8"/>
  <c r="AL152" i="8"/>
  <c r="AG152" i="8"/>
  <c r="AA152" i="8"/>
  <c r="P152" i="8"/>
  <c r="H152" i="8"/>
  <c r="AU90" i="8"/>
  <c r="AP90" i="8"/>
  <c r="AK90" i="8"/>
  <c r="AE90" i="8"/>
  <c r="U90" i="8"/>
  <c r="O90" i="8"/>
  <c r="G90" i="8"/>
  <c r="AU88" i="8"/>
  <c r="AP88" i="8"/>
  <c r="AJ88" i="8"/>
  <c r="AE88" i="8"/>
  <c r="U88" i="8"/>
  <c r="N88" i="8"/>
  <c r="G88" i="8"/>
  <c r="AU64" i="8"/>
  <c r="AO64" i="8"/>
  <c r="AJ64" i="8"/>
  <c r="AE64" i="8"/>
  <c r="T64" i="8"/>
  <c r="N64" i="8"/>
  <c r="G64" i="8"/>
  <c r="AT36" i="8"/>
  <c r="AO36" i="8"/>
  <c r="AJ36" i="8"/>
  <c r="AD36" i="8"/>
  <c r="T36" i="8"/>
  <c r="N36" i="8"/>
  <c r="F36" i="8"/>
  <c r="M221" i="8"/>
  <c r="AK193" i="8"/>
  <c r="AF193" i="8"/>
  <c r="O193" i="8"/>
  <c r="AU152" i="8"/>
  <c r="AP152" i="8"/>
  <c r="AE152" i="8"/>
  <c r="U152" i="8"/>
  <c r="F152" i="8"/>
  <c r="AO90" i="8"/>
  <c r="AI90" i="8"/>
  <c r="T90" i="8"/>
  <c r="F90" i="8"/>
  <c r="AT88" i="8"/>
  <c r="AI88" i="8"/>
  <c r="AD88" i="8"/>
  <c r="M88" i="8"/>
  <c r="AS64" i="8"/>
  <c r="AN64" i="8"/>
  <c r="AC64" i="8"/>
  <c r="M64" i="8"/>
  <c r="E64" i="8"/>
  <c r="AN36" i="8"/>
  <c r="AH36" i="8"/>
  <c r="S36" i="8"/>
  <c r="E36" i="8"/>
  <c r="F525" i="8"/>
  <c r="K358" i="8"/>
  <c r="AB343" i="8"/>
  <c r="AB330" i="8"/>
  <c r="AG319" i="8"/>
  <c r="O319" i="8"/>
  <c r="AD304" i="8"/>
  <c r="H304" i="8"/>
  <c r="AF293" i="8"/>
  <c r="C293" i="8"/>
  <c r="AN288" i="8"/>
  <c r="K288" i="8"/>
  <c r="AH267" i="8"/>
  <c r="O267" i="8"/>
  <c r="AQ252" i="8"/>
  <c r="AB252" i="8"/>
  <c r="AR241" i="8"/>
  <c r="AE241" i="8"/>
  <c r="G241" i="8"/>
  <c r="AE221" i="8"/>
  <c r="AT193" i="8"/>
  <c r="AJ193" i="8"/>
  <c r="T193" i="8"/>
  <c r="F193" i="8"/>
  <c r="AI152" i="8"/>
  <c r="M152" i="8"/>
  <c r="E152" i="8"/>
  <c r="AH90" i="8"/>
  <c r="K90" i="8"/>
  <c r="AR88" i="8"/>
  <c r="AH88" i="8"/>
  <c r="K88" i="8"/>
  <c r="AR64" i="8"/>
  <c r="AG64" i="8"/>
  <c r="I64" i="8"/>
  <c r="AR36" i="8"/>
  <c r="AB36" i="8"/>
  <c r="P36" i="8"/>
  <c r="AI773" i="8"/>
  <c r="AT725" i="8"/>
  <c r="AG695" i="8"/>
  <c r="U679" i="8"/>
  <c r="G664" i="8"/>
  <c r="AS647" i="8"/>
  <c r="AE640" i="8"/>
  <c r="AA636" i="8"/>
  <c r="S631" i="8"/>
  <c r="O621" i="8"/>
  <c r="I614" i="8"/>
  <c r="F597" i="8"/>
  <c r="C584" i="8"/>
  <c r="AB577" i="8"/>
  <c r="AS573" i="8"/>
  <c r="P570" i="8"/>
  <c r="AN558" i="8"/>
  <c r="I556" i="8"/>
  <c r="AI543" i="8"/>
  <c r="D539" i="8"/>
  <c r="AD525" i="8"/>
  <c r="AR503" i="8"/>
  <c r="I501" i="8"/>
  <c r="AA472" i="8"/>
  <c r="AK457" i="8"/>
  <c r="AU447" i="8"/>
  <c r="N434" i="8"/>
  <c r="AD394" i="8"/>
  <c r="AR372" i="8"/>
  <c r="D372" i="8"/>
  <c r="I369" i="8"/>
  <c r="P358" i="8"/>
  <c r="AA354" i="8"/>
  <c r="AF343" i="8"/>
  <c r="AK336" i="8"/>
  <c r="AP330" i="8"/>
  <c r="AD330" i="8"/>
  <c r="N330" i="8"/>
  <c r="AS319" i="8"/>
  <c r="AI319" i="8"/>
  <c r="T319" i="8"/>
  <c r="E319" i="8"/>
  <c r="AN304" i="8"/>
  <c r="AF304" i="8"/>
  <c r="S304" i="8"/>
  <c r="K304" i="8"/>
  <c r="C304" i="8"/>
  <c r="AN293" i="8"/>
  <c r="AG293" i="8"/>
  <c r="AA293" i="8"/>
  <c r="M293" i="8"/>
  <c r="D293" i="8"/>
  <c r="AP288" i="8"/>
  <c r="AH288" i="8"/>
  <c r="AB288" i="8"/>
  <c r="O288" i="8"/>
  <c r="E288" i="8"/>
  <c r="AQ267" i="8"/>
  <c r="AK267" i="8"/>
  <c r="AC267" i="8"/>
  <c r="P267" i="8"/>
  <c r="G267" i="8"/>
  <c r="AR252" i="8"/>
  <c r="AL252" i="8"/>
  <c r="AE252" i="8"/>
  <c r="Q252" i="8"/>
  <c r="H252" i="8"/>
  <c r="AU241" i="8"/>
  <c r="AM241" i="8"/>
  <c r="AF241" i="8"/>
  <c r="T241" i="8"/>
  <c r="H241" i="8"/>
  <c r="AU221" i="8"/>
  <c r="AN221" i="8"/>
  <c r="AF221" i="8"/>
  <c r="T221" i="8"/>
  <c r="C221" i="8"/>
  <c r="AP193" i="8"/>
  <c r="U193" i="8"/>
  <c r="H193" i="8"/>
  <c r="AK152" i="8"/>
  <c r="O152" i="8"/>
  <c r="AT90" i="8"/>
  <c r="AD90" i="8"/>
  <c r="M90" i="8"/>
  <c r="AN88" i="8"/>
  <c r="S88" i="8"/>
  <c r="F88" i="8"/>
  <c r="AI64" i="8"/>
  <c r="S64" i="8"/>
  <c r="AS36" i="8"/>
  <c r="AC36" i="8"/>
  <c r="K36" i="8"/>
  <c r="AN757" i="8"/>
  <c r="AQ713" i="8"/>
  <c r="AB691" i="8"/>
  <c r="AR674" i="8"/>
  <c r="AG661" i="8"/>
  <c r="S645" i="8"/>
  <c r="AX638" i="8"/>
  <c r="AU633" i="8"/>
  <c r="AR622" i="8"/>
  <c r="AN617" i="8"/>
  <c r="AK605" i="8"/>
  <c r="AH590" i="8"/>
  <c r="D577" i="8"/>
  <c r="AC573" i="8"/>
  <c r="AU563" i="8"/>
  <c r="AP550" i="8"/>
  <c r="AK532" i="8"/>
  <c r="AL488" i="8"/>
  <c r="O457" i="8"/>
  <c r="AO404" i="8"/>
  <c r="AN372" i="8"/>
  <c r="E369" i="8"/>
  <c r="AG336" i="8"/>
  <c r="AQ319" i="8"/>
  <c r="AL304" i="8"/>
  <c r="AS293" i="8"/>
  <c r="S293" i="8"/>
  <c r="AG288" i="8"/>
  <c r="AP267" i="8"/>
  <c r="E267" i="8"/>
  <c r="P252" i="8"/>
  <c r="AK241" i="8"/>
  <c r="AS221" i="8"/>
  <c r="H221" i="8"/>
  <c r="AD193" i="8"/>
  <c r="AT152" i="8"/>
  <c r="AD152" i="8"/>
  <c r="AM90" i="8"/>
  <c r="Q90" i="8"/>
  <c r="AM88" i="8"/>
  <c r="Q88" i="8"/>
  <c r="AM64" i="8"/>
  <c r="Q64" i="8"/>
  <c r="AL36" i="8"/>
  <c r="D36" i="8"/>
  <c r="AB743" i="8"/>
  <c r="AM707" i="8"/>
  <c r="T687" i="8"/>
  <c r="O672" i="8"/>
  <c r="AY655" i="8"/>
  <c r="AG644" i="8"/>
  <c r="AC638" i="8"/>
  <c r="U633" i="8"/>
  <c r="P622" i="8"/>
  <c r="M617" i="8"/>
  <c r="H605" i="8"/>
  <c r="D590" i="8"/>
  <c r="M578" i="8"/>
  <c r="AK574" i="8"/>
  <c r="E573" i="8"/>
  <c r="AE563" i="8"/>
  <c r="AW556" i="8"/>
  <c r="U550" i="8"/>
  <c r="AR539" i="8"/>
  <c r="O532" i="8"/>
  <c r="AM521" i="8"/>
  <c r="D503" i="8"/>
  <c r="P488" i="8"/>
  <c r="AF462" i="8"/>
  <c r="AP455" i="8"/>
  <c r="G447" i="8"/>
  <c r="T404" i="8"/>
  <c r="AI374" i="8"/>
  <c r="AB372" i="8"/>
  <c r="AG369" i="8"/>
  <c r="AL358" i="8"/>
  <c r="AQ354" i="8"/>
  <c r="C354" i="8"/>
  <c r="H343" i="8"/>
  <c r="O336" i="8"/>
  <c r="AJ330" i="8"/>
  <c r="S330" i="8"/>
  <c r="F330" i="8"/>
  <c r="AO319" i="8"/>
  <c r="AC319" i="8"/>
  <c r="M319" i="8"/>
  <c r="AT304" i="8"/>
  <c r="AI304" i="8"/>
  <c r="AB304" i="8"/>
  <c r="P304" i="8"/>
  <c r="F304" i="8"/>
  <c r="AR293" i="8"/>
  <c r="AK293" i="8"/>
  <c r="AC293" i="8"/>
  <c r="Q293" i="8"/>
  <c r="H293" i="8"/>
  <c r="AS288" i="8"/>
  <c r="AL288" i="8"/>
  <c r="AF288" i="8"/>
  <c r="S288" i="8"/>
  <c r="I288" i="8"/>
  <c r="AU267" i="8"/>
  <c r="AM267" i="8"/>
  <c r="AG267" i="8"/>
  <c r="U267" i="8"/>
  <c r="K267" i="8"/>
  <c r="C267" i="8"/>
  <c r="AP252" i="8"/>
  <c r="AH252" i="8"/>
  <c r="AA252" i="8"/>
  <c r="N252" i="8"/>
  <c r="D252" i="8"/>
  <c r="AQ241" i="8"/>
  <c r="AJ241" i="8"/>
  <c r="AB241" i="8"/>
  <c r="O241" i="8"/>
  <c r="F241" i="8"/>
  <c r="AQ221" i="8"/>
  <c r="AJ221" i="8"/>
  <c r="AC221" i="8"/>
  <c r="O221" i="8"/>
  <c r="G221" i="8"/>
  <c r="AS193" i="8"/>
  <c r="AN193" i="8"/>
  <c r="AH193" i="8"/>
  <c r="AC193" i="8"/>
  <c r="S193" i="8"/>
  <c r="K193" i="8"/>
  <c r="E193" i="8"/>
  <c r="AS152" i="8"/>
  <c r="AM152" i="8"/>
  <c r="AH152" i="8"/>
  <c r="AC152" i="8"/>
  <c r="Q152" i="8"/>
  <c r="I152" i="8"/>
  <c r="D152" i="8"/>
  <c r="AQ90" i="8"/>
  <c r="AL90" i="8"/>
  <c r="AG90" i="8"/>
  <c r="AA90" i="8"/>
  <c r="P90" i="8"/>
  <c r="I90" i="8"/>
  <c r="C90" i="8"/>
  <c r="AQ88" i="8"/>
  <c r="AL88" i="8"/>
  <c r="AF88" i="8"/>
  <c r="AA88" i="8"/>
  <c r="P88" i="8"/>
  <c r="H88" i="8"/>
  <c r="C88" i="8"/>
  <c r="AQ64" i="8"/>
  <c r="AK64" i="8"/>
  <c r="AF64" i="8"/>
  <c r="AA64" i="8"/>
  <c r="O64" i="8"/>
  <c r="H64" i="8"/>
  <c r="C64" i="8"/>
  <c r="AP36" i="8"/>
  <c r="AK36" i="8"/>
  <c r="AF36" i="8"/>
  <c r="U36" i="8"/>
  <c r="O36" i="8"/>
  <c r="H36" i="8"/>
  <c r="AI578" i="8"/>
  <c r="S558" i="8"/>
  <c r="M543" i="8"/>
  <c r="AB503" i="8"/>
  <c r="C472" i="8"/>
  <c r="AE447" i="8"/>
  <c r="F394" i="8"/>
  <c r="AS369" i="8"/>
  <c r="Q354" i="8"/>
  <c r="AL330" i="8"/>
  <c r="H330" i="8"/>
  <c r="C319" i="8"/>
  <c r="Q304" i="8"/>
  <c r="AM293" i="8"/>
  <c r="I293" i="8"/>
  <c r="U288" i="8"/>
  <c r="D288" i="8"/>
  <c r="AA267" i="8"/>
  <c r="AJ252" i="8"/>
  <c r="G252" i="8"/>
  <c r="Q241" i="8"/>
  <c r="AK221" i="8"/>
  <c r="S221" i="8"/>
  <c r="AO193" i="8"/>
  <c r="N193" i="8"/>
  <c r="AO152" i="8"/>
  <c r="T152" i="8"/>
  <c r="AS90" i="8"/>
  <c r="AC90" i="8"/>
  <c r="E90" i="8"/>
  <c r="AB88" i="8"/>
  <c r="D88" i="8"/>
  <c r="AB64" i="8"/>
  <c r="D64" i="8"/>
  <c r="AG36" i="8"/>
  <c r="I36" i="8"/>
  <c r="P3" i="4" l="1"/>
  <c r="T7" i="7"/>
  <c r="R7" i="7"/>
  <c r="W23" i="7" s="1"/>
  <c r="P7" i="7"/>
  <c r="B24" i="7" s="1"/>
  <c r="O7" i="7"/>
  <c r="S7" i="7"/>
  <c r="V23" i="7" s="1"/>
  <c r="Q7" i="7"/>
  <c r="AA23" i="7" s="1"/>
  <c r="F51" i="4"/>
  <c r="P3" i="7" l="1"/>
  <c r="T26" i="7"/>
  <c r="E47" i="7" s="1"/>
</calcChain>
</file>

<file path=xl/sharedStrings.xml><?xml version="1.0" encoding="utf-8"?>
<sst xmlns="http://schemas.openxmlformats.org/spreadsheetml/2006/main" count="28062" uniqueCount="8065">
  <si>
    <t>日本サード・パーティ株式会社</t>
    <rPh sb="0" eb="2">
      <t>ニホン</t>
    </rPh>
    <rPh sb="10" eb="14">
      <t>カブシキガイシャ</t>
    </rPh>
    <phoneticPr fontId="2"/>
  </si>
  <si>
    <t>東京都品川区西五反田7-22-17</t>
    <rPh sb="0" eb="3">
      <t>トウキョウト</t>
    </rPh>
    <rPh sb="3" eb="6">
      <t>シナガワク</t>
    </rPh>
    <rPh sb="6" eb="10">
      <t>ニシゴタンダ</t>
    </rPh>
    <phoneticPr fontId="2"/>
  </si>
  <si>
    <t>TOCビル 6F</t>
  </si>
  <si>
    <t>SonoSite認定サービスセンター</t>
  </si>
  <si>
    <t>株式会社 栗原医療器械店 水戸支店</t>
  </si>
  <si>
    <t>皆川様</t>
  </si>
  <si>
    <t>修理内容の詳細につきましては添付した『修理前報告書』にてご確認下さい。</t>
  </si>
  <si>
    <t>併せてご確認の程、宜しくお願い致します。</t>
    <rPh sb="0" eb="1">
      <t>アワ</t>
    </rPh>
    <phoneticPr fontId="2"/>
  </si>
  <si>
    <t>担当者</t>
    <rPh sb="0" eb="3">
      <t>タントウシャ</t>
    </rPh>
    <phoneticPr fontId="53"/>
  </si>
  <si>
    <t>森</t>
  </si>
  <si>
    <t>森</t>
    <rPh sb="0" eb="1">
      <t>モリ</t>
    </rPh>
    <phoneticPr fontId="53"/>
  </si>
  <si>
    <t>梶山</t>
    <rPh sb="0" eb="2">
      <t>カジヤマ</t>
    </rPh>
    <phoneticPr fontId="53"/>
  </si>
  <si>
    <t>梶田</t>
  </si>
  <si>
    <t>梶田</t>
    <rPh sb="0" eb="2">
      <t>カジタ</t>
    </rPh>
    <phoneticPr fontId="53"/>
  </si>
  <si>
    <t>馬屋原</t>
  </si>
  <si>
    <t>馬屋原</t>
    <rPh sb="0" eb="3">
      <t>ウマヤハラ</t>
    </rPh>
    <phoneticPr fontId="53"/>
  </si>
  <si>
    <t>高橋</t>
  </si>
  <si>
    <t>高橋</t>
    <rPh sb="0" eb="2">
      <t>タカハシ</t>
    </rPh>
    <phoneticPr fontId="53"/>
  </si>
  <si>
    <t>桐野</t>
    <rPh sb="0" eb="2">
      <t>キリノ</t>
    </rPh>
    <phoneticPr fontId="53"/>
  </si>
  <si>
    <t>FAX TRANSMISSION SHEET</t>
    <phoneticPr fontId="2"/>
  </si>
  <si>
    <t>JAPAN THIRD PARTY</t>
    <phoneticPr fontId="2"/>
  </si>
  <si>
    <t>TEL：0120-530-453</t>
    <phoneticPr fontId="2"/>
  </si>
  <si>
    <r>
      <t>FAX：</t>
    </r>
    <r>
      <rPr>
        <sz val="11"/>
        <color theme="1"/>
        <rFont val="ＭＳ Ｐゴシック"/>
        <family val="2"/>
        <charset val="128"/>
        <scheme val="minor"/>
      </rPr>
      <t>03-6867-1190</t>
    </r>
    <phoneticPr fontId="2"/>
  </si>
  <si>
    <t>■DATE：</t>
    <phoneticPr fontId="2"/>
  </si>
  <si>
    <t>■TO：</t>
    <phoneticPr fontId="2"/>
  </si>
  <si>
    <t>■FROM：</t>
    <phoneticPr fontId="2"/>
  </si>
  <si>
    <t>ソノサイトサービスセンター</t>
    <phoneticPr fontId="2"/>
  </si>
  <si>
    <t xml:space="preserve">担当 ： </t>
    <phoneticPr fontId="2"/>
  </si>
  <si>
    <t>　　　　　</t>
    <phoneticPr fontId="2"/>
  </si>
  <si>
    <t>いつも大変お世話になっております。</t>
    <phoneticPr fontId="2"/>
  </si>
  <si>
    <t>現在修理ご依頼頂いております修理品について御見積書を提出させて頂きます。</t>
    <phoneticPr fontId="2"/>
  </si>
  <si>
    <t>また、こちらの製品ですが、耐用年数が切れている製品となっております。</t>
    <phoneticPr fontId="2"/>
  </si>
  <si>
    <t>富士フイルムメディカル社より発行されておりますご案内文書も合わせて添付させて頂きました。</t>
    <phoneticPr fontId="2"/>
  </si>
  <si>
    <t>ご不明点、ご質問等ございましたらお問合せ下さい。</t>
    <phoneticPr fontId="2"/>
  </si>
  <si>
    <t>以上</t>
    <phoneticPr fontId="2"/>
  </si>
  <si>
    <t>受付番号</t>
  </si>
  <si>
    <t>作業シート名</t>
  </si>
  <si>
    <t>SSR</t>
  </si>
  <si>
    <t>Notes No</t>
  </si>
  <si>
    <t>請求処理</t>
  </si>
  <si>
    <t>受付日</t>
  </si>
  <si>
    <t>修理開始日</t>
  </si>
  <si>
    <t>修理完了日</t>
  </si>
  <si>
    <t>納入日</t>
  </si>
  <si>
    <t>故障発生日</t>
  </si>
  <si>
    <t>修理担当者</t>
  </si>
  <si>
    <t>作業
時間</t>
  </si>
  <si>
    <t>機種</t>
  </si>
  <si>
    <t>装置S/N</t>
  </si>
  <si>
    <t>製品型式</t>
  </si>
  <si>
    <t>依頼元</t>
  </si>
  <si>
    <t>依頼元
（担当者）</t>
  </si>
  <si>
    <t>依頼元（住所）</t>
  </si>
  <si>
    <t>依頼元
（電話番号）</t>
  </si>
  <si>
    <t>依頼元
（FAX番号）</t>
  </si>
  <si>
    <t>設置場所</t>
  </si>
  <si>
    <t>設置場所
（担当者）</t>
  </si>
  <si>
    <t>設置場所
（所属部科）</t>
  </si>
  <si>
    <t>設置場所
(電話番号）</t>
  </si>
  <si>
    <t>設置場所（住所）</t>
  </si>
  <si>
    <t>発注部品
入荷日</t>
  </si>
  <si>
    <t>パーツ1</t>
  </si>
  <si>
    <t>パーツ2</t>
  </si>
  <si>
    <t>パーツ3</t>
  </si>
  <si>
    <t>パーツ4</t>
  </si>
  <si>
    <t>パーツ5</t>
  </si>
  <si>
    <t>パーツ6</t>
  </si>
  <si>
    <t>パーツ7</t>
  </si>
  <si>
    <t>パーツ8</t>
  </si>
  <si>
    <t>パーツ9</t>
  </si>
  <si>
    <t>パーツ10</t>
  </si>
  <si>
    <t>パーツ
品名１</t>
  </si>
  <si>
    <t>パーツ
品名２</t>
  </si>
  <si>
    <t>パーツ
品名３</t>
  </si>
  <si>
    <t>パーツ
品名４</t>
  </si>
  <si>
    <t>パーツ
品名５</t>
  </si>
  <si>
    <t>パーツ
品名６</t>
  </si>
  <si>
    <t>パーツ
品名７</t>
  </si>
  <si>
    <t>パーツ
品名８</t>
  </si>
  <si>
    <t>パーツ
品名９</t>
  </si>
  <si>
    <t>パーツ
品名１０</t>
  </si>
  <si>
    <t>製品製造年</t>
  </si>
  <si>
    <t>依頼内容</t>
  </si>
  <si>
    <t>作業内容（受付～切り分け）</t>
  </si>
  <si>
    <t>作業内容（修理）</t>
  </si>
  <si>
    <t>出荷対応</t>
  </si>
  <si>
    <t>富士フイルムメディカル(株)</t>
    <rPh sb="0" eb="2">
      <t>フジ</t>
    </rPh>
    <rPh sb="11" eb="14">
      <t>カブ</t>
    </rPh>
    <phoneticPr fontId="2"/>
  </si>
  <si>
    <t>拝啓</t>
  </si>
  <si>
    <t>受付番号</t>
    <rPh sb="0" eb="2">
      <t>ウケツケ</t>
    </rPh>
    <rPh sb="2" eb="4">
      <t>バンゴウ</t>
    </rPh>
    <phoneticPr fontId="2"/>
  </si>
  <si>
    <t>保存名</t>
    <rPh sb="0" eb="3">
      <t>ホゾンメイ</t>
    </rPh>
    <phoneticPr fontId="2"/>
  </si>
  <si>
    <t>S16-0731</t>
    <phoneticPr fontId="2"/>
  </si>
  <si>
    <t>代理店名</t>
    <rPh sb="0" eb="3">
      <t>ダイリテン</t>
    </rPh>
    <rPh sb="3" eb="4">
      <t>メイ</t>
    </rPh>
    <phoneticPr fontId="2"/>
  </si>
  <si>
    <t>施設名</t>
    <rPh sb="0" eb="3">
      <t>シセツメイ</t>
    </rPh>
    <phoneticPr fontId="2"/>
  </si>
  <si>
    <t>製品名</t>
    <rPh sb="0" eb="3">
      <t>セイヒンメイ</t>
    </rPh>
    <phoneticPr fontId="2"/>
  </si>
  <si>
    <t>REF番号</t>
    <rPh sb="3" eb="5">
      <t>バンゴウ</t>
    </rPh>
    <phoneticPr fontId="2"/>
  </si>
  <si>
    <t>製品番号</t>
    <rPh sb="0" eb="4">
      <t>セイヒンバンゴウ</t>
    </rPh>
    <phoneticPr fontId="2"/>
  </si>
  <si>
    <t>製造年月</t>
    <rPh sb="0" eb="3">
      <t>セイゾウネン</t>
    </rPh>
    <rPh sb="3" eb="4">
      <t>ゲツ</t>
    </rPh>
    <phoneticPr fontId="2"/>
  </si>
  <si>
    <t>東京都港区西麻布2-26-30</t>
    <phoneticPr fontId="2"/>
  </si>
  <si>
    <t>富士フィルム西麻布ビル</t>
    <phoneticPr fontId="2"/>
  </si>
  <si>
    <t>日本サード・パーティ株式会社</t>
    <phoneticPr fontId="2"/>
  </si>
  <si>
    <t>(富士フイルムメディカル認定修理業者)</t>
    <phoneticPr fontId="2"/>
  </si>
  <si>
    <t>東京都品川区西五反田7-22-17</t>
    <phoneticPr fontId="2"/>
  </si>
  <si>
    <t>TOC ビル 6階</t>
    <phoneticPr fontId="2"/>
  </si>
  <si>
    <t>超音波画像診断装置の耐用期間終了後のご案内</t>
    <phoneticPr fontId="2"/>
  </si>
  <si>
    <t>時下益々ご清祥のこととお喜び申し上げます。平素は格別のご高配賜り、厚く御礼申し上げます。
さて、貴施設よりお預かり致しました超音波画像診断装置は、当該機器の耐用期間（製品のご納入から7年間）を超過しております。
つきましては、耐用期間を超過した本製品の今後のご対応についてご案内申し上げます。
何卒、ご理解とご了承を賜りますようお願い申し上げます。</t>
    <phoneticPr fontId="2"/>
  </si>
  <si>
    <t>敬具</t>
    <phoneticPr fontId="2"/>
  </si>
  <si>
    <t>記</t>
    <phoneticPr fontId="2"/>
  </si>
  <si>
    <t>＜対象製品＞</t>
    <phoneticPr fontId="2"/>
  </si>
  <si>
    <t>製品名（REF 番号）</t>
    <phoneticPr fontId="2"/>
  </si>
  <si>
    <t>製造番号</t>
    <phoneticPr fontId="2"/>
  </si>
  <si>
    <t>納入年月</t>
    <phoneticPr fontId="2"/>
  </si>
  <si>
    <t>※納品日が不明な場合は、製品の製造年月を記載させて頂いております。</t>
    <phoneticPr fontId="2"/>
  </si>
  <si>
    <t>＜耐用期間を超過した製品について＞</t>
    <phoneticPr fontId="2"/>
  </si>
  <si>
    <t>　本装置は、厚生労働省通知 薬食安発第 0310001 号で定められた耐用期間(「医療機器が適正な使用環境と維持管理の基に、適切な取扱いで本来の用途に使用された場合、その医療機器が設計仕様書に記された機能及び性能を維持し、使用することができる標準的な使用期限」)を超過致しました。
　今後も継続的にご使用された場合、機器各部の劣化や摩耗等により、思わぬ故障が発生する可能性が高まります。また、修理部品につきましても、技術変革の激しい電子部品の確保並びに成型加工部品に信頼性の維持が困難となります。つきましては、是非これを基に、現行機種への買い替えによる更新をご検討下さるよう、よろしくお願い申し上げます。</t>
    <phoneticPr fontId="2"/>
  </si>
  <si>
    <t>　</t>
    <phoneticPr fontId="2"/>
  </si>
  <si>
    <r>
      <t>WEBサイト:</t>
    </r>
    <r>
      <rPr>
        <b/>
        <u/>
        <sz val="7"/>
        <rFont val="Century"/>
        <family val="1"/>
      </rPr>
      <t>http://fujifilm.jp/business/healthcare/ultrasonography/index.html?_ga=1.29454207.1905657057.1434424180</t>
    </r>
    <r>
      <rPr>
        <sz val="10.5"/>
        <rFont val="ＭＳ 明朝"/>
        <family val="1"/>
        <charset val="128"/>
      </rPr>
      <t xml:space="preserve">
製品お問い合わせ先:03-6419-8033　　　　</t>
    </r>
    <phoneticPr fontId="2"/>
  </si>
  <si>
    <t>＜故障および点検の対応について＞</t>
    <phoneticPr fontId="2"/>
  </si>
  <si>
    <t>　日本サード・パーティ株式会社において、お客様のご要望にできる限り応えしてまいりますが、
製造元サポートやパーツ供給状況によっては、予告なしに対応を終了することがありますことを
予めご了承ください。</t>
    <phoneticPr fontId="2"/>
  </si>
  <si>
    <t>富士フイルムソノサイト・ジャパン社は2016年７月１日から富士フイルムメディカル株式会社
に経営統合されました。</t>
    <phoneticPr fontId="2"/>
  </si>
  <si>
    <t>記</t>
    <rPh sb="0" eb="1">
      <t>キ</t>
    </rPh>
    <phoneticPr fontId="2"/>
  </si>
  <si>
    <t>修理番号：</t>
  </si>
  <si>
    <t>製品名称：</t>
    <phoneticPr fontId="2"/>
  </si>
  <si>
    <t>製造番号：</t>
  </si>
  <si>
    <t>故障内容</t>
  </si>
  <si>
    <t>交換理由</t>
    <rPh sb="0" eb="2">
      <t>コウカン</t>
    </rPh>
    <rPh sb="2" eb="4">
      <t>リユウ</t>
    </rPh>
    <phoneticPr fontId="2"/>
  </si>
  <si>
    <t>検証結果　1</t>
    <rPh sb="0" eb="2">
      <t>ケンショウ</t>
    </rPh>
    <rPh sb="2" eb="4">
      <t>ケッカ</t>
    </rPh>
    <phoneticPr fontId="2"/>
  </si>
  <si>
    <t>検証結果　2</t>
    <rPh sb="0" eb="2">
      <t>ケンショウ</t>
    </rPh>
    <rPh sb="2" eb="4">
      <t>ケッカ</t>
    </rPh>
    <phoneticPr fontId="2"/>
  </si>
  <si>
    <t>検証結果　3</t>
    <rPh sb="0" eb="2">
      <t>ケンショウ</t>
    </rPh>
    <rPh sb="2" eb="4">
      <t>ケッカ</t>
    </rPh>
    <phoneticPr fontId="2"/>
  </si>
  <si>
    <t>検証結果　4</t>
    <rPh sb="0" eb="2">
      <t>ケンショウ</t>
    </rPh>
    <rPh sb="2" eb="4">
      <t>ケッカ</t>
    </rPh>
    <phoneticPr fontId="2"/>
  </si>
  <si>
    <t>検証結果　5</t>
    <rPh sb="0" eb="2">
      <t>ケンショウ</t>
    </rPh>
    <rPh sb="2" eb="4">
      <t>ケッカ</t>
    </rPh>
    <phoneticPr fontId="2"/>
  </si>
  <si>
    <t>検証結果　6</t>
    <rPh sb="0" eb="2">
      <t>ケンショウ</t>
    </rPh>
    <rPh sb="2" eb="4">
      <t>ケッカ</t>
    </rPh>
    <phoneticPr fontId="2"/>
  </si>
  <si>
    <t>検証結果　7</t>
    <rPh sb="0" eb="2">
      <t>ケンショウ</t>
    </rPh>
    <rPh sb="2" eb="4">
      <t>ケッカ</t>
    </rPh>
    <phoneticPr fontId="2"/>
  </si>
  <si>
    <t>【必須】</t>
    <rPh sb="1" eb="3">
      <t>ヒッス</t>
    </rPh>
    <phoneticPr fontId="2"/>
  </si>
  <si>
    <t>2．</t>
  </si>
  <si>
    <t>3．</t>
  </si>
  <si>
    <t>【推奨】</t>
    <rPh sb="1" eb="3">
      <t>スイショウ</t>
    </rPh>
    <phoneticPr fontId="2"/>
  </si>
  <si>
    <t>4．</t>
  </si>
  <si>
    <t>5．</t>
  </si>
  <si>
    <t>6．</t>
  </si>
  <si>
    <t>7．</t>
  </si>
  <si>
    <t>8．</t>
  </si>
  <si>
    <t>1-2．</t>
  </si>
  <si>
    <t>1-3．</t>
  </si>
  <si>
    <t>1-4．</t>
  </si>
  <si>
    <t>②分解修理対応による、該当部品の切り分け・交換作業。</t>
  </si>
  <si>
    <t>計 3 時間</t>
    <rPh sb="0" eb="1">
      <t>ケイ</t>
    </rPh>
    <rPh sb="4" eb="6">
      <t>ジカン</t>
    </rPh>
    <phoneticPr fontId="2"/>
  </si>
  <si>
    <t>以上</t>
    <rPh sb="0" eb="2">
      <t>イジョウ</t>
    </rPh>
    <phoneticPr fontId="2"/>
  </si>
  <si>
    <t>修理前報告書</t>
    <phoneticPr fontId="2"/>
  </si>
  <si>
    <t xml:space="preserve">        日本サード・パーティ株式会社</t>
    <phoneticPr fontId="2"/>
  </si>
  <si>
    <t>東京都品川区西五反田7-22-17</t>
    <phoneticPr fontId="2"/>
  </si>
  <si>
    <t>TOCビル 6F</t>
    <phoneticPr fontId="2"/>
  </si>
  <si>
    <t>SonoSite認定サービスセンター</t>
    <phoneticPr fontId="2"/>
  </si>
  <si>
    <t>拝啓    時下の候、貴施設ますますご清祥のこととお喜び申し上げます。</t>
    <phoneticPr fontId="2"/>
  </si>
  <si>
    <t xml:space="preserve">       平素は格別のご高配を賜り厚くお礼申し上げ ます。  さて、 この度お預かりしました</t>
    <phoneticPr fontId="2"/>
  </si>
  <si>
    <t xml:space="preserve">       超音波画像診断装置 につきまして、製品の故障要因を下記のとおりご報告いたしますので</t>
    <phoneticPr fontId="2"/>
  </si>
  <si>
    <t xml:space="preserve">       ご査収下さいますようお願い申し上げます。</t>
    <phoneticPr fontId="2"/>
  </si>
  <si>
    <t xml:space="preserve">             敬具</t>
    <phoneticPr fontId="2"/>
  </si>
  <si>
    <t>製品型式：</t>
    <phoneticPr fontId="2"/>
  </si>
  <si>
    <t>修理内容：</t>
    <phoneticPr fontId="2"/>
  </si>
  <si>
    <t>ご指摘頂きました内容の調査 及び 受入検査の結果、下記の修理対応が必要となっております。</t>
    <phoneticPr fontId="2"/>
  </si>
  <si>
    <t>1．電源が入らない。</t>
    <phoneticPr fontId="2"/>
  </si>
  <si>
    <t>2．モニタの開け閉め動作が硬化している。（ご指摘外）</t>
    <phoneticPr fontId="2"/>
  </si>
  <si>
    <t>3．画面が表示されない。（ご指摘外）</t>
    <phoneticPr fontId="2"/>
  </si>
  <si>
    <t>4．診断画像が見えにくい。（ご指摘外）</t>
    <phoneticPr fontId="2"/>
  </si>
  <si>
    <t>5．バッテリーの消耗が早い。（ご指摘外）</t>
    <phoneticPr fontId="2"/>
  </si>
  <si>
    <t>6．診断画像の中心にノイズが出る。</t>
    <phoneticPr fontId="2"/>
  </si>
  <si>
    <t>7．エラー（AssertCode #2726）が発生する。</t>
    <phoneticPr fontId="2"/>
  </si>
  <si>
    <t>8．プローブC60x/5-2のラッチ部分の劣化。（ご指定外劣化）</t>
    <phoneticPr fontId="2"/>
  </si>
  <si>
    <t>9．診断画像全体にノイズが出る。</t>
    <phoneticPr fontId="2"/>
  </si>
  <si>
    <t>AC電源アダプタのケーブルが断線しており、装置への電源供給が途絶していた事が原因です。こちらの症状改善には、AC電源アダプタ（P00538）の交換が必要となります。</t>
    <phoneticPr fontId="2"/>
  </si>
  <si>
    <t>モニタを支えるヒンジの稼働部が金属疲労により硬化していた事が原因です。今後折損してしまう可能性が高いため、ヒンジ（P00343）×2ヵ所の交換が必要となります。</t>
    <phoneticPr fontId="2"/>
  </si>
  <si>
    <t>画像信号を画面へ伝達する液晶ケーブル（フレキシブルケーブル）の内部断線が原因です。症状改善の為、液晶ケーブル（P01213）の交換が必要となります。</t>
    <phoneticPr fontId="2"/>
  </si>
  <si>
    <t>液晶レンズ表面全体に細かい傷が及んで、診断画像が見えにくくなっております。こちら消耗品の為、今回を機に液晶レンズ(P00340)の交換をご検討下さい。</t>
    <phoneticPr fontId="2"/>
  </si>
  <si>
    <t>バッテリーの製造年を確認したところ、1999年製と15年程経過しております。SonoSite社が推奨する交換時期は2年とされており超過している状態です。今後のご使用ではさらに劣化が進み充電できない等の障害発生が予想されます。今回の修理を機にバッテリー(P00049）の交換をご検討下さい。</t>
    <phoneticPr fontId="2"/>
  </si>
  <si>
    <t>プローブの故障が原因です。こちらの症状改善には、プローブ（P05674）の交換が必要です。
こちらの詳細につきましては別途添付の「修理不能書」をご確認下さい。</t>
    <phoneticPr fontId="2"/>
  </si>
  <si>
    <t>メイン基板の故障が原因です。こちらの症状改善には、メイン基板（P09135）の交換が必要となります。</t>
    <phoneticPr fontId="2"/>
  </si>
  <si>
    <t>プローブを本体へ取り付ける際に使用するラッチ（脱着ノブ）が固定できず、一回転しております。その影響から、プローブを装置本体へ取り付けにくくなっており、取り付け位置がずれることによって接触不良が生じる可能性があります。こちらの症状改善にはラッチキット（P11882）の交換が必要となります。今回の修理を機に交換を推奨致します。</t>
    <phoneticPr fontId="2"/>
  </si>
  <si>
    <t>検証の結果、本体背面にございます、プローブコネクタ部がガタツキの接触が不安定になっておりました。また、本体側プローブコネクタ四方に付いているノイズ防止用シールドも破損しておりました。こちらの症状改善には、ネストフレーム(P02860)、コネクタインターポージャ（P00364）×8ヵ所、ノイズ防止用シールド ショート(P03833)×2箇所、ノイズ防止用シールド ロング(P03834)×2箇所の交換が必要となります。</t>
    <phoneticPr fontId="2"/>
  </si>
  <si>
    <t>※上記以外での劣化・故障は特にございませんでした。</t>
    <phoneticPr fontId="2"/>
  </si>
  <si>
    <t>交換部品</t>
    <phoneticPr fontId="2"/>
  </si>
  <si>
    <t>1．</t>
    <phoneticPr fontId="2"/>
  </si>
  <si>
    <t>部品番号：P00538　数量：1式　名称：POWER SUPPLY (AC電源ｱﾀﾞﾌﾟﾀ)</t>
    <phoneticPr fontId="2"/>
  </si>
  <si>
    <t>部品番号：P00343　数量：2式　名称：HINGE DISPLAY (ﾓﾆﾀﾋﾝｼﾞ)</t>
    <phoneticPr fontId="2"/>
  </si>
  <si>
    <t>部品番号：P01213　数量：1式　名称：FLEX CIRCUIT (液晶ｹｰﾌﾞﾙ)</t>
    <phoneticPr fontId="2"/>
  </si>
  <si>
    <t>部品番号：P00340　数量：1式　名称：LENS DISPLAY (液晶ﾚﾝｽﾞ)</t>
    <phoneticPr fontId="2"/>
  </si>
  <si>
    <t>部品番号：P00049　数量：1式　名称：BATTERY PACK (ﾊﾞｯﾃﾘｰ)</t>
    <phoneticPr fontId="2"/>
  </si>
  <si>
    <t>部品番号：P05674　数量：1式　名称：高周波リニアプローブ　HFL38/13-6</t>
    <phoneticPr fontId="2"/>
  </si>
  <si>
    <t>部品番号：P09135　数量：1式　名称：SERVICE ASSEMBLY MAIN PCBA (ﾒｲﾝ基板)</t>
    <phoneticPr fontId="2"/>
  </si>
  <si>
    <t>部品番号：P11882　数量：1式　名称：LATCH KIT（ﾗｯﾁｷｯﾄ)</t>
    <phoneticPr fontId="2"/>
  </si>
  <si>
    <t>1-1．</t>
    <phoneticPr fontId="2"/>
  </si>
  <si>
    <t>部品番号：P02860　数量：1式　名称：NEST FRAME ASSEMBLY CAST(ｺﾈｸﾀﾌﾚｰﾑ)</t>
    <phoneticPr fontId="2"/>
  </si>
  <si>
    <t>部品番号：P02860　数量：8式　名称：Connector Interposer (ﾌﾟﾛｰﾌﾞｺﾈｸﾀ)</t>
    <phoneticPr fontId="2"/>
  </si>
  <si>
    <t>部品番号：P03833　数量：2式　名称：SHIELD PERIMETER SHORT (ｼｰﾙﾄﾞ・ｼｮｰﾄ)</t>
    <phoneticPr fontId="2"/>
  </si>
  <si>
    <t>部品番号：P03834　数量：2式　名称：SHIELD PERIMETER LONG (ｼｰﾙﾄﾞ・ﾛﾝｸﾞ)</t>
    <phoneticPr fontId="2"/>
  </si>
  <si>
    <t>修理内容</t>
    <phoneticPr fontId="2"/>
  </si>
  <si>
    <t>①受入検査。（消毒、外観・員数確認、ユーザ設定・画像一時保存、FATテスト）</t>
    <phoneticPr fontId="2"/>
  </si>
  <si>
    <t>③各種機能試験。（部品交換後）</t>
    <phoneticPr fontId="2"/>
  </si>
  <si>
    <t>④外装クリーニング作業</t>
    <phoneticPr fontId="2"/>
  </si>
  <si>
    <t>⑤バッテリー充電稼動試験。</t>
    <phoneticPr fontId="2"/>
  </si>
  <si>
    <t>⑥FATテスト(ソフトウェアによる各種ユニット診断)</t>
    <phoneticPr fontId="2"/>
  </si>
  <si>
    <t>⑦ヒートランニング(修理作業後の症状解消確認試験)</t>
    <phoneticPr fontId="2"/>
  </si>
  <si>
    <t xml:space="preserve"> 備考：ご不明点、ご質問等ございましたらお問合せ下さい。　            　　　　　　　　　　　</t>
    <phoneticPr fontId="2"/>
  </si>
  <si>
    <t>S16-0773</t>
    <phoneticPr fontId="2"/>
  </si>
  <si>
    <t>プローブ種別</t>
    <rPh sb="4" eb="6">
      <t>シュベツ</t>
    </rPh>
    <phoneticPr fontId="2"/>
  </si>
  <si>
    <t>機種</t>
    <rPh sb="0" eb="2">
      <t>キシュ</t>
    </rPh>
    <phoneticPr fontId="2"/>
  </si>
  <si>
    <t>S/N：</t>
    <phoneticPr fontId="2"/>
  </si>
  <si>
    <t>REF:</t>
    <phoneticPr fontId="2"/>
  </si>
  <si>
    <t>修理不能書製品名</t>
    <rPh sb="0" eb="2">
      <t>シュウリ</t>
    </rPh>
    <rPh sb="2" eb="4">
      <t>フノウ</t>
    </rPh>
    <rPh sb="4" eb="5">
      <t>ショ</t>
    </rPh>
    <rPh sb="5" eb="8">
      <t>セイヒンメイ</t>
    </rPh>
    <phoneticPr fontId="2"/>
  </si>
  <si>
    <t>リニアプローブ</t>
  </si>
  <si>
    <t>M-Turbo</t>
  </si>
  <si>
    <t>リニアプローブ</t>
    <phoneticPr fontId="2"/>
  </si>
  <si>
    <t>修理不能書製品名</t>
    <rPh sb="5" eb="7">
      <t>セイヒン</t>
    </rPh>
    <rPh sb="7" eb="8">
      <t>メイ</t>
    </rPh>
    <phoneticPr fontId="2"/>
  </si>
  <si>
    <t>修理不能書症状</t>
    <rPh sb="5" eb="7">
      <t>ショウジョウ</t>
    </rPh>
    <phoneticPr fontId="2"/>
  </si>
  <si>
    <t>修理不能書原因</t>
    <rPh sb="5" eb="7">
      <t>ゲンイン</t>
    </rPh>
    <phoneticPr fontId="2"/>
  </si>
  <si>
    <t>セクタープローブ</t>
    <phoneticPr fontId="2"/>
  </si>
  <si>
    <t>C60/5-2</t>
  </si>
  <si>
    <t>日本サード・パーティ株式会社</t>
    <phoneticPr fontId="2"/>
  </si>
  <si>
    <t>診断画像にノイズが入る。</t>
    <rPh sb="0" eb="4">
      <t>シンダンガゾウ</t>
    </rPh>
    <rPh sb="9" eb="10">
      <t>ハイ</t>
    </rPh>
    <phoneticPr fontId="2"/>
  </si>
  <si>
    <t>ヘッド側付近のケーブル信号線が内部断線している。</t>
    <phoneticPr fontId="2"/>
  </si>
  <si>
    <t>コンベックスプローブ</t>
    <phoneticPr fontId="2"/>
  </si>
  <si>
    <t>C15/4-2</t>
  </si>
  <si>
    <t>(富士フイルムメディカル認定修理業者)</t>
    <phoneticPr fontId="2"/>
  </si>
  <si>
    <t>カラーモードで一部色が乗らない。</t>
  </si>
  <si>
    <t>ケーブル中央付近の信号線が内部断線している。</t>
    <rPh sb="13" eb="15">
      <t>ナイブ</t>
    </rPh>
    <phoneticPr fontId="2"/>
  </si>
  <si>
    <t>L38/10-5</t>
  </si>
  <si>
    <t>東京都品川区西五反田7-22-17</t>
    <phoneticPr fontId="2"/>
  </si>
  <si>
    <t>プローブを認識しない。</t>
    <phoneticPr fontId="2"/>
  </si>
  <si>
    <t>コネクタ付近の信号線が内部断線している。</t>
    <rPh sb="11" eb="13">
      <t>ナイブ</t>
    </rPh>
    <phoneticPr fontId="2"/>
  </si>
  <si>
    <t>TOC ビル 6階</t>
    <phoneticPr fontId="2"/>
  </si>
  <si>
    <t>ソフトウエアの破損、及びプローブ先端部分の電気的不具合が原因となります。</t>
  </si>
  <si>
    <t>C60n/5-2</t>
    <phoneticPr fontId="2"/>
  </si>
  <si>
    <t>P21n/5-1</t>
    <phoneticPr fontId="2"/>
  </si>
  <si>
    <t>修理不能証明書</t>
    <phoneticPr fontId="2"/>
  </si>
  <si>
    <t>L38n/10-5</t>
    <phoneticPr fontId="2"/>
  </si>
  <si>
    <t>L25n/13-6</t>
    <phoneticPr fontId="2"/>
  </si>
  <si>
    <t>C60e/5-2</t>
  </si>
  <si>
    <t>P17/5-1</t>
  </si>
  <si>
    <t>L38e/10-5</t>
    <phoneticPr fontId="2"/>
  </si>
  <si>
    <t>時下益々ご清祥のこととお喜び申し上げます。平素は格別のご高配賜り、厚く御礼申し上げます。
さて、貴施設よりお預かり致しました超音波画像診断用プローブについて下記の通りご報告申し上げます。
今後とも、富士フイルムメディカル社の製品をご愛顧頂けますよう、宜しくお願い申し上げます。</t>
    <rPh sb="69" eb="70">
      <t>ヨウ</t>
    </rPh>
    <rPh sb="78" eb="80">
      <t>カキ</t>
    </rPh>
    <rPh sb="81" eb="82">
      <t>トオ</t>
    </rPh>
    <rPh sb="84" eb="86">
      <t>ホウコク</t>
    </rPh>
    <rPh sb="86" eb="87">
      <t>モウ</t>
    </rPh>
    <rPh sb="88" eb="89">
      <t>ア</t>
    </rPh>
    <rPh sb="110" eb="111">
      <t>シャ</t>
    </rPh>
    <phoneticPr fontId="2"/>
  </si>
  <si>
    <t>HFL38/13-6</t>
    <phoneticPr fontId="2"/>
  </si>
  <si>
    <t>C60x/5-2</t>
    <phoneticPr fontId="2"/>
  </si>
  <si>
    <t xml:space="preserve"> </t>
    <phoneticPr fontId="2"/>
  </si>
  <si>
    <t>L25x/13-6</t>
    <phoneticPr fontId="2"/>
  </si>
  <si>
    <t>L38x/10-5</t>
    <phoneticPr fontId="2"/>
  </si>
  <si>
    <t>C11x/8-5</t>
    <phoneticPr fontId="2"/>
  </si>
  <si>
    <t>P21x/5-1</t>
    <phoneticPr fontId="2"/>
  </si>
  <si>
    <t>敬具</t>
    <phoneticPr fontId="2"/>
  </si>
  <si>
    <t>P10x/8-4</t>
    <phoneticPr fontId="2"/>
  </si>
  <si>
    <t>記</t>
    <phoneticPr fontId="2"/>
  </si>
  <si>
    <t>HFL38x/13-6</t>
    <phoneticPr fontId="2"/>
  </si>
  <si>
    <t>製品名：</t>
    <phoneticPr fontId="2"/>
  </si>
  <si>
    <t>HFL50x/15-6</t>
    <phoneticPr fontId="2"/>
  </si>
  <si>
    <t>症　状：</t>
    <rPh sb="0" eb="1">
      <t>ショウ</t>
    </rPh>
    <rPh sb="2" eb="3">
      <t>ジョウ</t>
    </rPh>
    <phoneticPr fontId="2"/>
  </si>
  <si>
    <t>プローブを認識しない。</t>
  </si>
  <si>
    <t>原　因：</t>
    <rPh sb="0" eb="1">
      <t>ハラ</t>
    </rPh>
    <rPh sb="2" eb="3">
      <t>イン</t>
    </rPh>
    <phoneticPr fontId="2"/>
  </si>
  <si>
    <t>ヘッド側付近のケーブル信号線が内部断線。</t>
  </si>
  <si>
    <t>対　応：</t>
    <rPh sb="0" eb="1">
      <t>タイ</t>
    </rPh>
    <rPh sb="2" eb="3">
      <t>オウ</t>
    </rPh>
    <phoneticPr fontId="2"/>
  </si>
  <si>
    <t xml:space="preserve">本製品は、プローブ内の部品交換や被膜部補修を実施した場合でも、電気的安全性及び、浸水に対する気密性を確保することが出来ません。
その為、米国FUJIFILM SonoSite, Inc.社では本プローブを修理対象部位に指定しておりません。
上記理由により、本製品は修理不能の取り扱いとさせて頂いております。
誠に申し訳ございませんが、何卒ご理解いただけますよう宜しくお願い申し上げます。
</t>
    <phoneticPr fontId="2"/>
  </si>
  <si>
    <t>参照したいExcelファイル名：</t>
  </si>
  <si>
    <t>16120 作業シート</t>
    <phoneticPr fontId="2"/>
  </si>
  <si>
    <t>S16-0001</t>
  </si>
  <si>
    <t>デモ機MAK38_0001 (2)</t>
  </si>
  <si>
    <t>SR#4178655</t>
  </si>
  <si>
    <t>-</t>
  </si>
  <si>
    <t>無償</t>
  </si>
  <si>
    <t>03BL86</t>
  </si>
  <si>
    <t>P09141-02</t>
  </si>
  <si>
    <t>富士フイルムメディカル株式会社</t>
  </si>
  <si>
    <t>マーケティング</t>
  </si>
  <si>
    <t>03-6418-7190</t>
  </si>
  <si>
    <t>03-6418-7162</t>
  </si>
  <si>
    <t>デモ機　MAK38</t>
  </si>
  <si>
    <t>P19060-02</t>
  </si>
  <si>
    <t/>
  </si>
  <si>
    <t>MAIN PCBA, M-Turbo</t>
  </si>
  <si>
    <t>S16-0002</t>
  </si>
  <si>
    <t>大阪市立総合医療センター_0002(2)</t>
  </si>
  <si>
    <t>SR#4184159</t>
  </si>
  <si>
    <t>2015/12/24-07</t>
  </si>
  <si>
    <t>不明</t>
  </si>
  <si>
    <t>WK0Y72</t>
  </si>
  <si>
    <t>P09141-23</t>
  </si>
  <si>
    <t>株式会社MMコーポレーション　北大阪支店</t>
  </si>
  <si>
    <t>手塚様</t>
  </si>
  <si>
    <t>〒564-0043　大阪府吹田市南吹田5-19-26</t>
  </si>
  <si>
    <t>06-6384-5700</t>
  </si>
  <si>
    <t>06-6384-5705</t>
  </si>
  <si>
    <t>大阪市立総合医療センター</t>
  </si>
  <si>
    <t>山上様</t>
    <rPh sb="0" eb="1">
      <t>ヤマ</t>
    </rPh>
    <rPh sb="1" eb="2">
      <t>カミ</t>
    </rPh>
    <rPh sb="2" eb="3">
      <t>サマ</t>
    </rPh>
    <phoneticPr fontId="2"/>
  </si>
  <si>
    <t>06-6929-1221</t>
  </si>
  <si>
    <t>〒534-0021　大阪府大阪市都島区都島本通2-13-22</t>
  </si>
  <si>
    <t>P07168-20</t>
  </si>
  <si>
    <t>P10401-30</t>
  </si>
  <si>
    <t>BATTERY PACK, 6 CELL, 11.25V, 5.2AMP-HOUR, LITHIUM-ION</t>
  </si>
  <si>
    <t>MINIDOCK DVI, DESKTOP VERSION, M-SERIES</t>
  </si>
  <si>
    <t>※P10401-30　MINIDOCK DVI　（S/N：WK39PV）</t>
  </si>
  <si>
    <t>S16-0003</t>
  </si>
  <si>
    <t>飯塚病院_0003 (2)</t>
  </si>
  <si>
    <t>SR#</t>
  </si>
  <si>
    <t>2015/12/04-01</t>
  </si>
  <si>
    <t>有償</t>
  </si>
  <si>
    <t>P10x/8-4</t>
  </si>
  <si>
    <t>03RGP8</t>
  </si>
  <si>
    <t>P12641-02</t>
  </si>
  <si>
    <t>富士フイルムメディカル株式会社　北九州営業所</t>
  </si>
  <si>
    <t>柳原様</t>
  </si>
  <si>
    <t>飯塚病院</t>
  </si>
  <si>
    <t>0948-22-3800</t>
  </si>
  <si>
    <t>〒820-8505　福岡県飯塚市芳雄3-83</t>
  </si>
  <si>
    <t>P12641-51</t>
  </si>
  <si>
    <t>P10x/8-4　セクタープローブ</t>
  </si>
  <si>
    <t>※P10xプローブ交換・報告書あり(2/26出荷)</t>
  </si>
  <si>
    <t>S16-0004</t>
  </si>
  <si>
    <t>東京大学医学部附属病院_0004 (2)</t>
  </si>
  <si>
    <t>2015/12/24-03</t>
  </si>
  <si>
    <t>03JGT2</t>
  </si>
  <si>
    <t>P09141-15</t>
  </si>
  <si>
    <t>株式会社イノメディックス　本郷営業所</t>
  </si>
  <si>
    <t>鈴木様</t>
  </si>
  <si>
    <t>〒113-0034　東京都文京区湯島2-16-11</t>
  </si>
  <si>
    <t>03-3815-8921</t>
  </si>
  <si>
    <t>03-3815-8638</t>
  </si>
  <si>
    <t>東京大学医学部附属病院</t>
  </si>
  <si>
    <t>長江様</t>
    <rPh sb="0" eb="2">
      <t>ナガエ</t>
    </rPh>
    <rPh sb="2" eb="3">
      <t>サマ</t>
    </rPh>
    <phoneticPr fontId="2"/>
  </si>
  <si>
    <t>ME</t>
  </si>
  <si>
    <t>03-3815-5411</t>
  </si>
  <si>
    <t>〒113-0033　東京都文京区本郷7-3-1</t>
  </si>
  <si>
    <t>P19087-02</t>
  </si>
  <si>
    <t>S16-0005</t>
  </si>
  <si>
    <t>中頭病院_0005 (2)</t>
  </si>
  <si>
    <t>SR#不要</t>
  </si>
  <si>
    <t>2015/12/21-02</t>
  </si>
  <si>
    <t>-</t>
    <phoneticPr fontId="2"/>
  </si>
  <si>
    <t>HFL38x/13-6</t>
  </si>
  <si>
    <t>03GG55</t>
  </si>
  <si>
    <t>P09168-04</t>
  </si>
  <si>
    <t>株式会社中央医療器</t>
  </si>
  <si>
    <t>照屋様</t>
  </si>
  <si>
    <t>〒901-1114　沖縄県島尻郡南風原町字神里409-5</t>
  </si>
  <si>
    <t>098-888-0070</t>
  </si>
  <si>
    <t>098-888-3919</t>
  </si>
  <si>
    <t>中頭病院</t>
  </si>
  <si>
    <t>098-939-1300</t>
  </si>
  <si>
    <t>〒904-2195 沖縄県沖縄市知花6-25-5</t>
  </si>
  <si>
    <t>S16-0006</t>
  </si>
  <si>
    <t>鹿児島市立病院_0006 (2)</t>
  </si>
  <si>
    <t>2015/09/15-05</t>
  </si>
  <si>
    <t>03M703</t>
  </si>
  <si>
    <t>P06528-05</t>
  </si>
  <si>
    <t>大同医科器械株式会社</t>
  </si>
  <si>
    <t>新島様</t>
  </si>
  <si>
    <t>〒892-0847　鹿児島県鹿児島市西千石町12-11</t>
  </si>
  <si>
    <t>099-813-0303</t>
  </si>
  <si>
    <t>099-813-03177</t>
  </si>
  <si>
    <t>鹿児島市立病院</t>
  </si>
  <si>
    <t>099-230-7000</t>
  </si>
  <si>
    <t>〒890-8760　鹿児島県鹿児島市上荒田37-1</t>
  </si>
  <si>
    <t>P05675-50</t>
  </si>
  <si>
    <t>C60e/5-2 Convex Transducer (MicroMaxx)</t>
  </si>
  <si>
    <t>S16-0007</t>
  </si>
  <si>
    <t>北海道市江差病院_0007 (2)</t>
  </si>
  <si>
    <t>2015/12/22-03</t>
  </si>
  <si>
    <t>UP-897MD</t>
  </si>
  <si>
    <t>35277</t>
  </si>
  <si>
    <t>株式会社竹山　函館支店</t>
  </si>
  <si>
    <t>三宅様</t>
  </si>
  <si>
    <t xml:space="preserve">〒040-0077　北海道函館市吉川町5-41 </t>
  </si>
  <si>
    <t>0138-83-5000</t>
  </si>
  <si>
    <t>0138-40-8555</t>
  </si>
  <si>
    <t>北海道市江差病院</t>
  </si>
  <si>
    <t>0139-52-0036</t>
  </si>
  <si>
    <t>〒043-0022　北海道桧山郡江差町字伏木戸町484</t>
  </si>
  <si>
    <t>※装置の分解・内部クリーニング・再組立で返却</t>
  </si>
  <si>
    <t>S16-0008</t>
  </si>
  <si>
    <t>呉医療センター_0008 (2)</t>
  </si>
  <si>
    <t>2015/12/24-02</t>
  </si>
  <si>
    <t>01LBPT</t>
  </si>
  <si>
    <t>P01102-03</t>
  </si>
  <si>
    <t>ティーエスアルフレッサ株式会社　呉支店</t>
  </si>
  <si>
    <t>岡崎様</t>
  </si>
  <si>
    <t>〒737-0822　広島県呉市築地町5-16</t>
  </si>
  <si>
    <t>0823-22-2313</t>
  </si>
  <si>
    <t xml:space="preserve"> 0823-22-3249</t>
  </si>
  <si>
    <t>呉医療センター　7B病棟</t>
  </si>
  <si>
    <t>藤田様</t>
    <rPh sb="0" eb="2">
      <t>フジタ</t>
    </rPh>
    <rPh sb="2" eb="3">
      <t>サマ</t>
    </rPh>
    <phoneticPr fontId="2"/>
  </si>
  <si>
    <t>7B病棟</t>
    <rPh sb="2" eb="4">
      <t>ビョウトウ</t>
    </rPh>
    <phoneticPr fontId="2"/>
  </si>
  <si>
    <t>0823-22-3111</t>
  </si>
  <si>
    <t xml:space="preserve">〒736-0023 広島県呉市青山町3-1
</t>
  </si>
  <si>
    <t>P00049-04</t>
  </si>
  <si>
    <t>P00340-02</t>
  </si>
  <si>
    <t>BATTERY PACK, 6 CELL LITHIUM-ION, 180</t>
  </si>
  <si>
    <t>LENS, DISPLAY</t>
  </si>
  <si>
    <t>S16-0009</t>
  </si>
  <si>
    <t>丘ノ規病院_0009 (2)</t>
  </si>
  <si>
    <t>iLook25</t>
  </si>
  <si>
    <t>036Q3G</t>
  </si>
  <si>
    <t>P04303-02</t>
  </si>
  <si>
    <t>日本コヴィディエン株式会社 九州第一営業所</t>
  </si>
  <si>
    <t>毛利様</t>
  </si>
  <si>
    <t>〒108-0075  東京都港区港南一丁目2番70号　品川シーズンテラス　22F</t>
  </si>
  <si>
    <t>03-6774-4629</t>
  </si>
  <si>
    <t>03-6774-4740</t>
  </si>
  <si>
    <t>丘ノ規病院</t>
  </si>
  <si>
    <t xml:space="preserve">093-602-6631 </t>
  </si>
  <si>
    <t>〒807-0831 福岡県北九州市八幡西区大字則松104-1</t>
  </si>
  <si>
    <t>※修理キャンセル→返却(5/11)</t>
  </si>
  <si>
    <t>S16-0010</t>
  </si>
  <si>
    <t>秋岡医院_0010(2)</t>
  </si>
  <si>
    <t>2015/11/25-06</t>
  </si>
  <si>
    <t>MicroMaxx</t>
  </si>
  <si>
    <t>034K7Z</t>
  </si>
  <si>
    <t>P05670-01</t>
  </si>
  <si>
    <t>株式会社アステム 大分東支店</t>
  </si>
  <si>
    <t>河野様</t>
  </si>
  <si>
    <t>〒870-0252　大分県大分市大在浜1-7-16</t>
    <rPh sb="10" eb="13">
      <t>オオイタケン</t>
    </rPh>
    <phoneticPr fontId="2"/>
  </si>
  <si>
    <t>097-524-2211</t>
  </si>
  <si>
    <t>097-524-2525</t>
  </si>
  <si>
    <t>秋岡医院</t>
  </si>
  <si>
    <t>0972-82-2617</t>
  </si>
  <si>
    <t>〒879-2472　大分県津久見市徳浦本町7-3</t>
  </si>
  <si>
    <t>※修理キャンセル→返却(3/8)</t>
  </si>
  <si>
    <t>S16-0011</t>
  </si>
  <si>
    <t>新潟市民病院_0011 (2)</t>
  </si>
  <si>
    <t>SR#4200411</t>
  </si>
  <si>
    <t>－</t>
  </si>
  <si>
    <t>Triple Transducer Connect</t>
  </si>
  <si>
    <t>WK00RL</t>
  </si>
  <si>
    <t>P05680-03</t>
  </si>
  <si>
    <t>源川医科器械株式会社</t>
  </si>
  <si>
    <t>杉本様</t>
  </si>
  <si>
    <t>〒950-0141　新潟県新潟市江南区亀田工業団地2-2528-38</t>
  </si>
  <si>
    <t>025-385-8303</t>
  </si>
  <si>
    <t>025-385-8305</t>
  </si>
  <si>
    <t>新潟市民病院</t>
  </si>
  <si>
    <t>025-281-5151</t>
  </si>
  <si>
    <t>〒950−1197　新潟県新潟市中央区鐘木463-7</t>
  </si>
  <si>
    <t>P15470-02</t>
  </si>
  <si>
    <t>SERVICE ASSEMBLY, TRANSDUCER CABLE, TTC</t>
  </si>
  <si>
    <t>P04195</t>
  </si>
  <si>
    <t>S16-0012</t>
  </si>
  <si>
    <t>天理よろづ相談所病院_0012 (2)</t>
  </si>
  <si>
    <t>2015/12/24-04</t>
  </si>
  <si>
    <t>180Plus</t>
  </si>
  <si>
    <t>031WML</t>
  </si>
  <si>
    <t>P02998-02</t>
  </si>
  <si>
    <t>株式会社 三笑堂　奈良中央支店</t>
  </si>
  <si>
    <t>岡様</t>
  </si>
  <si>
    <t>〒630-8146　奈良県奈良市八条町356</t>
  </si>
  <si>
    <t>0742-32-3410</t>
  </si>
  <si>
    <t>0742-32-3411</t>
  </si>
  <si>
    <t>天理よろづ相談所病院</t>
  </si>
  <si>
    <t>0743-63-5611</t>
  </si>
  <si>
    <t>〒632-8552　奈良県天理市三島町200</t>
  </si>
  <si>
    <t>P00104-02</t>
  </si>
  <si>
    <t>KEY, ON/OFF</t>
  </si>
  <si>
    <t>S16-0013</t>
  </si>
  <si>
    <t>市立砺波総合病院_0013 (2)</t>
  </si>
  <si>
    <t>SR#4179649</t>
  </si>
  <si>
    <t>2015/12/25-02</t>
  </si>
  <si>
    <t>WK0XWD</t>
  </si>
  <si>
    <t>株式会社ハイメック</t>
  </si>
  <si>
    <t>篠田様</t>
  </si>
  <si>
    <t>〒930-0955　富山県富山市天正寺384-2</t>
  </si>
  <si>
    <t>076-424-3880</t>
  </si>
  <si>
    <t>076-492-3271</t>
  </si>
  <si>
    <t>市立砺波総合病院</t>
  </si>
  <si>
    <t>0763-32-3320</t>
  </si>
  <si>
    <t>〒939-1395　富山県砺波市新富町1-61</t>
  </si>
  <si>
    <t>S16-0014</t>
  </si>
  <si>
    <t>東京大学医学部附属病院_0014 (2)</t>
  </si>
  <si>
    <t>SR#4179647</t>
  </si>
  <si>
    <t>NanoMaxx</t>
  </si>
  <si>
    <t>03N180</t>
  </si>
  <si>
    <t>P12700-05</t>
  </si>
  <si>
    <t>日本コヴィディエン株式会社　首都圏透析営業所</t>
  </si>
  <si>
    <t>藤原様</t>
  </si>
  <si>
    <t>〒158-8615  東京都世田谷区用賀 4-10-5  世田谷ﾋﾞｼﾞﾈｽｽｸｴｱﾋﾙｽﾞⅣ 2F</t>
  </si>
  <si>
    <t>03-5717-0517</t>
  </si>
  <si>
    <t>03-5717-0507</t>
  </si>
  <si>
    <t>〒113-8655　東京都文京区本郷7-3-1</t>
  </si>
  <si>
    <t>P10168-01</t>
  </si>
  <si>
    <t>MEMORY, SD CARD, 2G, NETLIST</t>
  </si>
  <si>
    <t>S16-0015</t>
  </si>
  <si>
    <t>佐野厚生総合病院_0015 (2)</t>
  </si>
  <si>
    <t>2015/12/28-02</t>
  </si>
  <si>
    <t>040DVQ</t>
  </si>
  <si>
    <t>P12700-60</t>
  </si>
  <si>
    <t>株式会社日成メディカル</t>
  </si>
  <si>
    <t>稲葉様</t>
  </si>
  <si>
    <t>〒321-0911　栃木県宇都宮市問屋町3426-42</t>
    <rPh sb="10" eb="13">
      <t>トチギケン</t>
    </rPh>
    <rPh sb="13" eb="16">
      <t>ウツノミヤ</t>
    </rPh>
    <rPh sb="16" eb="17">
      <t>シ</t>
    </rPh>
    <rPh sb="17" eb="19">
      <t>トンヤ</t>
    </rPh>
    <rPh sb="19" eb="20">
      <t>マチ</t>
    </rPh>
    <phoneticPr fontId="2"/>
  </si>
  <si>
    <t>028-656-1446</t>
  </si>
  <si>
    <t>028-656-5275</t>
  </si>
  <si>
    <t>佐野厚生総合病院　循環器内科</t>
  </si>
  <si>
    <t>渡辺先生</t>
    <rPh sb="0" eb="2">
      <t>ワタナベ</t>
    </rPh>
    <rPh sb="2" eb="4">
      <t>センセイ</t>
    </rPh>
    <phoneticPr fontId="2"/>
  </si>
  <si>
    <t>循環器内科</t>
    <rPh sb="0" eb="3">
      <t>ジュンカンキ</t>
    </rPh>
    <rPh sb="3" eb="5">
      <t>ナイカ</t>
    </rPh>
    <phoneticPr fontId="2"/>
  </si>
  <si>
    <t>0283-22-5222</t>
  </si>
  <si>
    <t>〒327-0843　栃木県宇都宮市堀米町1728</t>
    <rPh sb="10" eb="13">
      <t>トチギケン</t>
    </rPh>
    <rPh sb="13" eb="17">
      <t>ウツノミヤシ</t>
    </rPh>
    <rPh sb="17" eb="18">
      <t>ホリ</t>
    </rPh>
    <rPh sb="18" eb="19">
      <t>コメ</t>
    </rPh>
    <rPh sb="19" eb="20">
      <t>マチ</t>
    </rPh>
    <phoneticPr fontId="2"/>
  </si>
  <si>
    <t>※現象不再現→返却（報告書あり1/15)</t>
  </si>
  <si>
    <t>S16-0016</t>
  </si>
  <si>
    <t>鹿島病院_0016 (2)</t>
  </si>
  <si>
    <t>SR#4180033</t>
  </si>
  <si>
    <t>03WRPF</t>
  </si>
  <si>
    <t>P12700-06</t>
  </si>
  <si>
    <t>日本コヴィディエン株式会社　メディカル事業部</t>
  </si>
  <si>
    <t>柴原様</t>
  </si>
  <si>
    <t>鹿島病院</t>
  </si>
  <si>
    <t>0299-82-1271</t>
  </si>
  <si>
    <t>〒314-0012　茨城県鹿嶋市平井1129-2</t>
  </si>
  <si>
    <t>P12718-02</t>
  </si>
  <si>
    <t>SERVICE ASSEMBLY, BACK END PCB, NANOMAXX</t>
  </si>
  <si>
    <t>S16-0017</t>
  </si>
  <si>
    <t>中部徳洲会病院_0017 (2)</t>
  </si>
  <si>
    <t>039D17</t>
  </si>
  <si>
    <t>日本コヴィディエン株式会社　沖縄担当</t>
  </si>
  <si>
    <t>宮城様</t>
  </si>
  <si>
    <t>医療法人　沖縄徳洲会　中部徳洲会病院</t>
  </si>
  <si>
    <t>098-937-1110</t>
  </si>
  <si>
    <t>〒904-8585　沖縄県沖縄市照屋3-20-1</t>
  </si>
  <si>
    <t>P03157-02</t>
  </si>
  <si>
    <t>SERVICE ASSEMBLY, L25 TRANSDUCER, ILOOK</t>
  </si>
  <si>
    <t>S16-0018</t>
  </si>
  <si>
    <t>群馬大学病院_0018 (2)</t>
  </si>
  <si>
    <t>SR#4179645</t>
  </si>
  <si>
    <t>03VHHM</t>
  </si>
  <si>
    <t>日本コヴィディエン株式会社　北関東営業所</t>
  </si>
  <si>
    <t>三田様</t>
  </si>
  <si>
    <t>群馬大学医学部附属病院</t>
  </si>
  <si>
    <t>027-220-7111</t>
  </si>
  <si>
    <t>〒371-8511 群馬県前橋市昭和町3-39-5</t>
  </si>
  <si>
    <t>P12745-01</t>
  </si>
  <si>
    <t>SERVICE ASSEMBLY, POWER SUPPLY PCB, NANOMAXX</t>
  </si>
  <si>
    <t>S16-0019</t>
  </si>
  <si>
    <t>SR#4180917</t>
  </si>
  <si>
    <t>2015/12/22-05</t>
  </si>
  <si>
    <t>WK0MYB</t>
  </si>
  <si>
    <t>P14179-03</t>
  </si>
  <si>
    <t>株式会社アステム　ME大分支店</t>
  </si>
  <si>
    <t>中島様</t>
  </si>
  <si>
    <t>〒870-8602　大分県大分市西大道2-3-8</t>
  </si>
  <si>
    <t>097-543-6221</t>
  </si>
  <si>
    <t>097-545-3638</t>
  </si>
  <si>
    <t>大分赤十字病院　東6病棟</t>
  </si>
  <si>
    <t>小泉師長</t>
    <rPh sb="0" eb="2">
      <t>コイズミ</t>
    </rPh>
    <rPh sb="2" eb="3">
      <t>シ</t>
    </rPh>
    <rPh sb="3" eb="4">
      <t>チョウ</t>
    </rPh>
    <phoneticPr fontId="2"/>
  </si>
  <si>
    <t>東6病棟</t>
    <rPh sb="0" eb="1">
      <t>ヒガシ</t>
    </rPh>
    <rPh sb="2" eb="4">
      <t>ビョウトウ</t>
    </rPh>
    <phoneticPr fontId="2"/>
  </si>
  <si>
    <t>097-532-6181</t>
  </si>
  <si>
    <t>〒870-0033　大分県大分市千代町3-2-37</t>
  </si>
  <si>
    <t>P19133-01</t>
  </si>
  <si>
    <t>P19080-01</t>
  </si>
  <si>
    <t>P18035-01</t>
  </si>
  <si>
    <t>Kycon Connecto</t>
  </si>
  <si>
    <t>Connector Brackets</t>
  </si>
  <si>
    <t>Bracket screws　×2</t>
  </si>
  <si>
    <t>S16-0020</t>
  </si>
  <si>
    <t>名古屋市立大学病院_0020(2)</t>
  </si>
  <si>
    <t>0337YJ</t>
  </si>
  <si>
    <t>P04303-01</t>
  </si>
  <si>
    <t>日本コヴィディエン株式会社　愛知岐阜営業所</t>
  </si>
  <si>
    <t>丹羽様</t>
  </si>
  <si>
    <t>名古屋市立大学病院</t>
  </si>
  <si>
    <t>052-851-5511</t>
  </si>
  <si>
    <t>〒467-8602　愛知県名古屋市瑞穂区瑞穂町字川澄1</t>
  </si>
  <si>
    <t>P01139-07</t>
  </si>
  <si>
    <t>P03029-02</t>
  </si>
  <si>
    <t>POWER SUPPLY / BATTERY CHARGER, ILOOK, TITAN, MMX</t>
  </si>
  <si>
    <t>ASSEMBLY, PCB, iLOOK,STAND</t>
  </si>
  <si>
    <t>S16-0021</t>
  </si>
  <si>
    <t>中央仁クリニック_0021 (2)</t>
  </si>
  <si>
    <t>SR#4184155</t>
  </si>
  <si>
    <t>201601/04-03</t>
  </si>
  <si>
    <t>03DX5Y</t>
  </si>
  <si>
    <t>P04326-05</t>
  </si>
  <si>
    <t>アイティーアイ株式会社　熊本支社</t>
  </si>
  <si>
    <t>石川様</t>
  </si>
  <si>
    <t>〒860-0826　熊本県熊本市南区平田2-12-18</t>
  </si>
  <si>
    <t>096-326-7551</t>
  </si>
  <si>
    <t>096-326-7552</t>
  </si>
  <si>
    <t>中央仁クリニック</t>
  </si>
  <si>
    <t>松岡様</t>
    <rPh sb="0" eb="2">
      <t>マツオカ</t>
    </rPh>
    <rPh sb="2" eb="3">
      <t>サマ</t>
    </rPh>
    <phoneticPr fontId="2"/>
  </si>
  <si>
    <t>透析室</t>
    <rPh sb="0" eb="2">
      <t>トウセキ</t>
    </rPh>
    <rPh sb="2" eb="3">
      <t>シツ</t>
    </rPh>
    <phoneticPr fontId="2"/>
  </si>
  <si>
    <t>096-334-6655</t>
  </si>
  <si>
    <t>〒862-0960　熊本県熊本市東区下江津8-3-23</t>
  </si>
  <si>
    <t>P01213-01</t>
  </si>
  <si>
    <t>FLEX CIRCUIT, FAB, C1 DISPLAY</t>
  </si>
  <si>
    <t>S16-0022</t>
  </si>
  <si>
    <t>久留米大学病院_0022 (2)</t>
  </si>
  <si>
    <t>2015/12/28-07</t>
  </si>
  <si>
    <t>03B27B</t>
  </si>
  <si>
    <t>P08063-02</t>
  </si>
  <si>
    <t>株式会社キシヤ　久留米営業所</t>
  </si>
  <si>
    <t>野田様</t>
  </si>
  <si>
    <t>〒839-0801 福岡県久留米市宮ノ陣3-5-15</t>
  </si>
  <si>
    <t>0942-31-7551</t>
  </si>
  <si>
    <t>0942-40-3226</t>
  </si>
  <si>
    <t>久留米大学病院　外5階病棟</t>
  </si>
  <si>
    <t>井樋主任</t>
    <rPh sb="0" eb="1">
      <t>イ</t>
    </rPh>
    <rPh sb="1" eb="2">
      <t>ヒ</t>
    </rPh>
    <rPh sb="2" eb="4">
      <t>シュニン</t>
    </rPh>
    <phoneticPr fontId="2"/>
  </si>
  <si>
    <t>外来5階病院</t>
    <rPh sb="0" eb="2">
      <t>ガイライ</t>
    </rPh>
    <rPh sb="3" eb="4">
      <t>カイ</t>
    </rPh>
    <rPh sb="4" eb="6">
      <t>ビョウイン</t>
    </rPh>
    <phoneticPr fontId="2"/>
  </si>
  <si>
    <t>0942-35-3311</t>
  </si>
  <si>
    <t>〒830-0001　福岡県久留米市旭町67</t>
  </si>
  <si>
    <t>P05463</t>
  </si>
  <si>
    <t>P07168</t>
  </si>
  <si>
    <t>SERVICE ASSEMBLY DISPLAY, MICROMAXX</t>
  </si>
  <si>
    <t>※修理キャンセル(1/20返却)</t>
  </si>
  <si>
    <t>S16-0023</t>
  </si>
  <si>
    <t>鹿児島大学病院_0023 (2)</t>
  </si>
  <si>
    <t>2016/01/06-04</t>
  </si>
  <si>
    <t>WK02XY</t>
  </si>
  <si>
    <t>P08063-05</t>
  </si>
  <si>
    <t>株式会社横尾器械　本社</t>
  </si>
  <si>
    <t>山田様</t>
  </si>
  <si>
    <t>〒890-0033　鹿児島県鹿児島市西別府町2941-27</t>
    <rPh sb="10" eb="14">
      <t>カゴシマケン</t>
    </rPh>
    <rPh sb="14" eb="18">
      <t>カゴシマシ</t>
    </rPh>
    <rPh sb="18" eb="19">
      <t>ニシ</t>
    </rPh>
    <rPh sb="19" eb="21">
      <t>ベップ</t>
    </rPh>
    <rPh sb="21" eb="22">
      <t>マチ</t>
    </rPh>
    <phoneticPr fontId="2"/>
  </si>
  <si>
    <t>099-281-2611</t>
  </si>
  <si>
    <t>099-282-7575</t>
  </si>
  <si>
    <t>鹿児島大学病院　皮膚科外来</t>
  </si>
  <si>
    <t>西馬場先生</t>
    <rPh sb="0" eb="1">
      <t>ニシ</t>
    </rPh>
    <rPh sb="1" eb="3">
      <t>ババ</t>
    </rPh>
    <rPh sb="3" eb="5">
      <t>センセイ</t>
    </rPh>
    <phoneticPr fontId="2"/>
  </si>
  <si>
    <t>皮膚科外来</t>
    <rPh sb="0" eb="3">
      <t>ヒフカ</t>
    </rPh>
    <rPh sb="3" eb="5">
      <t>ガイライ</t>
    </rPh>
    <phoneticPr fontId="2"/>
  </si>
  <si>
    <t>099-275-5111</t>
  </si>
  <si>
    <t>〒890-8520　鹿児島県鹿児島市桜ケ丘8-35-1</t>
    <rPh sb="10" eb="14">
      <t>カゴシマケン</t>
    </rPh>
    <rPh sb="14" eb="18">
      <t>カゴシマシ</t>
    </rPh>
    <rPh sb="18" eb="21">
      <t>サクラガオカ</t>
    </rPh>
    <phoneticPr fontId="2"/>
  </si>
  <si>
    <t>S16-0024</t>
  </si>
  <si>
    <t>すこやか医院_0024(2)</t>
  </si>
  <si>
    <t>SonoHeart</t>
  </si>
  <si>
    <t>01LC65</t>
  </si>
  <si>
    <t>P01349-01</t>
  </si>
  <si>
    <t>望月様</t>
  </si>
  <si>
    <t>すこやか医院</t>
  </si>
  <si>
    <t>047-460-3088</t>
  </si>
  <si>
    <t>〒273-0002　千葉県船橋市東船橋2-17-16</t>
  </si>
  <si>
    <t>※修理キャンセル返却</t>
  </si>
  <si>
    <t>S16-0025</t>
  </si>
  <si>
    <t>小田原循環器病院_0025</t>
  </si>
  <si>
    <t>0465-48-7211</t>
  </si>
  <si>
    <t>〒250-0873 神奈川県小田原市矢作296-1</t>
  </si>
  <si>
    <t>S16-0026</t>
  </si>
  <si>
    <t>公立丹南病院_0026 (2)</t>
  </si>
  <si>
    <t>SR#4184163</t>
  </si>
  <si>
    <t>2016/01/06-08</t>
  </si>
  <si>
    <t>0367ZZ</t>
  </si>
  <si>
    <t>P04327-04</t>
  </si>
  <si>
    <t>福井医療株式会社</t>
  </si>
  <si>
    <t>海道様</t>
  </si>
  <si>
    <t>〒918-8556　福井県福井市問屋町4丁目901</t>
  </si>
  <si>
    <t>0776-24-0500</t>
  </si>
  <si>
    <t>0776-24-0021</t>
  </si>
  <si>
    <t>公立丹南病院</t>
  </si>
  <si>
    <t>0778-51-2260</t>
  </si>
  <si>
    <t xml:space="preserve">〒916-8515　福井県鯖江市三六町1-2-31 </t>
  </si>
  <si>
    <t>P00343-01</t>
  </si>
  <si>
    <t>HINGE, DISPLAY</t>
  </si>
  <si>
    <t xml:space="preserve">※代理店は福井医療　福井本社　海道様 / 〒918-8556　福井県福井市問屋町4丁目901 TEL.0776-24-0500　　FAX.0776-24-0021
</t>
  </si>
  <si>
    <t>S16-0027</t>
  </si>
  <si>
    <t>順天堂大学病院_0027 (2)</t>
  </si>
  <si>
    <t>SR#4191235</t>
  </si>
  <si>
    <t>EDGE</t>
  </si>
  <si>
    <t>03W0TX</t>
  </si>
  <si>
    <t>P16360-04</t>
  </si>
  <si>
    <t>五十嵐様</t>
  </si>
  <si>
    <t>〒160-0031　東京都港区西麻布2-26-30 富士フイルム西麻布ビル</t>
  </si>
  <si>
    <t>03-6419-8085</t>
  </si>
  <si>
    <t>03-5469-3860</t>
  </si>
  <si>
    <t>順天堂大学医学部附属順天堂医院</t>
  </si>
  <si>
    <t>03-5802-1164</t>
  </si>
  <si>
    <t xml:space="preserve">〒113-8431　東京都文京区本郷3-1-3 </t>
  </si>
  <si>
    <t>※定期点検依頼 （メンテナンスプラン／スタンダード）</t>
  </si>
  <si>
    <t>S16-0028</t>
  </si>
  <si>
    <t>名古屋徳洲会総合病院_0028 (2)</t>
  </si>
  <si>
    <t>2016/01/07-02</t>
  </si>
  <si>
    <t>01NBM0</t>
  </si>
  <si>
    <t>P01915-01</t>
  </si>
  <si>
    <t>株式会社　八神製作所　春日井営業所</t>
  </si>
  <si>
    <t>岩間様</t>
  </si>
  <si>
    <t>〒486-0968　愛知県春日井市味美町2-1</t>
  </si>
  <si>
    <t>0568-35-5051</t>
  </si>
  <si>
    <t>0568-35-5082</t>
  </si>
  <si>
    <t>医療法人徳洲会　名古屋徳洲会総合病院　資材課</t>
  </si>
  <si>
    <t>福岡様</t>
    <rPh sb="0" eb="2">
      <t>フクオカ</t>
    </rPh>
    <rPh sb="2" eb="3">
      <t>サマ</t>
    </rPh>
    <phoneticPr fontId="2"/>
  </si>
  <si>
    <t>資材課</t>
    <rPh sb="0" eb="3">
      <t>シザイカ</t>
    </rPh>
    <phoneticPr fontId="2"/>
  </si>
  <si>
    <t>0568-51-8739</t>
  </si>
  <si>
    <t>〒487-0016　愛知県春日井市高蔵寺町北2丁目52</t>
    <rPh sb="23" eb="25">
      <t>チョウメ</t>
    </rPh>
    <phoneticPr fontId="2"/>
  </si>
  <si>
    <t>S16-0029</t>
  </si>
  <si>
    <t>自治さいたま医療センター_0029 (2)</t>
  </si>
  <si>
    <t>2016/01/08-07</t>
  </si>
  <si>
    <t>S-Nerve</t>
  </si>
  <si>
    <t>03D4RR</t>
  </si>
  <si>
    <t>P10201-02</t>
  </si>
  <si>
    <t>ティック株式会社　さいたま営業所</t>
  </si>
  <si>
    <t>宇野様</t>
  </si>
  <si>
    <t>〒331-0804　埼玉県さいたま市北区土呂町1-18-10　プラティコ325　1階北側</t>
  </si>
  <si>
    <t>048-669-2035</t>
  </si>
  <si>
    <t>048-669-2036</t>
  </si>
  <si>
    <t>自治医科大学附属さいたま医療センター</t>
  </si>
  <si>
    <t>048-647-2111</t>
  </si>
  <si>
    <t>〒330-8503　埼玉県さいたま市大宮区天沼町1-847</t>
  </si>
  <si>
    <t>P09138-01</t>
  </si>
  <si>
    <t>SERVICE ASSEMBLY, INTERNAL MINIDOCK, S-SERIES</t>
  </si>
  <si>
    <t>S16-0030</t>
  </si>
  <si>
    <t>大阪労災病院_0030 (2)</t>
  </si>
  <si>
    <t>03CMTX</t>
  </si>
  <si>
    <t>日本コヴィディエン株式会社　大阪営業所</t>
  </si>
  <si>
    <t>大竹様</t>
  </si>
  <si>
    <t>大阪労災病院</t>
  </si>
  <si>
    <t>072-252-3561</t>
  </si>
  <si>
    <t>〒591-8025　大阪府堺市北区長曽根町1179-3</t>
  </si>
  <si>
    <t>P03156-02</t>
  </si>
  <si>
    <t>SERVICE ASSEMBLY, MAIN PCB, ILOOK25</t>
  </si>
  <si>
    <t>S16-0031</t>
  </si>
  <si>
    <t>共済立川病院_0031 (2)</t>
  </si>
  <si>
    <t>2007年1月</t>
  </si>
  <si>
    <t>036889</t>
  </si>
  <si>
    <t>日本コヴィディエン株式会社　東京第二営業所</t>
  </si>
  <si>
    <t>久保様</t>
  </si>
  <si>
    <t>国家公務員共済組合連合際　立川病院</t>
  </si>
  <si>
    <t>042-523-3131</t>
  </si>
  <si>
    <t xml:space="preserve">
〒190-8531　東京都立川市錦町4-2-22</t>
  </si>
  <si>
    <t>P03100-01</t>
  </si>
  <si>
    <t>P03111-01</t>
  </si>
  <si>
    <t>P03110-01</t>
  </si>
  <si>
    <t>P03079-01</t>
  </si>
  <si>
    <t>WASHER</t>
  </si>
  <si>
    <t>CRESCENT, SNAP RING 1/4 TRUARC PN 5103-25</t>
  </si>
  <si>
    <t>ROLLER, LOCKING</t>
  </si>
  <si>
    <t>SLEEVE, ROLLER</t>
  </si>
  <si>
    <t>S16-0032</t>
  </si>
  <si>
    <t>都立駒込病院_0032 (2)</t>
  </si>
  <si>
    <t>SR#4181187</t>
  </si>
  <si>
    <t>2014年4月</t>
  </si>
  <si>
    <t>03XW1Z</t>
  </si>
  <si>
    <t>長谷川様</t>
  </si>
  <si>
    <t>都立駒込病院</t>
  </si>
  <si>
    <t>03-3823-2101</t>
  </si>
  <si>
    <t>〒113-8677　東京都文京区駒込3-18-22</t>
    <rPh sb="10" eb="13">
      <t>トウキョウト</t>
    </rPh>
    <rPh sb="13" eb="16">
      <t>ブンキョウク</t>
    </rPh>
    <rPh sb="16" eb="18">
      <t>コマゴメ</t>
    </rPh>
    <phoneticPr fontId="2"/>
  </si>
  <si>
    <t>S16-0033</t>
  </si>
  <si>
    <t>福井赤十字病院_0033 (2)</t>
  </si>
  <si>
    <t>SR#4181945</t>
  </si>
  <si>
    <t>2012年3月</t>
  </si>
  <si>
    <t>03MPPD</t>
  </si>
  <si>
    <t>日本コヴィディエン株式会社　東海北陸営業所</t>
  </si>
  <si>
    <t>三村様</t>
  </si>
  <si>
    <t>福井赤十字病院</t>
  </si>
  <si>
    <t>0776-36-3630</t>
  </si>
  <si>
    <t>〒918-8501 福井県福井市月見2-4-1</t>
  </si>
  <si>
    <t>S16-0034</t>
  </si>
  <si>
    <t>朝倉健生病院_0034 (2)</t>
  </si>
  <si>
    <t>SR#4184769</t>
  </si>
  <si>
    <t>2015/12/14-04</t>
  </si>
  <si>
    <t>WK1F79</t>
  </si>
  <si>
    <t>P09141-25</t>
  </si>
  <si>
    <t>利光様</t>
  </si>
  <si>
    <t>〒839-0801 福岡県久留米市宮ノ陣3丁目5番15号</t>
  </si>
  <si>
    <t>0942-30-5191</t>
  </si>
  <si>
    <t>0942-30-5195</t>
  </si>
  <si>
    <t>医療法人社団医王会　朝倉健生病院</t>
  </si>
  <si>
    <t>0946-22-5511</t>
  </si>
  <si>
    <t>〒838-0068　福岡県朝倉市甘木151番地4</t>
  </si>
  <si>
    <t>S16-0035</t>
  </si>
  <si>
    <t>高知大学病院_0035 (2)</t>
  </si>
  <si>
    <t>2015/01/08-05</t>
  </si>
  <si>
    <t>TiTAN</t>
  </si>
  <si>
    <t>034XFG</t>
  </si>
  <si>
    <t>P04338-04</t>
  </si>
  <si>
    <t>株式会社シーメック　高知本社</t>
  </si>
  <si>
    <t>西岡様</t>
  </si>
  <si>
    <t>〒780-0087　高知県高知市南久保9-8</t>
    <rPh sb="10" eb="13">
      <t>コウチケン</t>
    </rPh>
    <rPh sb="13" eb="16">
      <t>コウチシ</t>
    </rPh>
    <rPh sb="16" eb="17">
      <t>ミナミ</t>
    </rPh>
    <rPh sb="17" eb="19">
      <t>クボ</t>
    </rPh>
    <phoneticPr fontId="2"/>
  </si>
  <si>
    <t>088-880-0666</t>
  </si>
  <si>
    <t>088-880-0668</t>
  </si>
  <si>
    <t>高知大学医学部附属病院　1内科</t>
  </si>
  <si>
    <t>一内科</t>
    <rPh sb="0" eb="1">
      <t>イチ</t>
    </rPh>
    <rPh sb="1" eb="3">
      <t>ナイカ</t>
    </rPh>
    <phoneticPr fontId="2"/>
  </si>
  <si>
    <t>088-866-5811</t>
  </si>
  <si>
    <t>〒783-8505　高知県南国市岡豊町小蓮185-1</t>
  </si>
  <si>
    <t>※修理キャンセル→返却</t>
  </si>
  <si>
    <t>S16-0036</t>
  </si>
  <si>
    <t>中古品販売_0036 (2)</t>
  </si>
  <si>
    <t>SR#4191247</t>
  </si>
  <si>
    <t>03HPLM</t>
  </si>
  <si>
    <t>P12700-02</t>
  </si>
  <si>
    <t>株式会社グリーンメディカル</t>
  </si>
  <si>
    <t>〒151-0051　東京都江東区枝川3-10-10</t>
    <rPh sb="10" eb="13">
      <t>トウキョウト</t>
    </rPh>
    <rPh sb="13" eb="16">
      <t>コウトウク</t>
    </rPh>
    <rPh sb="16" eb="17">
      <t>エダ</t>
    </rPh>
    <rPh sb="17" eb="18">
      <t>カワ</t>
    </rPh>
    <phoneticPr fontId="2"/>
  </si>
  <si>
    <t>03-5653-3911</t>
  </si>
  <si>
    <t>03-5653-3912</t>
  </si>
  <si>
    <t>中古品販売 [爪と皮膚の診療所(開業準備中)]</t>
  </si>
  <si>
    <t>090-7804-1186</t>
  </si>
  <si>
    <t>〒 227-0046　神奈川県横浜市青葉区たちばな台1-10-1-315</t>
  </si>
  <si>
    <t>P07956-01</t>
  </si>
  <si>
    <t>P09823-06</t>
  </si>
  <si>
    <t>P00855-01</t>
  </si>
  <si>
    <t>P12889-20</t>
  </si>
  <si>
    <t>VESA PLATE, STAND, S-SERIES</t>
  </si>
  <si>
    <t>LOW NOISE POWER SUPPLY,15V W/BATTERY CHARGER,75 W</t>
  </si>
  <si>
    <t>CORDSET, 15 AMP ,C13 CONNECTOR,JAPANESE</t>
  </si>
  <si>
    <t>NANOMAXX BATTERY ASSEMBLY, NATIONAL PANASONIC CELLS</t>
  </si>
  <si>
    <t>S16-0037</t>
  </si>
  <si>
    <t>成城マタニティクリニック_0037 (2)</t>
  </si>
  <si>
    <t>2016/01/08-06</t>
  </si>
  <si>
    <t>03HJJ3</t>
  </si>
  <si>
    <t>P06590-03</t>
  </si>
  <si>
    <t>株式会社ライフメッド</t>
  </si>
  <si>
    <t>宮原様</t>
  </si>
  <si>
    <t>〒113-0033　東京都文京区本郷2-17-17</t>
  </si>
  <si>
    <t>03-3814-75111</t>
  </si>
  <si>
    <t>03-3812-7561</t>
  </si>
  <si>
    <t>成城マタニティクリニック</t>
  </si>
  <si>
    <t>菊本様</t>
    <rPh sb="0" eb="1">
      <t>キク</t>
    </rPh>
    <rPh sb="1" eb="2">
      <t>モト</t>
    </rPh>
    <rPh sb="2" eb="3">
      <t>サマ</t>
    </rPh>
    <phoneticPr fontId="2"/>
  </si>
  <si>
    <t>03-5727-5335</t>
  </si>
  <si>
    <t>〒157-0066　東京都世田谷区成城1-1-2</t>
    <rPh sb="10" eb="13">
      <t>トウキョウト</t>
    </rPh>
    <rPh sb="13" eb="17">
      <t>セタガヤク</t>
    </rPh>
    <rPh sb="17" eb="19">
      <t>セイジョウ</t>
    </rPh>
    <phoneticPr fontId="2"/>
  </si>
  <si>
    <t>P12133-01</t>
  </si>
  <si>
    <t>MINI-DOCK, DVI, WITH PRINTER CABLES</t>
  </si>
  <si>
    <t>※P12133 Mini-Dock DVI</t>
  </si>
  <si>
    <t>S16-0038</t>
  </si>
  <si>
    <t>亀田総合病院クリニック_0038 (2)</t>
  </si>
  <si>
    <t>2016/01/08-02</t>
  </si>
  <si>
    <t>WK1GLY</t>
  </si>
  <si>
    <t>P16588-01</t>
  </si>
  <si>
    <t>日立アロカメディカル株式会社　千葉営業所</t>
  </si>
  <si>
    <t>大渡　様</t>
  </si>
  <si>
    <t>〒260-0027　千葉県千葉市中央区新田町1-1 ＩＭＩ未来ビル7階</t>
  </si>
  <si>
    <t>043-246-3181</t>
  </si>
  <si>
    <t>043-246-3183</t>
  </si>
  <si>
    <t>医療法人鉄焦会　亀田総合病院</t>
  </si>
  <si>
    <t>鎌形様</t>
    <rPh sb="0" eb="2">
      <t>カマガタ</t>
    </rPh>
    <rPh sb="2" eb="3">
      <t>サマ</t>
    </rPh>
    <phoneticPr fontId="2"/>
  </si>
  <si>
    <t>ME室</t>
    <rPh sb="2" eb="3">
      <t>シツ</t>
    </rPh>
    <phoneticPr fontId="2"/>
  </si>
  <si>
    <t>04-7092-2211</t>
  </si>
  <si>
    <t>〒296-8602　千葉県鴨川市東町929</t>
  </si>
  <si>
    <t>P03902-10</t>
  </si>
  <si>
    <t>ASSEMBLY, TOP ENCLOSURE, TRANSDUCER SELECT MODULE</t>
  </si>
  <si>
    <t>S16-0039</t>
  </si>
  <si>
    <t>福田病院_0039 (2)</t>
  </si>
  <si>
    <t>SR#4185099</t>
  </si>
  <si>
    <t>2016/01/07-05</t>
  </si>
  <si>
    <t>03XTYM</t>
  </si>
  <si>
    <t>P12060-12</t>
  </si>
  <si>
    <t>アイティーアイ株式会社　熊本支店</t>
  </si>
  <si>
    <t>許斐様</t>
  </si>
  <si>
    <t>医療法人社団愛育会　福田病院</t>
  </si>
  <si>
    <t>096-322-2995</t>
  </si>
  <si>
    <t>〒860-0004　熊本県熊本市中央区新町2-2-6</t>
  </si>
  <si>
    <t>P09135-03</t>
  </si>
  <si>
    <t>SERVICE ASSEMBLY MAIN PCBA, S-SERIES</t>
  </si>
  <si>
    <t>S16-0040</t>
  </si>
  <si>
    <t>佐世保共済病院_0040 (2)</t>
  </si>
  <si>
    <t>SR#4190711</t>
  </si>
  <si>
    <t>2016/01/08-03</t>
  </si>
  <si>
    <t>03HPL0</t>
  </si>
  <si>
    <t>アイティーアイ株式会社　佐世保支店</t>
  </si>
  <si>
    <t>堤様</t>
  </si>
  <si>
    <t>〒857-1162　長崎県佐世保市卸本町30-16</t>
  </si>
  <si>
    <t>0956-46-5511</t>
  </si>
  <si>
    <t>0956-46-5512</t>
  </si>
  <si>
    <t>佐世保共済病院　透析室</t>
  </si>
  <si>
    <t>中倉師長</t>
    <rPh sb="0" eb="1">
      <t>ナカ</t>
    </rPh>
    <rPh sb="1" eb="2">
      <t>クラ</t>
    </rPh>
    <rPh sb="2" eb="3">
      <t>シ</t>
    </rPh>
    <rPh sb="3" eb="4">
      <t>チョウ</t>
    </rPh>
    <phoneticPr fontId="2"/>
  </si>
  <si>
    <t>0956-22-5136</t>
  </si>
  <si>
    <t>〒857-8575　長崎県佐世保市島地町10-17</t>
  </si>
  <si>
    <t>P00538-03</t>
  </si>
  <si>
    <t>POWER SUPPLY, 85-264 VAC, 50-60HZ, 16V, 45W, 180</t>
  </si>
  <si>
    <t>S16-0041</t>
  </si>
  <si>
    <t>熊本赤十字病院_0041 (2)</t>
  </si>
  <si>
    <t>2016/01/12-03</t>
  </si>
  <si>
    <t>UP-21MD</t>
  </si>
  <si>
    <t>32588</t>
  </si>
  <si>
    <t>山下医科器械株式会社　熊本支社</t>
  </si>
  <si>
    <t>古賀様</t>
  </si>
  <si>
    <t>〒860-0831 熊本県熊本市中央区八王寺町39-12</t>
  </si>
  <si>
    <t>096-378-5911</t>
  </si>
  <si>
    <t>096-378-8622</t>
  </si>
  <si>
    <t>日本赤十字社　熊本赤十字病院</t>
  </si>
  <si>
    <t>096-384-2111</t>
  </si>
  <si>
    <t>〒861-8520 熊本県熊本市東区長嶺南2-1-1</t>
  </si>
  <si>
    <t>トレイガイド</t>
  </si>
  <si>
    <t>センサーガイド</t>
  </si>
  <si>
    <t>ローラゴム/カバー</t>
  </si>
  <si>
    <t>DCファンユニット</t>
  </si>
  <si>
    <t>S16-0042</t>
  </si>
  <si>
    <t>代替機NIM67_0042 (2)</t>
  </si>
  <si>
    <t>SR#4181947</t>
  </si>
  <si>
    <t>0367NC</t>
  </si>
  <si>
    <t>P04326-04</t>
  </si>
  <si>
    <t>代替機NIM67</t>
  </si>
  <si>
    <t>S16-0043</t>
  </si>
  <si>
    <t>大津赤十字病院_0043 (2)</t>
  </si>
  <si>
    <t>SR#4185909</t>
  </si>
  <si>
    <t>2016/01/06-01</t>
  </si>
  <si>
    <t>WK0VHX</t>
  </si>
  <si>
    <t>石黒メディカルシステム株式会社</t>
  </si>
  <si>
    <t>小林様</t>
  </si>
  <si>
    <t>〒524-0041　滋賀県守山市勝部町6-4-36</t>
    <rPh sb="10" eb="13">
      <t>シガケン</t>
    </rPh>
    <rPh sb="13" eb="16">
      <t>モリヤマシ</t>
    </rPh>
    <rPh sb="16" eb="18">
      <t>カツベ</t>
    </rPh>
    <rPh sb="18" eb="19">
      <t>マチ</t>
    </rPh>
    <phoneticPr fontId="2"/>
  </si>
  <si>
    <t>077-582-7700</t>
  </si>
  <si>
    <t>077-582-7796</t>
  </si>
  <si>
    <t>大津赤十字病院</t>
  </si>
  <si>
    <t>077-522-4131</t>
  </si>
  <si>
    <t>〒520-8511　滋賀県大津市長等一丁目1-35</t>
  </si>
  <si>
    <t>P07418-02</t>
  </si>
  <si>
    <t>SERVICE ASSEMBLY MAIN PCBA, D2, MICROMAXX</t>
  </si>
  <si>
    <t>S16-0044</t>
  </si>
  <si>
    <t>代替機NIM154_0044 (2)</t>
  </si>
  <si>
    <t>03HQ99</t>
  </si>
  <si>
    <t>テクニカルサポート</t>
  </si>
  <si>
    <t>代替機NIM154</t>
  </si>
  <si>
    <t>S16-0045</t>
  </si>
  <si>
    <t>神戸市民中央病院_0045 (2)</t>
  </si>
  <si>
    <t>SR#4235661</t>
  </si>
  <si>
    <t>03VHHR</t>
  </si>
  <si>
    <t>日本コヴィディエン株式会社　西日本透析営業所</t>
  </si>
  <si>
    <t>川島様</t>
  </si>
  <si>
    <t>神戸市立医療センター中央市民病院</t>
  </si>
  <si>
    <t>078-302-4321</t>
  </si>
  <si>
    <t xml:space="preserve">〒650-0047 神戸市中央区港島南町２丁目1-1 </t>
  </si>
  <si>
    <t>P15112-02</t>
  </si>
  <si>
    <t>P13068-01</t>
  </si>
  <si>
    <t>IT, POWER ADAPTER CABLE</t>
  </si>
  <si>
    <t>SERVICE ASSEMBLY, NANOMAXX REAR ENCLOSURE</t>
  </si>
  <si>
    <t>S16-0046</t>
  </si>
  <si>
    <t>陸上自衛隊富士病院１_0046 (2)</t>
  </si>
  <si>
    <t>2016/01/13-07</t>
  </si>
  <si>
    <t>03HPKZ</t>
  </si>
  <si>
    <t>株式会社いわしや錦織医科器械</t>
  </si>
  <si>
    <t>武田様</t>
  </si>
  <si>
    <t>〒419-0114　静岡県田方郡函南町仁田120-3</t>
  </si>
  <si>
    <t>055-978-5570</t>
  </si>
  <si>
    <t>055-978-7460</t>
  </si>
  <si>
    <t>陸上自衛隊富士病院　病院資材課</t>
  </si>
  <si>
    <t>武藤様</t>
    <rPh sb="0" eb="2">
      <t>ムトウ</t>
    </rPh>
    <rPh sb="2" eb="3">
      <t>サマ</t>
    </rPh>
    <phoneticPr fontId="2"/>
  </si>
  <si>
    <t>病院資材課</t>
    <rPh sb="0" eb="2">
      <t>ビョウイン</t>
    </rPh>
    <rPh sb="2" eb="5">
      <t>シザイカ</t>
    </rPh>
    <phoneticPr fontId="2"/>
  </si>
  <si>
    <t>0550-75-2311</t>
  </si>
  <si>
    <t>〒410-1432　静岡県駿東郡小山町須走481-27</t>
  </si>
  <si>
    <t>S14-0931と同じ　定期依頼（メンテナンスプログラム／プレミアムプラン）</t>
  </si>
  <si>
    <t>S16-0047</t>
  </si>
  <si>
    <t>陸上自衛隊富士病院２_0047 (2)</t>
  </si>
  <si>
    <t>180Ⅱ</t>
  </si>
  <si>
    <t>0206NW</t>
  </si>
  <si>
    <t>P02456-01</t>
  </si>
  <si>
    <t>S14-0932と同じ　定期依頼（メンテナンスプログラム／プレミアムプラン）</t>
  </si>
  <si>
    <t>S16-0048</t>
  </si>
  <si>
    <t>公立南丹病院_0048 (2)</t>
  </si>
  <si>
    <t>2016/01/07-01</t>
  </si>
  <si>
    <t>03BLVF</t>
  </si>
  <si>
    <t>P08063-03</t>
  </si>
  <si>
    <t>株式会社増田医科器械　京都本社</t>
  </si>
  <si>
    <t>橋井様</t>
  </si>
  <si>
    <t>〒612-8443　京都府京都市伏見区竹田藁屋町50</t>
    <rPh sb="10" eb="13">
      <t>キョウトフ</t>
    </rPh>
    <rPh sb="13" eb="16">
      <t>キョウトシ</t>
    </rPh>
    <rPh sb="16" eb="19">
      <t>フシミク</t>
    </rPh>
    <rPh sb="19" eb="21">
      <t>タケダ</t>
    </rPh>
    <rPh sb="21" eb="22">
      <t>ワラ</t>
    </rPh>
    <rPh sb="22" eb="23">
      <t>ヤ</t>
    </rPh>
    <rPh sb="23" eb="24">
      <t>マチ</t>
    </rPh>
    <phoneticPr fontId="2"/>
  </si>
  <si>
    <t>075-623-7111</t>
  </si>
  <si>
    <t>075-623-7131</t>
  </si>
  <si>
    <t>公立南丹病院　臨床工学科</t>
  </si>
  <si>
    <t>上原様</t>
    <rPh sb="0" eb="2">
      <t>ウエハラ</t>
    </rPh>
    <rPh sb="2" eb="3">
      <t>サマ</t>
    </rPh>
    <phoneticPr fontId="2"/>
  </si>
  <si>
    <t>臨床工学科</t>
    <rPh sb="0" eb="2">
      <t>リンショウ</t>
    </rPh>
    <rPh sb="2" eb="4">
      <t>コウガク</t>
    </rPh>
    <rPh sb="4" eb="5">
      <t>カ</t>
    </rPh>
    <phoneticPr fontId="2"/>
  </si>
  <si>
    <t>0771-42-2510</t>
  </si>
  <si>
    <t>〒629-0197　京都府南丹市八木上野25</t>
    <rPh sb="10" eb="13">
      <t>キョウトフ</t>
    </rPh>
    <rPh sb="13" eb="15">
      <t>ナンタン</t>
    </rPh>
    <rPh sb="15" eb="16">
      <t>シ</t>
    </rPh>
    <rPh sb="16" eb="18">
      <t>ヤギ</t>
    </rPh>
    <rPh sb="18" eb="20">
      <t>ウエノ</t>
    </rPh>
    <phoneticPr fontId="2"/>
  </si>
  <si>
    <t>※本体はクリーニング、バッテリー、プローブ購入。C60e/5-2(S/N:045Q9F)　担当が浦井さんから橋井さんへ</t>
  </si>
  <si>
    <t>S16-0049</t>
  </si>
  <si>
    <t>関医院_0049 (2)</t>
  </si>
  <si>
    <t>2015/08/05-05</t>
  </si>
  <si>
    <t>WK05PG</t>
  </si>
  <si>
    <t>P14179-01</t>
  </si>
  <si>
    <t>フクダ電子長野販売株式会社</t>
  </si>
  <si>
    <t>新津様</t>
  </si>
  <si>
    <t>〒381-2217　長野県長野市稲里町中央4-15-10</t>
    <rPh sb="10" eb="13">
      <t>ナガノケン</t>
    </rPh>
    <rPh sb="13" eb="16">
      <t>ナガノシ</t>
    </rPh>
    <rPh sb="16" eb="17">
      <t>イナ</t>
    </rPh>
    <rPh sb="17" eb="18">
      <t>サト</t>
    </rPh>
    <rPh sb="18" eb="19">
      <t>マチ</t>
    </rPh>
    <rPh sb="19" eb="21">
      <t>チュウオウ</t>
    </rPh>
    <phoneticPr fontId="2"/>
  </si>
  <si>
    <t>026-291-0099</t>
  </si>
  <si>
    <t>関医院</t>
  </si>
  <si>
    <t>0267-22-2205</t>
  </si>
  <si>
    <t>〒384-0031　長野県小諸市大手2-4-7</t>
    <rPh sb="10" eb="13">
      <t>ナガノケン</t>
    </rPh>
    <rPh sb="13" eb="16">
      <t>コモロシ</t>
    </rPh>
    <rPh sb="16" eb="18">
      <t>オオテ</t>
    </rPh>
    <phoneticPr fontId="2"/>
  </si>
  <si>
    <t>S16-0050</t>
  </si>
  <si>
    <t>デモ機EST22_0050 (2)</t>
  </si>
  <si>
    <t>SR#4183043</t>
  </si>
  <si>
    <t>03PRG4</t>
  </si>
  <si>
    <t>P16360-01</t>
  </si>
  <si>
    <t>デモ機EST22</t>
  </si>
  <si>
    <t>P15615-03</t>
  </si>
  <si>
    <t>SERVICE ASSEMBLY, MAIN PCBA, EDGE</t>
  </si>
  <si>
    <t>S16-0051</t>
  </si>
  <si>
    <t>十和田市立中央病院_0051 (2)</t>
  </si>
  <si>
    <t>SR#4184161</t>
  </si>
  <si>
    <t>2015/08/06-01</t>
  </si>
  <si>
    <t>039B4G</t>
  </si>
  <si>
    <t>Ｐ08063-02</t>
  </si>
  <si>
    <t>共立医科器械株式会社　八戸営業所</t>
  </si>
  <si>
    <t>佐藤様</t>
  </si>
  <si>
    <t>〒039-1166　青森県八戸市根城3-18-3</t>
  </si>
  <si>
    <t>0178-43-2923</t>
  </si>
  <si>
    <t>0178-44-1957</t>
  </si>
  <si>
    <t>十和田市立中央病院　救急</t>
  </si>
  <si>
    <t>0176-23-5121</t>
  </si>
  <si>
    <t>〒034-0093　青森県十和田市西十二番町14-8</t>
  </si>
  <si>
    <t>P05463-01</t>
  </si>
  <si>
    <t>S16-0052</t>
  </si>
  <si>
    <t>水口内科クリニック_0052 (2)</t>
  </si>
  <si>
    <t>2016/01/18-05</t>
  </si>
  <si>
    <t>032CZP</t>
  </si>
  <si>
    <t>P04327-01</t>
  </si>
  <si>
    <t>冨木医療器株式会社　金沢支店</t>
  </si>
  <si>
    <t>八田様</t>
  </si>
  <si>
    <t>〒920-8539　石川県金沢市問屋町2丁目46</t>
  </si>
  <si>
    <t>076-237-5555</t>
  </si>
  <si>
    <t>076-237-9381</t>
  </si>
  <si>
    <t>水口内科クリニック</t>
  </si>
  <si>
    <t>076-255-3377</t>
  </si>
  <si>
    <t>〒920-8203　石川県金沢市鞍月5丁目219</t>
  </si>
  <si>
    <t>S16-0053</t>
  </si>
  <si>
    <t>竹田内科医院_0053</t>
  </si>
  <si>
    <t>〒300-0034　茨城県土浦市港町1-10-7</t>
  </si>
  <si>
    <t>04-7185-0225</t>
  </si>
  <si>
    <t>〒270-1164　千葉県我孫子市つくし野6-5-1</t>
  </si>
  <si>
    <t>S16-0054</t>
  </si>
  <si>
    <t>南海医療センター_0054 (2)</t>
  </si>
  <si>
    <t>2016/01/04-05</t>
  </si>
  <si>
    <t>03DJH7</t>
  </si>
  <si>
    <t>P09141-07</t>
  </si>
  <si>
    <t>株式会社フィディスワン</t>
  </si>
  <si>
    <t>三浦様</t>
  </si>
  <si>
    <t>〒870-0014 大分県大分市勢家芦崎1202-10　オリベ第3ビル1Ｆ</t>
  </si>
  <si>
    <t>097-573-9030</t>
  </si>
  <si>
    <t>097-573-9040</t>
  </si>
  <si>
    <t>南海医療センター</t>
  </si>
  <si>
    <t>0972-22-0547</t>
  </si>
  <si>
    <t>〒876-0857　大分県佐伯市常盤西町11-20</t>
  </si>
  <si>
    <t>S16-0055</t>
  </si>
  <si>
    <t>九州大学病院_0055 (2)</t>
  </si>
  <si>
    <t>2016/01/19-03</t>
  </si>
  <si>
    <t>S-ICU</t>
  </si>
  <si>
    <t>WK2YY2</t>
  </si>
  <si>
    <t>P12085-60</t>
  </si>
  <si>
    <t>株式会社キシヤ</t>
  </si>
  <si>
    <t>中西様</t>
  </si>
  <si>
    <t>〒812-0062 福岡県福岡市東区松島1-41-21</t>
  </si>
  <si>
    <t>092-622-8000</t>
  </si>
  <si>
    <t>092-623-1313</t>
  </si>
  <si>
    <t>九州大学病院</t>
  </si>
  <si>
    <t>092-641-1151</t>
  </si>
  <si>
    <t>〒812-8582 福岡県福岡市東区馬出3-1-1</t>
  </si>
  <si>
    <t>※現象不再現→返却(6/20)報告書あり</t>
  </si>
  <si>
    <t>S16-0056</t>
  </si>
  <si>
    <t>県立広島病院_0056 (2)</t>
  </si>
  <si>
    <t>2016/01/18-04</t>
  </si>
  <si>
    <t>39669</t>
  </si>
  <si>
    <t>ティーエスアルフレッサ株式会社　広島機器試薬支店</t>
  </si>
  <si>
    <t>高木様</t>
  </si>
  <si>
    <t>〒733-8633　広島県広島市西区商工センター1-2-19</t>
    <phoneticPr fontId="2"/>
  </si>
  <si>
    <t>082-501-0466</t>
  </si>
  <si>
    <t>082-279-7133</t>
  </si>
  <si>
    <t>県立広島病院</t>
  </si>
  <si>
    <t>082-254-1818</t>
  </si>
  <si>
    <t>〒734-8530　広島県広島市南区宇品神田1-5-54</t>
  </si>
  <si>
    <t>A107889B</t>
  </si>
  <si>
    <t>SE-768 MOUNT</t>
  </si>
  <si>
    <t>※保証内 ティーエスアルフレッサ　広島　高木様</t>
  </si>
  <si>
    <t>S16-0057</t>
  </si>
  <si>
    <t>喜多医師会病院_0057 (2)</t>
  </si>
  <si>
    <t>2015/12/02-04</t>
  </si>
  <si>
    <t>0336ND</t>
  </si>
  <si>
    <t>P04338-01</t>
  </si>
  <si>
    <t>株式会社カワニシ</t>
  </si>
  <si>
    <t>島中様</t>
  </si>
  <si>
    <t>〒791-2112　愛媛県伊予郡砥部町重光241-3</t>
  </si>
  <si>
    <t>089-956-7008</t>
  </si>
  <si>
    <t>089-956-2937</t>
  </si>
  <si>
    <t>喜多医師会病院</t>
  </si>
  <si>
    <t>村瀬様</t>
    <rPh sb="0" eb="2">
      <t>ムラセ</t>
    </rPh>
    <rPh sb="2" eb="3">
      <t>サマ</t>
    </rPh>
    <phoneticPr fontId="2"/>
  </si>
  <si>
    <t>0893-25-0535</t>
  </si>
  <si>
    <t>〒795-8505 愛媛県大洲市徳森2632-3</t>
  </si>
  <si>
    <t>P06733-01</t>
  </si>
  <si>
    <t>P06902-01</t>
  </si>
  <si>
    <t>P03861-02</t>
  </si>
  <si>
    <t>SERVICE ASSEMBLY MAIN PCBA, NEW CONN, TITAN HIGH MEMORY</t>
  </si>
  <si>
    <t>SERVICE ASSEMBLY, POWER SUPPLY, 2.3.1 TITAN</t>
  </si>
  <si>
    <t>SERVICE ASSEMBLY DISPLAY, TITAN</t>
  </si>
  <si>
    <t>S16-0058</t>
  </si>
  <si>
    <t>砂川市立病院_0058 (2)</t>
  </si>
  <si>
    <t>SR#4183619</t>
  </si>
  <si>
    <t>2016/01/19-02</t>
  </si>
  <si>
    <t>03V3LZ</t>
  </si>
  <si>
    <t>P16360-02</t>
  </si>
  <si>
    <t>株式会社ムトウ　空知支店</t>
  </si>
  <si>
    <t>松原様</t>
  </si>
  <si>
    <t>〒073-0161　北海道砂川市西1条北17丁目1-19</t>
  </si>
  <si>
    <t>0125-54-0600</t>
  </si>
  <si>
    <t>0125-54-2740</t>
  </si>
  <si>
    <t>砂川市立病院</t>
  </si>
  <si>
    <t>0125-54-2131</t>
  </si>
  <si>
    <t>〒073-0196　北海道砂川市西4条北3丁目1-1</t>
  </si>
  <si>
    <t>P15618-02</t>
  </si>
  <si>
    <t>CONTROL PANEL, EDGE, ENGLISH</t>
  </si>
  <si>
    <t>S16-0059</t>
  </si>
  <si>
    <t>東海大学医学部病院_0059 (2)</t>
  </si>
  <si>
    <t>03BBJ3</t>
  </si>
  <si>
    <t>P05675-07</t>
  </si>
  <si>
    <t>株式会社イノメディックス　相模原営業所</t>
  </si>
  <si>
    <t>梶原様</t>
  </si>
  <si>
    <t>〒252-0206　神奈川県相模原市中央区淵野辺4-19-16</t>
  </si>
  <si>
    <t>042-752-7611</t>
  </si>
  <si>
    <t>042-752-2449</t>
  </si>
  <si>
    <t>東海大学医学部付属病院</t>
  </si>
  <si>
    <t>松本様</t>
    <rPh sb="0" eb="2">
      <t>マツモト</t>
    </rPh>
    <rPh sb="2" eb="3">
      <t>サマ</t>
    </rPh>
    <phoneticPr fontId="2"/>
  </si>
  <si>
    <t>Mセンター</t>
  </si>
  <si>
    <t>0463-93-1121</t>
  </si>
  <si>
    <t>〒259-1193　神奈川県伊勢原市下糟屋143</t>
  </si>
  <si>
    <t>P05675-20</t>
  </si>
  <si>
    <t>※C60e/5-2　コンベックスプローブ (SN:0405FZ)</t>
  </si>
  <si>
    <t>S16-0060</t>
  </si>
  <si>
    <t>公立八鹿病院_0060 (3)</t>
  </si>
  <si>
    <t>SR#4190107</t>
  </si>
  <si>
    <t>01LBT1</t>
  </si>
  <si>
    <t>マリヤ医科工業株式会社</t>
  </si>
  <si>
    <t>小山様</t>
  </si>
  <si>
    <t>〒668-0024　兵庫県豊岡市寿町10-10</t>
  </si>
  <si>
    <t>0796-22-6155</t>
  </si>
  <si>
    <t>0796-22-6158</t>
  </si>
  <si>
    <t>公立八鹿病院</t>
  </si>
  <si>
    <t>井口課長</t>
    <rPh sb="0" eb="2">
      <t>イグチ</t>
    </rPh>
    <rPh sb="2" eb="4">
      <t>カチョウ</t>
    </rPh>
    <phoneticPr fontId="2"/>
  </si>
  <si>
    <t>7病棟</t>
    <rPh sb="1" eb="3">
      <t>ビョウトウ</t>
    </rPh>
    <phoneticPr fontId="2"/>
  </si>
  <si>
    <t>079-662-5555</t>
  </si>
  <si>
    <t>〒667-8555　兵庫県養父市八鹿町八鹿1878-1</t>
  </si>
  <si>
    <t>P04686-01</t>
  </si>
  <si>
    <t>SERVICE ASSEMBLY, C1.8 BASE ASSEMBLY</t>
  </si>
  <si>
    <t>S16-0061</t>
  </si>
  <si>
    <t>長崎県済生会病院_0061 (2)</t>
  </si>
  <si>
    <t>030JF4</t>
  </si>
  <si>
    <t>P02998-01</t>
  </si>
  <si>
    <t>山下医科器械株式会社　長崎支社</t>
  </si>
  <si>
    <t>井手口様</t>
  </si>
  <si>
    <t>〒852-8107 長崎県長崎市浜口町12-19</t>
  </si>
  <si>
    <t>095-844-3171</t>
  </si>
  <si>
    <t>095-844-3174</t>
  </si>
  <si>
    <t>社会福祉法人恩腸財団済生会支社　長崎県済生会病院</t>
  </si>
  <si>
    <t>095-826-9236</t>
  </si>
  <si>
    <t>〒850-0003　長崎県長崎氏片淵2-5-1</t>
  </si>
  <si>
    <t>S16-0062</t>
  </si>
  <si>
    <t>石橋整骨院_0062 (2)</t>
  </si>
  <si>
    <t>0341H7</t>
  </si>
  <si>
    <t>P04326-03</t>
  </si>
  <si>
    <t>株式会社エス・エス・ピー</t>
  </si>
  <si>
    <t>中村様</t>
  </si>
  <si>
    <t>〒305-0853　茨城県つくば市榎戸748-2　榎戸倉庫6スパン</t>
  </si>
  <si>
    <t>029-839-0349</t>
  </si>
  <si>
    <t>029-838-0896</t>
  </si>
  <si>
    <t>石橋整骨院</t>
  </si>
  <si>
    <t>0942-26-1600</t>
  </si>
  <si>
    <t>〒830-0078　福岡県久留米市安武町住吉1110-6</t>
    <rPh sb="10" eb="13">
      <t>フクオカケン</t>
    </rPh>
    <rPh sb="13" eb="17">
      <t>クルメシ</t>
    </rPh>
    <rPh sb="17" eb="18">
      <t>ヤス</t>
    </rPh>
    <rPh sb="18" eb="19">
      <t>タケシ</t>
    </rPh>
    <rPh sb="19" eb="20">
      <t>マチ</t>
    </rPh>
    <rPh sb="20" eb="22">
      <t>スミヨシ</t>
    </rPh>
    <phoneticPr fontId="2"/>
  </si>
  <si>
    <t>※修理キャンセル品（3/4返却）</t>
  </si>
  <si>
    <t>S16-0063</t>
  </si>
  <si>
    <t>熊本赤十字病院_0063 (2)</t>
  </si>
  <si>
    <t>03D57V</t>
  </si>
  <si>
    <t>P09141-04</t>
  </si>
  <si>
    <t>熊本赤十字病院</t>
  </si>
  <si>
    <t xml:space="preserve">〒861-8520 熊本県熊本市東区長嶺南2-1-1
</t>
  </si>
  <si>
    <t>P08850-02</t>
  </si>
  <si>
    <t>SERVICE ASSEMBLY, POWER SUPPLY, M/S TURBO, EDGE</t>
  </si>
  <si>
    <t>S16-0064</t>
  </si>
  <si>
    <t>前橋赤十字病院_0064 (2)</t>
  </si>
  <si>
    <t>0379Z1</t>
  </si>
  <si>
    <t>日本コヴィディエン株式会社　関東第一営業所</t>
  </si>
  <si>
    <t>三田 様</t>
  </si>
  <si>
    <t>前橋赤十字病院</t>
  </si>
  <si>
    <t>027-224-4585</t>
  </si>
  <si>
    <t>〒371-0014 群馬県前橋市朝日町3-21-36</t>
  </si>
  <si>
    <t>※修理キャンセル→返却(2/15)</t>
  </si>
  <si>
    <t>S16-0065</t>
  </si>
  <si>
    <t>公立東海中央病院_0065 (2)</t>
  </si>
  <si>
    <t>03HPF7</t>
  </si>
  <si>
    <t>P12700-01</t>
  </si>
  <si>
    <t>平井様</t>
  </si>
  <si>
    <t>公立東海中央病院</t>
  </si>
  <si>
    <t>058-382-3101</t>
  </si>
  <si>
    <t>〒504-0816　岐阜県各務原市蘇原東島町4-6-2</t>
  </si>
  <si>
    <t>P09977-01</t>
  </si>
  <si>
    <t>P09732-02</t>
  </si>
  <si>
    <t>CABLE,FFC,0.5MM PITCH,14 POS,6" LENGTH</t>
  </si>
  <si>
    <t>ASSEMBLY, 8.4", SCREENED LCD WITH TOUCHSCREEN, IN PLANT COSTED</t>
  </si>
  <si>
    <t>S16-0066</t>
  </si>
  <si>
    <t>東京都済生会病院_0066 (2)</t>
  </si>
  <si>
    <t>2016/01/26-01</t>
  </si>
  <si>
    <t>032NGM</t>
  </si>
  <si>
    <t>P04327-02</t>
  </si>
  <si>
    <t>株式会社イノメディックス　小石川営業所</t>
  </si>
  <si>
    <t>岡田様</t>
  </si>
  <si>
    <t xml:space="preserve"> 〒112-0002 東京都文京区小石川4-17-15</t>
  </si>
  <si>
    <t>03-3814-3644</t>
  </si>
  <si>
    <t>03-3815-8811</t>
  </si>
  <si>
    <t>済生会中央病院</t>
  </si>
  <si>
    <t>03-3451-8211</t>
  </si>
  <si>
    <t>〒108-0073　東京都港区三田1-4-17</t>
  </si>
  <si>
    <t>S16-0067</t>
  </si>
  <si>
    <t>安曇野赤十字病院_0067 (2)</t>
  </si>
  <si>
    <t>SR#4184507</t>
  </si>
  <si>
    <t>2016/01/21-09</t>
  </si>
  <si>
    <t>03X683</t>
  </si>
  <si>
    <t>株式会社エム・イー　松本支店</t>
  </si>
  <si>
    <t>三村　様</t>
  </si>
  <si>
    <t>〒399-0033 長野県松本市笹賀7600-11</t>
  </si>
  <si>
    <t>0263-87-7510</t>
  </si>
  <si>
    <t>0263-87-7509</t>
  </si>
  <si>
    <t>安曇野赤十字病院</t>
  </si>
  <si>
    <t>0263-72-3170</t>
  </si>
  <si>
    <t>〒399-8292 長野県安曇野市豊科5685</t>
  </si>
  <si>
    <t>S16-0068</t>
  </si>
  <si>
    <t>呉医療センター_0068 (2)</t>
  </si>
  <si>
    <t>037RQG</t>
  </si>
  <si>
    <t>日本コヴィディエン株式会社　中四国営業所</t>
  </si>
  <si>
    <t>福永様</t>
  </si>
  <si>
    <t>呉医療センター</t>
  </si>
  <si>
    <t>〒737-0023 広島県呉市青山町3-1</t>
  </si>
  <si>
    <t>P01911-04</t>
  </si>
  <si>
    <t>BATTERY PACK, 3 CELL, LITHIUM-ION, ILOOK, HIGH CAPACITY</t>
  </si>
  <si>
    <t>※点検プラン　＜Bプラン＞(3/17)プラン対象外部品：バッテリー交換実施。</t>
  </si>
  <si>
    <t>S16-0069</t>
  </si>
  <si>
    <t>市立札幌病院_0069 (2)</t>
  </si>
  <si>
    <t>2016/01/21-08</t>
  </si>
  <si>
    <t>030HFC</t>
  </si>
  <si>
    <t>P02997-01</t>
  </si>
  <si>
    <t>株式会社竹山　中央支店</t>
  </si>
  <si>
    <t>高橋様</t>
  </si>
  <si>
    <t>〒003-0021　北海道札幌市白石区栄通4丁目3番1号</t>
    <rPh sb="10" eb="13">
      <t>ホッカイドウ</t>
    </rPh>
    <rPh sb="13" eb="15">
      <t>サッポロ</t>
    </rPh>
    <phoneticPr fontId="2"/>
  </si>
  <si>
    <t>011-859-8714</t>
  </si>
  <si>
    <t>011-859-8725</t>
  </si>
  <si>
    <t>市立札幌病院</t>
  </si>
  <si>
    <t>7階西病棟</t>
    <rPh sb="1" eb="2">
      <t>カイ</t>
    </rPh>
    <phoneticPr fontId="2"/>
  </si>
  <si>
    <t>011-726-2211</t>
  </si>
  <si>
    <t>〒060-8604　北海道札幌市中央区北11条西13丁目1-1</t>
  </si>
  <si>
    <t>※定期依頼（メンテナンスプラン／ベストバリュー）　装置は山内さんへ返却　請求書は（株）竹山　中央支店　高橋様へ</t>
  </si>
  <si>
    <t>S16-0070</t>
  </si>
  <si>
    <t>東京医大茨城医療センター_0070 (2)</t>
  </si>
  <si>
    <t>V-Universal Stand</t>
  </si>
  <si>
    <t>WK0ZRX</t>
  </si>
  <si>
    <t>P13383-25</t>
  </si>
  <si>
    <t>出口様</t>
  </si>
  <si>
    <t>東京医科大学茨城医療センター</t>
  </si>
  <si>
    <t>029-887-1161</t>
  </si>
  <si>
    <t xml:space="preserve">〒300-0395 茨城県稲敷郡阿見町中央3-20-1 </t>
  </si>
  <si>
    <t>S16-0071</t>
  </si>
  <si>
    <t>菊名記念病院_0071 (2)</t>
  </si>
  <si>
    <t>03DW76</t>
  </si>
  <si>
    <t>日本コヴィディエン株式会社　神奈川営業所</t>
  </si>
  <si>
    <t>渡邊様</t>
  </si>
  <si>
    <t xml:space="preserve">
〒108-0075  東京都港区港南一丁目2番70号　品川シーズンテラス　22F</t>
  </si>
  <si>
    <t>菊名記念病院</t>
  </si>
  <si>
    <t>045-402-7111</t>
  </si>
  <si>
    <t>〒222-0011　神奈川県横浜市港北区菊名4-4-27</t>
  </si>
  <si>
    <t>P02347-02</t>
  </si>
  <si>
    <t>ASSEMBLY, PCB, ILOOK, DOCK CONNECTOR</t>
  </si>
  <si>
    <t>S16-0072</t>
  </si>
  <si>
    <t>助産院ツルマタニティクリニック_0072 (2)</t>
  </si>
  <si>
    <t>2016/01/21-06</t>
  </si>
  <si>
    <t>030JFW</t>
  </si>
  <si>
    <t>宮野医療器株式会社　本社</t>
  </si>
  <si>
    <t>利根川様</t>
  </si>
  <si>
    <t>〒650-8677　兵庫県神戸市中央区楠町2-3-11</t>
    <rPh sb="10" eb="13">
      <t>ヒョウゴケン</t>
    </rPh>
    <rPh sb="13" eb="16">
      <t>コウベシ</t>
    </rPh>
    <rPh sb="16" eb="18">
      <t>チュウオウ</t>
    </rPh>
    <rPh sb="18" eb="19">
      <t>ク</t>
    </rPh>
    <rPh sb="19" eb="20">
      <t>クスノキ</t>
    </rPh>
    <rPh sb="20" eb="21">
      <t>マチ</t>
    </rPh>
    <phoneticPr fontId="2"/>
  </si>
  <si>
    <t>078-371-2117</t>
  </si>
  <si>
    <t>078-371-2697</t>
  </si>
  <si>
    <t>助産院ツルマタニティクリニック</t>
  </si>
  <si>
    <t>立山様</t>
    <rPh sb="0" eb="2">
      <t>タテヤマ</t>
    </rPh>
    <rPh sb="2" eb="3">
      <t>サマ</t>
    </rPh>
    <phoneticPr fontId="2"/>
  </si>
  <si>
    <t>0798-32-4103</t>
  </si>
  <si>
    <t>〒662-0975　兵庫県西宮市市庭町6-19</t>
  </si>
  <si>
    <t>S16-0073</t>
  </si>
  <si>
    <t>NIM31_0073 (2)</t>
  </si>
  <si>
    <t>SR#4186415</t>
  </si>
  <si>
    <t>―</t>
  </si>
  <si>
    <t>034K5W</t>
  </si>
  <si>
    <t>代替機　NIM31</t>
  </si>
  <si>
    <t>S16-0074</t>
  </si>
  <si>
    <t>小張総合病院_0074 (2)</t>
  </si>
  <si>
    <t>2008年9月</t>
  </si>
  <si>
    <t>03BLQZ</t>
  </si>
  <si>
    <t>日本コヴィディエン株式会社　南関東営業所</t>
  </si>
  <si>
    <t>小張総合病院</t>
  </si>
  <si>
    <t>04-7124-6666</t>
  </si>
  <si>
    <t>〒278-8501 千葉県野田市横内29-1</t>
  </si>
  <si>
    <t>S16-0075</t>
  </si>
  <si>
    <t>慈恵葛飾医療センター_0075 (2)</t>
  </si>
  <si>
    <t>2016/01/27-05</t>
  </si>
  <si>
    <t>Edge-Dock</t>
  </si>
  <si>
    <t>WK2FZT</t>
  </si>
  <si>
    <t>P16370-01</t>
  </si>
  <si>
    <t>株式会社栗原医療器械店　城東営業所</t>
  </si>
  <si>
    <t>平川 様</t>
  </si>
  <si>
    <t>〒121-0055　東京都足立区加平3-7-18</t>
  </si>
  <si>
    <t>03-5613-8088</t>
  </si>
  <si>
    <t>03-5616-1510</t>
  </si>
  <si>
    <t>東京慈恵会医科大学葛飾医療センター</t>
  </si>
  <si>
    <t>03-3603-2111</t>
  </si>
  <si>
    <t>〒125-8506　東京都葛飾区青戸6-41-2</t>
  </si>
  <si>
    <t>P15078-40</t>
  </si>
  <si>
    <t>MINIDOCK, DESKTOP VERSION, EDGE</t>
  </si>
  <si>
    <t>S16-0076</t>
  </si>
  <si>
    <t>岩手県立宮古病院_0076 (2)</t>
  </si>
  <si>
    <t>2016/01/27-02</t>
  </si>
  <si>
    <t>03015V</t>
  </si>
  <si>
    <t>P02650-02</t>
  </si>
  <si>
    <t>共立医科器械株式会社</t>
  </si>
  <si>
    <t>菊池様</t>
  </si>
  <si>
    <t>〒020-0013　岩手県盛岡市愛宕町15-9</t>
  </si>
  <si>
    <t>019-623-1205</t>
  </si>
  <si>
    <t>019-653-5301</t>
  </si>
  <si>
    <t>岩手県立宮古病院</t>
  </si>
  <si>
    <t xml:space="preserve">ME 右田様 </t>
  </si>
  <si>
    <t>救急外来</t>
    <rPh sb="0" eb="2">
      <t>キュウキュウ</t>
    </rPh>
    <rPh sb="2" eb="4">
      <t>ガイライ</t>
    </rPh>
    <phoneticPr fontId="2"/>
  </si>
  <si>
    <t>0193-62-4011</t>
  </si>
  <si>
    <t>〒027-0096 岩手県宮古市崎鍬ヶ崎第1地割11番地26</t>
  </si>
  <si>
    <t>S16-0077</t>
  </si>
  <si>
    <t>日光市民病院_0077</t>
  </si>
  <si>
    <t>0288-50-1188</t>
  </si>
  <si>
    <t>〒321-1441　栃木県日光市清滝安良沢町1752-10</t>
  </si>
  <si>
    <t>S16-0078</t>
  </si>
  <si>
    <t>長崎医療センター_0078 (2)</t>
  </si>
  <si>
    <t>2016/01/20-06</t>
  </si>
  <si>
    <t>39686</t>
  </si>
  <si>
    <t>アイティーアイ株式会社　大村支店</t>
  </si>
  <si>
    <t>中村　様</t>
  </si>
  <si>
    <t>〒856-0817　長崎県大村市古賀島町91-2</t>
  </si>
  <si>
    <t>0957-54-8331</t>
  </si>
  <si>
    <t>0957-54-8332</t>
  </si>
  <si>
    <t>独立行政法人　国立病院機構　長崎医療センター</t>
  </si>
  <si>
    <t>救急部</t>
    <rPh sb="0" eb="2">
      <t>キュウキュウ</t>
    </rPh>
    <rPh sb="2" eb="3">
      <t>ブ</t>
    </rPh>
    <phoneticPr fontId="2"/>
  </si>
  <si>
    <t>0957-52-3121</t>
  </si>
  <si>
    <t>〒856-8562 長崎県大村市久原2丁目1001-1</t>
  </si>
  <si>
    <t>ダイオード RPI-352</t>
  </si>
  <si>
    <t>S16-0079</t>
  </si>
  <si>
    <t>代替機NIM67_0079</t>
  </si>
  <si>
    <t>S16-0080</t>
  </si>
  <si>
    <t>FST55_0080 (2)</t>
  </si>
  <si>
    <t>SR#4186419</t>
  </si>
  <si>
    <t>WK0H14</t>
  </si>
  <si>
    <t>P14179-02</t>
  </si>
  <si>
    <t>代替機　FST55</t>
  </si>
  <si>
    <t>S16-0081</t>
  </si>
  <si>
    <t>一宮市立病院_0081 (2)</t>
  </si>
  <si>
    <t>2016/1/28-02</t>
  </si>
  <si>
    <t>WK19P9</t>
  </si>
  <si>
    <t>株式会社八神製作所　一宮営業所</t>
  </si>
  <si>
    <t>寺沢様</t>
  </si>
  <si>
    <t>〒491-0913　愛知県一宮市中町二丁目4-2</t>
  </si>
  <si>
    <t>0586-44-1711</t>
  </si>
  <si>
    <t>0586-44-1455</t>
  </si>
  <si>
    <t>一宮市立病院</t>
  </si>
  <si>
    <t>0586-71-1911</t>
  </si>
  <si>
    <t>〒491-8558 愛知県一宮市文京2-2-22</t>
  </si>
  <si>
    <t>※ネジ穴補修及び、トレイ再固定で改善（パーツ交換なし）</t>
  </si>
  <si>
    <t>S16-0082</t>
  </si>
  <si>
    <t>済生会熊本病院_0082 (2)</t>
  </si>
  <si>
    <t>SR#4185511</t>
  </si>
  <si>
    <t>03JNJN</t>
  </si>
  <si>
    <t>P09141-16</t>
  </si>
  <si>
    <t>山下医科器械株式会社　熊本営業所</t>
  </si>
  <si>
    <t>厚賀様</t>
  </si>
  <si>
    <t>済生会熊本病院</t>
  </si>
  <si>
    <t>096-351-8000</t>
  </si>
  <si>
    <t>〒861-4193 熊本県熊本市南区近見5丁目3-1</t>
  </si>
  <si>
    <t>S16-0083</t>
  </si>
  <si>
    <t>国際親善総合病院_0083 (2)</t>
  </si>
  <si>
    <t>03PVMK</t>
  </si>
  <si>
    <t>荒木様</t>
  </si>
  <si>
    <t>国際親善総合病院</t>
  </si>
  <si>
    <t>045-813-0221</t>
  </si>
  <si>
    <t>〒245-0006　神奈川県横浜市泉区西が岡1-28-1</t>
  </si>
  <si>
    <t>定期点検依頼　（メンテナンスプラン／スタンダード）</t>
  </si>
  <si>
    <t>S16-0084</t>
  </si>
  <si>
    <t>国立新潟病院_0084 (2)</t>
  </si>
  <si>
    <t>SR#4185905</t>
  </si>
  <si>
    <t>03WPR9</t>
  </si>
  <si>
    <t>太田様</t>
  </si>
  <si>
    <t>国立新潟病院</t>
  </si>
  <si>
    <t>0257-22-2126</t>
  </si>
  <si>
    <t>〒945-8585　新潟県柏崎市赤坂町3-52</t>
  </si>
  <si>
    <t>P12717-01</t>
  </si>
  <si>
    <t>SERVICE ASSEMBLY, FRONT END PCB, NANOMAXX</t>
  </si>
  <si>
    <t>S16-0085</t>
  </si>
  <si>
    <t>信州大学病院_0085 (2)</t>
  </si>
  <si>
    <t>iLook Stand</t>
  </si>
  <si>
    <t>037CJG</t>
  </si>
  <si>
    <t>P04307-03</t>
  </si>
  <si>
    <t>福岡様</t>
  </si>
  <si>
    <t>信州大学医学部附属病院</t>
  </si>
  <si>
    <t>0263-35-4600</t>
  </si>
  <si>
    <t>〒390-8621 長野県松本市旭3-1-1</t>
  </si>
  <si>
    <t>※点検Bプラン</t>
  </si>
  <si>
    <t>S16-0086</t>
  </si>
  <si>
    <t>那須南病院_0086 (2)</t>
  </si>
  <si>
    <t>2016/01/21-07</t>
  </si>
  <si>
    <t>032N9F</t>
  </si>
  <si>
    <t>P04326-02</t>
  </si>
  <si>
    <t>サンメディックス株式会社　宇都宮支店</t>
  </si>
  <si>
    <t>石神様</t>
  </si>
  <si>
    <t>〒320-0074 栃木県宇都宮市細谷町388-1</t>
  </si>
  <si>
    <t>那須南病院</t>
  </si>
  <si>
    <t>0287-84-3911</t>
  </si>
  <si>
    <t>〒321-0621 栃木県那須烏山市中央3-2-13</t>
  </si>
  <si>
    <t>P00104.P00049</t>
  </si>
  <si>
    <t>S16-0087</t>
  </si>
  <si>
    <t>神戸中央市民病院_0087 (2)</t>
  </si>
  <si>
    <t>SR#4190715</t>
  </si>
  <si>
    <t>03HMJ3</t>
  </si>
  <si>
    <t>P06092-04</t>
  </si>
  <si>
    <t>宮野医療器株式会社　MSCポートアイランド60</t>
  </si>
  <si>
    <t>松本様</t>
  </si>
  <si>
    <t>〒650-0047　兵庫県神戸市中央区港島南町4-6-1</t>
  </si>
  <si>
    <t>078-302-7001</t>
  </si>
  <si>
    <t>078-302-9302</t>
  </si>
  <si>
    <t xml:space="preserve">〒650-0047 兵庫県神戸市中央区港島南町2-1-1
</t>
  </si>
  <si>
    <t>P00364-02</t>
  </si>
  <si>
    <t>P03833-02</t>
  </si>
  <si>
    <t>P03834-02</t>
  </si>
  <si>
    <t>CONNECTOR, INTERPOSER</t>
  </si>
  <si>
    <t>SHIELD, PERIMETER, SHORT</t>
  </si>
  <si>
    <t>SHIELD, PERIMETER, LONG</t>
  </si>
  <si>
    <t>S16-0088</t>
  </si>
  <si>
    <t>刈谷豊田総合病院_0088 (2)</t>
  </si>
  <si>
    <t>SR#4186407</t>
  </si>
  <si>
    <t>2016/02/02-01</t>
  </si>
  <si>
    <t>03L0N2</t>
  </si>
  <si>
    <t>P09141-20</t>
  </si>
  <si>
    <t>日立アロカメディカル株式会社</t>
  </si>
  <si>
    <t>今井様</t>
  </si>
  <si>
    <t>〒460-0008　愛知県名古屋市中区栄3-10-22</t>
    <rPh sb="10" eb="13">
      <t>アイチケン</t>
    </rPh>
    <rPh sb="13" eb="17">
      <t>ナゴヤシ</t>
    </rPh>
    <rPh sb="17" eb="19">
      <t>ナカク</t>
    </rPh>
    <rPh sb="19" eb="20">
      <t>サカエ</t>
    </rPh>
    <phoneticPr fontId="2"/>
  </si>
  <si>
    <t>052-238-2657</t>
  </si>
  <si>
    <t>052-238-2658</t>
  </si>
  <si>
    <t>医療法人豊田会　刈谷豊田総合病院</t>
  </si>
  <si>
    <t>放射線技術科　今田様</t>
    <rPh sb="0" eb="3">
      <t>ホウシャセン</t>
    </rPh>
    <rPh sb="3" eb="5">
      <t>ギジュツ</t>
    </rPh>
    <rPh sb="5" eb="6">
      <t>カ</t>
    </rPh>
    <rPh sb="7" eb="9">
      <t>イマダ</t>
    </rPh>
    <rPh sb="9" eb="10">
      <t>サマ</t>
    </rPh>
    <phoneticPr fontId="2"/>
  </si>
  <si>
    <t>救急科</t>
    <rPh sb="0" eb="2">
      <t>キュウキュウ</t>
    </rPh>
    <rPh sb="2" eb="3">
      <t>カ</t>
    </rPh>
    <phoneticPr fontId="2"/>
  </si>
  <si>
    <t>0566-21-2450</t>
  </si>
  <si>
    <t>〒448-8505　愛知県刈谷市住吉町5-15</t>
    <rPh sb="10" eb="13">
      <t>アイチケン</t>
    </rPh>
    <rPh sb="13" eb="16">
      <t>カリヤシ</t>
    </rPh>
    <rPh sb="16" eb="17">
      <t>スミ</t>
    </rPh>
    <rPh sb="17" eb="18">
      <t>ヨシ</t>
    </rPh>
    <rPh sb="18" eb="19">
      <t>マチ</t>
    </rPh>
    <phoneticPr fontId="2"/>
  </si>
  <si>
    <t>※2/29 報告書と一緒に本体のみ返却</t>
  </si>
  <si>
    <t>S16-0089</t>
  </si>
  <si>
    <t>新潟臨港病院_0089 (2)</t>
  </si>
  <si>
    <t>SR#4186411</t>
  </si>
  <si>
    <t>03X4Q0</t>
  </si>
  <si>
    <t>日本コヴィディエン株式会社　東日本透析事業所</t>
  </si>
  <si>
    <t>白石様</t>
  </si>
  <si>
    <t>社会医療法人　新潟臨港保健会　新潟臨港病院</t>
  </si>
  <si>
    <t>025-274-5331</t>
  </si>
  <si>
    <t>〒950-8725　新潟県新潟市東区桃山町1丁目114-3　</t>
  </si>
  <si>
    <t>S16-0090</t>
  </si>
  <si>
    <t>湘南藤沢徳洲会病院_0090 (2)</t>
  </si>
  <si>
    <t>日本コヴィディエン株式会社</t>
  </si>
  <si>
    <t>大山様</t>
  </si>
  <si>
    <t>湘南藤沢徳洲会病院</t>
  </si>
  <si>
    <t>0466-35-1177</t>
  </si>
  <si>
    <t>〒251-0041　神奈川県藤沢市辻堂神台1-5-1</t>
  </si>
  <si>
    <t>※キャンセル返却</t>
  </si>
  <si>
    <t>S16-0091</t>
  </si>
  <si>
    <t>オノダ動物病院_0091 (2)</t>
  </si>
  <si>
    <t>SR#4197515</t>
  </si>
  <si>
    <t>2016/02/03-06</t>
  </si>
  <si>
    <t>037K0N</t>
  </si>
  <si>
    <t>P05670-05</t>
  </si>
  <si>
    <t>フクダ電子南関東販売株式会社</t>
  </si>
  <si>
    <t>山上様</t>
  </si>
  <si>
    <t>〒260-0026　千葉県千葉市中央区千葉港5-33</t>
  </si>
  <si>
    <t>043-241-3111</t>
  </si>
  <si>
    <t>043-241-3711</t>
  </si>
  <si>
    <t>オノダ動物病院</t>
  </si>
  <si>
    <t>047-463-2211</t>
  </si>
  <si>
    <t>〒274-0077 千葉県船橋市薬円台3-7-11</t>
  </si>
  <si>
    <t>P06732</t>
  </si>
  <si>
    <t>S16-0092</t>
  </si>
  <si>
    <t>金沢赤十字病院_0092 (2)</t>
  </si>
  <si>
    <t>SR#4187609</t>
  </si>
  <si>
    <t>2016/02/03-03</t>
  </si>
  <si>
    <t>03L0NG</t>
  </si>
  <si>
    <t>藤吉様</t>
  </si>
  <si>
    <t>日本赤十字社　金沢赤十字病院</t>
  </si>
  <si>
    <t>076-242-8131</t>
  </si>
  <si>
    <t>〒921-8162　石川県金沢市三馬2-251</t>
  </si>
  <si>
    <t>S16-0093</t>
  </si>
  <si>
    <t>デモ機WST2_0093(2)</t>
  </si>
  <si>
    <t>SR#4186661</t>
  </si>
  <si>
    <t>03FBDD</t>
  </si>
  <si>
    <t>P12060-01</t>
  </si>
  <si>
    <t>南様</t>
  </si>
  <si>
    <t>078-929-3773</t>
  </si>
  <si>
    <t>078-929-3775</t>
  </si>
  <si>
    <t>デモ機WST2</t>
  </si>
  <si>
    <t>S16-0094</t>
  </si>
  <si>
    <t>中村クリニック_0094 (2)</t>
  </si>
  <si>
    <t>SR#4191245</t>
  </si>
  <si>
    <t>2016/01/27-07</t>
  </si>
  <si>
    <t>WK0BPV</t>
  </si>
  <si>
    <t>株式会社富士フィルムソノサイト・ジャパン</t>
  </si>
  <si>
    <t>吉田様</t>
  </si>
  <si>
    <t>中村クリニック</t>
  </si>
  <si>
    <t>06-4701-2558</t>
  </si>
  <si>
    <t>〒559-0001　大阪府大阪市住之江区粉浜1-23-1</t>
  </si>
  <si>
    <t>※現象不再現→返却（報告書あり2/18)</t>
  </si>
  <si>
    <t>S16-0095</t>
  </si>
  <si>
    <t>けいクリニック_0095 (2)</t>
  </si>
  <si>
    <t>SR#4186667</t>
  </si>
  <si>
    <t>2016/01/27-03</t>
  </si>
  <si>
    <t>03MHK1</t>
  </si>
  <si>
    <t>P12060-07</t>
  </si>
  <si>
    <t>富士フイルムメディカル株式会社　大阪支店</t>
  </si>
  <si>
    <t>中原様</t>
  </si>
  <si>
    <t>〒532-0004　大阪府大阪市淀川区西宮原1-3-5</t>
  </si>
  <si>
    <t>06-6396-5102</t>
  </si>
  <si>
    <t>06-6396-5103</t>
  </si>
  <si>
    <t>けいクリニック</t>
  </si>
  <si>
    <t>0795-78-9009</t>
  </si>
  <si>
    <t>〒669-3309 兵庫県丹波市柏原町柏原3051-5</t>
  </si>
  <si>
    <t>P09419-04</t>
  </si>
  <si>
    <t>DISPLAY, LCD, TFT 10.4 INCH, 640 X 480, LVDS, SCREENED IN-HOUSE, LOT C</t>
  </si>
  <si>
    <t>S16-0096</t>
  </si>
  <si>
    <t>近畿大学医学部附属病院_0096 (2)</t>
  </si>
  <si>
    <t>03CN4R</t>
  </si>
  <si>
    <t>道本様</t>
  </si>
  <si>
    <t>近畿大学医学部附属病院</t>
  </si>
  <si>
    <t xml:space="preserve">072-366-0221
</t>
  </si>
  <si>
    <t>〒589-8511　大阪府大阪狭山市大野東377-2</t>
  </si>
  <si>
    <t>S16-0097</t>
  </si>
  <si>
    <t>デモ機_FJY10_0097 (2)</t>
  </si>
  <si>
    <t>SR#4186659</t>
  </si>
  <si>
    <t>03HQ7Z</t>
  </si>
  <si>
    <t>デモ機FJY10</t>
  </si>
  <si>
    <t>P09196-03</t>
  </si>
  <si>
    <t>CABLE ASSY, FAN</t>
  </si>
  <si>
    <t>S16-0098</t>
  </si>
  <si>
    <t>筑波記念病院_0098 (2)</t>
  </si>
  <si>
    <t>SR#4191231</t>
  </si>
  <si>
    <t>2016/01/22-01</t>
  </si>
  <si>
    <t>03JHG7</t>
  </si>
  <si>
    <t>029-821-4151</t>
  </si>
  <si>
    <t>029-825-1144</t>
  </si>
  <si>
    <t>筑波記念病院</t>
  </si>
  <si>
    <t xml:space="preserve">029-864-1212
</t>
  </si>
  <si>
    <t>〒300-2622　茨城県つくば市要1187-299</t>
  </si>
  <si>
    <t>※操作パネル接続部の接点不良</t>
  </si>
  <si>
    <t>S16-0099</t>
  </si>
  <si>
    <t>鷹揚郷腎研究所青森病院_0099 (2)</t>
  </si>
  <si>
    <t>03DX51</t>
  </si>
  <si>
    <t>日本コヴィディエン株式会社　東日本透析営業部</t>
  </si>
  <si>
    <t>高松様</t>
  </si>
  <si>
    <t>鷹揚郷腎研究所青森病院</t>
  </si>
  <si>
    <t>017-781-9331</t>
  </si>
  <si>
    <t>〒038-0003 青森県青森市大字石江字岡部101-1</t>
  </si>
  <si>
    <t>S16-0100</t>
  </si>
  <si>
    <t>千葉医療センター_0100</t>
  </si>
  <si>
    <t>2016/02/04-06</t>
  </si>
  <si>
    <t>01G2ZV</t>
  </si>
  <si>
    <t>P01102-01</t>
  </si>
  <si>
    <t>株式会社イノメディックス　千葉営業所</t>
  </si>
  <si>
    <t>有賀様</t>
  </si>
  <si>
    <t>〒260-0843　千葉県千葉市中央区末広5-6-15</t>
  </si>
  <si>
    <t>043-232-8761</t>
  </si>
  <si>
    <t>043-232-9288</t>
  </si>
  <si>
    <t>千葉医療センター</t>
  </si>
  <si>
    <t>池田様　サド様</t>
    <rPh sb="0" eb="2">
      <t>イケダ</t>
    </rPh>
    <rPh sb="2" eb="3">
      <t>サマ</t>
    </rPh>
    <rPh sb="6" eb="7">
      <t>サマ</t>
    </rPh>
    <phoneticPr fontId="2"/>
  </si>
  <si>
    <t>生理検査室</t>
    <rPh sb="0" eb="2">
      <t>セイリ</t>
    </rPh>
    <rPh sb="2" eb="5">
      <t>ケンサシツ</t>
    </rPh>
    <phoneticPr fontId="2"/>
  </si>
  <si>
    <t>043-251-5311</t>
  </si>
  <si>
    <t>〒260-8606 千葉県千葉市中央区椿森4-1-2</t>
  </si>
  <si>
    <t>S16-0101</t>
  </si>
  <si>
    <t>杏林大学医学部附属病院_0101 (2)</t>
  </si>
  <si>
    <t>2016/01/14-04</t>
  </si>
  <si>
    <t>WK1DZR</t>
  </si>
  <si>
    <t>株式会社イノメディックス　国立営業所</t>
  </si>
  <si>
    <t>櫻井様</t>
  </si>
  <si>
    <t>〒186-0003 東京都国立市富士見台2-35-5</t>
  </si>
  <si>
    <t>042-577-1088</t>
  </si>
  <si>
    <t>042-577-9990</t>
  </si>
  <si>
    <t>杏林大学医学部附属病院</t>
  </si>
  <si>
    <t>0422-47-5511</t>
  </si>
  <si>
    <t>〒181-8611　東京都三鷹市新川6-20-2</t>
  </si>
  <si>
    <t>※現象不再現</t>
  </si>
  <si>
    <t>S16-0102</t>
  </si>
  <si>
    <t>国立循環器病研究センター_0102 (2)</t>
  </si>
  <si>
    <t>2016/02/08-02</t>
  </si>
  <si>
    <t>030WJN</t>
  </si>
  <si>
    <t>株式会社エム・イーサイエンス</t>
  </si>
  <si>
    <t>林様</t>
  </si>
  <si>
    <t>〒532-0002　大阪府大阪市淀川区東三国4-14-24</t>
    <rPh sb="10" eb="13">
      <t>オオサカフ</t>
    </rPh>
    <rPh sb="13" eb="16">
      <t>オオサカシ</t>
    </rPh>
    <rPh sb="16" eb="19">
      <t>ヨドガワク</t>
    </rPh>
    <rPh sb="19" eb="20">
      <t>ヒガシ</t>
    </rPh>
    <rPh sb="20" eb="22">
      <t>サンコク</t>
    </rPh>
    <phoneticPr fontId="2"/>
  </si>
  <si>
    <t>06-6394-6300</t>
  </si>
  <si>
    <t>06-6394-6449</t>
  </si>
  <si>
    <t>国立循環器病研究センター</t>
  </si>
  <si>
    <t>小川浩之様</t>
    <rPh sb="0" eb="2">
      <t>オガワ</t>
    </rPh>
    <rPh sb="2" eb="4">
      <t>ヒロユキ</t>
    </rPh>
    <rPh sb="4" eb="5">
      <t>サマ</t>
    </rPh>
    <phoneticPr fontId="2"/>
  </si>
  <si>
    <t>06-6833-5012</t>
  </si>
  <si>
    <t>〒565-8565 大阪府吹田市藤白台5-7-1</t>
  </si>
  <si>
    <t>S16-0103</t>
  </si>
  <si>
    <t>デモ機No.5_0103 (2)</t>
  </si>
  <si>
    <t>0329WG</t>
  </si>
  <si>
    <t>坂井様</t>
  </si>
  <si>
    <t>デモ機No.5</t>
  </si>
  <si>
    <t>S16-0104</t>
  </si>
  <si>
    <t>高井病院_0104 (2)</t>
  </si>
  <si>
    <t>2016/02/08-03</t>
  </si>
  <si>
    <t>035XKP</t>
  </si>
  <si>
    <t>P06092-01</t>
  </si>
  <si>
    <t>フクダ電子南近畿販売株式会社</t>
  </si>
  <si>
    <t>清水様</t>
  </si>
  <si>
    <t>〒634-0075　奈良県橿原市小房12-37</t>
    <rPh sb="10" eb="13">
      <t>ナラケン</t>
    </rPh>
    <rPh sb="13" eb="16">
      <t>カシハラシ</t>
    </rPh>
    <rPh sb="16" eb="17">
      <t>コ</t>
    </rPh>
    <rPh sb="17" eb="18">
      <t>ボウ</t>
    </rPh>
    <phoneticPr fontId="2"/>
  </si>
  <si>
    <t>0744-24-2161</t>
  </si>
  <si>
    <t>0744-25-6139</t>
  </si>
  <si>
    <t>社会医療法人高清会　高井病院</t>
  </si>
  <si>
    <t>0743-65-0372</t>
  </si>
  <si>
    <t>〒632-0006　奈良県天理市蔵之庄町470-8</t>
  </si>
  <si>
    <t>※修理キャンセル→返却(5/24)</t>
  </si>
  <si>
    <t>S16-0105</t>
  </si>
  <si>
    <t>代替機NIM160_0105(2)</t>
  </si>
  <si>
    <t>SR#4187611</t>
  </si>
  <si>
    <t>03HN20</t>
  </si>
  <si>
    <t>代替機NIM160</t>
  </si>
  <si>
    <t>S16-0106</t>
  </si>
  <si>
    <t>岩手医科大学_0106 (2)</t>
  </si>
  <si>
    <t>2016/01/04-01</t>
  </si>
  <si>
    <t>WK0TZQ</t>
  </si>
  <si>
    <t>株式会社三協医科器械</t>
  </si>
  <si>
    <t>石田様</t>
  </si>
  <si>
    <t>〒020-0891　岩手県紫波郡矢巾町流通センター南1丁目7-7</t>
  </si>
  <si>
    <t>019-637-0541</t>
  </si>
  <si>
    <t>019-637-0536</t>
  </si>
  <si>
    <t>岩手医科大学附属病院　CEセンター</t>
  </si>
  <si>
    <t>CEセンター</t>
  </si>
  <si>
    <t>019-651-5111</t>
  </si>
  <si>
    <t>〒020-8505 岩手県盛岡市内丸19-1</t>
  </si>
  <si>
    <t>※現象不再現→報告書あり・返却(2/26)</t>
  </si>
  <si>
    <t>S16-0107</t>
  </si>
  <si>
    <t>岡山労災病院_0107 (2)</t>
  </si>
  <si>
    <t>2016/02/04-02</t>
  </si>
  <si>
    <t>038P8L</t>
  </si>
  <si>
    <t>株式会社カワニシ　岡山支店</t>
  </si>
  <si>
    <t>脇谷様</t>
  </si>
  <si>
    <t>〒700-8528　岡山県岡山市北区今1-4-31</t>
  </si>
  <si>
    <t>086-241-1112</t>
  </si>
  <si>
    <t>086-241-5943</t>
  </si>
  <si>
    <t>岡山労災病院　呼吸器内科</t>
  </si>
  <si>
    <t>近藤様</t>
    <rPh sb="0" eb="2">
      <t>コンドウ</t>
    </rPh>
    <rPh sb="2" eb="3">
      <t>サマ</t>
    </rPh>
    <phoneticPr fontId="2"/>
  </si>
  <si>
    <t>呼吸器内科</t>
    <rPh sb="0" eb="3">
      <t>コキュウキ</t>
    </rPh>
    <rPh sb="3" eb="5">
      <t>ナイカ</t>
    </rPh>
    <phoneticPr fontId="2"/>
  </si>
  <si>
    <t>086-262-0131</t>
  </si>
  <si>
    <t>〒702-8055　岡山県岡山市南区築港緑町1-10-25</t>
  </si>
  <si>
    <t>S16-0108</t>
  </si>
  <si>
    <t>神戸赤十字病院_0108 (2)</t>
  </si>
  <si>
    <t>03CN4P</t>
  </si>
  <si>
    <t>グリーンホスピタルサプライ株式会社</t>
  </si>
  <si>
    <t>上田様</t>
  </si>
  <si>
    <t>〒565-0853 大阪府吹田市春日3-20-8</t>
  </si>
  <si>
    <t>06-6369-6321</t>
  </si>
  <si>
    <t>06-6369-0731</t>
  </si>
  <si>
    <t>神戸赤十字病院</t>
  </si>
  <si>
    <t>078-231-6006</t>
  </si>
  <si>
    <t>〒651-0073 神戸市中央区脇浜海岸通1-3-1</t>
  </si>
  <si>
    <t>P00104,P00434.P01213,P00049</t>
  </si>
  <si>
    <t>S16-0109</t>
  </si>
  <si>
    <t>苫小牧市立病院_0109 (2)</t>
  </si>
  <si>
    <t>2016/02/04-03</t>
  </si>
  <si>
    <t>01DX9B</t>
  </si>
  <si>
    <t>P01150-01</t>
  </si>
  <si>
    <t>株式会社ムトウ　苫小牧支店</t>
  </si>
  <si>
    <t>石井様</t>
  </si>
  <si>
    <t>〒053-0031 北海道苫小牧市春日町1丁目9番11号</t>
  </si>
  <si>
    <t>0144-34-6010</t>
  </si>
  <si>
    <t>0144-34-7892</t>
  </si>
  <si>
    <t>苫小牧市立病院</t>
  </si>
  <si>
    <t>0144-33-3131</t>
  </si>
  <si>
    <t>〒053-8567　北海道苫小牧市清水町1-5-20</t>
  </si>
  <si>
    <t>※返却（そのまま使用）</t>
  </si>
  <si>
    <t>S16-0110</t>
  </si>
  <si>
    <t>大森赤十字病院_0110 (2)</t>
  </si>
  <si>
    <t>SR#4196621</t>
  </si>
  <si>
    <t>2016/02/10-05</t>
  </si>
  <si>
    <t>03K3T3</t>
  </si>
  <si>
    <t>P12060-06</t>
  </si>
  <si>
    <t>〒112-0002 東京都文京区小石川4-17-15</t>
  </si>
  <si>
    <t>03-3814-3645</t>
  </si>
  <si>
    <t>大森赤十字病院　オペ室</t>
  </si>
  <si>
    <t>岡本様</t>
    <rPh sb="0" eb="2">
      <t>オカモト</t>
    </rPh>
    <rPh sb="2" eb="3">
      <t>サマ</t>
    </rPh>
    <phoneticPr fontId="2"/>
  </si>
  <si>
    <t>OPE室</t>
    <rPh sb="3" eb="4">
      <t>シツ</t>
    </rPh>
    <phoneticPr fontId="2"/>
  </si>
  <si>
    <t xml:space="preserve">03-3775-3111
</t>
  </si>
  <si>
    <t>〒143-8527東京都大田区中央4-30-1</t>
  </si>
  <si>
    <t>P13811-51</t>
  </si>
  <si>
    <t>HFL50x/15-6　リニアプローブ</t>
  </si>
  <si>
    <t xml:space="preserve">※HFL50x/15-6 リニアプローブ(S/N:043VLF) </t>
  </si>
  <si>
    <t>S16-0111</t>
  </si>
  <si>
    <t>佐賀県産業医学協会_0111 (2)</t>
  </si>
  <si>
    <t>2016/02/12-03</t>
  </si>
  <si>
    <t>03HJVT</t>
  </si>
  <si>
    <t>フクダ電子西部北販売株式会社</t>
  </si>
  <si>
    <t>宮原様→諸石様</t>
  </si>
  <si>
    <t>〒849-0937　佐賀県佐賀市鍋島3-4-31</t>
    <phoneticPr fontId="2"/>
  </si>
  <si>
    <t>0952-31-5519</t>
  </si>
  <si>
    <t>0952-31-5520</t>
  </si>
  <si>
    <t>一般財団法人 佐賀県産業医学協会</t>
  </si>
  <si>
    <t>柴田様</t>
    <phoneticPr fontId="2"/>
  </si>
  <si>
    <t>0952-22-6729</t>
    <phoneticPr fontId="2"/>
  </si>
  <si>
    <t>〒840-0857 佐賀県佐賀市鍋島町八戸1994番地1</t>
    <phoneticPr fontId="2"/>
  </si>
  <si>
    <t>※修理キャンセル返却(11/10)</t>
    <phoneticPr fontId="2"/>
  </si>
  <si>
    <t>S16-0112</t>
  </si>
  <si>
    <t>小倉記念病院_0112 (2)</t>
  </si>
  <si>
    <t>2016/01/28-01</t>
  </si>
  <si>
    <t xml:space="preserve">03YRHR </t>
  </si>
  <si>
    <t>P16360-60</t>
  </si>
  <si>
    <t>株式会社キシヤ 北九州営業所</t>
  </si>
  <si>
    <t>武富様</t>
  </si>
  <si>
    <t>〒805-0071 福岡県北九州市八幡東区東田1-３-７</t>
  </si>
  <si>
    <t>093-663-8610</t>
  </si>
  <si>
    <t>093-663-8620</t>
  </si>
  <si>
    <t>小倉記念病院 手術室(麻酔科)</t>
  </si>
  <si>
    <t>093-511-2000</t>
  </si>
  <si>
    <t>〒802-8555　福岡県北九州市小倉北区浅野3丁目2-1</t>
  </si>
  <si>
    <t>※現象不再現→返却(3/8)報告書有り</t>
  </si>
  <si>
    <t>S16-0113</t>
  </si>
  <si>
    <t>大和高田病院_0113 (2)</t>
  </si>
  <si>
    <t xml:space="preserve">03855P </t>
  </si>
  <si>
    <t>村田様</t>
  </si>
  <si>
    <t>大和高田市立病院</t>
  </si>
  <si>
    <t>0745-53-2901</t>
  </si>
  <si>
    <t xml:space="preserve">〒635-8501　奈良県大和高田市礒野北町1-1 </t>
  </si>
  <si>
    <t>S16-0114</t>
  </si>
  <si>
    <t>松坂中央病院_0114 (2)</t>
  </si>
  <si>
    <t>2016/02/09-03</t>
  </si>
  <si>
    <t>038N34</t>
  </si>
  <si>
    <t>P06092-03</t>
  </si>
  <si>
    <t>中辻医科器械株式会社</t>
  </si>
  <si>
    <t>伊原様</t>
  </si>
  <si>
    <t>〒514-0816　三重県津市高茶屋上野町1336-1</t>
  </si>
  <si>
    <t>059-234-2600</t>
  </si>
  <si>
    <t>059-234-2603</t>
  </si>
  <si>
    <t>松阪中央総合病院　救急外来</t>
  </si>
  <si>
    <t>星野先生</t>
    <rPh sb="0" eb="2">
      <t>ホシノ</t>
    </rPh>
    <rPh sb="2" eb="4">
      <t>センセイ</t>
    </rPh>
    <phoneticPr fontId="2"/>
  </si>
  <si>
    <t>救急外来</t>
    <rPh sb="0" eb="4">
      <t>キュウキュウガイライ</t>
    </rPh>
    <phoneticPr fontId="2"/>
  </si>
  <si>
    <t>059-21-5252</t>
  </si>
  <si>
    <t>〒515-8566　三重県松阪市川井町字小望102</t>
    <rPh sb="10" eb="13">
      <t>ミエケン</t>
    </rPh>
    <rPh sb="13" eb="16">
      <t>マツサカシ</t>
    </rPh>
    <rPh sb="16" eb="18">
      <t>カワイ</t>
    </rPh>
    <rPh sb="18" eb="19">
      <t>マチ</t>
    </rPh>
    <rPh sb="19" eb="20">
      <t>アザ</t>
    </rPh>
    <rPh sb="20" eb="21">
      <t>コ</t>
    </rPh>
    <rPh sb="21" eb="22">
      <t>ノゾ</t>
    </rPh>
    <phoneticPr fontId="2"/>
  </si>
  <si>
    <t>S16-0115</t>
  </si>
  <si>
    <t>藤枝市立総合病院_0115 (2)</t>
  </si>
  <si>
    <t>2016/02/03-05</t>
  </si>
  <si>
    <t>TEEx/8-3</t>
  </si>
  <si>
    <t>03MKN7</t>
  </si>
  <si>
    <t>P05677-07</t>
  </si>
  <si>
    <t>協和医科器械株式会社　焼津支店</t>
  </si>
  <si>
    <t>山本様</t>
  </si>
  <si>
    <t>〒425-0066　静岡県焼津市大島817-1</t>
    <rPh sb="10" eb="13">
      <t>シズオカケン</t>
    </rPh>
    <rPh sb="13" eb="16">
      <t>ヤイヅシ</t>
    </rPh>
    <rPh sb="16" eb="18">
      <t>オオシマ</t>
    </rPh>
    <phoneticPr fontId="2"/>
  </si>
  <si>
    <t>054-623-2222</t>
  </si>
  <si>
    <t>054-623-2919</t>
  </si>
  <si>
    <t>藤枝市立総合病院</t>
  </si>
  <si>
    <t>054-646-1111</t>
  </si>
  <si>
    <t>〒426-8677　静岡県藤枝市駿河台4-1-11</t>
  </si>
  <si>
    <t>※キャンセル依頼あり。→5/12返却</t>
  </si>
  <si>
    <t>S16-0116</t>
  </si>
  <si>
    <t>琉球大学病院_0116</t>
  </si>
  <si>
    <t>033MRC</t>
  </si>
  <si>
    <t>日本コヴィディエン株式会社　沖縄駐在所</t>
  </si>
  <si>
    <t>琉球大学医学部附属病院</t>
  </si>
  <si>
    <t>098-895-3331</t>
  </si>
  <si>
    <t>〒903-0215　沖縄県中頭郡西原町字上原207</t>
  </si>
  <si>
    <t>※修理キャンセル→返却(4/11)</t>
  </si>
  <si>
    <t>S16-0117</t>
  </si>
  <si>
    <t>代替機NIM104_0117 (2)</t>
  </si>
  <si>
    <t>SR#4190717</t>
  </si>
  <si>
    <t>03CDGV</t>
  </si>
  <si>
    <t>P09141-03</t>
  </si>
  <si>
    <t>代替機 NIM104</t>
  </si>
  <si>
    <t>S16-0118</t>
  </si>
  <si>
    <t>江東病院_0118 (2)</t>
  </si>
  <si>
    <t>0334TQ</t>
  </si>
  <si>
    <t>日本コヴィディエン株式会社　東京第一営業所</t>
  </si>
  <si>
    <t>渡辺様</t>
  </si>
  <si>
    <t>江東病院</t>
  </si>
  <si>
    <t>03-3685-2166</t>
  </si>
  <si>
    <t>〒136-0072　東京都江東区大島6-8-5</t>
  </si>
  <si>
    <t>※現象不再現（報告書あり）返却3/10</t>
  </si>
  <si>
    <t>S16-0119</t>
  </si>
  <si>
    <t>日本医科大学附属病院_0119 (2)</t>
  </si>
  <si>
    <t>SR#4190105</t>
  </si>
  <si>
    <t>03X4NX</t>
  </si>
  <si>
    <t>日本医科大学附属病院</t>
  </si>
  <si>
    <t>03-3822-2131</t>
  </si>
  <si>
    <t>〒113-8603　東京都文京区千駄木1-1-5</t>
    <rPh sb="10" eb="12">
      <t>トウキョウ</t>
    </rPh>
    <rPh sb="12" eb="13">
      <t>ト</t>
    </rPh>
    <rPh sb="13" eb="16">
      <t>ブンキョウク</t>
    </rPh>
    <rPh sb="16" eb="19">
      <t>センダギ</t>
    </rPh>
    <phoneticPr fontId="2"/>
  </si>
  <si>
    <t>S16-0120</t>
  </si>
  <si>
    <t>清水産婦人科医院_0120 (2)</t>
  </si>
  <si>
    <t>2016/02/12-02</t>
  </si>
  <si>
    <t>037GRW</t>
  </si>
  <si>
    <t>株式会社上條器械店　長野営業所</t>
  </si>
  <si>
    <t>湯本様</t>
  </si>
  <si>
    <t xml:space="preserve">〒380-0921 長野県長野市栗田501-1 </t>
  </si>
  <si>
    <t>026-227-2952</t>
  </si>
  <si>
    <t>026-227-4337</t>
  </si>
  <si>
    <t>清水産婦人科医院</t>
  </si>
  <si>
    <t>026-219-3838</t>
  </si>
  <si>
    <t>〒381-2224　長野県長野市川中島町原908-1</t>
  </si>
  <si>
    <t>S16-0121</t>
  </si>
  <si>
    <t>福岡徳洲会病院_0121 (2)</t>
  </si>
  <si>
    <t>2016/02/12-05</t>
  </si>
  <si>
    <t>WK1TQB</t>
  </si>
  <si>
    <t>P08063-07</t>
  </si>
  <si>
    <t>株式会社アステム　ME福岡支店</t>
  </si>
  <si>
    <t>宮本様</t>
  </si>
  <si>
    <t>〒812-0041　福岡県福岡市博多区吉塚6-15-11</t>
  </si>
  <si>
    <t>092-626-8391</t>
  </si>
  <si>
    <t>092-612-2505</t>
  </si>
  <si>
    <t>医療法人　徳洲会　福岡徳洲会病院</t>
  </si>
  <si>
    <t>092-573-6622</t>
  </si>
  <si>
    <t>〒816-0864 福岡県春日市須玖北4丁目5</t>
  </si>
  <si>
    <t>※現象不再現（報告書あり）返却3/7</t>
  </si>
  <si>
    <t>S16-0122</t>
  </si>
  <si>
    <t>足利赤十字病院_0122 (2)</t>
  </si>
  <si>
    <t>03856Q</t>
  </si>
  <si>
    <t>足利赤十字病院</t>
  </si>
  <si>
    <t>0284-21-0121</t>
  </si>
  <si>
    <t>〒326-0843　栃木県足利市五十部町284-1</t>
  </si>
  <si>
    <t>※点検プラン　＜Bプラン＞(3/17)</t>
  </si>
  <si>
    <t>S16-0123</t>
  </si>
  <si>
    <t>清恵会病院_0123 (2)</t>
  </si>
  <si>
    <t>03BM8X</t>
  </si>
  <si>
    <t>清恵会病院</t>
  </si>
  <si>
    <t>072-223-8199</t>
  </si>
  <si>
    <t>〒590-0064 大阪府堺市堺区南安井町1丁1番1号</t>
  </si>
  <si>
    <t xml:space="preserve">P03029-02 </t>
  </si>
  <si>
    <t>S16-0124</t>
  </si>
  <si>
    <t>獨協医科大学病院_0124 (2)</t>
  </si>
  <si>
    <t>SR#4191241</t>
  </si>
  <si>
    <t>2016/02/10-06</t>
  </si>
  <si>
    <t>0419N3</t>
  </si>
  <si>
    <t>P16360-62</t>
  </si>
  <si>
    <t>富士フイルムメディカル株式会社　宇都宮営業所</t>
  </si>
  <si>
    <t>風間様</t>
  </si>
  <si>
    <t>獨協医科大学病院</t>
  </si>
  <si>
    <t>0282-86-1111</t>
  </si>
  <si>
    <t>〒321-0293 栃木県下都賀郡壬生町大字北小林880</t>
  </si>
  <si>
    <t>※現象不再現→報告書あり・返却(2/25)</t>
  </si>
  <si>
    <t>S16-0125</t>
  </si>
  <si>
    <t>平井整形外科医院_0125 (2)</t>
  </si>
  <si>
    <t>2016/02/15-04</t>
  </si>
  <si>
    <t>040FG4</t>
  </si>
  <si>
    <t>P16360-61</t>
  </si>
  <si>
    <t>フクダ電子岡山販売株式会社</t>
  </si>
  <si>
    <t>〒700-0973　岡山県岡山市北区下中野715-103</t>
  </si>
  <si>
    <t>086-241-5400</t>
  </si>
  <si>
    <t>086-243-6633</t>
  </si>
  <si>
    <t>平井整形外科医院</t>
  </si>
  <si>
    <t>086-805-2001</t>
  </si>
  <si>
    <t>〒700-0925　岡山県岡山市北区大元上町13-23</t>
  </si>
  <si>
    <t>S16-0126</t>
  </si>
  <si>
    <t>代替機HNB62_0126(2)</t>
  </si>
  <si>
    <t>SR#4190417</t>
  </si>
  <si>
    <t>037JC0</t>
  </si>
  <si>
    <t>代替機HNB62</t>
  </si>
  <si>
    <t>S16-0127</t>
  </si>
  <si>
    <t>倉敷記念病院_0127 (2)</t>
  </si>
  <si>
    <t>2016/02/15-02</t>
  </si>
  <si>
    <t>31931</t>
  </si>
  <si>
    <t>　-</t>
  </si>
  <si>
    <t>ティーエスアルフレッサ株式会社　岡山機器試薬支店</t>
  </si>
  <si>
    <t>中山様</t>
  </si>
  <si>
    <t>〒701-0165　岡山県岡山市北区大内田828-4</t>
    <rPh sb="10" eb="13">
      <t>オカヤマケン</t>
    </rPh>
    <rPh sb="13" eb="16">
      <t>オカヤマシ</t>
    </rPh>
    <rPh sb="16" eb="18">
      <t>キタク</t>
    </rPh>
    <rPh sb="18" eb="20">
      <t>オオウチ</t>
    </rPh>
    <rPh sb="20" eb="21">
      <t>タ</t>
    </rPh>
    <phoneticPr fontId="2"/>
  </si>
  <si>
    <t>086-293-7710</t>
  </si>
  <si>
    <t>086-293-7705</t>
  </si>
  <si>
    <t>倉敷記念病院　検査室</t>
  </si>
  <si>
    <t>平野様</t>
    <rPh sb="0" eb="2">
      <t>ヒラノ</t>
    </rPh>
    <rPh sb="2" eb="3">
      <t>サマ</t>
    </rPh>
    <phoneticPr fontId="2"/>
  </si>
  <si>
    <t>検査室</t>
    <rPh sb="0" eb="2">
      <t>ケンサ</t>
    </rPh>
    <rPh sb="2" eb="3">
      <t>シツ</t>
    </rPh>
    <phoneticPr fontId="2"/>
  </si>
  <si>
    <t>086-465-0011</t>
  </si>
  <si>
    <t>〒710-0803 岡山県倉敷市中島831</t>
  </si>
  <si>
    <t>スイッチングレギュレータ</t>
  </si>
  <si>
    <t>プラテンローラ</t>
  </si>
  <si>
    <t>S16-0128</t>
  </si>
  <si>
    <t>札幌東徳洲会病院_0128</t>
  </si>
  <si>
    <t>2016/02/17-02</t>
  </si>
  <si>
    <t>1LC2L</t>
  </si>
  <si>
    <t>株式会社ムトウ</t>
  </si>
  <si>
    <t>山下様</t>
  </si>
  <si>
    <t>〒001-0011　北海道札幌市北区北11条西4丁目1-15</t>
  </si>
  <si>
    <t>011-728-6162</t>
  </si>
  <si>
    <t>011-746-0510</t>
  </si>
  <si>
    <t>札幌東徳洲会病院</t>
  </si>
  <si>
    <t>川合様</t>
    <rPh sb="0" eb="2">
      <t>カワイ</t>
    </rPh>
    <rPh sb="2" eb="3">
      <t>サマ</t>
    </rPh>
    <phoneticPr fontId="2"/>
  </si>
  <si>
    <t>011-722-1110</t>
  </si>
  <si>
    <t>〒065-0033　北海道札幌市東区北33条東14丁目3-15</t>
    <rPh sb="10" eb="13">
      <t>ホッカイドウ</t>
    </rPh>
    <rPh sb="13" eb="15">
      <t>サッポロ</t>
    </rPh>
    <rPh sb="15" eb="16">
      <t>シ</t>
    </rPh>
    <rPh sb="16" eb="18">
      <t>ヒガシク</t>
    </rPh>
    <rPh sb="18" eb="19">
      <t>キタ</t>
    </rPh>
    <rPh sb="21" eb="22">
      <t>ジョウ</t>
    </rPh>
    <rPh sb="22" eb="23">
      <t>ヒガシ</t>
    </rPh>
    <rPh sb="25" eb="27">
      <t>チョウメ</t>
    </rPh>
    <phoneticPr fontId="2"/>
  </si>
  <si>
    <t>P01406-01</t>
  </si>
  <si>
    <t>SERVICE ASSEMBLY, PCB C1.75 MAIN, SONOHEART, JAPANESE</t>
  </si>
  <si>
    <t>S16-0129</t>
  </si>
  <si>
    <t>東京歯科大学市川総合病院_0129 (2)</t>
  </si>
  <si>
    <t>2016/02/10-04</t>
  </si>
  <si>
    <t>030J2J</t>
  </si>
  <si>
    <t>ワシエスメディカル株式会社</t>
  </si>
  <si>
    <t>大木様</t>
  </si>
  <si>
    <t>〒113-0033　東京都文京区本郷2-31-8</t>
  </si>
  <si>
    <t>03-3815-7671</t>
  </si>
  <si>
    <t>3-3815-7670</t>
  </si>
  <si>
    <t>東京歯科大学市川総合病院</t>
  </si>
  <si>
    <t>菱沼様</t>
    <rPh sb="0" eb="2">
      <t>ヒシヌマ</t>
    </rPh>
    <rPh sb="2" eb="3">
      <t>サマ</t>
    </rPh>
    <phoneticPr fontId="2"/>
  </si>
  <si>
    <t>047-322-0151</t>
  </si>
  <si>
    <t>〒272-8513　千葉県市川市菅野5-11-13</t>
    <rPh sb="10" eb="13">
      <t>チバケン</t>
    </rPh>
    <rPh sb="13" eb="16">
      <t>イチカワシ</t>
    </rPh>
    <rPh sb="16" eb="18">
      <t>スガノ</t>
    </rPh>
    <phoneticPr fontId="2"/>
  </si>
  <si>
    <t>※修理キャンセル→返却(6/27)</t>
  </si>
  <si>
    <t>S16-0130</t>
  </si>
  <si>
    <t>デモ機_WST5_0130(2)</t>
  </si>
  <si>
    <t>SR#4190413</t>
  </si>
  <si>
    <t>03B8QK</t>
  </si>
  <si>
    <t>P09141-01</t>
  </si>
  <si>
    <t>デモ機 WST5</t>
  </si>
  <si>
    <t>S16-0131</t>
  </si>
  <si>
    <t>放医研重粒子医科学センター病院_0131 (2)</t>
  </si>
  <si>
    <t>2016/02/17-01</t>
  </si>
  <si>
    <t>01J413</t>
  </si>
  <si>
    <t>株式会社栗原医療器械店 千葉営業所</t>
  </si>
  <si>
    <t>安藤様</t>
  </si>
  <si>
    <t>〒260-0001　千葉県千葉市中央区都町980-3</t>
  </si>
  <si>
    <t>043-235-7631</t>
  </si>
  <si>
    <t>043-214-8020</t>
  </si>
  <si>
    <t>放射線医学総合研究所重粒子医科学センター病院　4階病棟</t>
  </si>
  <si>
    <t>富田師長</t>
    <rPh sb="0" eb="2">
      <t>トミタ</t>
    </rPh>
    <rPh sb="2" eb="3">
      <t>シ</t>
    </rPh>
    <rPh sb="3" eb="4">
      <t>チョウ</t>
    </rPh>
    <phoneticPr fontId="2"/>
  </si>
  <si>
    <t>4F病棟</t>
    <rPh sb="2" eb="4">
      <t>ビョウトウ</t>
    </rPh>
    <phoneticPr fontId="2"/>
  </si>
  <si>
    <t>043-206-3303</t>
  </si>
  <si>
    <t>〒263-8555　千葉県千葉市稲毛区4-9-1</t>
    <rPh sb="10" eb="13">
      <t>チバケン</t>
    </rPh>
    <rPh sb="13" eb="16">
      <t>チバシ</t>
    </rPh>
    <rPh sb="16" eb="19">
      <t>イナゲク</t>
    </rPh>
    <phoneticPr fontId="2"/>
  </si>
  <si>
    <t>P00104.P00343,P00340,P01213,P00049</t>
  </si>
  <si>
    <t>S16-0132</t>
  </si>
  <si>
    <t>自治医大さいたま医療センター_0132 (2)</t>
  </si>
  <si>
    <t>180PLUS</t>
  </si>
  <si>
    <t>0359W8</t>
  </si>
  <si>
    <t>P04327-03</t>
  </si>
  <si>
    <t>株式会社野上器械店</t>
  </si>
  <si>
    <t>村川様</t>
  </si>
  <si>
    <t>〒167-0021　東京都杉並区井草2-26-6</t>
  </si>
  <si>
    <t>03-5303-8070</t>
  </si>
  <si>
    <t>03-5382-2518</t>
  </si>
  <si>
    <t>自治医科大学付属さいたま医療センター　6階B病棟</t>
  </si>
  <si>
    <t>6階B病棟</t>
  </si>
  <si>
    <t>S16-0133</t>
  </si>
  <si>
    <t>昭和伊南病院_0133 (2)</t>
  </si>
  <si>
    <t>2016/02/16-03</t>
  </si>
  <si>
    <t>03426Y</t>
  </si>
  <si>
    <t>P04723-01</t>
  </si>
  <si>
    <t>株式会社上條器械店　松本営業所</t>
  </si>
  <si>
    <t>〒399-8760 長野県松本市笹賀7600-19</t>
  </si>
  <si>
    <t>0263-58-1711</t>
  </si>
  <si>
    <t>0263-58-8952</t>
  </si>
  <si>
    <t>昭和伊南総合病院</t>
  </si>
  <si>
    <t>0265-82-2121</t>
  </si>
  <si>
    <t>〒399-4117　長野県駒ヶ根市赤穂3230</t>
  </si>
  <si>
    <t>S16-0134</t>
  </si>
  <si>
    <t>巨摩共立病院_0134(2)</t>
  </si>
  <si>
    <t>2016/02/18-02</t>
  </si>
  <si>
    <t>C60n/5-2</t>
  </si>
  <si>
    <t>03ZPHN</t>
  </si>
  <si>
    <t>P13365-01</t>
  </si>
  <si>
    <t>協和医科器械株式会社　甲府支店</t>
  </si>
  <si>
    <t>杉山様</t>
  </si>
  <si>
    <t>〒400-0043　山梨県甲府市国母1-5-1</t>
    <rPh sb="10" eb="13">
      <t>ヤマナシケン</t>
    </rPh>
    <rPh sb="13" eb="16">
      <t>コウフシ</t>
    </rPh>
    <rPh sb="16" eb="17">
      <t>クニ</t>
    </rPh>
    <rPh sb="17" eb="18">
      <t>ハハ</t>
    </rPh>
    <phoneticPr fontId="2"/>
  </si>
  <si>
    <t>055-232-0010</t>
  </si>
  <si>
    <t>055-232-0022</t>
  </si>
  <si>
    <t>巨摩共立病院</t>
  </si>
  <si>
    <t>055-283-3131</t>
  </si>
  <si>
    <t xml:space="preserve">〒400-0398 山梨県南アルプス市桃園340 </t>
  </si>
  <si>
    <t>※返却依頼あり(3/8) キャンセルに</t>
  </si>
  <si>
    <t>S16-0135</t>
  </si>
  <si>
    <t>大崎市民病院_0135 (2)</t>
  </si>
  <si>
    <t>2016/02/19-05</t>
  </si>
  <si>
    <t>0301H6</t>
  </si>
  <si>
    <t>株式会社シバタインテック</t>
  </si>
  <si>
    <t>〒983-0035　宮城県仙台市宮城野区日の出町三丁目7-6</t>
    <phoneticPr fontId="2"/>
  </si>
  <si>
    <t>022-782-7422</t>
    <phoneticPr fontId="2"/>
  </si>
  <si>
    <t>022-782-7866</t>
  </si>
  <si>
    <t>大崎市民病院</t>
  </si>
  <si>
    <t>0229-23-3311</t>
  </si>
  <si>
    <t>〒989-6183　宮城県大崎市古川穂波三丁目8番1号</t>
  </si>
  <si>
    <t>※修理キャンセル(装置更新のため）→返却(10/31)</t>
    <rPh sb="9" eb="11">
      <t>ソウチ</t>
    </rPh>
    <rPh sb="11" eb="13">
      <t>コウシン</t>
    </rPh>
    <phoneticPr fontId="2"/>
  </si>
  <si>
    <t>S16-0136</t>
  </si>
  <si>
    <t>刈谷豊田総合病院_0136</t>
  </si>
  <si>
    <t>2016/02/12-01</t>
  </si>
  <si>
    <t>MiniDock</t>
  </si>
  <si>
    <t>WT094H</t>
  </si>
  <si>
    <t>P12316-01</t>
  </si>
  <si>
    <t>形山様</t>
  </si>
  <si>
    <t>〒460-8404　愛知県名古屋市中区栄1-12-17 富士フイルム名古屋ビル4階</t>
  </si>
  <si>
    <t>052-221-7871</t>
  </si>
  <si>
    <t>052-203-4875</t>
  </si>
  <si>
    <t>刈谷豊田総合病院</t>
  </si>
  <si>
    <t xml:space="preserve">〒448-8505　愛知県刈谷市住吉町5丁目15番地 </t>
  </si>
  <si>
    <t>S16-0137</t>
  </si>
  <si>
    <t>代替機NIM171_0137</t>
  </si>
  <si>
    <t>SR#4190415</t>
  </si>
  <si>
    <t>03NZ9K</t>
  </si>
  <si>
    <t>代替機NIM171</t>
  </si>
  <si>
    <t>P11882-01</t>
  </si>
  <si>
    <t>LATCH KIT ASSEMBLY</t>
  </si>
  <si>
    <t>S16-0138</t>
  </si>
  <si>
    <t>聖マリアンナ医科大病院_0138 (2)</t>
  </si>
  <si>
    <t>2016/02/23-01</t>
  </si>
  <si>
    <t>032D9L</t>
  </si>
  <si>
    <t>P04326-01</t>
  </si>
  <si>
    <t>株式会社ムトウ　川崎北支店</t>
  </si>
  <si>
    <t>吉原様</t>
  </si>
  <si>
    <t>〒214-0014　神奈川県川崎市多摩区登戸2662-1 2F</t>
  </si>
  <si>
    <t>044-934-2251</t>
  </si>
  <si>
    <t>044-934-2253</t>
  </si>
  <si>
    <t>聖マリアンナ医科大学病院　修理室・別6南</t>
  </si>
  <si>
    <t>吉原様</t>
    <rPh sb="0" eb="2">
      <t>ヨシワラ</t>
    </rPh>
    <rPh sb="2" eb="3">
      <t>サマ</t>
    </rPh>
    <phoneticPr fontId="2"/>
  </si>
  <si>
    <t>修理室　別6南</t>
    <rPh sb="0" eb="3">
      <t>シュウリシツ</t>
    </rPh>
    <rPh sb="4" eb="5">
      <t>ベツ</t>
    </rPh>
    <rPh sb="6" eb="7">
      <t>ミナミ</t>
    </rPh>
    <phoneticPr fontId="2"/>
  </si>
  <si>
    <t>044-977-8111</t>
  </si>
  <si>
    <t xml:space="preserve"> 〒216-8511 神奈川県川崎市宮前区管生 2-16-1 </t>
  </si>
  <si>
    <t>S16-0139</t>
  </si>
  <si>
    <t>旭川医科大学病院_0139 (2)</t>
  </si>
  <si>
    <t>2016/02/12-04</t>
  </si>
  <si>
    <t>037JM5</t>
  </si>
  <si>
    <t>P05670-07</t>
  </si>
  <si>
    <t>株式会社竹山　旭川支店</t>
  </si>
  <si>
    <t>〒079-8402　北海道旭川市秋月2条2丁目5-22</t>
  </si>
  <si>
    <t>0166-73-3011</t>
  </si>
  <si>
    <t>0166-47-5311</t>
  </si>
  <si>
    <t>旭川医科大学病院　麻酔科</t>
  </si>
  <si>
    <t>0166-65-2111</t>
  </si>
  <si>
    <t>〒078-8510 　北海道旭川市緑が丘東2条1丁目1-1</t>
  </si>
  <si>
    <t>P05674-50</t>
  </si>
  <si>
    <t>HFL38/13-6 Linear Transducer (MicroMaxx)</t>
  </si>
  <si>
    <t>※ディスプレイ、バッテリー　、HFL38交換</t>
  </si>
  <si>
    <t>S16-0140</t>
  </si>
  <si>
    <t>聖隷三方原病院_0140 (2)</t>
  </si>
  <si>
    <t>2016/02/18-01</t>
  </si>
  <si>
    <t>WK1RQZ</t>
  </si>
  <si>
    <t>P09141-26</t>
  </si>
  <si>
    <t>株式会社八神製作所　浜松営業所</t>
  </si>
  <si>
    <t>〒433-8119　静岡県浜松市中区高丘北2-15-6</t>
    <rPh sb="10" eb="13">
      <t>シズオカケン</t>
    </rPh>
    <rPh sb="13" eb="16">
      <t>ハママツシ</t>
    </rPh>
    <rPh sb="16" eb="18">
      <t>ナカク</t>
    </rPh>
    <rPh sb="18" eb="19">
      <t>タカ</t>
    </rPh>
    <rPh sb="19" eb="20">
      <t>オカ</t>
    </rPh>
    <rPh sb="20" eb="21">
      <t>キタ</t>
    </rPh>
    <phoneticPr fontId="2"/>
  </si>
  <si>
    <t>053-439-5887</t>
  </si>
  <si>
    <t>053-439-5897</t>
  </si>
  <si>
    <t>社会福祉法人　聖隷福祉事業団
総合病院　聖隷三方原病院</t>
  </si>
  <si>
    <t>053-436-1251</t>
  </si>
  <si>
    <t>〒433-8558　静岡県浜松市北区三方原町3453</t>
  </si>
  <si>
    <t>※現象不再現・本体のみ返却(報告書あり2/26）</t>
  </si>
  <si>
    <t>S16-0141</t>
  </si>
  <si>
    <t>松江市立病院_0141</t>
  </si>
  <si>
    <t>〒690-0038 島根県松江市平成町182-32</t>
    <phoneticPr fontId="2"/>
  </si>
  <si>
    <t>0852-60-8000</t>
  </si>
  <si>
    <t>〒690-8509 島根県松江市乃白町32番地1</t>
  </si>
  <si>
    <t>※12/7 修理キャンセル返却</t>
    <rPh sb="6" eb="8">
      <t>シュウリ</t>
    </rPh>
    <rPh sb="13" eb="15">
      <t>ヘンキャク</t>
    </rPh>
    <phoneticPr fontId="2"/>
  </si>
  <si>
    <t>S16-0142</t>
  </si>
  <si>
    <t>土浦協同病院_0142 (2)</t>
  </si>
  <si>
    <t>2016/02/22-10</t>
  </si>
  <si>
    <t>UP-25MD</t>
  </si>
  <si>
    <t>311975</t>
  </si>
  <si>
    <t>〒300-0034 茨城県土浦市港町1-10-7</t>
  </si>
  <si>
    <t>茨城県厚生農業協同組合連合会
総合病院　土浦協同病院</t>
  </si>
  <si>
    <t>029-830-3711</t>
  </si>
  <si>
    <t>〒300-0028　茨城県土浦市おおつ野4-1-1</t>
  </si>
  <si>
    <t>A1842912C</t>
  </si>
  <si>
    <t>Dモータ(2)ASSY</t>
  </si>
  <si>
    <t>S16-0143</t>
  </si>
  <si>
    <t>母子保健総合医療センター_0143 (2)</t>
  </si>
  <si>
    <t>2016/02/23-05</t>
  </si>
  <si>
    <t>WK1DQ7</t>
  </si>
  <si>
    <t>小西医療器株式会社　本社</t>
  </si>
  <si>
    <t>東野様</t>
  </si>
  <si>
    <t>〒540-0038　大阪府大阪市中央区内淡路町2-1-5</t>
  </si>
  <si>
    <t>06-6941-1806</t>
  </si>
  <si>
    <t>06-6944-0198</t>
  </si>
  <si>
    <t>地方独立行政法人大阪府立病院機構
大阪府立母子保健総合医療センター</t>
  </si>
  <si>
    <t>小児科</t>
    <rPh sb="0" eb="3">
      <t>ショウニカ</t>
    </rPh>
    <phoneticPr fontId="2"/>
  </si>
  <si>
    <t>0725-56-1220</t>
  </si>
  <si>
    <t xml:space="preserve">〒594-1101 大阪府和泉市室堂町840 </t>
  </si>
  <si>
    <t xml:space="preserve"> ※現象不再現で返却 （報告書あり）</t>
  </si>
  <si>
    <t>S16-0144</t>
  </si>
  <si>
    <t>東海大学医学部附属病院_0144 (2)</t>
  </si>
  <si>
    <t>2016/02/19-07</t>
  </si>
  <si>
    <t>039M68</t>
  </si>
  <si>
    <t>東海大学医学部附属病院　MEセンター</t>
  </si>
  <si>
    <t>相馬様</t>
    <rPh sb="0" eb="2">
      <t>ソウマ</t>
    </rPh>
    <rPh sb="2" eb="3">
      <t>サマ</t>
    </rPh>
    <phoneticPr fontId="2"/>
  </si>
  <si>
    <t>MEセンター</t>
  </si>
  <si>
    <t>※修理キャンセル返却（8/25)</t>
  </si>
  <si>
    <t>S16-0145</t>
  </si>
  <si>
    <t>要町病院_0145 (2)</t>
  </si>
  <si>
    <t>2016/02/19-01</t>
  </si>
  <si>
    <t>034WM5</t>
  </si>
  <si>
    <t>P05670-61</t>
  </si>
  <si>
    <t>オリンパスメディカルサイエンス販売株式会社</t>
  </si>
  <si>
    <t>〒163-1412　東京都新宿区西新宿3-20-2　東京オペラシティタワー12階</t>
  </si>
  <si>
    <t>03-3379-6001</t>
  </si>
  <si>
    <t xml:space="preserve"> 03-3379-6006</t>
  </si>
  <si>
    <t>要町病院</t>
  </si>
  <si>
    <t>03-3957-3181</t>
  </si>
  <si>
    <t>〒171-0043　東京都豊島区要町1-11-13</t>
  </si>
  <si>
    <t>P08060-03</t>
  </si>
  <si>
    <t>HINGE, 6LB, TURBO, C3, C2</t>
  </si>
  <si>
    <t>※S15-0003と同じ（今回は交換部品あり）</t>
  </si>
  <si>
    <t>S16-0146</t>
  </si>
  <si>
    <t>福井空港１_0146 (2)</t>
  </si>
  <si>
    <t>SR#4200407</t>
  </si>
  <si>
    <t>2016/02/24-03</t>
  </si>
  <si>
    <t>WK0PWD</t>
  </si>
  <si>
    <t>旭様</t>
  </si>
  <si>
    <t>福井空港１</t>
  </si>
  <si>
    <t>0776-21-1111</t>
  </si>
  <si>
    <t>〒910-8580 福井県福井市大手3-17-1</t>
  </si>
  <si>
    <t>※メンテナンスプラン／スタンダード　S15-0124</t>
  </si>
  <si>
    <t>S16-0147</t>
  </si>
  <si>
    <t>福井空港２_0147 (2)</t>
  </si>
  <si>
    <t>SR#4200403</t>
  </si>
  <si>
    <t>WK0MX6</t>
  </si>
  <si>
    <t>福井空港２</t>
  </si>
  <si>
    <t>※メンテナンスプラン／スタンダード S15-0124</t>
  </si>
  <si>
    <t>S16-0148</t>
  </si>
  <si>
    <t>八鹿病院_0148 (2)</t>
  </si>
  <si>
    <t>2016/02/19-03</t>
  </si>
  <si>
    <t>0387PJ</t>
  </si>
  <si>
    <t>マリヤ医科興業株式会社</t>
  </si>
  <si>
    <t>八鹿病院</t>
  </si>
  <si>
    <t>S16-0149</t>
  </si>
  <si>
    <t>日本赤十字社医療センター_0149 (2)</t>
  </si>
  <si>
    <t>2016/02/22-02</t>
  </si>
  <si>
    <t>WK02Z4</t>
  </si>
  <si>
    <t>株式会社栗原医療器械店</t>
  </si>
  <si>
    <t>一ノ瀬様</t>
  </si>
  <si>
    <t>〒108-0022　東京都港区海岸3-26-1 バーク芝浦11階</t>
  </si>
  <si>
    <t>03-5442-2011</t>
  </si>
  <si>
    <t>03-5442-2009</t>
  </si>
  <si>
    <t>日本赤十字社医療センター</t>
  </si>
  <si>
    <t>救急　D-MAT</t>
    <rPh sb="0" eb="2">
      <t>キュウキュウ</t>
    </rPh>
    <phoneticPr fontId="2"/>
  </si>
  <si>
    <t>〒150-8935 東京都渋谷区広尾4-1-22</t>
  </si>
  <si>
    <t>C60e/5-2 ｺﾝﾍﾞｯｸｽﾌﾟﾛｰﾌﾞ</t>
  </si>
  <si>
    <t>LATCH KIT</t>
  </si>
  <si>
    <t>※S15-0882と同時に出荷(5/26)</t>
  </si>
  <si>
    <t>S16-0150</t>
  </si>
  <si>
    <t>三重大学医学部附属病院_0150(2)</t>
  </si>
  <si>
    <t>03HM4F</t>
  </si>
  <si>
    <t>三重大学医学部附属病院</t>
  </si>
  <si>
    <t>059-232-1111</t>
  </si>
  <si>
    <t>〒514-8507 三重県津市江戸橋2-174</t>
  </si>
  <si>
    <t>S16-0151</t>
  </si>
  <si>
    <t>岩田整形クリニック_0151</t>
  </si>
  <si>
    <t>036JHX</t>
  </si>
  <si>
    <t>P06590-02</t>
  </si>
  <si>
    <t>フクダ電子神奈川販売株式会社</t>
  </si>
  <si>
    <t>笹本様</t>
  </si>
  <si>
    <t>〒224-0037　神奈川県横浜市都筑区茅ヶ崎南2-23-14</t>
  </si>
  <si>
    <t>045-949-1200</t>
  </si>
  <si>
    <t>045-943-3520</t>
  </si>
  <si>
    <t>岩田整形クリニック</t>
  </si>
  <si>
    <t>0467-41-1630</t>
  </si>
  <si>
    <t>〒247-0056　神奈川県鎌倉市大船1-12-17 リオンビル1階2階</t>
  </si>
  <si>
    <t>S16-0152</t>
  </si>
  <si>
    <t>三重大学病院_0152 (2)</t>
  </si>
  <si>
    <t>SR#4200417</t>
  </si>
  <si>
    <t xml:space="preserve">03526P </t>
  </si>
  <si>
    <t>P04307-01</t>
  </si>
  <si>
    <t>P03466-01</t>
  </si>
  <si>
    <t>PLATE, MAIN PIVOT</t>
  </si>
  <si>
    <t>S16-0153</t>
    <phoneticPr fontId="2"/>
  </si>
  <si>
    <t>筑波大学附属病院_0153 (2)</t>
  </si>
  <si>
    <t>2016/02/24-02</t>
  </si>
  <si>
    <t>01LBWW</t>
  </si>
  <si>
    <t>株式会社栗原医療器械店　土浦支店</t>
  </si>
  <si>
    <t>河合様</t>
  </si>
  <si>
    <t>〒300-0063　茨城県土浦市若松町1-21　</t>
  </si>
  <si>
    <t>029-823-2161</t>
  </si>
  <si>
    <t>029-822-6959</t>
  </si>
  <si>
    <t>筑波大学附属病院</t>
  </si>
  <si>
    <t>029-853-3900</t>
  </si>
  <si>
    <t>〒305-8576　茨城県つくば市天久保2-1-1</t>
  </si>
  <si>
    <t>※修理キャンセル→返却(11/2)</t>
    <rPh sb="1" eb="3">
      <t>シュウリ</t>
    </rPh>
    <rPh sb="9" eb="11">
      <t>ヘンキャク</t>
    </rPh>
    <phoneticPr fontId="2"/>
  </si>
  <si>
    <t>S16-0154</t>
  </si>
  <si>
    <t>武蔵野赤十字病院_0154 (2)</t>
  </si>
  <si>
    <t>WK3B1Z</t>
  </si>
  <si>
    <t>P09141-61</t>
  </si>
  <si>
    <t>菊地様</t>
  </si>
  <si>
    <t xml:space="preserve">〒190-0004　東京都立川市柏町2-7-11
</t>
  </si>
  <si>
    <t>042-538-0180</t>
  </si>
  <si>
    <t>042-538-0186</t>
  </si>
  <si>
    <t>日本赤十字社　武蔵野赤十字病院</t>
  </si>
  <si>
    <t>0422-32-3111</t>
  </si>
  <si>
    <t>〒180-8610 東京都武蔵野市境南町1-26-1</t>
  </si>
  <si>
    <t>※ゲインのカバー調整して返却（報告書あり）</t>
  </si>
  <si>
    <t>S16-0155</t>
  </si>
  <si>
    <t>福島県立医科大学附属病院_0155</t>
  </si>
  <si>
    <t>SR#4198197</t>
  </si>
  <si>
    <t>2016/02/23-07</t>
  </si>
  <si>
    <t>040G1F</t>
  </si>
  <si>
    <t>サンセイ医機株式会社　福島営業所</t>
  </si>
  <si>
    <t>野地様</t>
  </si>
  <si>
    <t>〒960-1106　福島県福島市下鳥渡字八幡塚45-1</t>
  </si>
  <si>
    <t>024-545-3041</t>
  </si>
  <si>
    <t>024-544-2480</t>
  </si>
  <si>
    <t>福島県立医科大学附属病院　救急科</t>
  </si>
  <si>
    <t>荒様</t>
    <rPh sb="0" eb="1">
      <t>アラ</t>
    </rPh>
    <rPh sb="1" eb="2">
      <t>サマ</t>
    </rPh>
    <phoneticPr fontId="2"/>
  </si>
  <si>
    <t>024-547-1111</t>
  </si>
  <si>
    <t>〒960-1295 福島県福島市光が丘1</t>
  </si>
  <si>
    <t>S16-0156</t>
  </si>
  <si>
    <t>筑波大学病院_0156 (2)</t>
  </si>
  <si>
    <t>038LVN</t>
  </si>
  <si>
    <t>日本コヴィディエン株式会社 東京第二営業所</t>
  </si>
  <si>
    <t>向平様</t>
  </si>
  <si>
    <t>※修理キャンセル→返却(6/7)</t>
  </si>
  <si>
    <t>S16-0157</t>
  </si>
  <si>
    <t>キッコーマン総合病院_0157 (2)</t>
  </si>
  <si>
    <t>2016/02/22-11</t>
  </si>
  <si>
    <t>01J4GV</t>
  </si>
  <si>
    <t>P01102-02</t>
  </si>
  <si>
    <t>株式会社MMコーポレーション</t>
  </si>
  <si>
    <t>〒278-0005 千葉県野田市宮崎100</t>
  </si>
  <si>
    <t>04-7137-2181</t>
  </si>
  <si>
    <t>04-7137-2070</t>
  </si>
  <si>
    <t>キッコーマン総合病院</t>
  </si>
  <si>
    <t>石川様</t>
    <rPh sb="0" eb="2">
      <t>イシカワ</t>
    </rPh>
    <rPh sb="2" eb="3">
      <t>サマ</t>
    </rPh>
    <phoneticPr fontId="2"/>
  </si>
  <si>
    <t>内科(3F西)</t>
    <rPh sb="0" eb="2">
      <t>ナイカ</t>
    </rPh>
    <rPh sb="5" eb="6">
      <t>ニシ</t>
    </rPh>
    <phoneticPr fontId="2"/>
  </si>
  <si>
    <t>04-7123-5911</t>
  </si>
  <si>
    <t>修理キャンセル→返却(11/24)</t>
    <rPh sb="0" eb="2">
      <t>シュウリ</t>
    </rPh>
    <rPh sb="8" eb="10">
      <t>ヘンキャク</t>
    </rPh>
    <phoneticPr fontId="2"/>
  </si>
  <si>
    <t>S16-0158</t>
  </si>
  <si>
    <t>デモ機MCH6_0158(2)</t>
  </si>
  <si>
    <t>SR#4191331</t>
  </si>
  <si>
    <t>03VH84</t>
  </si>
  <si>
    <t>デモ機 MCH6</t>
  </si>
  <si>
    <t>S16-0159</t>
  </si>
  <si>
    <t>代替機NIM177_0159 (2)</t>
  </si>
  <si>
    <t>SR#4191333</t>
  </si>
  <si>
    <t>WK119G</t>
  </si>
  <si>
    <t>代替機NIM177</t>
  </si>
  <si>
    <t>S16-0160</t>
  </si>
  <si>
    <t>デモ機_MAK45_0160(2)</t>
  </si>
  <si>
    <t>SR#4191335</t>
  </si>
  <si>
    <t>WK27VL</t>
  </si>
  <si>
    <t>P09141-27</t>
  </si>
  <si>
    <t>デモ機MAK45</t>
  </si>
  <si>
    <t>S16-0161</t>
  </si>
  <si>
    <t>名古屋第一赤十字病院_0161 (2)</t>
  </si>
  <si>
    <t>2016/02/25-07</t>
  </si>
  <si>
    <t>038MQW</t>
  </si>
  <si>
    <t>フクダ電子中部販売株式会社</t>
  </si>
  <si>
    <t>新井様</t>
  </si>
  <si>
    <t>〒452-0805　愛知県名古屋市西区市場木町390 ミユキビジネスパーク三号館</t>
    <rPh sb="10" eb="13">
      <t>アイチケン</t>
    </rPh>
    <rPh sb="13" eb="17">
      <t>ナゴヤシ</t>
    </rPh>
    <rPh sb="17" eb="19">
      <t>ニシク</t>
    </rPh>
    <rPh sb="19" eb="21">
      <t>イチバ</t>
    </rPh>
    <rPh sb="21" eb="22">
      <t>キ</t>
    </rPh>
    <rPh sb="22" eb="23">
      <t>マチ</t>
    </rPh>
    <rPh sb="37" eb="38">
      <t>サン</t>
    </rPh>
    <rPh sb="38" eb="40">
      <t>ゴウカン</t>
    </rPh>
    <phoneticPr fontId="2"/>
  </si>
  <si>
    <t>052-509-1101</t>
  </si>
  <si>
    <t>052-509-1151</t>
  </si>
  <si>
    <t>名古屋第一赤十字病院　総合診療科</t>
  </si>
  <si>
    <t>カナツキ様</t>
    <rPh sb="4" eb="5">
      <t>サマ</t>
    </rPh>
    <phoneticPr fontId="2"/>
  </si>
  <si>
    <t>総合診療科</t>
    <rPh sb="0" eb="2">
      <t>ソウゴウ</t>
    </rPh>
    <rPh sb="2" eb="4">
      <t>シンリョウ</t>
    </rPh>
    <rPh sb="4" eb="5">
      <t>カ</t>
    </rPh>
    <phoneticPr fontId="2"/>
  </si>
  <si>
    <t>052-481-5111</t>
  </si>
  <si>
    <t>〒453-8511　愛知県名古屋市中村区道下3-35</t>
    <rPh sb="10" eb="13">
      <t>アイチケン</t>
    </rPh>
    <rPh sb="13" eb="17">
      <t>ナゴヤシ</t>
    </rPh>
    <rPh sb="17" eb="20">
      <t>ナカムラク</t>
    </rPh>
    <rPh sb="20" eb="21">
      <t>ミチ</t>
    </rPh>
    <rPh sb="21" eb="22">
      <t>シタ</t>
    </rPh>
    <phoneticPr fontId="2"/>
  </si>
  <si>
    <t>S16-0162</t>
  </si>
  <si>
    <t>名古屋第二赤十字病院_0162 (2)</t>
  </si>
  <si>
    <t>SR#4192885</t>
  </si>
  <si>
    <t>03P5YD</t>
  </si>
  <si>
    <t>名古屋第二赤十字病院</t>
  </si>
  <si>
    <t>052-832-1121</t>
  </si>
  <si>
    <t>〒466-8650　愛知県名古屋市昭和区妙見町2-9</t>
  </si>
  <si>
    <t>P00163-01</t>
  </si>
  <si>
    <t>BAT,3V,7MAH,BUTTON,LITH,RECHARG,PCB,ROHS</t>
  </si>
  <si>
    <t>S16-0163</t>
  </si>
  <si>
    <t>佐野厚生総合病院_0163 (2)</t>
  </si>
  <si>
    <t>039Y67</t>
  </si>
  <si>
    <t>佐野厚生総合病院</t>
  </si>
  <si>
    <t>〒327-8511　栃木県佐野市堀米町1728</t>
  </si>
  <si>
    <t>S16-0164</t>
  </si>
  <si>
    <t>中通総合病院_0164 (2)</t>
  </si>
  <si>
    <t>2016/02/29-02</t>
  </si>
  <si>
    <t>032N1M</t>
  </si>
  <si>
    <t>森元様</t>
  </si>
  <si>
    <t>〒010-0003　秋田県秋田市東通2-3-15</t>
    <rPh sb="10" eb="13">
      <t>アキタケン</t>
    </rPh>
    <rPh sb="13" eb="16">
      <t>アキタシ</t>
    </rPh>
    <rPh sb="16" eb="17">
      <t>ヒガシ</t>
    </rPh>
    <rPh sb="17" eb="18">
      <t>トオ</t>
    </rPh>
    <phoneticPr fontId="2"/>
  </si>
  <si>
    <t>018-831-1051</t>
  </si>
  <si>
    <t>018-831-1071</t>
  </si>
  <si>
    <t>中通総合病院　小児科病棟</t>
  </si>
  <si>
    <t>永山様</t>
    <rPh sb="0" eb="2">
      <t>ナガヤマ</t>
    </rPh>
    <rPh sb="2" eb="3">
      <t>サマ</t>
    </rPh>
    <phoneticPr fontId="2"/>
  </si>
  <si>
    <t>小児科病棟</t>
    <rPh sb="0" eb="3">
      <t>ショウニカ</t>
    </rPh>
    <rPh sb="3" eb="5">
      <t>ビョウトウ</t>
    </rPh>
    <phoneticPr fontId="2"/>
  </si>
  <si>
    <t>018-833-1122</t>
  </si>
  <si>
    <t>〒010-8577　秋田県秋田市南通みその町3-15</t>
    <rPh sb="10" eb="13">
      <t>アキタケン</t>
    </rPh>
    <rPh sb="13" eb="16">
      <t>アキタシ</t>
    </rPh>
    <rPh sb="16" eb="17">
      <t>ミナミ</t>
    </rPh>
    <rPh sb="17" eb="18">
      <t>ドオリ</t>
    </rPh>
    <rPh sb="21" eb="22">
      <t>マチ</t>
    </rPh>
    <phoneticPr fontId="2"/>
  </si>
  <si>
    <t>※修理キャンセル→返却（4/14）</t>
  </si>
  <si>
    <t>S16-0165</t>
  </si>
  <si>
    <t>松山市民病院_0165 (2)</t>
  </si>
  <si>
    <t>SR#4192875</t>
  </si>
  <si>
    <t>03MGXY</t>
  </si>
  <si>
    <t>P12700-04</t>
  </si>
  <si>
    <t>宮田様</t>
  </si>
  <si>
    <t>松山市民病院</t>
  </si>
  <si>
    <t>089-943-1151</t>
  </si>
  <si>
    <t xml:space="preserve">〒790-0067　愛媛県松山市大手町2-6-5 </t>
  </si>
  <si>
    <t>S16-0166</t>
  </si>
  <si>
    <t>青葉ひろクリニック_0166 (2)</t>
  </si>
  <si>
    <t>SR#4192883</t>
  </si>
  <si>
    <t>2016/02/24-04</t>
  </si>
  <si>
    <t>WK21DZ</t>
  </si>
  <si>
    <t>日立アロカメディカル株式会社　横浜営業所</t>
  </si>
  <si>
    <t>泊野様</t>
  </si>
  <si>
    <t>〒220-0004　神奈川県横浜市北幸2-6-26 HI横浜ビル2F</t>
  </si>
  <si>
    <t>045-290-3261</t>
  </si>
  <si>
    <t>045-321-8452</t>
  </si>
  <si>
    <t>青葉ひろクリニック</t>
  </si>
  <si>
    <t>澤井院長</t>
  </si>
  <si>
    <t>045-905-1381</t>
  </si>
  <si>
    <t>〒225-0011　神奈川県横浜市青葉区あざみ野1-10-7</t>
  </si>
  <si>
    <t>P08659-03</t>
  </si>
  <si>
    <t>SERVICE ASSEMBLY, LCD DISPLAY, M-TURBO</t>
  </si>
  <si>
    <t>P08659</t>
  </si>
  <si>
    <t>S16-0167</t>
  </si>
  <si>
    <t>蓮田病院_0167 (2)</t>
  </si>
  <si>
    <t>2016/02/22-08</t>
  </si>
  <si>
    <t>Mini-Dock</t>
  </si>
  <si>
    <t>WK1Y54</t>
  </si>
  <si>
    <t>P12316-08</t>
  </si>
  <si>
    <t>株式会社栗原医療器械店　さいたま支店</t>
  </si>
  <si>
    <t>田中様</t>
  </si>
  <si>
    <t>〒337-0051 埼玉県さいたま市見沼区東大宮6丁目3-3</t>
  </si>
  <si>
    <t>048-687-5210</t>
  </si>
  <si>
    <t>048-687-5259</t>
  </si>
  <si>
    <t>蓮田病院</t>
  </si>
  <si>
    <t>048-766-8111</t>
  </si>
  <si>
    <t>〒349-0131　埼玉県蓮田市根金1662-1</t>
  </si>
  <si>
    <t>※接触不良　分解返却</t>
  </si>
  <si>
    <t>S16-0168</t>
  </si>
  <si>
    <t>桑名東医療センター_0168 (2)</t>
  </si>
  <si>
    <t>2016/03/01-01</t>
  </si>
  <si>
    <t>03HKXT</t>
  </si>
  <si>
    <t>P12060-04</t>
  </si>
  <si>
    <t>株式会社八神製作所</t>
  </si>
  <si>
    <t>田畑様</t>
  </si>
  <si>
    <t>〒510-0821　三重県四日市市久保田1-5-13</t>
    <rPh sb="10" eb="13">
      <t>ミエケン</t>
    </rPh>
    <rPh sb="13" eb="17">
      <t>ヨッカイチシ</t>
    </rPh>
    <rPh sb="17" eb="20">
      <t>クボタ</t>
    </rPh>
    <phoneticPr fontId="2"/>
  </si>
  <si>
    <t>059-351-1811</t>
  </si>
  <si>
    <t>059-351-1816</t>
  </si>
  <si>
    <t>桑名東医療センター</t>
  </si>
  <si>
    <t>田邊様</t>
    <rPh sb="0" eb="2">
      <t>タナベ</t>
    </rPh>
    <rPh sb="2" eb="3">
      <t>サマ</t>
    </rPh>
    <phoneticPr fontId="2"/>
  </si>
  <si>
    <t>手術室</t>
    <rPh sb="0" eb="2">
      <t>シュジュツ</t>
    </rPh>
    <rPh sb="2" eb="3">
      <t>シツ</t>
    </rPh>
    <phoneticPr fontId="2"/>
  </si>
  <si>
    <t>0594-22-1211</t>
  </si>
  <si>
    <t>〒511-0061　三重県桑名市寿町3-11</t>
    <rPh sb="10" eb="13">
      <t>ミエケン</t>
    </rPh>
    <rPh sb="13" eb="16">
      <t>クワナシ</t>
    </rPh>
    <rPh sb="16" eb="18">
      <t>コトブキチョウ</t>
    </rPh>
    <phoneticPr fontId="2"/>
  </si>
  <si>
    <t>P09138-02</t>
  </si>
  <si>
    <t>P07753-20</t>
  </si>
  <si>
    <t>BATTERY PACK, 6 CELL, 11.25V, 5.2 AMP-HOUR, LITHIUM-ION, TURBO S</t>
  </si>
  <si>
    <t>※修理完了品はFMS 村上さん宛へ。請求書は伸和へ送付</t>
  </si>
  <si>
    <t>S16-0169</t>
  </si>
  <si>
    <t>中央仁クリニック_0169 (2)</t>
  </si>
  <si>
    <t>2016/02/24-01</t>
  </si>
  <si>
    <t>※ACアダプタ交換</t>
  </si>
  <si>
    <t>S16-0170</t>
  </si>
  <si>
    <t>江南厚生病院_0170 (2)</t>
  </si>
  <si>
    <t>39671</t>
  </si>
  <si>
    <t>株式会社三輪器械　一宮営業所</t>
  </si>
  <si>
    <t>森田様</t>
  </si>
  <si>
    <t>〒491-0845　愛知県一宮市下川田町1-11</t>
    <rPh sb="10" eb="13">
      <t>アイチケン</t>
    </rPh>
    <rPh sb="13" eb="16">
      <t>イチノミヤシ</t>
    </rPh>
    <rPh sb="16" eb="17">
      <t>シモ</t>
    </rPh>
    <rPh sb="17" eb="19">
      <t>カワタ</t>
    </rPh>
    <rPh sb="19" eb="20">
      <t>マチ</t>
    </rPh>
    <phoneticPr fontId="2"/>
  </si>
  <si>
    <t>0586-24-3001</t>
  </si>
  <si>
    <t>0586-24-3022</t>
  </si>
  <si>
    <t>江南厚生病院</t>
  </si>
  <si>
    <t>生理検査</t>
    <rPh sb="0" eb="2">
      <t>セイリ</t>
    </rPh>
    <rPh sb="2" eb="4">
      <t>ケンサ</t>
    </rPh>
    <phoneticPr fontId="2"/>
  </si>
  <si>
    <t>0587-51-3333</t>
  </si>
  <si>
    <t>〒483-8704　愛知県江南市高屋町大松原137</t>
    <rPh sb="10" eb="13">
      <t>アイチケン</t>
    </rPh>
    <rPh sb="13" eb="16">
      <t>コウナンシ</t>
    </rPh>
    <rPh sb="16" eb="18">
      <t>タカヤ</t>
    </rPh>
    <rPh sb="18" eb="19">
      <t>マチ</t>
    </rPh>
    <rPh sb="19" eb="20">
      <t>オオ</t>
    </rPh>
    <rPh sb="20" eb="22">
      <t>マツバラ</t>
    </rPh>
    <phoneticPr fontId="2"/>
  </si>
  <si>
    <t>X36089937</t>
  </si>
  <si>
    <t>フロントパネルASSY（A）</t>
  </si>
  <si>
    <t>用紙カッター</t>
  </si>
  <si>
    <t>ダイオード　RPI-352</t>
  </si>
  <si>
    <t>S16-0171</t>
  </si>
  <si>
    <t>呉記念クリニック_0171 (2)</t>
  </si>
  <si>
    <t>2016/02/22-06</t>
  </si>
  <si>
    <t>036K05</t>
  </si>
  <si>
    <t>P05670-04</t>
  </si>
  <si>
    <t>小笠原様</t>
  </si>
  <si>
    <t>〒733-0035　広島県広島市西区南観音6-12-27</t>
  </si>
  <si>
    <t>呉記念クリニック</t>
  </si>
  <si>
    <t>栗原毅院長</t>
    <rPh sb="0" eb="2">
      <t>クリハラ</t>
    </rPh>
    <rPh sb="2" eb="3">
      <t>ツヨシ</t>
    </rPh>
    <rPh sb="3" eb="5">
      <t>インチョウ</t>
    </rPh>
    <phoneticPr fontId="2"/>
  </si>
  <si>
    <t>0823-72-3030</t>
  </si>
  <si>
    <t>〒737-0001　広島県呉市阿賀北3-4-11</t>
    <rPh sb="10" eb="13">
      <t>ヒロシマケン</t>
    </rPh>
    <rPh sb="13" eb="15">
      <t>クレシ</t>
    </rPh>
    <rPh sb="15" eb="16">
      <t>ア</t>
    </rPh>
    <rPh sb="16" eb="17">
      <t>ガ</t>
    </rPh>
    <rPh sb="17" eb="18">
      <t>キタ</t>
    </rPh>
    <phoneticPr fontId="2"/>
  </si>
  <si>
    <t>※調整で返却(報告書有り）3/10</t>
  </si>
  <si>
    <t>S16-0172</t>
  </si>
  <si>
    <t>広島大学病院_0172 (2)</t>
  </si>
  <si>
    <t>SR#4197513</t>
  </si>
  <si>
    <t>2016/02/22-05</t>
  </si>
  <si>
    <t>03J4VC</t>
  </si>
  <si>
    <t>P09141-14</t>
  </si>
  <si>
    <t>藤木様</t>
  </si>
  <si>
    <t>〒733-8633　広島県広島市西区商工センター1-2-19</t>
  </si>
  <si>
    <t>広島大学病院　ICU</t>
  </si>
  <si>
    <t>岩崎先生</t>
    <rPh sb="0" eb="2">
      <t>イワサキ</t>
    </rPh>
    <rPh sb="2" eb="4">
      <t>センセイ</t>
    </rPh>
    <phoneticPr fontId="2"/>
  </si>
  <si>
    <t>ICU</t>
  </si>
  <si>
    <t>082-257-5555</t>
  </si>
  <si>
    <t xml:space="preserve">〒734-8551　広島県広島市南区霞1-2-3 </t>
  </si>
  <si>
    <t>S16-0173</t>
  </si>
  <si>
    <t>広島市民病院_0173 (2)</t>
  </si>
  <si>
    <t>2015/12/25-01</t>
  </si>
  <si>
    <t>30358</t>
  </si>
  <si>
    <t>ティーエスアルフレッサ株式会社</t>
  </si>
  <si>
    <t>三刀様</t>
  </si>
  <si>
    <t>広島市民病院</t>
  </si>
  <si>
    <t>産科</t>
    <rPh sb="0" eb="2">
      <t>サンカ</t>
    </rPh>
    <phoneticPr fontId="2"/>
  </si>
  <si>
    <t>082-221-2291　</t>
  </si>
  <si>
    <t>〒733-8518　広島県広島市中区基町7-33</t>
    <rPh sb="10" eb="13">
      <t>ヒロシマケン</t>
    </rPh>
    <rPh sb="13" eb="16">
      <t>ヒロシマシ</t>
    </rPh>
    <rPh sb="16" eb="18">
      <t>ナカク</t>
    </rPh>
    <rPh sb="18" eb="20">
      <t>モトマチ</t>
    </rPh>
    <phoneticPr fontId="2"/>
  </si>
  <si>
    <t>スイッチングレギュレーター</t>
  </si>
  <si>
    <t>プラテンローラー</t>
  </si>
  <si>
    <t>S16-0174</t>
  </si>
  <si>
    <t>西和医療センター_0174 (2)</t>
  </si>
  <si>
    <t>2016/02/26-05</t>
  </si>
  <si>
    <t>03DX28</t>
  </si>
  <si>
    <t>小田様</t>
  </si>
  <si>
    <t>〒634-0075　奈良県橿原市小房町12-37</t>
  </si>
  <si>
    <t>072-223-8519</t>
  </si>
  <si>
    <t>西和医療センター</t>
  </si>
  <si>
    <t>堂元様</t>
    <rPh sb="0" eb="2">
      <t>ドウモト</t>
    </rPh>
    <rPh sb="2" eb="3">
      <t>サマ</t>
    </rPh>
    <phoneticPr fontId="2"/>
  </si>
  <si>
    <t>内科　麻酔科</t>
    <rPh sb="0" eb="2">
      <t>ナイカ</t>
    </rPh>
    <rPh sb="3" eb="6">
      <t>マスイカ</t>
    </rPh>
    <phoneticPr fontId="2"/>
  </si>
  <si>
    <t>0745-32-0509</t>
  </si>
  <si>
    <t>〒636-0802　奈良県生駒郡三郷町三室1-14-16</t>
    <rPh sb="10" eb="13">
      <t>ナラケン</t>
    </rPh>
    <rPh sb="13" eb="16">
      <t>イコマグン</t>
    </rPh>
    <rPh sb="16" eb="18">
      <t>ミサト</t>
    </rPh>
    <rPh sb="18" eb="19">
      <t>マチ</t>
    </rPh>
    <rPh sb="19" eb="21">
      <t>ミムロ</t>
    </rPh>
    <phoneticPr fontId="2"/>
  </si>
  <si>
    <t>※現象不再現(報告書あり）</t>
  </si>
  <si>
    <t>S16-0175</t>
  </si>
  <si>
    <t>神戸中央市民病院_0175 (2)</t>
  </si>
  <si>
    <t>SR#4196705</t>
  </si>
  <si>
    <t>2016/03/01-02</t>
  </si>
  <si>
    <t>NanoMaxx-Dock</t>
  </si>
  <si>
    <t>040QCX</t>
  </si>
  <si>
    <t>P13373-30</t>
  </si>
  <si>
    <t>宮野医療器株式会社　病院課</t>
  </si>
  <si>
    <t>寺岡先生</t>
    <rPh sb="0" eb="2">
      <t>テラオカ</t>
    </rPh>
    <rPh sb="2" eb="4">
      <t>センセイ</t>
    </rPh>
    <phoneticPr fontId="2"/>
  </si>
  <si>
    <t>NANOMAXX DOCK, JAPAN</t>
  </si>
  <si>
    <t>S16-0176</t>
  </si>
  <si>
    <t>アステム中古品販売_0176 (2)</t>
  </si>
  <si>
    <t>SR#4197507</t>
  </si>
  <si>
    <t>039YB5</t>
  </si>
  <si>
    <t>株式会社アステム　本社</t>
  </si>
  <si>
    <t>〒820-0101　福岡県飯塚市綱分761-19</t>
  </si>
  <si>
    <t>092-477-5757</t>
  </si>
  <si>
    <t>092-48-4512</t>
  </si>
  <si>
    <t>株式会社アステム　中古品販売</t>
  </si>
  <si>
    <t>S16-0177</t>
  </si>
  <si>
    <t>東京女子医科大学東医療センター_0177 (2)</t>
  </si>
  <si>
    <t>2016/02/24-05</t>
  </si>
  <si>
    <t>03DXD7</t>
  </si>
  <si>
    <t>王塚様</t>
  </si>
  <si>
    <t>〒112-0002　東京都文京区小石川4-17-15</t>
    <rPh sb="10" eb="12">
      <t>トウキョウ</t>
    </rPh>
    <rPh sb="12" eb="13">
      <t>ト</t>
    </rPh>
    <rPh sb="13" eb="16">
      <t>ブンキョウク</t>
    </rPh>
    <rPh sb="16" eb="19">
      <t>コイシカワ</t>
    </rPh>
    <phoneticPr fontId="2"/>
  </si>
  <si>
    <t>東京女子医科大学東医療センター</t>
  </si>
  <si>
    <t>本間先生</t>
    <rPh sb="0" eb="2">
      <t>ホンマ</t>
    </rPh>
    <rPh sb="2" eb="4">
      <t>センセイ</t>
    </rPh>
    <phoneticPr fontId="2"/>
  </si>
  <si>
    <t>03-3810-1111</t>
  </si>
  <si>
    <t>〒116-8567　東京都荒川区西尾久2-1-10</t>
    <rPh sb="10" eb="13">
      <t>トウキョウト</t>
    </rPh>
    <rPh sb="13" eb="16">
      <t>アラカワク</t>
    </rPh>
    <rPh sb="16" eb="17">
      <t>ニシ</t>
    </rPh>
    <rPh sb="17" eb="19">
      <t>オク</t>
    </rPh>
    <phoneticPr fontId="2"/>
  </si>
  <si>
    <t>S16-0178</t>
  </si>
  <si>
    <t>ソニックジャパン_0178 (2)</t>
  </si>
  <si>
    <t>03HQ8J</t>
  </si>
  <si>
    <t>ソニックジャパン株式会社</t>
  </si>
  <si>
    <t>茅野様</t>
  </si>
  <si>
    <t>〒113-0033　東京都文京区本郷2-25-5　角地ビル4F</t>
  </si>
  <si>
    <t>03-3815-1400</t>
  </si>
  <si>
    <t>03-3815-1408</t>
  </si>
  <si>
    <t>SJデモ機</t>
  </si>
  <si>
    <t>P15112-01</t>
  </si>
  <si>
    <t>POWER ADAPTER CABLE</t>
  </si>
  <si>
    <t>※P12718,P15112</t>
  </si>
  <si>
    <t>S16-0179</t>
  </si>
  <si>
    <t>重井附属病院_0179 (2)</t>
  </si>
  <si>
    <t>SR#4192881</t>
  </si>
  <si>
    <t>2016/02/08-04</t>
  </si>
  <si>
    <t>WG00KJ</t>
  </si>
  <si>
    <t>P09141-21</t>
  </si>
  <si>
    <t>ティーエスアルフレッサ株式会社　岡山機器試薬</t>
  </si>
  <si>
    <t>間様</t>
  </si>
  <si>
    <t>〒701-0165　岡山県岡山市北区大内田 828-4</t>
  </si>
  <si>
    <t>重井医学研究所附属病院</t>
  </si>
  <si>
    <t>086-282-5311</t>
  </si>
  <si>
    <t>〒701-0202 岡山県岡山市南区山田2117</t>
  </si>
  <si>
    <t>S16-0180</t>
  </si>
  <si>
    <t xml:space="preserve">松山市民病院_0165 </t>
  </si>
  <si>
    <t>2016/02/26-02</t>
  </si>
  <si>
    <t>iLook15</t>
  </si>
  <si>
    <t>033YQV</t>
  </si>
  <si>
    <t>P04628-02</t>
  </si>
  <si>
    <t>アイティーアイ株式会社　長崎支店</t>
  </si>
  <si>
    <t>〒851-0134　長崎県長崎市田中町596-1</t>
  </si>
  <si>
    <t>095-833-0011</t>
  </si>
  <si>
    <t>095-833-0012</t>
  </si>
  <si>
    <t>谷川放射線科胃腸科医院</t>
  </si>
  <si>
    <t>米田様</t>
    <rPh sb="0" eb="2">
      <t>ヨネダ</t>
    </rPh>
    <rPh sb="2" eb="3">
      <t>サマ</t>
    </rPh>
    <phoneticPr fontId="2"/>
  </si>
  <si>
    <t>095-844-0417</t>
  </si>
  <si>
    <t>〒852-8137　長崎県長崎市若葉町6-1</t>
    <rPh sb="10" eb="13">
      <t>ナガサキケン</t>
    </rPh>
    <rPh sb="13" eb="16">
      <t>ナガサキシ</t>
    </rPh>
    <rPh sb="16" eb="18">
      <t>ワカバ</t>
    </rPh>
    <rPh sb="18" eb="19">
      <t>マチ</t>
    </rPh>
    <phoneticPr fontId="2"/>
  </si>
  <si>
    <t>※修理キャンセル→返却（3/29)</t>
  </si>
  <si>
    <t>S16-0181</t>
  </si>
  <si>
    <t>国立相模原病院_0181 (2)</t>
  </si>
  <si>
    <t>SR#4196701</t>
  </si>
  <si>
    <t>X-Porte</t>
  </si>
  <si>
    <t>040CCR</t>
  </si>
  <si>
    <t>P19320-51</t>
  </si>
  <si>
    <t>芝滝様</t>
  </si>
  <si>
    <t>〒222-0033　神奈川県横浜市港北区新横浜2-8-11</t>
  </si>
  <si>
    <t>045-471-7311</t>
  </si>
  <si>
    <t>045-472-6321</t>
  </si>
  <si>
    <t>国立相模原病院</t>
  </si>
  <si>
    <t>042-742-8311</t>
  </si>
  <si>
    <t>〒252-0392 神奈川県相模原市南区桜台18-1</t>
  </si>
  <si>
    <t xml:space="preserve">P18673-01N </t>
  </si>
  <si>
    <t xml:space="preserve">P14027-01N </t>
  </si>
  <si>
    <t xml:space="preserve">X-PORTE ENGINE, CW, JAPAN </t>
  </si>
  <si>
    <t>CONTROL PANEL, X-PORTE</t>
  </si>
  <si>
    <t>S16-0182</t>
  </si>
  <si>
    <t>聖隷浜松病院_0182</t>
  </si>
  <si>
    <t>053-474-2222</t>
  </si>
  <si>
    <t>〒430-8558　静岡県浜松市中区住吉2-12-12</t>
  </si>
  <si>
    <t>S16-0183</t>
  </si>
  <si>
    <t>那須赤十字病院_0183 (2)</t>
  </si>
  <si>
    <t>2016/03/02-05</t>
  </si>
  <si>
    <t>03DJ6L</t>
  </si>
  <si>
    <t>荒井様</t>
  </si>
  <si>
    <t>〒320-0074　栃木県宇都宮市細谷町388-1</t>
  </si>
  <si>
    <t>028-616-1580</t>
  </si>
  <si>
    <t>028-623-7350</t>
  </si>
  <si>
    <t>那須赤十字病院</t>
  </si>
  <si>
    <t>梶野様</t>
    <rPh sb="0" eb="1">
      <t>カジ</t>
    </rPh>
    <rPh sb="1" eb="2">
      <t>ノ</t>
    </rPh>
    <rPh sb="2" eb="3">
      <t>サマ</t>
    </rPh>
    <phoneticPr fontId="2"/>
  </si>
  <si>
    <t>臨床工学部</t>
    <rPh sb="0" eb="2">
      <t>リンショウ</t>
    </rPh>
    <rPh sb="2" eb="4">
      <t>コウガク</t>
    </rPh>
    <rPh sb="4" eb="5">
      <t>ブ</t>
    </rPh>
    <phoneticPr fontId="2"/>
  </si>
  <si>
    <t>0287-23-1122</t>
  </si>
  <si>
    <t>〒324-8686　栃木県大田原市中田原1081-4</t>
    <rPh sb="10" eb="13">
      <t>トチギケン</t>
    </rPh>
    <rPh sb="13" eb="17">
      <t>オオタワラシ</t>
    </rPh>
    <rPh sb="17" eb="19">
      <t>ナカタ</t>
    </rPh>
    <rPh sb="19" eb="20">
      <t>ハラ</t>
    </rPh>
    <phoneticPr fontId="2"/>
  </si>
  <si>
    <t>S16-0184</t>
  </si>
  <si>
    <t>市立奈良病院_0184 (2)</t>
  </si>
  <si>
    <t>SR#4211157</t>
  </si>
  <si>
    <t>2016/03/04-03</t>
  </si>
  <si>
    <t>03KXVX</t>
  </si>
  <si>
    <t>宮野医療器株式会社</t>
  </si>
  <si>
    <t>〒630-8453　奈良県奈良市西九条町2-10-6</t>
  </si>
  <si>
    <t>0742-64-4500</t>
  </si>
  <si>
    <t>0742-64-4502</t>
  </si>
  <si>
    <t>市立奈良病院　総合診療科</t>
  </si>
  <si>
    <t>総合診療科</t>
    <rPh sb="0" eb="2">
      <t>ソウゴウ</t>
    </rPh>
    <rPh sb="2" eb="5">
      <t>シンリョウカ</t>
    </rPh>
    <phoneticPr fontId="2"/>
  </si>
  <si>
    <t>0742-24-1251</t>
  </si>
  <si>
    <t>〒630-8305　奈良県奈良市東紀寺町1-50-1</t>
  </si>
  <si>
    <t xml:space="preserve">※C60xは返却しない(6/8)    </t>
  </si>
  <si>
    <t>S16-0185</t>
  </si>
  <si>
    <t>三重中央医療センター_0185 (2)</t>
  </si>
  <si>
    <t>2016/03/04-01</t>
  </si>
  <si>
    <t>01J3VV</t>
  </si>
  <si>
    <t>米川様　→　佐藤様</t>
  </si>
  <si>
    <t>三重中央医療センター</t>
  </si>
  <si>
    <t>呼吸器病棟（7F棟)</t>
    <rPh sb="0" eb="3">
      <t>コキュウキ</t>
    </rPh>
    <rPh sb="3" eb="5">
      <t>ビョウトウ</t>
    </rPh>
    <rPh sb="8" eb="9">
      <t>トウ</t>
    </rPh>
    <phoneticPr fontId="2"/>
  </si>
  <si>
    <t>059-259-1211</t>
  </si>
  <si>
    <t>〒514-1101　三重県津市久居明神町2158-5</t>
    <rPh sb="10" eb="13">
      <t>ミエケン</t>
    </rPh>
    <rPh sb="13" eb="15">
      <t>ツシ</t>
    </rPh>
    <rPh sb="15" eb="16">
      <t>ヒサ</t>
    </rPh>
    <rPh sb="16" eb="17">
      <t>イ</t>
    </rPh>
    <rPh sb="17" eb="19">
      <t>ミョウジン</t>
    </rPh>
    <rPh sb="19" eb="20">
      <t>マチ</t>
    </rPh>
    <phoneticPr fontId="2"/>
  </si>
  <si>
    <t>P00364</t>
  </si>
  <si>
    <t>P00611</t>
  </si>
  <si>
    <t>P00343</t>
  </si>
  <si>
    <t>P00104</t>
  </si>
  <si>
    <t>P01213</t>
  </si>
  <si>
    <t>ASSEMBLY, FLEX CIRCUIT, FRAME</t>
  </si>
  <si>
    <t>S16-0186</t>
  </si>
  <si>
    <t>河西田林病院_0186 (2)</t>
  </si>
  <si>
    <t>SR#4193201</t>
  </si>
  <si>
    <t>03W007</t>
  </si>
  <si>
    <t>青松会　河西田村病院</t>
  </si>
  <si>
    <t>073-455-1015</t>
  </si>
  <si>
    <t>〒640-8413　和歌山県和歌山市島橋東の丁1-11</t>
  </si>
  <si>
    <t>S16-0187</t>
  </si>
  <si>
    <t>相澤病院_0187 (2)</t>
    <phoneticPr fontId="2"/>
  </si>
  <si>
    <t>高橋</t>
    <rPh sb="0" eb="2">
      <t>タカハシ</t>
    </rPh>
    <phoneticPr fontId="2"/>
  </si>
  <si>
    <t>032B31</t>
  </si>
  <si>
    <t>相澤病院</t>
  </si>
  <si>
    <t>0263-33-8600</t>
  </si>
  <si>
    <t>〒390-8510　長野県松本市本庄2-5-1</t>
  </si>
  <si>
    <t>S16-0188</t>
  </si>
  <si>
    <t>湘南藤沢徳州会病院1_0188 (2)</t>
  </si>
  <si>
    <t>03B4FJ</t>
  </si>
  <si>
    <t>湘南徳洲会病院1</t>
  </si>
  <si>
    <t>※修理キャンセル(4/5)</t>
  </si>
  <si>
    <t>S16-0189</t>
  </si>
  <si>
    <t>湘南藤沢徳州会病院2_0189 (2)</t>
  </si>
  <si>
    <t>0359WR</t>
  </si>
  <si>
    <t>湘南藤沢徳州会病院2</t>
  </si>
  <si>
    <t>S16-0190</t>
  </si>
  <si>
    <t>東京医科大学病院_0190</t>
  </si>
  <si>
    <t>033QNF</t>
  </si>
  <si>
    <t>岩田様</t>
  </si>
  <si>
    <t>東京医科大学病院</t>
  </si>
  <si>
    <t>03-3342-6111</t>
  </si>
  <si>
    <t>〒160-0023　東京都新宿区西新宿6-7-1</t>
  </si>
  <si>
    <t>※修理キャンセル(4/13)</t>
  </si>
  <si>
    <t>S16-0191</t>
  </si>
  <si>
    <t>新潟市民病院_0191 (2)</t>
  </si>
  <si>
    <t>2016/02/19-06</t>
  </si>
  <si>
    <t>33374</t>
  </si>
  <si>
    <t>源川医科器械株式会社　商品センター</t>
  </si>
  <si>
    <t>新潟市民病院　乳腺外来</t>
  </si>
  <si>
    <t>乳腺外来</t>
    <rPh sb="0" eb="2">
      <t>ニュウセン</t>
    </rPh>
    <rPh sb="2" eb="4">
      <t>ガイライ</t>
    </rPh>
    <phoneticPr fontId="2"/>
  </si>
  <si>
    <t>S16-0192</t>
  </si>
  <si>
    <t>熊本赤十字病院_0192 (2)</t>
  </si>
  <si>
    <t>SR#4200413</t>
  </si>
  <si>
    <t>2016/03/03-02</t>
  </si>
  <si>
    <t>03C7DC</t>
  </si>
  <si>
    <t>山下医科器械株式会社　熊本支店</t>
  </si>
  <si>
    <t>Ｐ00538-03</t>
  </si>
  <si>
    <t>Ｐ00343-01</t>
  </si>
  <si>
    <t>POWER SUPPLY</t>
  </si>
  <si>
    <t>HINGE, DISPLAY ×2</t>
  </si>
  <si>
    <t>S16-0193</t>
  </si>
  <si>
    <t>ソニックジャパンデモ機_0193 (2)</t>
  </si>
  <si>
    <t>03Q9BN</t>
  </si>
  <si>
    <t>P12085-10</t>
  </si>
  <si>
    <t>※点検依頼（P07753)交換</t>
  </si>
  <si>
    <t>S16-0194</t>
  </si>
  <si>
    <t>都立小児総合医療センター_0194 (2)</t>
  </si>
  <si>
    <t>SR#4194141</t>
  </si>
  <si>
    <t>2016/03/08-03</t>
  </si>
  <si>
    <t>03Z85L</t>
  </si>
  <si>
    <t>富士フイルムメディカル株式会社　西東京営業所</t>
  </si>
  <si>
    <t xml:space="preserve">〒190-0004　東京都立川市柏町2-7-11 </t>
  </si>
  <si>
    <t>都立小児総合医療センター</t>
  </si>
  <si>
    <t>042-300-5111</t>
  </si>
  <si>
    <t>〒183-8561  東京都府中市武蔵台 2-8-29</t>
  </si>
  <si>
    <t>S16-0195</t>
  </si>
  <si>
    <t>旭川医科大学病院_0195 (2)</t>
  </si>
  <si>
    <t>2016/03/04-04</t>
  </si>
  <si>
    <t>030HGF</t>
  </si>
  <si>
    <t>旭川医科大学病院</t>
  </si>
  <si>
    <t>田中師長</t>
    <rPh sb="0" eb="2">
      <t>タナカ</t>
    </rPh>
    <rPh sb="2" eb="3">
      <t>シ</t>
    </rPh>
    <rPh sb="3" eb="4">
      <t>チョウ</t>
    </rPh>
    <phoneticPr fontId="2"/>
  </si>
  <si>
    <t>6F東病棟</t>
    <rPh sb="2" eb="3">
      <t>ヒガシ</t>
    </rPh>
    <rPh sb="3" eb="5">
      <t>ビョウトウ</t>
    </rPh>
    <phoneticPr fontId="2"/>
  </si>
  <si>
    <t xml:space="preserve">〒078-8510　北海道旭川市緑が丘東2条1丁目1番1号 </t>
    <rPh sb="10" eb="13">
      <t>ホッカイドウ</t>
    </rPh>
    <phoneticPr fontId="2"/>
  </si>
  <si>
    <t>※代理店：株式会社竹山　旭川支店　中西様</t>
  </si>
  <si>
    <t>S16-0196</t>
  </si>
  <si>
    <t>関西医科大学滝井病院_0196 (2)</t>
  </si>
  <si>
    <t>0341TQ</t>
  </si>
  <si>
    <t>P04338-02</t>
  </si>
  <si>
    <t>株式会社城南メディカル</t>
  </si>
  <si>
    <t>西田様</t>
  </si>
  <si>
    <t>〒601-8141 京都府京都市南区上鳥羽卯ノ花48-1</t>
  </si>
  <si>
    <t>075-691-6700</t>
  </si>
  <si>
    <t>075-691-1161</t>
  </si>
  <si>
    <t>関西医科大学滝井病院</t>
  </si>
  <si>
    <t>06-6992-1001</t>
  </si>
  <si>
    <t>〒570-8507 大阪府守口市文園町10-15</t>
  </si>
  <si>
    <t>S16-0197</t>
  </si>
  <si>
    <t>麻見江ホスピタル_0197 (2)</t>
  </si>
  <si>
    <t>2016/02/25-02</t>
  </si>
  <si>
    <t>WK03NG</t>
  </si>
  <si>
    <t>フクダ電子西関東販売株式会社</t>
  </si>
  <si>
    <t>〒336-0031　埼玉県さいたま市南区鹿手袋4-5-10</t>
    <rPh sb="10" eb="13">
      <t>サイタマケン</t>
    </rPh>
    <rPh sb="17" eb="18">
      <t>シ</t>
    </rPh>
    <rPh sb="18" eb="20">
      <t>ミナミク</t>
    </rPh>
    <rPh sb="20" eb="21">
      <t>シカ</t>
    </rPh>
    <rPh sb="21" eb="23">
      <t>テブクロ</t>
    </rPh>
    <phoneticPr fontId="2"/>
  </si>
  <si>
    <t>048-710-2265</t>
  </si>
  <si>
    <t>048-710-2268</t>
  </si>
  <si>
    <t>麻見江ホスピタル</t>
  </si>
  <si>
    <t>山崎様</t>
    <rPh sb="0" eb="2">
      <t>ヤマザキ</t>
    </rPh>
    <rPh sb="2" eb="3">
      <t>サマ</t>
    </rPh>
    <phoneticPr fontId="2"/>
  </si>
  <si>
    <t>総務</t>
    <rPh sb="0" eb="2">
      <t>ソウム</t>
    </rPh>
    <phoneticPr fontId="2"/>
  </si>
  <si>
    <t>049-296-1155</t>
  </si>
  <si>
    <t>〒350-0302　埼玉県比企郡鳩山町大字大橋1066</t>
    <rPh sb="10" eb="13">
      <t>サイタマケン</t>
    </rPh>
    <rPh sb="13" eb="16">
      <t>ヒキグン</t>
    </rPh>
    <rPh sb="16" eb="17">
      <t>ハト</t>
    </rPh>
    <rPh sb="17" eb="18">
      <t>ヤマ</t>
    </rPh>
    <rPh sb="18" eb="19">
      <t>マチ</t>
    </rPh>
    <rPh sb="19" eb="21">
      <t>オオアザ</t>
    </rPh>
    <rPh sb="21" eb="23">
      <t>オオハシ</t>
    </rPh>
    <phoneticPr fontId="2"/>
  </si>
  <si>
    <t>S16-0198</t>
  </si>
  <si>
    <t>コヴィディエンデモ機_0198 (2)</t>
  </si>
  <si>
    <t>0379YP</t>
  </si>
  <si>
    <t>日本コヴィディエン株式会社　メディカルデバイスサービス課</t>
  </si>
  <si>
    <t>〒108-0075　東京都港区港南一丁目2番70号　品川シーズンテラス　22F</t>
  </si>
  <si>
    <t>日本コヴィディエン株式会社 デモ機</t>
  </si>
  <si>
    <t>S16-0199</t>
  </si>
  <si>
    <t>立川病院_0199 (2)</t>
  </si>
  <si>
    <t>034WD9</t>
  </si>
  <si>
    <t>立川病院</t>
  </si>
  <si>
    <t>〒190-8531　東京都立川市錦町4-2-22</t>
  </si>
  <si>
    <t>S16-0200</t>
  </si>
  <si>
    <t>橋本市民病院_0200 (2)</t>
  </si>
  <si>
    <t>2016/03/07-02</t>
  </si>
  <si>
    <t>0336M8</t>
  </si>
  <si>
    <t>セイコーメディカル株式会社</t>
  </si>
  <si>
    <t>東様</t>
  </si>
  <si>
    <t>〒640-8287 和歌山県和歌山市築港6丁目9番地の10</t>
  </si>
  <si>
    <t>073-435-2333</t>
  </si>
  <si>
    <t>073-435-2223</t>
  </si>
  <si>
    <t>橋本市民病院</t>
  </si>
  <si>
    <t>0736-37-1200</t>
  </si>
  <si>
    <t>〒648-0005　和歌山県橋本市小峰台二丁目8番地の1</t>
  </si>
  <si>
    <t>S16-0201</t>
  </si>
  <si>
    <t>福山医療センター_0201</t>
  </si>
  <si>
    <t>2016/03/08-05</t>
  </si>
  <si>
    <t>035L4P</t>
  </si>
  <si>
    <t>P04332-02</t>
  </si>
  <si>
    <t>五洋医療器株式会社</t>
  </si>
  <si>
    <t>福尾様</t>
  </si>
  <si>
    <t>〒721-0961　広島県福山市明神町2-2-30</t>
    <rPh sb="10" eb="12">
      <t>ヒロシマ</t>
    </rPh>
    <rPh sb="12" eb="13">
      <t>ケン</t>
    </rPh>
    <rPh sb="13" eb="14">
      <t>フク</t>
    </rPh>
    <rPh sb="14" eb="15">
      <t>ヤマ</t>
    </rPh>
    <rPh sb="15" eb="16">
      <t>シ</t>
    </rPh>
    <rPh sb="16" eb="18">
      <t>ミョウジン</t>
    </rPh>
    <rPh sb="18" eb="19">
      <t>マチ</t>
    </rPh>
    <phoneticPr fontId="2"/>
  </si>
  <si>
    <t>084-926-5050</t>
  </si>
  <si>
    <t>084-926-5032</t>
  </si>
  <si>
    <t>福山医療センター　4病棟</t>
  </si>
  <si>
    <t>4病棟</t>
    <rPh sb="1" eb="2">
      <t>ビョウ</t>
    </rPh>
    <rPh sb="2" eb="3">
      <t>トウ</t>
    </rPh>
    <phoneticPr fontId="2"/>
  </si>
  <si>
    <t>084-922-0001</t>
  </si>
  <si>
    <t>〒720-0825　広島県福山市沖野上町4-14-17</t>
    <rPh sb="10" eb="13">
      <t>ヒロシマケン</t>
    </rPh>
    <rPh sb="13" eb="16">
      <t>フクヤマシ</t>
    </rPh>
    <rPh sb="16" eb="17">
      <t>オキ</t>
    </rPh>
    <rPh sb="17" eb="18">
      <t>ノ</t>
    </rPh>
    <rPh sb="18" eb="19">
      <t>ウエ</t>
    </rPh>
    <rPh sb="19" eb="20">
      <t>マチ</t>
    </rPh>
    <phoneticPr fontId="2"/>
  </si>
  <si>
    <t>※キャンセル返却）（見積書同梱）</t>
  </si>
  <si>
    <t>S16-0202</t>
  </si>
  <si>
    <t>デモ機MAE10_0202 (2)</t>
  </si>
  <si>
    <t>SR# 不要</t>
  </si>
  <si>
    <t>03YDJ5</t>
  </si>
  <si>
    <t>P12700-07</t>
  </si>
  <si>
    <t>デモ機MAE10</t>
  </si>
  <si>
    <t>S16-0203</t>
  </si>
  <si>
    <t>サンフラワーマタニティ_0203</t>
  </si>
  <si>
    <t>2016/03/14-01</t>
  </si>
  <si>
    <t>01J409</t>
  </si>
  <si>
    <t>尾路医科器械株式会社</t>
  </si>
  <si>
    <t>鎌田様</t>
  </si>
  <si>
    <t>〒760-0008　香川県高松市中野町12-6</t>
    <rPh sb="10" eb="13">
      <t>カガワケン</t>
    </rPh>
    <rPh sb="13" eb="16">
      <t>タカマツシ</t>
    </rPh>
    <rPh sb="16" eb="18">
      <t>ナカノ</t>
    </rPh>
    <rPh sb="18" eb="19">
      <t>マチ</t>
    </rPh>
    <phoneticPr fontId="2"/>
  </si>
  <si>
    <t>087-862-6381</t>
  </si>
  <si>
    <t>087-833-3251</t>
  </si>
  <si>
    <t>サンフラワーマタニティ</t>
  </si>
  <si>
    <t>下津様</t>
    <rPh sb="0" eb="1">
      <t>シモ</t>
    </rPh>
    <rPh sb="1" eb="2">
      <t>ツ</t>
    </rPh>
    <rPh sb="2" eb="3">
      <t>サマ</t>
    </rPh>
    <phoneticPr fontId="2"/>
  </si>
  <si>
    <t>助産師</t>
    <rPh sb="0" eb="3">
      <t>ジョサンシ</t>
    </rPh>
    <phoneticPr fontId="2"/>
  </si>
  <si>
    <t>087-868-4103</t>
  </si>
  <si>
    <t>〒761-8073　香川県高松市太田下町3017-3</t>
  </si>
  <si>
    <t>S16-0204</t>
  </si>
  <si>
    <t>広島市民病院_0204 (2)</t>
  </si>
  <si>
    <t>SR#4196627</t>
  </si>
  <si>
    <t>2016/03/11-01</t>
  </si>
  <si>
    <t>03W01N</t>
  </si>
  <si>
    <t>P12060-11</t>
  </si>
  <si>
    <t>香山様</t>
  </si>
  <si>
    <t>広島市民病院　麻酔科</t>
  </si>
  <si>
    <t>ME竹内様</t>
    <rPh sb="2" eb="4">
      <t>タケウチ</t>
    </rPh>
    <rPh sb="4" eb="5">
      <t>サマ</t>
    </rPh>
    <phoneticPr fontId="2"/>
  </si>
  <si>
    <t>麻酔科（CEセンター)</t>
    <rPh sb="0" eb="3">
      <t>マスイカ</t>
    </rPh>
    <phoneticPr fontId="2"/>
  </si>
  <si>
    <t>082-221-2291</t>
  </si>
  <si>
    <t>〒730-8518　広島県広島市中区基町7-33</t>
    <rPh sb="10" eb="13">
      <t>ヒロシマケン</t>
    </rPh>
    <rPh sb="13" eb="16">
      <t>ヒロシマシ</t>
    </rPh>
    <rPh sb="16" eb="18">
      <t>ナカク</t>
    </rPh>
    <rPh sb="18" eb="19">
      <t>モト</t>
    </rPh>
    <rPh sb="19" eb="20">
      <t>マチ</t>
    </rPh>
    <phoneticPr fontId="2"/>
  </si>
  <si>
    <t>S16-0205</t>
  </si>
  <si>
    <t>兵庫中央病院_0205 (2)</t>
  </si>
  <si>
    <t>2016/03/09-01</t>
  </si>
  <si>
    <t>UP-895MD</t>
  </si>
  <si>
    <t>40832</t>
  </si>
  <si>
    <t>宮野医療器株式会社　中兵庫営業所</t>
  </si>
  <si>
    <t>平野様</t>
  </si>
  <si>
    <t>〒669-3304　兵庫県丹波市柏原町上小倉152-1</t>
  </si>
  <si>
    <t>0795-72-2288</t>
  </si>
  <si>
    <t>0795-72-2644</t>
  </si>
  <si>
    <t>兵庫中央病院</t>
  </si>
  <si>
    <t>079-563-2121</t>
  </si>
  <si>
    <t>〒669-1592　兵庫県三田市大原1314</t>
  </si>
  <si>
    <t>※180P(S16-0254)プリンターは問題なしで180Pはコンパネとレンズ交換</t>
  </si>
  <si>
    <t>S16-0206</t>
  </si>
  <si>
    <t>越谷市立病院_0206 (2)</t>
  </si>
  <si>
    <t>2016/03/11-02</t>
  </si>
  <si>
    <t>03GPHT</t>
  </si>
  <si>
    <t>〒3346-0031　埼玉県さいたま市南区鹿手袋4-5-10</t>
    <rPh sb="11" eb="14">
      <t>サイタマケン</t>
    </rPh>
    <rPh sb="18" eb="19">
      <t>シ</t>
    </rPh>
    <rPh sb="19" eb="21">
      <t>ミナミク</t>
    </rPh>
    <rPh sb="21" eb="22">
      <t>シカ</t>
    </rPh>
    <rPh sb="22" eb="24">
      <t>テブクロ</t>
    </rPh>
    <phoneticPr fontId="2"/>
  </si>
  <si>
    <t>越谷市立病院</t>
  </si>
  <si>
    <t>工藤様</t>
    <rPh sb="0" eb="2">
      <t>クドウ</t>
    </rPh>
    <rPh sb="2" eb="3">
      <t>サマ</t>
    </rPh>
    <phoneticPr fontId="2"/>
  </si>
  <si>
    <t>医用工学</t>
    <rPh sb="0" eb="1">
      <t>イ</t>
    </rPh>
    <rPh sb="1" eb="2">
      <t>ヨウ</t>
    </rPh>
    <rPh sb="2" eb="4">
      <t>コウガク</t>
    </rPh>
    <phoneticPr fontId="2"/>
  </si>
  <si>
    <t>048-965-2221</t>
  </si>
  <si>
    <t>〒343-0023　埼玉県越谷市東越谷10-47-1</t>
    <rPh sb="10" eb="13">
      <t>サイタマケン</t>
    </rPh>
    <rPh sb="13" eb="16">
      <t>コシガヤシ</t>
    </rPh>
    <rPh sb="16" eb="17">
      <t>ヒガシ</t>
    </rPh>
    <rPh sb="17" eb="19">
      <t>コシガヤ</t>
    </rPh>
    <phoneticPr fontId="2"/>
  </si>
  <si>
    <t>※修理キャンセル返却(4/13)</t>
  </si>
  <si>
    <t>S16-0207</t>
  </si>
  <si>
    <t>聖隷浜松病院_0207 (2)</t>
  </si>
  <si>
    <t>WK1NT1</t>
  </si>
  <si>
    <t>片山様</t>
  </si>
  <si>
    <t>聖隷浜松病院　CE救急</t>
  </si>
  <si>
    <t>三浦様</t>
    <rPh sb="0" eb="2">
      <t>ミウラ</t>
    </rPh>
    <rPh sb="2" eb="3">
      <t>サマ</t>
    </rPh>
    <phoneticPr fontId="2"/>
  </si>
  <si>
    <t>CE救急</t>
    <rPh sb="2" eb="4">
      <t>キュウキュウ</t>
    </rPh>
    <phoneticPr fontId="2"/>
  </si>
  <si>
    <t>MDS（E）　MIIDOCK</t>
  </si>
  <si>
    <t>S16-0208</t>
  </si>
  <si>
    <t>東戸塚記念病院_0208 (2)</t>
  </si>
  <si>
    <t>WK14XM</t>
  </si>
  <si>
    <t>大塚様</t>
  </si>
  <si>
    <t>東戸塚記念病院　明理会</t>
  </si>
  <si>
    <t>045-825-2111</t>
  </si>
  <si>
    <t xml:space="preserve">〒244-0801 神奈川県横浜市戸塚区品濃町548-7 </t>
  </si>
  <si>
    <t>※交換部品なし。ネジの調整。</t>
  </si>
  <si>
    <t>S16-0209</t>
  </si>
  <si>
    <t>邑久光明園_0209 (2)</t>
  </si>
  <si>
    <t>SR#4200401</t>
  </si>
  <si>
    <t>2016/03/15-02</t>
  </si>
  <si>
    <t>03JH8D</t>
  </si>
  <si>
    <t>〒700-0923　岡山県岡山市北区大元駅前3-40</t>
  </si>
  <si>
    <t xml:space="preserve">086-235-0202 </t>
  </si>
  <si>
    <t>086-234-2211</t>
  </si>
  <si>
    <t>邑久光明園</t>
  </si>
  <si>
    <t>0869-25-0011</t>
  </si>
  <si>
    <t xml:space="preserve">〒701-4593 岡山県瀬戸内市邑久町虫明6253 </t>
  </si>
  <si>
    <t>※メンテナンスプラン／スタンダード</t>
  </si>
  <si>
    <t>S16-0210</t>
  </si>
  <si>
    <t>中野江古田病院_0210</t>
  </si>
  <si>
    <t xml:space="preserve">03-3387-7321
</t>
  </si>
  <si>
    <t>〒165-0022　東京都中野区江古田4-19-9</t>
  </si>
  <si>
    <t>S16-0211</t>
  </si>
  <si>
    <t>兵庫医科大学病院_0211 (2)</t>
  </si>
  <si>
    <t>03356D</t>
  </si>
  <si>
    <t>吉崎様</t>
  </si>
  <si>
    <t>〒198-8577　東京都青梅市今井3-7-19</t>
    <rPh sb="10" eb="13">
      <t>トウキョウト</t>
    </rPh>
    <phoneticPr fontId="2"/>
  </si>
  <si>
    <t>0428-32-3140</t>
  </si>
  <si>
    <t>0428-32-3152</t>
  </si>
  <si>
    <t>兵庫医科大学病院</t>
  </si>
  <si>
    <t>0798-45-6111</t>
  </si>
  <si>
    <t>〒663-8501　兵庫県西宮市武庫川町1-1</t>
    <rPh sb="10" eb="13">
      <t>ヒョウゴケン</t>
    </rPh>
    <rPh sb="13" eb="16">
      <t>ニシノミヤシ</t>
    </rPh>
    <rPh sb="16" eb="20">
      <t>ムコガワチョウ</t>
    </rPh>
    <phoneticPr fontId="2"/>
  </si>
  <si>
    <t>※修理キャンセル→返却(5/12)返却先⇒ヘルスケア神戸第一営業所　中島様宛に　〒652-0896　神戸市兵庫区須佐野通3-3-9　　078-652-0708</t>
  </si>
  <si>
    <t>S16-0212</t>
  </si>
  <si>
    <t>市立札幌病院_0212 (2)</t>
  </si>
  <si>
    <t>SR#4200391</t>
  </si>
  <si>
    <t>2016/01/27-06</t>
  </si>
  <si>
    <t>WK2H6N</t>
  </si>
  <si>
    <t>P09141-28</t>
  </si>
  <si>
    <t>011-746-5111</t>
  </si>
  <si>
    <t>011-717-0547</t>
  </si>
  <si>
    <t>011-728-6164</t>
  </si>
  <si>
    <t xml:space="preserve">〒060-8604　北海道札幌市中央区北11条西13丁目1-1  </t>
  </si>
  <si>
    <t>点検依頼　（メンテナンスプログラム ／スタンダードプラン）</t>
  </si>
  <si>
    <t>S16-0213</t>
  </si>
  <si>
    <t>デモ機EST20_0213 (2)</t>
  </si>
  <si>
    <t>SR#4196625</t>
  </si>
  <si>
    <t>WK0BF5</t>
  </si>
  <si>
    <t>P05680-05</t>
  </si>
  <si>
    <t>デモ機EST20</t>
  </si>
  <si>
    <t xml:space="preserve">ASSEMBLY, CABLE, TTC, COAX, ROHS </t>
  </si>
  <si>
    <t>S16-0214</t>
  </si>
  <si>
    <t>近森病院_0214 (2)</t>
  </si>
  <si>
    <t>2016/03/14-03</t>
  </si>
  <si>
    <t>03FN0L</t>
  </si>
  <si>
    <t>株式会社シーメック</t>
  </si>
  <si>
    <t>近森病院　ER</t>
  </si>
  <si>
    <t>ER</t>
  </si>
  <si>
    <t>088-822-5231</t>
  </si>
  <si>
    <t>〒780-8522 高知県高知市大川筋1-1-16</t>
  </si>
  <si>
    <t>S16-0215</t>
  </si>
  <si>
    <t>デモ機MAK39_0215 (2)</t>
  </si>
  <si>
    <t>SR#4196623</t>
  </si>
  <si>
    <t>03L0B0</t>
  </si>
  <si>
    <t>デモ機MAK39</t>
  </si>
  <si>
    <t>S16-0216</t>
  </si>
  <si>
    <t>NTT西日本大阪病院_0216 (2)</t>
  </si>
  <si>
    <t>2016/02/19-02</t>
  </si>
  <si>
    <t>WK2FFB</t>
  </si>
  <si>
    <t>株式会社MMコーポレーション　南大阪支店</t>
  </si>
  <si>
    <t>久積様</t>
  </si>
  <si>
    <t>〒591-8025　大阪府堺市北区長曽根町1663</t>
    <rPh sb="10" eb="13">
      <t>オオサカフ</t>
    </rPh>
    <rPh sb="13" eb="15">
      <t>サカイシ</t>
    </rPh>
    <rPh sb="15" eb="17">
      <t>キタク</t>
    </rPh>
    <rPh sb="17" eb="18">
      <t>ナガ</t>
    </rPh>
    <rPh sb="18" eb="20">
      <t>ソネ</t>
    </rPh>
    <rPh sb="20" eb="21">
      <t>マチ</t>
    </rPh>
    <phoneticPr fontId="2"/>
  </si>
  <si>
    <t>072-240-1699</t>
  </si>
  <si>
    <t>072-240-1691</t>
  </si>
  <si>
    <t>NTT西日本大阪病院</t>
  </si>
  <si>
    <t>多胡様</t>
    <rPh sb="0" eb="2">
      <t>タコ</t>
    </rPh>
    <rPh sb="2" eb="3">
      <t>サマ</t>
    </rPh>
    <phoneticPr fontId="2"/>
  </si>
  <si>
    <t>06-6773-7061</t>
  </si>
  <si>
    <t>〒543-8922　大阪府大阪市天王寺区鳥ヶ辻2-6-40</t>
    <rPh sb="10" eb="13">
      <t>オオサカフ</t>
    </rPh>
    <rPh sb="13" eb="16">
      <t>オオサカシ</t>
    </rPh>
    <rPh sb="16" eb="19">
      <t>テンノウジ</t>
    </rPh>
    <rPh sb="19" eb="20">
      <t>ク</t>
    </rPh>
    <rPh sb="20" eb="21">
      <t>トリ</t>
    </rPh>
    <rPh sb="22" eb="23">
      <t>ツジ</t>
    </rPh>
    <phoneticPr fontId="2"/>
  </si>
  <si>
    <t>※DC-INジャックの取り換え5/19出荷</t>
  </si>
  <si>
    <t>S16-0217</t>
  </si>
  <si>
    <t>杏林大学病院_0217 (2)</t>
  </si>
  <si>
    <t>2006年12月</t>
  </si>
  <si>
    <t>0368GF</t>
  </si>
  <si>
    <t>谷口様</t>
  </si>
  <si>
    <t>〒108-0075　　東京都港区港南一丁目2番70号　品川シーズンテラス　22F</t>
  </si>
  <si>
    <t>杏林学園杏林大学医学部付属病院</t>
  </si>
  <si>
    <t>〒181-8611東京都三鷹市新川6-20-2</t>
  </si>
  <si>
    <t>※修理キャンセル返却(3/31)</t>
  </si>
  <si>
    <t>S16-0218</t>
  </si>
  <si>
    <t>松波総合病院_0218 (2)</t>
  </si>
  <si>
    <t>2016/03/15-04</t>
  </si>
  <si>
    <t>L38e/10-5</t>
  </si>
  <si>
    <t>03892R</t>
  </si>
  <si>
    <t>P05673-05</t>
  </si>
  <si>
    <t>フクダ電子三岐販売株式会社</t>
  </si>
  <si>
    <t>波多野様</t>
  </si>
  <si>
    <t>〒500-8442　岐阜県岐阜市正法寺町3</t>
  </si>
  <si>
    <t>058-272-9611</t>
  </si>
  <si>
    <t>052-272-9618</t>
  </si>
  <si>
    <t>松波総合病院</t>
  </si>
  <si>
    <t>058-388-0111</t>
  </si>
  <si>
    <t>〒501-6062 岐阜県羽島郡笠松町田代185-1</t>
  </si>
  <si>
    <t>※キャンセル返却(9/21)</t>
  </si>
  <si>
    <t>S16-0219</t>
  </si>
  <si>
    <t>東住吉森本病院_0219（2）</t>
  </si>
  <si>
    <t>2016/03/18-04</t>
  </si>
  <si>
    <t>AC電源アダプタ</t>
  </si>
  <si>
    <t>2010-08</t>
  </si>
  <si>
    <t>P09823-05</t>
  </si>
  <si>
    <t>東住吉森本病院</t>
  </si>
  <si>
    <t>06-6606-0010</t>
  </si>
  <si>
    <t>〒546-0014 大阪市東住吉区鷹合3丁目2番66号</t>
  </si>
  <si>
    <t>S16-0220</t>
  </si>
  <si>
    <t>代替機NIM187_0220 (2)</t>
  </si>
  <si>
    <t>SR#4198199</t>
  </si>
  <si>
    <t>03WV74</t>
  </si>
  <si>
    <t>代替機NIM187</t>
  </si>
  <si>
    <t>S16-0221</t>
  </si>
  <si>
    <t>東京女子医大_0221 (2)</t>
  </si>
  <si>
    <t>-</t>
    <phoneticPr fontId="2"/>
  </si>
  <si>
    <t>034WH1</t>
  </si>
  <si>
    <t xml:space="preserve"> 〒108-0075  東京都港区港南一丁目2番70号　品川シーズンテラス　22F</t>
  </si>
  <si>
    <t>東京女子医科大学病院</t>
  </si>
  <si>
    <t>03-3353-8111</t>
    <phoneticPr fontId="2"/>
  </si>
  <si>
    <t xml:space="preserve">〒162-8666　東京都 新宿区 河田町 8-1 </t>
    <phoneticPr fontId="2"/>
  </si>
  <si>
    <t>S16-0222</t>
  </si>
  <si>
    <t>新潟病院_0222 (2)</t>
  </si>
  <si>
    <t>SR#4198203</t>
  </si>
  <si>
    <t>03WRP9</t>
  </si>
  <si>
    <t>新潟病院　国立病院機構</t>
  </si>
  <si>
    <t>S16-0223</t>
  </si>
  <si>
    <t>中通総合病院_0223 (2)</t>
  </si>
  <si>
    <t>SR#4209281</t>
  </si>
  <si>
    <t>03TTFV</t>
  </si>
  <si>
    <t>日本コヴィディエン株式会社　東日本透析営業所</t>
  </si>
  <si>
    <t>中通総合病院</t>
  </si>
  <si>
    <t>〒010-8577　秋田県秋田市南通みその町3-15</t>
  </si>
  <si>
    <t>※P12718-02</t>
  </si>
  <si>
    <t>S16-0224</t>
  </si>
  <si>
    <t>東京労災病院_0224 (2)</t>
  </si>
  <si>
    <t>03DWRY</t>
  </si>
  <si>
    <t>日本コヴィディエン株式会社　　東京第一営業所</t>
  </si>
  <si>
    <t>堀江様</t>
  </si>
  <si>
    <t>東京労災病院（大田区）</t>
  </si>
  <si>
    <t>03-3742-7301</t>
  </si>
  <si>
    <t>〒143-0013 東京都大田区大森南4-13-21</t>
  </si>
  <si>
    <t>S16-0225</t>
  </si>
  <si>
    <t>広島赤十字原爆病院_0225 (2)</t>
  </si>
  <si>
    <t>2016/03/11-05</t>
  </si>
  <si>
    <t>01J3NF</t>
  </si>
  <si>
    <t>黒田様</t>
  </si>
  <si>
    <t>広島赤十字原爆病院</t>
  </si>
  <si>
    <t>松島様</t>
    <rPh sb="0" eb="2">
      <t>マツシマ</t>
    </rPh>
    <rPh sb="2" eb="3">
      <t>サマ</t>
    </rPh>
    <phoneticPr fontId="2"/>
  </si>
  <si>
    <t>臨床工学課</t>
    <rPh sb="0" eb="2">
      <t>リンショウ</t>
    </rPh>
    <rPh sb="2" eb="4">
      <t>コウガク</t>
    </rPh>
    <rPh sb="4" eb="5">
      <t>カ</t>
    </rPh>
    <phoneticPr fontId="2"/>
  </si>
  <si>
    <t>082-241-3111</t>
  </si>
  <si>
    <t>〒733-8619　広島県広島市中央区千田町1-9-6</t>
    <rPh sb="10" eb="13">
      <t>ヒロシマケン</t>
    </rPh>
    <rPh sb="13" eb="16">
      <t>ヒロシマシ</t>
    </rPh>
    <rPh sb="16" eb="19">
      <t>チュウオウク</t>
    </rPh>
    <rPh sb="19" eb="21">
      <t>センダ</t>
    </rPh>
    <rPh sb="21" eb="22">
      <t>マチ</t>
    </rPh>
    <phoneticPr fontId="2"/>
  </si>
  <si>
    <t>※点検依頼　（メンテナンスプログラム ／スタンダードプラン）</t>
  </si>
  <si>
    <t>S16-0226</t>
  </si>
  <si>
    <t>聖隷浜松病院_0226 (2)</t>
  </si>
  <si>
    <t>2016/03/18-06</t>
  </si>
  <si>
    <t>WK02VJ</t>
  </si>
  <si>
    <t>〒433-8119　浜松市中区高丘北二丁目15番6号</t>
  </si>
  <si>
    <t xml:space="preserve"> 053-439-5897</t>
  </si>
  <si>
    <t>聖隷浜松病院 NICU</t>
  </si>
  <si>
    <t>P05471-01</t>
  </si>
  <si>
    <t>SERVICE ASSEMBLY, POWER SUPPLY, MICROMAXX</t>
  </si>
  <si>
    <t>S16-0227</t>
  </si>
  <si>
    <t>聖路国際加病院_0227 (2)</t>
  </si>
  <si>
    <t>2016/03/18-05</t>
  </si>
  <si>
    <t>033Z7J</t>
  </si>
  <si>
    <t>株式会社ライフメッド（本郷本社）</t>
  </si>
  <si>
    <t>長山様</t>
  </si>
  <si>
    <t>〒113-0033　東京都文京区本郷2-17-17</t>
    <rPh sb="10" eb="13">
      <t>トウキョウト</t>
    </rPh>
    <rPh sb="13" eb="16">
      <t>ブンキョウク</t>
    </rPh>
    <rPh sb="16" eb="18">
      <t>ホンゴウ</t>
    </rPh>
    <phoneticPr fontId="2"/>
  </si>
  <si>
    <t>03-3814-7511</t>
  </si>
  <si>
    <t>聖路加国際病院</t>
  </si>
  <si>
    <t>栗田様</t>
    <rPh sb="0" eb="2">
      <t>クリタ</t>
    </rPh>
    <rPh sb="2" eb="3">
      <t>サマ</t>
    </rPh>
    <phoneticPr fontId="2"/>
  </si>
  <si>
    <t>CE</t>
  </si>
  <si>
    <t>03-5550-7010</t>
  </si>
  <si>
    <t>〒104-8550 東京都中央区明石町10-1</t>
  </si>
  <si>
    <t>S16-0228</t>
  </si>
  <si>
    <t>イノメディックス中古販売_0228 (2)</t>
  </si>
  <si>
    <t>SR#4202127</t>
  </si>
  <si>
    <t>WK1F3R</t>
  </si>
  <si>
    <t>阿久津様</t>
  </si>
  <si>
    <t>〒113-0034 東京都文京区湯島2-16-11</t>
  </si>
  <si>
    <t>IMXデモ機（販売先：日本医科大学付属病院）</t>
  </si>
  <si>
    <t>〒113-8603　東京都文京区千駄木1-1-5</t>
  </si>
  <si>
    <t>P08306-01</t>
  </si>
  <si>
    <t>SCREW, DELTA PT 20 X 6MM　（2式）</t>
  </si>
  <si>
    <t>5 PIN CIRCULAR DIN,SN CONTACTS</t>
  </si>
  <si>
    <t>CONNECTOR BRACKET</t>
  </si>
  <si>
    <t>CONN,COMPRSSION</t>
  </si>
  <si>
    <t>LATCH KIT　（2式）</t>
  </si>
  <si>
    <t>CORDSET</t>
  </si>
  <si>
    <t>※中古販売（販売先：日本医科大学付属病院）</t>
  </si>
  <si>
    <t>S16-0229</t>
  </si>
  <si>
    <t>広島赤十字・原爆病院_0229 (2)</t>
  </si>
  <si>
    <t>2016/03/14-04</t>
  </si>
  <si>
    <t>03BMX9</t>
  </si>
  <si>
    <t>共和医理器株式会社　広島支店</t>
  </si>
  <si>
    <t>岡峯様</t>
  </si>
  <si>
    <t>〒733-0833　広島県広島市西区商工センター2-1-2</t>
  </si>
  <si>
    <t>082-270-1520</t>
  </si>
  <si>
    <t>082-270-1553</t>
  </si>
  <si>
    <t>広島赤十字・原爆病院</t>
  </si>
  <si>
    <t xml:space="preserve">〒730-8619　広島県広島市中区千田町1-9-6  </t>
  </si>
  <si>
    <t>S16-0230</t>
  </si>
  <si>
    <t>市立札幌病院_0230</t>
  </si>
  <si>
    <t>S16-0231</t>
  </si>
  <si>
    <t>中川内科クリニック_0231 (2)</t>
  </si>
  <si>
    <t>2016/01/07-03</t>
  </si>
  <si>
    <t>WK0BQ0</t>
  </si>
  <si>
    <t>〒106-0031  東京都港区西麻布2-26-30 富士フイルム西麻布ビル</t>
  </si>
  <si>
    <t>中川内科クリニック</t>
  </si>
  <si>
    <t>078-731-0185</t>
  </si>
  <si>
    <t>〒654-0054　兵庫県神戸市須磨区須磨本町1-4-10</t>
  </si>
  <si>
    <t>※点検だけれど問題なし（現象不再現のときと同じように作業報告書だす）</t>
  </si>
  <si>
    <t>S16-0232</t>
  </si>
  <si>
    <t>有限会社藤原畜産_0232 (2)</t>
  </si>
  <si>
    <t>2016/03/15-06</t>
  </si>
  <si>
    <t>01G30D</t>
  </si>
  <si>
    <t>イワタニ・ケンボロー株式会社</t>
  </si>
  <si>
    <t>杉下様</t>
  </si>
  <si>
    <t>〒020-0874　岩手県盛岡市南大通1-8-7　CFC 第1ビル5階</t>
  </si>
  <si>
    <t>019-604-6888</t>
  </si>
  <si>
    <t>019-626-1095</t>
  </si>
  <si>
    <t>有限会社　藤原畜産</t>
  </si>
  <si>
    <t>0183-62-5227</t>
  </si>
  <si>
    <t>〒012-1111　秋田県雄勝郡羽後町嶋田新田字三吉前83</t>
  </si>
  <si>
    <t>S16-0233</t>
  </si>
  <si>
    <t>大分医療センター_0233 (2)</t>
  </si>
  <si>
    <t>035BHN</t>
  </si>
  <si>
    <t>P05670-02</t>
  </si>
  <si>
    <t>久間様</t>
  </si>
  <si>
    <t>大分医療センター</t>
  </si>
  <si>
    <t>※山下医科器械　大分　和田様　宛返却。クリーニング完了品として出荷（報告なし）</t>
  </si>
  <si>
    <t>S16-0234</t>
  </si>
  <si>
    <t>富良野ｽﾜｲﾝﾌｧｰﾑ_0234 (2)</t>
  </si>
  <si>
    <t>03021K</t>
  </si>
  <si>
    <t>P02522-05</t>
  </si>
  <si>
    <t>株式会社　竹山　旭川支店</t>
  </si>
  <si>
    <t>安田様</t>
  </si>
  <si>
    <t>富良野スワインファーム有限会社</t>
  </si>
  <si>
    <t>0167-28-2404</t>
  </si>
  <si>
    <t>〒076-0201　北海道富良野市西達布</t>
  </si>
  <si>
    <t>P01795-02</t>
  </si>
  <si>
    <t>P02837-01</t>
  </si>
  <si>
    <t>ASSEMBLY, PCB, DOCK INTERFACE W/ FAN SPEED CTL</t>
  </si>
  <si>
    <t>SERVICE ASSEMBLY, CONTROL PANEL, C1.99, JAPANESE</t>
  </si>
  <si>
    <t>S16-0235</t>
  </si>
  <si>
    <t>新潟大学医歯学総合病院_0235 (2)</t>
  </si>
  <si>
    <t>2016/03/18-03</t>
  </si>
  <si>
    <t>WK216X</t>
  </si>
  <si>
    <t>P16693-02</t>
  </si>
  <si>
    <t>遠藤様</t>
  </si>
  <si>
    <t>〒951-8567　新潟県新潟市中央区東中通2-279</t>
  </si>
  <si>
    <t>025-229-7769</t>
  </si>
  <si>
    <t>025-229-7777</t>
  </si>
  <si>
    <t>新潟大学医歯学総合病院　救命センター</t>
  </si>
  <si>
    <t>遠藤教授</t>
    <rPh sb="0" eb="2">
      <t>エンドウ</t>
    </rPh>
    <rPh sb="2" eb="4">
      <t>キョウジュ</t>
    </rPh>
    <phoneticPr fontId="2"/>
  </si>
  <si>
    <t>救命センター</t>
    <rPh sb="0" eb="2">
      <t>キュウメイ</t>
    </rPh>
    <phoneticPr fontId="2"/>
  </si>
  <si>
    <t>025-223-6161</t>
  </si>
  <si>
    <t>〒951-8520　新潟県新潟市中央区旭町通1-754</t>
  </si>
  <si>
    <t>※DC-INジャックの取り換え</t>
  </si>
  <si>
    <t>S16-0236</t>
  </si>
  <si>
    <t>富士市立中央病院_0236 (2)</t>
  </si>
  <si>
    <t>2016/03/23-02</t>
  </si>
  <si>
    <t xml:space="preserve">034GDC </t>
  </si>
  <si>
    <t>協和医科器械株式会社　沼津支店</t>
  </si>
  <si>
    <t>川口様</t>
  </si>
  <si>
    <t>〒410-0022　静岡県沼津市大岡2391-7</t>
    <rPh sb="10" eb="13">
      <t>シズオカケン</t>
    </rPh>
    <rPh sb="13" eb="16">
      <t>ヌマヅシ</t>
    </rPh>
    <rPh sb="16" eb="18">
      <t>オオオカ</t>
    </rPh>
    <phoneticPr fontId="2"/>
  </si>
  <si>
    <t>055-926-1100</t>
  </si>
  <si>
    <t>055-926-1105</t>
  </si>
  <si>
    <t>富士市立中央病院　内科外来</t>
  </si>
  <si>
    <t>佐野看護長</t>
    <rPh sb="0" eb="2">
      <t>サノ</t>
    </rPh>
    <rPh sb="2" eb="4">
      <t>カンゴ</t>
    </rPh>
    <rPh sb="4" eb="5">
      <t>チョウ</t>
    </rPh>
    <phoneticPr fontId="2"/>
  </si>
  <si>
    <t>内科外科</t>
    <rPh sb="0" eb="2">
      <t>ナイカ</t>
    </rPh>
    <rPh sb="2" eb="4">
      <t>ゲカ</t>
    </rPh>
    <phoneticPr fontId="2"/>
  </si>
  <si>
    <t>0545-52-1131</t>
  </si>
  <si>
    <t>〒417-8567　静岡県富士市高島町50</t>
  </si>
  <si>
    <t>P02844-04</t>
  </si>
  <si>
    <t>SERVICE ASSEMBLY, PCB C1.99 MAIN, JAPANESEE</t>
  </si>
  <si>
    <t>S16-0237</t>
  </si>
  <si>
    <t>紀南病院_0237 (2)</t>
  </si>
  <si>
    <t>2016/03/25-08</t>
  </si>
  <si>
    <t>0206N7</t>
  </si>
  <si>
    <t>P02456-02</t>
  </si>
  <si>
    <t>〒514-0816　三重県津市高茶屋小森上野町1336-1</t>
  </si>
  <si>
    <t>059-234-9197</t>
  </si>
  <si>
    <t>紀南病院</t>
  </si>
  <si>
    <t>05979-2-1333</t>
  </si>
  <si>
    <t>〒519-5293 三重県南牟婁郡御浜町阿田和4750</t>
  </si>
  <si>
    <t>S16-0238</t>
  </si>
  <si>
    <t>岡山労災病院_0238 (2)</t>
  </si>
  <si>
    <t>WM062M</t>
  </si>
  <si>
    <t>P13383-20</t>
  </si>
  <si>
    <t>工藤様</t>
  </si>
  <si>
    <t>岡山ろうさい病院</t>
  </si>
  <si>
    <t>086-262-1031</t>
  </si>
  <si>
    <t>S16-0239</t>
  </si>
  <si>
    <t>大阪医科大学病院_0239</t>
  </si>
  <si>
    <t>038569</t>
  </si>
  <si>
    <t>草野様</t>
  </si>
  <si>
    <t>大阪医科大学附属病院</t>
  </si>
  <si>
    <t>0726-83-1221</t>
  </si>
  <si>
    <t>〒569-8686　大阪府高槻市大学町2-7</t>
    <rPh sb="10" eb="13">
      <t>オオサカフ</t>
    </rPh>
    <rPh sb="13" eb="16">
      <t>タカツキシ</t>
    </rPh>
    <rPh sb="16" eb="18">
      <t>ダイガク</t>
    </rPh>
    <rPh sb="18" eb="19">
      <t>マチ</t>
    </rPh>
    <phoneticPr fontId="2"/>
  </si>
  <si>
    <t>S16-0240</t>
  </si>
  <si>
    <t>群馬大学医学部附属病院_0240 (2)</t>
  </si>
  <si>
    <t>SR#4198201</t>
  </si>
  <si>
    <t>2016/03/24-01</t>
  </si>
  <si>
    <t>03MGCJ</t>
  </si>
  <si>
    <t>株式会社栗原医療器械店　前橋支店</t>
  </si>
  <si>
    <t>〒371-0044　群馬県前橋市荒牧町2-39-7</t>
    <rPh sb="10" eb="13">
      <t>グンマケン</t>
    </rPh>
    <rPh sb="13" eb="16">
      <t>マエバシシ</t>
    </rPh>
    <rPh sb="16" eb="17">
      <t>アラ</t>
    </rPh>
    <rPh sb="17" eb="18">
      <t>マキ</t>
    </rPh>
    <rPh sb="18" eb="19">
      <t>マチ</t>
    </rPh>
    <phoneticPr fontId="2"/>
  </si>
  <si>
    <t>027-232-9691</t>
  </si>
  <si>
    <t>027-233-3168</t>
  </si>
  <si>
    <t>〒371-8511　群馬県前橋市昭和町3-39-15</t>
  </si>
  <si>
    <t>S16-0241</t>
  </si>
  <si>
    <t>恵泉クリニック_0241</t>
  </si>
  <si>
    <t>S16-0242</t>
  </si>
  <si>
    <t>中野江古田病院_0242 (2)</t>
  </si>
  <si>
    <t>2016/03/16-01</t>
  </si>
  <si>
    <t>ECGケーブル</t>
  </si>
  <si>
    <t>00017W</t>
  </si>
  <si>
    <t>P12640-01</t>
  </si>
  <si>
    <t>03-3387-7321</t>
  </si>
  <si>
    <t>03-3387-7332</t>
  </si>
  <si>
    <t>中野江古田病院</t>
  </si>
  <si>
    <t>S16-0243</t>
  </si>
  <si>
    <t>島田総合病院_0243 (2)</t>
  </si>
  <si>
    <t>2016/03/03-03</t>
  </si>
  <si>
    <t>034GD1</t>
  </si>
  <si>
    <t>島田総合病院　超音波検査室</t>
  </si>
  <si>
    <t>原様</t>
  </si>
  <si>
    <t>〒288-0053　千葉県銚子市東町5-3</t>
  </si>
  <si>
    <t>0479-22-5401</t>
  </si>
  <si>
    <t>0479-23-3613</t>
  </si>
  <si>
    <t>島田総合病院</t>
  </si>
  <si>
    <t>（施設直接）</t>
    <rPh sb="0" eb="2">
      <t>シセツ</t>
    </rPh>
    <rPh sb="2" eb="4">
      <t>チョクセツ</t>
    </rPh>
    <phoneticPr fontId="2"/>
  </si>
  <si>
    <t>※修理キャンセル(6/2)→プリンタ(S15-0737)は修理しており一緒に返却する</t>
  </si>
  <si>
    <t>S16-0244</t>
  </si>
  <si>
    <t>国立宮崎東病院_0244 (2)</t>
  </si>
  <si>
    <t>2016/03/28-03</t>
  </si>
  <si>
    <t>03GJ8Z</t>
  </si>
  <si>
    <t>P019141-11</t>
  </si>
  <si>
    <t>株式会社アステム　宮崎支店</t>
  </si>
  <si>
    <t>タカイネ様</t>
  </si>
  <si>
    <t>〒880-0814　宮崎県宮崎市江平中町5-1</t>
  </si>
  <si>
    <t>0985-24-6474</t>
  </si>
  <si>
    <t>0985-24-3120</t>
  </si>
  <si>
    <t>国立宮崎東病院</t>
  </si>
  <si>
    <t>0985-56-2311</t>
  </si>
  <si>
    <t>〒880-0911 宮崎県宮崎市大字田吉4374-1</t>
  </si>
  <si>
    <t>S16-0245</t>
  </si>
  <si>
    <t>代替機NIM15_0245 (2)</t>
  </si>
  <si>
    <t>032B3W</t>
  </si>
  <si>
    <t>代替機NIM15</t>
  </si>
  <si>
    <t>※装置を一度分解し際組み上げ　→　症状改善</t>
  </si>
  <si>
    <t>S16-0246</t>
  </si>
  <si>
    <t>榛原総合病院_0246 (2)</t>
  </si>
  <si>
    <t>2016/03/28-05</t>
  </si>
  <si>
    <t>0300VT</t>
  </si>
  <si>
    <t>榛原総合病院　南4</t>
  </si>
  <si>
    <t>南4</t>
    <rPh sb="0" eb="1">
      <t>ミナミ</t>
    </rPh>
    <phoneticPr fontId="2"/>
  </si>
  <si>
    <t>0548-22-1131</t>
  </si>
  <si>
    <t>〒421-0493　静岡県牧之原市細江2887-1</t>
  </si>
  <si>
    <t>P00340-01</t>
  </si>
  <si>
    <t>S16-0247</t>
  </si>
  <si>
    <t>代替機NIM183_0247 (2)</t>
  </si>
  <si>
    <t>SR#4199817</t>
  </si>
  <si>
    <t>WK240R</t>
  </si>
  <si>
    <t>代替機NIM183</t>
  </si>
  <si>
    <t>S16-0248</t>
  </si>
  <si>
    <t>聖マリアンナ医科大学病院_0248 (2)</t>
  </si>
  <si>
    <t>035JW4</t>
  </si>
  <si>
    <t>聖マリアンナ医科大学病院</t>
  </si>
  <si>
    <t>〒216-8511 神奈川県川崎市宮前区菅生 2-16-1</t>
  </si>
  <si>
    <t>P03029 -02</t>
  </si>
  <si>
    <t>※点検&lt;Bプラン&gt;P03029、P01911</t>
  </si>
  <si>
    <t>S16-0249</t>
  </si>
  <si>
    <t>国際親善総合病院_0249 (2)</t>
  </si>
  <si>
    <t>2016/03/28-04</t>
  </si>
  <si>
    <t>01LC19</t>
  </si>
  <si>
    <t>株式会社イノメディックス　横浜営業所</t>
  </si>
  <si>
    <t>〒224-0041 神奈川県横浜市都筑区仲町台5-2-43</t>
  </si>
  <si>
    <t>045-942-6271</t>
  </si>
  <si>
    <t>045-949-6271</t>
  </si>
  <si>
    <t>桑原直樹様</t>
  </si>
  <si>
    <t>医療機器管理科</t>
  </si>
  <si>
    <t>〒245-0006 神奈川県横浜市泉区西が岡1-28-1</t>
  </si>
  <si>
    <t>※現象不再現→報告書あり(5/23)</t>
  </si>
  <si>
    <t>S16-0250</t>
  </si>
  <si>
    <t>九州中央病院_0250 (2)</t>
  </si>
  <si>
    <t>2016/03/30-03</t>
  </si>
  <si>
    <t>03C4DD</t>
  </si>
  <si>
    <t>P05675-08</t>
  </si>
  <si>
    <t>松尾様</t>
  </si>
  <si>
    <t>〒812-0062 福岡県福岡市東区松島1丁目41番21号</t>
    <phoneticPr fontId="2"/>
  </si>
  <si>
    <t>九州中央病院</t>
  </si>
  <si>
    <t>092-541-4936</t>
    <phoneticPr fontId="2"/>
  </si>
  <si>
    <t>〒815-8588　福岡県福岡市南区塩原3丁目23-1</t>
    <phoneticPr fontId="2"/>
  </si>
  <si>
    <t>S16-0251</t>
  </si>
  <si>
    <t>新潟市民病院_0251 (2)</t>
  </si>
  <si>
    <t>2016/03/28-07</t>
  </si>
  <si>
    <t>UP-20</t>
  </si>
  <si>
    <t>36679</t>
  </si>
  <si>
    <t>源川医科器械株式会社　</t>
  </si>
  <si>
    <t>新潟市民病院　手術室</t>
  </si>
  <si>
    <t>手術室</t>
    <rPh sb="0" eb="3">
      <t>シュジュツシツ</t>
    </rPh>
    <phoneticPr fontId="2"/>
  </si>
  <si>
    <t>トレイガイドクミタテ</t>
  </si>
  <si>
    <t>駆動モータ</t>
  </si>
  <si>
    <t>DCファン</t>
  </si>
  <si>
    <t>フロンtパネル</t>
  </si>
  <si>
    <t>S16-0252</t>
  </si>
  <si>
    <t>デモ機HNB41_0252 (2)</t>
  </si>
  <si>
    <t>31818</t>
  </si>
  <si>
    <t>デモ機HNB41</t>
  </si>
  <si>
    <t>ジクウケ</t>
  </si>
  <si>
    <t>ドアパネル</t>
  </si>
  <si>
    <t>プラテン</t>
  </si>
  <si>
    <t>S16-0253</t>
  </si>
  <si>
    <t>宮崎医療センター病院_0253 (2)</t>
  </si>
  <si>
    <t>032N7J</t>
  </si>
  <si>
    <t>株式会社日立製作所</t>
  </si>
  <si>
    <t>宮崎医療センター病院</t>
  </si>
  <si>
    <t>谷口様</t>
    <rPh sb="0" eb="2">
      <t>タニグチ</t>
    </rPh>
    <rPh sb="2" eb="3">
      <t>サマ</t>
    </rPh>
    <phoneticPr fontId="2"/>
  </si>
  <si>
    <t>0985-26-2800</t>
  </si>
  <si>
    <t>〒880-0003　宮崎県宮崎市高松町2-16</t>
    <rPh sb="10" eb="13">
      <t>ミヤザキケン</t>
    </rPh>
    <rPh sb="13" eb="16">
      <t>ミヤザキシ</t>
    </rPh>
    <rPh sb="16" eb="18">
      <t>タカマツ</t>
    </rPh>
    <rPh sb="18" eb="19">
      <t>マチ</t>
    </rPh>
    <phoneticPr fontId="2"/>
  </si>
  <si>
    <t>S16-0254</t>
  </si>
  <si>
    <t>兵庫中央病院_0254 (2)</t>
  </si>
  <si>
    <t>03354L</t>
  </si>
  <si>
    <t>※S16-0205　プリンター同時に出荷</t>
  </si>
  <si>
    <t>S16-0255</t>
  </si>
  <si>
    <t>倉敷中央病院_0255 (2)</t>
  </si>
  <si>
    <t>SR#4199813</t>
  </si>
  <si>
    <t>2016/04/01-04</t>
  </si>
  <si>
    <t>WK2H8V</t>
  </si>
  <si>
    <t>P16693-04</t>
  </si>
  <si>
    <t>株式会社カワニシ　倉敷サービスセンター</t>
  </si>
  <si>
    <t>岩見様</t>
  </si>
  <si>
    <t xml:space="preserve">〒700-8528　岡山県岡山市北区今1-4-31 </t>
  </si>
  <si>
    <t>倉敷中央病院　通院治療1階</t>
  </si>
  <si>
    <t>086-422-0210</t>
  </si>
  <si>
    <t>〒710-8602　岡山県倉敷市美和1-1-1</t>
  </si>
  <si>
    <t>S16-0256</t>
  </si>
  <si>
    <t>順天堂高齢者医療センター_0256</t>
  </si>
  <si>
    <t>S16-0257</t>
  </si>
  <si>
    <t>市立豊中病院_0257 (2)</t>
  </si>
  <si>
    <t>2016/04/06-06</t>
  </si>
  <si>
    <t>03HPN3</t>
  </si>
  <si>
    <t>今田様</t>
  </si>
  <si>
    <t>〒651-1431　兵庫県西宮市山口町阪神流通センター1-24</t>
    <rPh sb="10" eb="13">
      <t>ヒョウゴケン</t>
    </rPh>
    <rPh sb="13" eb="16">
      <t>ニシノミヤシ</t>
    </rPh>
    <rPh sb="16" eb="18">
      <t>ヤマグチ</t>
    </rPh>
    <rPh sb="18" eb="19">
      <t>マチ</t>
    </rPh>
    <rPh sb="19" eb="21">
      <t>ハンシン</t>
    </rPh>
    <rPh sb="21" eb="23">
      <t>リュウツウ</t>
    </rPh>
    <phoneticPr fontId="2"/>
  </si>
  <si>
    <t>078-907-3073</t>
  </si>
  <si>
    <t>078-907-3058</t>
  </si>
  <si>
    <t>市立豊中病院</t>
  </si>
  <si>
    <t>06-6843-0101</t>
  </si>
  <si>
    <t>〒560-8565 大阪府豊中市柴原町4-14-1</t>
  </si>
  <si>
    <t>P00104-01</t>
  </si>
  <si>
    <t>S16-0258</t>
  </si>
  <si>
    <t>デモ機MUR13_0258 (2)</t>
  </si>
  <si>
    <t>SR#4199819</t>
  </si>
  <si>
    <t>03VHC8</t>
  </si>
  <si>
    <t>P12060-10</t>
  </si>
  <si>
    <t>村上様</t>
  </si>
  <si>
    <t>デモ機 MUR13</t>
  </si>
  <si>
    <t>S16-0259</t>
  </si>
  <si>
    <t>鶴谷病院_0259 (2)</t>
  </si>
  <si>
    <t>2016/03/29-01</t>
  </si>
  <si>
    <t>03HMZV</t>
  </si>
  <si>
    <t>フクダ電子北関東販売株式会社</t>
  </si>
  <si>
    <t>〒370-0018　群馬県高崎市新保町1684-1</t>
    <rPh sb="10" eb="13">
      <t>グンマケン</t>
    </rPh>
    <rPh sb="13" eb="16">
      <t>タカサキシ</t>
    </rPh>
    <rPh sb="16" eb="18">
      <t>シンポ</t>
    </rPh>
    <rPh sb="18" eb="19">
      <t>マチ</t>
    </rPh>
    <phoneticPr fontId="2"/>
  </si>
  <si>
    <t>027-384-8500</t>
  </si>
  <si>
    <t>027-352-8511</t>
  </si>
  <si>
    <t>鶴谷病院</t>
  </si>
  <si>
    <t>竹野様</t>
    <rPh sb="0" eb="2">
      <t>タケノ</t>
    </rPh>
    <rPh sb="2" eb="3">
      <t>サマ</t>
    </rPh>
    <phoneticPr fontId="2"/>
  </si>
  <si>
    <t>0270-74-0670</t>
  </si>
  <si>
    <t>〒370-0117　群馬県伊勢崎市境百々421</t>
    <rPh sb="10" eb="13">
      <t>グンマケン</t>
    </rPh>
    <rPh sb="13" eb="17">
      <t>イセザキシ</t>
    </rPh>
    <rPh sb="17" eb="18">
      <t>サカイ</t>
    </rPh>
    <rPh sb="18" eb="19">
      <t>ヒャク</t>
    </rPh>
    <phoneticPr fontId="2"/>
  </si>
  <si>
    <t>P02173-02</t>
  </si>
  <si>
    <t>P03297-01</t>
  </si>
  <si>
    <t>WIRE HARNESS, DISPLAY, C2</t>
  </si>
  <si>
    <t>LABEL, DISPLAY, TITAN</t>
  </si>
  <si>
    <t>S16-0260</t>
  </si>
  <si>
    <t>知多厚生病院_0260 (2)</t>
  </si>
  <si>
    <t>SR#4202133</t>
  </si>
  <si>
    <t>2016/04/05-04</t>
  </si>
  <si>
    <t>0206X7</t>
  </si>
  <si>
    <t>株式会社三輪器械</t>
  </si>
  <si>
    <t>伊藤様</t>
  </si>
  <si>
    <t>〒460-0002　愛知県名古屋市中区丸の内3-23-16</t>
  </si>
  <si>
    <t>052-962-3001</t>
  </si>
  <si>
    <t>052-962-3070</t>
  </si>
  <si>
    <t>知多厚生病院</t>
  </si>
  <si>
    <t>0569-82-0395</t>
  </si>
  <si>
    <t>〒470-2404　愛知県知多郡美浜町大字河和字西谷81-6</t>
  </si>
  <si>
    <t>P03981-04</t>
  </si>
  <si>
    <t>SERVICE ASSEMBLY, PCB FOR JAPANESE C1.9 180II SYSTEM</t>
  </si>
  <si>
    <t>伊藤様　初期不良。3か月以内の交換（無償）</t>
  </si>
  <si>
    <t>S16-0261</t>
  </si>
  <si>
    <t>美浦中央病院_0261 (2)</t>
  </si>
  <si>
    <t>2010年9月</t>
  </si>
  <si>
    <t>03CN5R</t>
  </si>
  <si>
    <t>酒井様</t>
  </si>
  <si>
    <t>美浦中央病院</t>
  </si>
  <si>
    <t>029-885-3551</t>
  </si>
  <si>
    <t>〒300-0412 茨城県稲敷郡美浦村宮地596</t>
  </si>
  <si>
    <t>※修理キャンセル→返却(4/25)</t>
  </si>
  <si>
    <t>S16-0262</t>
  </si>
  <si>
    <t>高槻病院_0262 (2)</t>
  </si>
  <si>
    <t>SR#4202409</t>
  </si>
  <si>
    <t>03T9KD</t>
  </si>
  <si>
    <t>愛仁会高槻病院</t>
  </si>
  <si>
    <t>072-681-3801</t>
  </si>
  <si>
    <t>〒569-1192　大阪府高槻市古曽部町1-3-13</t>
  </si>
  <si>
    <t>S16-0263</t>
  </si>
  <si>
    <t>代替機NIM171_263 (2)</t>
  </si>
  <si>
    <t>SR#4199815</t>
  </si>
  <si>
    <t>WK0MX8</t>
  </si>
  <si>
    <t>S16-0264</t>
  </si>
  <si>
    <t>デモ機MAK45_264 (2)</t>
  </si>
  <si>
    <t>SR#4199811</t>
  </si>
  <si>
    <t>S16-0265</t>
  </si>
  <si>
    <t>名古屋市立大学病院1_0265 (2)</t>
  </si>
  <si>
    <t>2016/04/08-05</t>
  </si>
  <si>
    <t>WK3KM1</t>
  </si>
  <si>
    <t>P12060-62</t>
  </si>
  <si>
    <t>名古屋市立大学病院　（着荷不良品）</t>
  </si>
  <si>
    <t>S16-0266</t>
  </si>
  <si>
    <t>名古屋市立大学病院2_0266 (2)</t>
  </si>
  <si>
    <t>WK3LWD</t>
  </si>
  <si>
    <t>S16-0267</t>
  </si>
  <si>
    <t>米沢市立病院_0267 (2)</t>
  </si>
  <si>
    <t>2016/04/05-02</t>
  </si>
  <si>
    <t>01G2ZJ</t>
  </si>
  <si>
    <t>福田様</t>
  </si>
  <si>
    <t>〒990-0031　山形県山形市十日町1-3-29　山形十日町ビル8階</t>
  </si>
  <si>
    <t>023-634-3978</t>
  </si>
  <si>
    <t>023-632-4549</t>
  </si>
  <si>
    <t>米沢市立病院　内科外来</t>
  </si>
  <si>
    <t>内科外科</t>
    <rPh sb="0" eb="4">
      <t>ナイカゲカ</t>
    </rPh>
    <phoneticPr fontId="2"/>
  </si>
  <si>
    <t>0238-22-2450</t>
  </si>
  <si>
    <t>〒992-8502 山形県米沢市相生町6-36</t>
  </si>
  <si>
    <t>S16-0268</t>
  </si>
  <si>
    <t>鹿児島徳州会病院_0268 (2)</t>
  </si>
  <si>
    <t>2016/04/05-06</t>
  </si>
  <si>
    <t>03FMN0</t>
  </si>
  <si>
    <t>株式会社　横尾器械</t>
  </si>
  <si>
    <t>坂上様</t>
  </si>
  <si>
    <t>鹿児島徳州会病院</t>
  </si>
  <si>
    <t>救急部</t>
    <rPh sb="0" eb="3">
      <t>キュウキュウブ</t>
    </rPh>
    <phoneticPr fontId="2"/>
  </si>
  <si>
    <t>099-250-1110</t>
  </si>
  <si>
    <t>〒890-0056　鹿児島県鹿児島市下荒田3-8-1</t>
    <rPh sb="10" eb="14">
      <t>カゴシマケン</t>
    </rPh>
    <rPh sb="14" eb="18">
      <t>カゴシマシ</t>
    </rPh>
    <rPh sb="18" eb="19">
      <t>シモ</t>
    </rPh>
    <phoneticPr fontId="2"/>
  </si>
  <si>
    <t>S16-0269</t>
  </si>
  <si>
    <t>ときつ医院_0269 (2)</t>
  </si>
  <si>
    <t>WK34YJ</t>
  </si>
  <si>
    <t>P09141-62</t>
  </si>
  <si>
    <t>吉峯様</t>
  </si>
  <si>
    <t>〒812-0011　福岡県福岡市博多区博多駅前4-13-19</t>
  </si>
  <si>
    <t>ときつ医院</t>
  </si>
  <si>
    <t>092-882-3321</t>
  </si>
  <si>
    <t>〒819-0005　福岡県福岡市西区内浜2-6-7</t>
    <rPh sb="10" eb="13">
      <t>フクオカケン</t>
    </rPh>
    <rPh sb="13" eb="16">
      <t>フクオカシ</t>
    </rPh>
    <rPh sb="16" eb="18">
      <t>ニシク</t>
    </rPh>
    <rPh sb="18" eb="19">
      <t>ウチ</t>
    </rPh>
    <rPh sb="19" eb="20">
      <t>ハマ</t>
    </rPh>
    <phoneticPr fontId="2"/>
  </si>
  <si>
    <t>S16-0270</t>
  </si>
  <si>
    <t>東京女子医科大学病院_0270 (2)</t>
  </si>
  <si>
    <t>2016/04/11-03</t>
  </si>
  <si>
    <t>03JNHY</t>
  </si>
  <si>
    <t>株式会社サンユーメディカル</t>
  </si>
  <si>
    <t>國定様</t>
  </si>
  <si>
    <t>〒113-0021　東京都文京区本駒込5-5-9</t>
    <rPh sb="10" eb="13">
      <t>トウキョウト</t>
    </rPh>
    <rPh sb="13" eb="16">
      <t>ブンキョウク</t>
    </rPh>
    <rPh sb="16" eb="17">
      <t>ホン</t>
    </rPh>
    <rPh sb="17" eb="19">
      <t>コマゴメ</t>
    </rPh>
    <phoneticPr fontId="2"/>
  </si>
  <si>
    <t>03-3947-4430</t>
  </si>
  <si>
    <t>03-3947-4736</t>
  </si>
  <si>
    <t>東京女子医科大学病院　西A2 ICU</t>
  </si>
  <si>
    <t>03-3353-8111</t>
  </si>
  <si>
    <t>〒162-8666 東京都新宿区河田町8-1</t>
  </si>
  <si>
    <t>S16-0271</t>
  </si>
  <si>
    <t>木田医院_0271 (2)</t>
  </si>
  <si>
    <t>SR#4233595</t>
  </si>
  <si>
    <t>2016/03/28-01</t>
  </si>
  <si>
    <t>03B93J</t>
  </si>
  <si>
    <t>フクダ電子東京西販売株式会社</t>
  </si>
  <si>
    <t>平沼様</t>
  </si>
  <si>
    <t>〒190-0011　東京都立川市高松町1-23-17</t>
  </si>
  <si>
    <t>042-525-3578</t>
  </si>
  <si>
    <t>042-527-7262</t>
  </si>
  <si>
    <t>木田医院</t>
  </si>
  <si>
    <t>042-368-5688</t>
  </si>
  <si>
    <t>〒183-0055　東京都府中市府中町1-15-1</t>
    <rPh sb="10" eb="13">
      <t>トウキョウト</t>
    </rPh>
    <rPh sb="13" eb="16">
      <t>フチュウシ</t>
    </rPh>
    <rPh sb="16" eb="18">
      <t>フチュウ</t>
    </rPh>
    <rPh sb="18" eb="19">
      <t>マチ</t>
    </rPh>
    <phoneticPr fontId="2"/>
  </si>
  <si>
    <t>S16-0272</t>
  </si>
  <si>
    <t>神戸中央市民病院_0272 (2)</t>
  </si>
  <si>
    <t>03GHTR</t>
  </si>
  <si>
    <t>神戸中央市民病院</t>
  </si>
  <si>
    <t>〒650-0047 兵庫県神戸市中央区港島南町2-1-1</t>
  </si>
  <si>
    <t>P04331-07</t>
  </si>
  <si>
    <t>L38/10-5 Linear Transducer (C1.9 and after)</t>
  </si>
  <si>
    <t>S16-0273</t>
  </si>
  <si>
    <t>福岡東医療センター_0273 (2)</t>
  </si>
  <si>
    <t>2016/04/11-04</t>
  </si>
  <si>
    <t>034GWW</t>
  </si>
  <si>
    <t>アイティーアイ株式会社　福岡支社</t>
  </si>
  <si>
    <t>下河様</t>
  </si>
  <si>
    <t xml:space="preserve">〒812-0068　福岡県福岡市東区社領3-10-7 </t>
  </si>
  <si>
    <t>092-626-6911</t>
  </si>
  <si>
    <t>092-626-8912</t>
  </si>
  <si>
    <t>福岡東医療センター</t>
  </si>
  <si>
    <t>仲司MD</t>
  </si>
  <si>
    <t>循環器科</t>
  </si>
  <si>
    <t>092-943-2331</t>
  </si>
  <si>
    <t>〒811-3195　福岡県古賀市千鳥1-1-1</t>
  </si>
  <si>
    <t>※修理キャンセル→返却(5/23)</t>
  </si>
  <si>
    <t>S16-0274</t>
  </si>
  <si>
    <t>東名厚木病院_0274 (2)</t>
  </si>
  <si>
    <t>SR#4202691</t>
  </si>
  <si>
    <t>03HKL9</t>
  </si>
  <si>
    <t>島様</t>
  </si>
  <si>
    <t>東名厚木病院</t>
  </si>
  <si>
    <t>046-229-1771</t>
  </si>
  <si>
    <t>〒243-8571　神奈川県厚木市船子232</t>
  </si>
  <si>
    <t>P20404-01N</t>
  </si>
  <si>
    <t>S16-0275</t>
  </si>
  <si>
    <t>中濃厚生病院_0275 (2)</t>
  </si>
  <si>
    <t>2016/04/06-05</t>
  </si>
  <si>
    <t>03GX2V</t>
  </si>
  <si>
    <t>P05675-09</t>
  </si>
  <si>
    <t>〒501-0115　岐阜県岐阜市鏡島南2-8-33</t>
  </si>
  <si>
    <t>058-255-4055</t>
  </si>
  <si>
    <t>058-255-4060</t>
  </si>
  <si>
    <t>中濃厚生病院</t>
  </si>
  <si>
    <t>0575-22-1111</t>
  </si>
  <si>
    <t xml:space="preserve">〒501-3802　岐阜県関市若草通5-1
</t>
  </si>
  <si>
    <t>P11882</t>
  </si>
  <si>
    <t>S16-0276</t>
  </si>
  <si>
    <t>トータルケアクリニック_0276 (2)</t>
  </si>
  <si>
    <t>2016/04/06-04</t>
  </si>
  <si>
    <t>01J4H6</t>
  </si>
  <si>
    <t>ゆいトータルケアクリニック</t>
  </si>
  <si>
    <t>横田浩司様</t>
  </si>
  <si>
    <t>〒133-0056　東京都江戸川区南小岩7-27-13</t>
  </si>
  <si>
    <t>03-5612-5188</t>
  </si>
  <si>
    <t>03-5693-5188</t>
  </si>
  <si>
    <t>（施設直接）</t>
    <rPh sb="1" eb="3">
      <t>シセツ</t>
    </rPh>
    <rPh sb="3" eb="5">
      <t>チョクセツ</t>
    </rPh>
    <phoneticPr fontId="2"/>
  </si>
  <si>
    <t>S16-0277</t>
  </si>
  <si>
    <t>関西労災病院_0277</t>
  </si>
  <si>
    <t>S16-0278</t>
  </si>
  <si>
    <t>代替機NIM185_0278 (2)</t>
  </si>
  <si>
    <t>SR#4202117</t>
  </si>
  <si>
    <t>WK248X</t>
  </si>
  <si>
    <t>代替機NIM185</t>
  </si>
  <si>
    <t>S16-0279</t>
  </si>
  <si>
    <t>萬田記念病院_0279 (2)</t>
  </si>
  <si>
    <t>03CN26</t>
  </si>
  <si>
    <t>靏田様</t>
  </si>
  <si>
    <t>萬田記念病院</t>
  </si>
  <si>
    <t>011-231-4032</t>
  </si>
  <si>
    <t>〒060-0062　北海道札幌市中央区南2条西1-1</t>
  </si>
  <si>
    <t>※点検依頼＜Bプラン＞　交換パーツP03156.P02347.P01911</t>
  </si>
  <si>
    <t>S16-0280</t>
  </si>
  <si>
    <t>北川ひ尿器科クリニック_0280 (2)</t>
  </si>
  <si>
    <t>SR#4203249</t>
  </si>
  <si>
    <t>03TTG3</t>
  </si>
  <si>
    <t>日本コヴィディエン株式会社　 東日本透析営業所</t>
  </si>
  <si>
    <t>北川ひ尿器科クリニック</t>
  </si>
  <si>
    <t>017-765-3355</t>
  </si>
  <si>
    <t>〒030-0966　青森県青森市花園2-43-18</t>
    <rPh sb="10" eb="13">
      <t>アオモリケン</t>
    </rPh>
    <rPh sb="13" eb="16">
      <t>アオモリシ</t>
    </rPh>
    <rPh sb="16" eb="18">
      <t>ハナゾノ</t>
    </rPh>
    <phoneticPr fontId="2"/>
  </si>
  <si>
    <t>※P12718</t>
  </si>
  <si>
    <t>S16-0281</t>
  </si>
  <si>
    <t>八代郡医師会立病院_0281 (2)</t>
  </si>
  <si>
    <t>2016/04/12-02</t>
  </si>
  <si>
    <t>株式会社アステム　熊本支店</t>
  </si>
  <si>
    <t>石橋様</t>
  </si>
  <si>
    <t>〒860-8525　熊本県熊本市中央区八王寺町33-57</t>
  </si>
  <si>
    <t>096-378-9119</t>
  </si>
  <si>
    <t>096-379-3300</t>
  </si>
  <si>
    <t>八代郡医師会立病院</t>
  </si>
  <si>
    <t>0965-53-5111</t>
  </si>
  <si>
    <t>〒869-4601 熊本県八代郡氷川町今151-1</t>
  </si>
  <si>
    <t>※故障調査報告書をつけて出荷（作業報告書なし）</t>
  </si>
  <si>
    <t>S16-0282</t>
  </si>
  <si>
    <t>福岡徳洲会病院_0282</t>
  </si>
  <si>
    <t>〒812-0007　福岡県福岡市博多区東比恵3-1-2　東比恵ビジネスセンター10階</t>
  </si>
  <si>
    <t>〒816-0864 福岡県春日市須玖北4-5</t>
  </si>
  <si>
    <t>S16-0283</t>
  </si>
  <si>
    <t>矢掛町国民健康保険病院_0283 (2)</t>
  </si>
  <si>
    <t>2016/04/06-03</t>
  </si>
  <si>
    <t>031WG9</t>
  </si>
  <si>
    <t>赤木医科器械株式会社</t>
  </si>
  <si>
    <t>井川様</t>
  </si>
  <si>
    <t>〒710-0041　岡山県倉敷市五日市63-4</t>
    <rPh sb="10" eb="13">
      <t>オカヤマケン</t>
    </rPh>
    <rPh sb="13" eb="16">
      <t>クラシキシ</t>
    </rPh>
    <rPh sb="16" eb="18">
      <t>イツカ</t>
    </rPh>
    <rPh sb="18" eb="19">
      <t>シ</t>
    </rPh>
    <phoneticPr fontId="2"/>
  </si>
  <si>
    <t>086-427-3330</t>
  </si>
  <si>
    <t>086-427-1122</t>
  </si>
  <si>
    <t>矢掛町国民健康保険病院</t>
  </si>
  <si>
    <t>友田様</t>
    <rPh sb="0" eb="2">
      <t>トモダ</t>
    </rPh>
    <rPh sb="2" eb="3">
      <t>サマ</t>
    </rPh>
    <phoneticPr fontId="2"/>
  </si>
  <si>
    <t>外来　循環器</t>
    <rPh sb="0" eb="2">
      <t>ガイライ</t>
    </rPh>
    <rPh sb="3" eb="6">
      <t>ジュンカンキ</t>
    </rPh>
    <phoneticPr fontId="2"/>
  </si>
  <si>
    <t>0866-82-1326</t>
  </si>
  <si>
    <t>〒714-1201　岡山県小田郡矢掛町矢林2695</t>
    <rPh sb="10" eb="13">
      <t>オカヤマケン</t>
    </rPh>
    <rPh sb="13" eb="16">
      <t>オダグン</t>
    </rPh>
    <rPh sb="16" eb="17">
      <t>ヤ</t>
    </rPh>
    <rPh sb="17" eb="18">
      <t>カケ</t>
    </rPh>
    <rPh sb="18" eb="19">
      <t>マチ</t>
    </rPh>
    <rPh sb="19" eb="20">
      <t>ヤ</t>
    </rPh>
    <rPh sb="20" eb="21">
      <t>ハヤシ</t>
    </rPh>
    <phoneticPr fontId="2"/>
  </si>
  <si>
    <t>※修理キャンセル返却(8/5)</t>
  </si>
  <si>
    <t>S16-0284</t>
  </si>
  <si>
    <t>ヨナハ総合病院_0284 (2)</t>
  </si>
  <si>
    <t>SR#4202405</t>
  </si>
  <si>
    <t>2016/04/08-02</t>
  </si>
  <si>
    <t>WK2JFZ</t>
  </si>
  <si>
    <t>株式会社メディカルケア　三重営業所</t>
  </si>
  <si>
    <t>大野様</t>
  </si>
  <si>
    <t>〒514-0075　三重県津市片田志袋町300-32</t>
    <rPh sb="10" eb="13">
      <t>ミエケン</t>
    </rPh>
    <rPh sb="13" eb="15">
      <t>ツシ</t>
    </rPh>
    <rPh sb="15" eb="17">
      <t>カタダ</t>
    </rPh>
    <rPh sb="17" eb="18">
      <t>シ</t>
    </rPh>
    <rPh sb="18" eb="19">
      <t>フクロ</t>
    </rPh>
    <rPh sb="19" eb="20">
      <t>マチ</t>
    </rPh>
    <phoneticPr fontId="2"/>
  </si>
  <si>
    <t>059-239-1201</t>
  </si>
  <si>
    <t>059-239-1202</t>
  </si>
  <si>
    <t>ヨナハ総合病院　麻酔科</t>
  </si>
  <si>
    <t>古橋先生</t>
    <rPh sb="0" eb="2">
      <t>フルハシ</t>
    </rPh>
    <rPh sb="2" eb="4">
      <t>センセイ</t>
    </rPh>
    <phoneticPr fontId="2"/>
  </si>
  <si>
    <t>麻酔科</t>
    <rPh sb="0" eb="3">
      <t>マスイカ</t>
    </rPh>
    <phoneticPr fontId="2"/>
  </si>
  <si>
    <t>0594-23-2415</t>
  </si>
  <si>
    <t>〒511-0838　三重県桑名市和泉8-264-3</t>
  </si>
  <si>
    <t>S16-0285</t>
  </si>
  <si>
    <t>呉医療センター_0285 (2)</t>
  </si>
  <si>
    <t>2016/04/12-05</t>
  </si>
  <si>
    <t>03958J</t>
  </si>
  <si>
    <t>P04332-03</t>
  </si>
  <si>
    <t>0823-22-3249</t>
  </si>
  <si>
    <t>呉医療センター　消化器内科</t>
  </si>
  <si>
    <t>河野先生</t>
    <rPh sb="0" eb="2">
      <t>コウノ</t>
    </rPh>
    <rPh sb="2" eb="4">
      <t>センセイ</t>
    </rPh>
    <phoneticPr fontId="2"/>
  </si>
  <si>
    <t>6B病棟　消化器内科</t>
    <rPh sb="2" eb="4">
      <t>ビョウトウ</t>
    </rPh>
    <rPh sb="5" eb="7">
      <t>ショウカ</t>
    </rPh>
    <rPh sb="7" eb="8">
      <t>キ</t>
    </rPh>
    <rPh sb="8" eb="10">
      <t>ナイカ</t>
    </rPh>
    <phoneticPr fontId="2"/>
  </si>
  <si>
    <t>〒736-0023 広島県呉市青山町3-1</t>
  </si>
  <si>
    <t>P04332-06</t>
  </si>
  <si>
    <t>C60/5-2 Convex Transducer ( C1.9 and after)</t>
  </si>
  <si>
    <t>※P04332-06(S/N:03ZQ3F)</t>
  </si>
  <si>
    <t>S16-0286</t>
  </si>
  <si>
    <t>三重大学病院_0286 (2)</t>
  </si>
  <si>
    <t>0352G8</t>
  </si>
  <si>
    <t>日本コヴィディエン株式会社　 東海北陸営業所</t>
  </si>
  <si>
    <t>S16-0287</t>
  </si>
  <si>
    <t>さとに田園クリニック_0287 (2)</t>
  </si>
  <si>
    <t>WM04DF</t>
  </si>
  <si>
    <t>P13383-01</t>
  </si>
  <si>
    <t>日本コヴィディエン株式会社　南日本透析営業所</t>
  </si>
  <si>
    <t>石崎様</t>
  </si>
  <si>
    <t>さとに田園クリニック</t>
  </si>
  <si>
    <t>0857-30-1515</t>
  </si>
  <si>
    <t>〒680-0935　鳥取県鳥取市里仁54-2</t>
  </si>
  <si>
    <t>※修理キャンセル→返却(4/27)報告書必要と(5/2)スタンド内部の配線の再接続を実施。</t>
  </si>
  <si>
    <t>S16-0288</t>
  </si>
  <si>
    <t>東京労災病院_0288 (2)</t>
  </si>
  <si>
    <t>2013/03/28-02</t>
  </si>
  <si>
    <t>WK04NL</t>
  </si>
  <si>
    <t>フクダ電子東京販売株式会社</t>
  </si>
  <si>
    <t>梶様</t>
  </si>
  <si>
    <t>〒152-8912　東京都目黒区碑文谷3-17-12</t>
  </si>
  <si>
    <t>03-3792-6611</t>
  </si>
  <si>
    <t>03-3793-8438</t>
  </si>
  <si>
    <t>東京労災病院</t>
  </si>
  <si>
    <t>S16-0289</t>
  </si>
  <si>
    <t>名古屋徳洲会総合病院_0289 (2)</t>
  </si>
  <si>
    <t>2016/04/15-02</t>
  </si>
  <si>
    <t>01J3WP</t>
  </si>
  <si>
    <t>株式会社八神製作所　春日井営業所</t>
  </si>
  <si>
    <t>名古屋徳洲会総合病院</t>
  </si>
  <si>
    <t>0568-51-8711</t>
  </si>
  <si>
    <t>〒487-0016　愛知県春日井市高蔵寺町北2-52</t>
  </si>
  <si>
    <t>S16-0290</t>
  </si>
  <si>
    <t>後藤麻酔科クリニック_0290 (2)</t>
  </si>
  <si>
    <t>2016/04/14-02</t>
  </si>
  <si>
    <t>HFL50x/15-6</t>
  </si>
  <si>
    <t>03LR91</t>
  </si>
  <si>
    <t>P13811-01</t>
  </si>
  <si>
    <t>株式会社キシヤ　福岡西営業所</t>
  </si>
  <si>
    <t>森様</t>
  </si>
  <si>
    <t>〒819-0161 福岡県福岡市西区今宿東1-4-12</t>
  </si>
  <si>
    <t>092-805-8808</t>
  </si>
  <si>
    <t>092-805-8820</t>
  </si>
  <si>
    <t>後藤麻酔科クリニック</t>
  </si>
  <si>
    <t>後藤英一様</t>
    <rPh sb="0" eb="2">
      <t>ゴトウ</t>
    </rPh>
    <rPh sb="2" eb="4">
      <t>エイイチ</t>
    </rPh>
    <rPh sb="4" eb="5">
      <t>サマ</t>
    </rPh>
    <phoneticPr fontId="2"/>
  </si>
  <si>
    <t>092-832-6092</t>
  </si>
  <si>
    <t xml:space="preserve">〒814-0002 福岡県福岡市早良区西新6-5-12　プレミスト808 </t>
  </si>
  <si>
    <t>HFL50x/15-6リニアプローブ</t>
  </si>
  <si>
    <t>※P13811-51 HFL50x/15-6 (S/N:044C42)</t>
  </si>
  <si>
    <t>S16-0291</t>
  </si>
  <si>
    <t>長岡中央総合病院_0291 (2)</t>
  </si>
  <si>
    <t>SR#4203247</t>
  </si>
  <si>
    <t>2016/04/13-05</t>
  </si>
  <si>
    <t>03TB5T</t>
  </si>
  <si>
    <t>ジェイメディカル株式会社　長岡営業所</t>
  </si>
  <si>
    <t>〒954-0124　新潟県長岡市中之島1781-4</t>
  </si>
  <si>
    <t>0258-61-5351</t>
  </si>
  <si>
    <t>0258-61-5352</t>
  </si>
  <si>
    <t>長岡中央総合病院　整形外科（外来）</t>
  </si>
  <si>
    <t>整形外科（外来）</t>
  </si>
  <si>
    <t>0258-35-3700</t>
  </si>
  <si>
    <t>〒940-8653 新潟県長岡市川崎町2041</t>
  </si>
  <si>
    <t>※ボタンバッテリーの交換</t>
  </si>
  <si>
    <t>S16-0292</t>
  </si>
  <si>
    <t>横浜痛みのクリニック_0292 (2)</t>
  </si>
  <si>
    <t>SR#4206395</t>
  </si>
  <si>
    <t>2014/04/19-01</t>
  </si>
  <si>
    <t>WK2KFM</t>
  </si>
  <si>
    <t>横浜痛みのクリニック</t>
  </si>
  <si>
    <t>045-443-8013</t>
  </si>
  <si>
    <t>〒244-0816　神奈川県横浜市戸塚区上倉田町498-11 第5吉本ビル2F</t>
  </si>
  <si>
    <t>S16-0293</t>
  </si>
  <si>
    <t>福岡大学病院_0293</t>
  </si>
  <si>
    <t>S16-0294</t>
  </si>
  <si>
    <t>製鉄記念広畑病院_0294 (2)</t>
  </si>
  <si>
    <t>SR#4206397</t>
  </si>
  <si>
    <t>2016/04/18-03</t>
  </si>
  <si>
    <t>03VHJL</t>
  </si>
  <si>
    <t>宮野医療器株式会社　姫路営業所</t>
  </si>
  <si>
    <t>〒670-0940　兵庫県姫路市三左衛門堀西の町7</t>
  </si>
  <si>
    <t>079-281-0880</t>
  </si>
  <si>
    <t>079-282-5959</t>
  </si>
  <si>
    <t>製鉄記念広畑病院</t>
  </si>
  <si>
    <t>079-236-1038</t>
  </si>
  <si>
    <t>〒671-1122 兵庫県姫路市広畑区夢前町3-1</t>
  </si>
  <si>
    <t>S16-0295</t>
  </si>
  <si>
    <t>KKR立川病院_0295 (2)</t>
  </si>
  <si>
    <t>KKR立川病院</t>
  </si>
  <si>
    <t>※4/8に修理完了返却した装置。症状の改善がない。→現象の再現性なしで返却。</t>
  </si>
  <si>
    <t>S16-0296</t>
  </si>
  <si>
    <t>釧路三慈会病院_0296 (2)</t>
  </si>
  <si>
    <t>2016/04/13-03</t>
  </si>
  <si>
    <t>03FYVX</t>
  </si>
  <si>
    <t>P09141-09</t>
  </si>
  <si>
    <t>株式会社ネオメディックス　釧路営業所</t>
  </si>
  <si>
    <t>川北様</t>
  </si>
  <si>
    <t>〒085-0007　北海道釧路市堀川町５　アビタシオンリビエール221号</t>
    <rPh sb="10" eb="13">
      <t>ホッカイドウ</t>
    </rPh>
    <rPh sb="13" eb="16">
      <t>クシロシ</t>
    </rPh>
    <rPh sb="16" eb="18">
      <t>ホリカワ</t>
    </rPh>
    <rPh sb="18" eb="19">
      <t>マチ</t>
    </rPh>
    <phoneticPr fontId="2"/>
  </si>
  <si>
    <t>0154-23-1965</t>
  </si>
  <si>
    <t>0154-65-1521</t>
  </si>
  <si>
    <t>釧路三慈会病院</t>
  </si>
  <si>
    <t>日向様</t>
    <rPh sb="0" eb="2">
      <t>ヒュウガ</t>
    </rPh>
    <rPh sb="2" eb="3">
      <t>サマ</t>
    </rPh>
    <phoneticPr fontId="2"/>
  </si>
  <si>
    <t>OP室</t>
    <rPh sb="2" eb="3">
      <t>シツ</t>
    </rPh>
    <phoneticPr fontId="2"/>
  </si>
  <si>
    <t>0154-41-2299</t>
  </si>
  <si>
    <t>〒085-0836 　北海道釧路市幣舞町4-30</t>
    <rPh sb="11" eb="14">
      <t>ホッカイドウ</t>
    </rPh>
    <phoneticPr fontId="2"/>
  </si>
  <si>
    <t>S16-0297</t>
  </si>
  <si>
    <t xml:space="preserve">天心堂へつぎ病院_0297(2) </t>
  </si>
  <si>
    <t>SR#4215681</t>
  </si>
  <si>
    <t>03M1G3</t>
  </si>
  <si>
    <t>P12700-03</t>
  </si>
  <si>
    <t>内田様</t>
  </si>
  <si>
    <t>天心堂へつぎ病院</t>
  </si>
  <si>
    <t>097-597-5777</t>
  </si>
  <si>
    <t>〒879-7761　大分県大分市戸次字二本木5956</t>
  </si>
  <si>
    <t>S16-0298</t>
  </si>
  <si>
    <t>九州がんセンター_0298 (2)</t>
  </si>
  <si>
    <t>2016/04/22-03</t>
  </si>
  <si>
    <t>01LBＲR</t>
  </si>
  <si>
    <t>株式会社キシヤ　MEグループ</t>
  </si>
  <si>
    <t>東様　→　前田様</t>
  </si>
  <si>
    <t>九州がんセンター</t>
  </si>
  <si>
    <t>092-541-3231</t>
  </si>
  <si>
    <t>〒811-1395　福岡県福岡市南区野多目3-1-1</t>
    <rPh sb="10" eb="13">
      <t>フクオカケン</t>
    </rPh>
    <rPh sb="13" eb="16">
      <t>フクオカシ</t>
    </rPh>
    <rPh sb="16" eb="18">
      <t>ミナミク</t>
    </rPh>
    <rPh sb="18" eb="19">
      <t>ノ</t>
    </rPh>
    <rPh sb="19" eb="20">
      <t>タ</t>
    </rPh>
    <rPh sb="20" eb="21">
      <t>メ</t>
    </rPh>
    <phoneticPr fontId="2"/>
  </si>
  <si>
    <t>※修理キャンセル→返却(6/6)</t>
  </si>
  <si>
    <t>S16-0299</t>
  </si>
  <si>
    <t>水島中央病院_0299 (2)</t>
  </si>
  <si>
    <t>2016/04/18-02</t>
  </si>
  <si>
    <t>035HY8</t>
  </si>
  <si>
    <t>株式会社ホクシンメディカル</t>
  </si>
  <si>
    <t>塩尻様</t>
  </si>
  <si>
    <t>〒700-0974　岡山県岡山市北区今村653-118　パークサイド北ビル</t>
    <rPh sb="10" eb="13">
      <t>オカヤマケン</t>
    </rPh>
    <rPh sb="13" eb="16">
      <t>オカヤマシ</t>
    </rPh>
    <rPh sb="16" eb="18">
      <t>キタク</t>
    </rPh>
    <rPh sb="18" eb="20">
      <t>イマムラ</t>
    </rPh>
    <rPh sb="34" eb="35">
      <t>キタ</t>
    </rPh>
    <phoneticPr fontId="2"/>
  </si>
  <si>
    <t>086-241-5833</t>
  </si>
  <si>
    <t>086-241-5844</t>
  </si>
  <si>
    <t>水島中央病院</t>
  </si>
  <si>
    <t>086-444-3311</t>
  </si>
  <si>
    <t>〒712-8064　岡山県倉敷市水島青葉町4-5</t>
    <rPh sb="10" eb="13">
      <t>オカヤマケン</t>
    </rPh>
    <rPh sb="13" eb="16">
      <t>クラシキシ</t>
    </rPh>
    <rPh sb="16" eb="18">
      <t>ミズシマ</t>
    </rPh>
    <rPh sb="18" eb="20">
      <t>アオバ</t>
    </rPh>
    <rPh sb="20" eb="21">
      <t>マチ</t>
    </rPh>
    <phoneticPr fontId="2"/>
  </si>
  <si>
    <t>S16-0300</t>
  </si>
  <si>
    <t>横浜市立大学附属病院_0300 (2)</t>
  </si>
  <si>
    <t>039D9H</t>
  </si>
  <si>
    <t>株式会社八神製作所　福浦営業所</t>
  </si>
  <si>
    <t>〒236-0004　神奈川県横浜市金沢区福浦1-1-1 横浜金沢ハイテクセンター1F</t>
    <rPh sb="10" eb="14">
      <t>カナガワケン</t>
    </rPh>
    <rPh sb="14" eb="17">
      <t>ヨコハマシ</t>
    </rPh>
    <rPh sb="17" eb="20">
      <t>カナザワク</t>
    </rPh>
    <rPh sb="20" eb="22">
      <t>フクウラ</t>
    </rPh>
    <rPh sb="28" eb="30">
      <t>ヨコハマ</t>
    </rPh>
    <rPh sb="30" eb="32">
      <t>カナザワ</t>
    </rPh>
    <phoneticPr fontId="2"/>
  </si>
  <si>
    <t>045-791-5711</t>
  </si>
  <si>
    <t>045-791-5728</t>
  </si>
  <si>
    <t>横浜市立大学附属病院</t>
  </si>
  <si>
    <t>伊東様</t>
    <rPh sb="0" eb="2">
      <t>イトウ</t>
    </rPh>
    <rPh sb="2" eb="3">
      <t>サマ</t>
    </rPh>
    <phoneticPr fontId="2"/>
  </si>
  <si>
    <t>045-787-2880</t>
  </si>
  <si>
    <t>〒236-0004　神奈川県横浜市金沢区福浦3-9</t>
    <rPh sb="10" eb="14">
      <t>カナガワケン</t>
    </rPh>
    <rPh sb="14" eb="17">
      <t>ヨコハマシ</t>
    </rPh>
    <rPh sb="17" eb="20">
      <t>カナザワク</t>
    </rPh>
    <rPh sb="20" eb="22">
      <t>フクウラ</t>
    </rPh>
    <phoneticPr fontId="2"/>
  </si>
  <si>
    <t>S16-0301</t>
  </si>
  <si>
    <t>みかけ整骨院_0301 (2)</t>
  </si>
  <si>
    <t>SR#4206399</t>
  </si>
  <si>
    <t>WK0G15</t>
  </si>
  <si>
    <t>P08063-06</t>
  </si>
  <si>
    <t>株式会社エス・エス・ビー</t>
  </si>
  <si>
    <t>〒305-0853　茨城県つくば市榎戸748-2</t>
  </si>
  <si>
    <t>みかげ接骨院</t>
  </si>
  <si>
    <t>072-670-6700</t>
  </si>
  <si>
    <t>〒569-0083　大阪府高槻市永楽町2-14 1F</t>
  </si>
  <si>
    <t>S16-0302</t>
  </si>
  <si>
    <t>代替機NIM14_0302 (2)</t>
  </si>
  <si>
    <t>032B3L</t>
  </si>
  <si>
    <t>代替機NIM14</t>
  </si>
  <si>
    <t>※再発なし。クローズ</t>
  </si>
  <si>
    <t>S16-0303</t>
  </si>
  <si>
    <t>キシヤデモ機①_0303 (2)</t>
  </si>
  <si>
    <t>040G11</t>
  </si>
  <si>
    <t>株式会社キシヤ　本社</t>
  </si>
  <si>
    <t>中島様 東様</t>
  </si>
  <si>
    <t>株式会社キシヤ デモ機①</t>
  </si>
  <si>
    <t>092-832-1100</t>
  </si>
  <si>
    <t>〒814-0001　福岡県福岡市早良区百道浜3-6-45</t>
  </si>
  <si>
    <t>※中古販売(P00855.P09823.P15051)</t>
  </si>
  <si>
    <t>S16-0304</t>
  </si>
  <si>
    <t>キシヤデモ機②_0304 (2)</t>
  </si>
  <si>
    <t>WK2JGZ</t>
  </si>
  <si>
    <t>株式会社キシヤデモ機②</t>
  </si>
  <si>
    <t>※中古販売(P00855.P09823.P07753)</t>
  </si>
  <si>
    <t>S16-0305</t>
  </si>
  <si>
    <t>富良野スワインファーム_0305 (2)</t>
  </si>
  <si>
    <t>株式会社竹山　旭山支店</t>
  </si>
  <si>
    <t>011-611-0100</t>
  </si>
  <si>
    <t>011-642-0101</t>
  </si>
  <si>
    <t>富良野スワインファーム</t>
  </si>
  <si>
    <t>〒076-0201　北海道富良野市西達布3933</t>
  </si>
  <si>
    <t>S16-0306</t>
  </si>
  <si>
    <t>大垣市民病院_0306 (2)</t>
  </si>
  <si>
    <t>0338HB</t>
  </si>
  <si>
    <t>宇和川様</t>
  </si>
  <si>
    <t>大垣市民病院</t>
  </si>
  <si>
    <t>0584-81-3341</t>
  </si>
  <si>
    <t>〒503-8502　岐阜県大垣市南頬町4丁目86</t>
  </si>
  <si>
    <t>S16-0307</t>
  </si>
  <si>
    <t>宮崎大学医学部付属病院_0307 (2)</t>
  </si>
  <si>
    <t>03K4G9</t>
  </si>
  <si>
    <t>株式会社アステム 宮崎支店</t>
  </si>
  <si>
    <t>新屋様</t>
  </si>
  <si>
    <t>宮崎大学医学部附属病院</t>
  </si>
  <si>
    <t>北原様</t>
  </si>
  <si>
    <t>農学部家畜繁殖学</t>
  </si>
  <si>
    <t>0985-58-7243</t>
  </si>
  <si>
    <t>〒889-2192　宮崎県宮崎市学園木花台西1-1</t>
  </si>
  <si>
    <t>S16-0308</t>
  </si>
  <si>
    <t>名古屋大学病院_0308</t>
  </si>
  <si>
    <t>S16-0309</t>
  </si>
  <si>
    <t>つばさ在宅クリニック_0309 (2)</t>
  </si>
  <si>
    <t>2016/04/26-02</t>
  </si>
  <si>
    <t>36765</t>
  </si>
  <si>
    <t>施設直接</t>
  </si>
  <si>
    <t>桑原様</t>
  </si>
  <si>
    <t>〒273-0862　千葉県船橋市駿河台1-33-8 コンフィデンス駿河台201</t>
    <rPh sb="10" eb="13">
      <t>チバケン</t>
    </rPh>
    <rPh sb="13" eb="16">
      <t>フナバシシ</t>
    </rPh>
    <rPh sb="16" eb="19">
      <t>スルガダイ</t>
    </rPh>
    <rPh sb="33" eb="36">
      <t>スルガダイ</t>
    </rPh>
    <phoneticPr fontId="2"/>
  </si>
  <si>
    <t>047-411-1666</t>
  </si>
  <si>
    <t>047-411-1667</t>
  </si>
  <si>
    <t>つばさ在宅クリニック</t>
  </si>
  <si>
    <t>BNCコネクタ</t>
  </si>
  <si>
    <t>フロントパネルユニット</t>
  </si>
  <si>
    <t>S16-0310</t>
  </si>
  <si>
    <t>倉敷中央病院_0310 (2)</t>
  </si>
  <si>
    <t>2016/05/02-01</t>
  </si>
  <si>
    <t>03D3NL</t>
  </si>
  <si>
    <t>富士フイルムメディカル株式会社　岡山営業所</t>
  </si>
  <si>
    <t>〒710-0047　岡山県倉敷市大島501-1</t>
    <rPh sb="10" eb="13">
      <t>オカヤマケン</t>
    </rPh>
    <rPh sb="13" eb="16">
      <t>クラシキシ</t>
    </rPh>
    <rPh sb="16" eb="18">
      <t>オオシマ</t>
    </rPh>
    <phoneticPr fontId="2"/>
  </si>
  <si>
    <t>086-423-6101</t>
  </si>
  <si>
    <t>086-423-6103</t>
  </si>
  <si>
    <t>倉敷中央病院　救急センター</t>
  </si>
  <si>
    <t>救急センター</t>
    <rPh sb="0" eb="2">
      <t>キュウキュウ</t>
    </rPh>
    <phoneticPr fontId="2"/>
  </si>
  <si>
    <t>086-422-0210</t>
    <phoneticPr fontId="2"/>
  </si>
  <si>
    <t>〒710-8602　岡山県倉敷市美和1-1-1</t>
    <phoneticPr fontId="2"/>
  </si>
  <si>
    <t>S16-0311</t>
  </si>
  <si>
    <t>六甲病院_0311 (2)</t>
  </si>
  <si>
    <t>SR#4209267</t>
  </si>
  <si>
    <t>2016/03/28-06</t>
  </si>
  <si>
    <t>WK0TZ0</t>
  </si>
  <si>
    <t>078-302-7377</t>
  </si>
  <si>
    <t>078-302-9303</t>
  </si>
  <si>
    <t>六甲病院</t>
  </si>
  <si>
    <t>丸井様</t>
    <rPh sb="0" eb="2">
      <t>マルイ</t>
    </rPh>
    <rPh sb="2" eb="3">
      <t>サマ</t>
    </rPh>
    <phoneticPr fontId="2"/>
  </si>
  <si>
    <t>〒657-0022　兵庫県神戸市灘区土山町5-1</t>
    <rPh sb="10" eb="13">
      <t>ヒョウゴケン</t>
    </rPh>
    <rPh sb="13" eb="16">
      <t>コウベシ</t>
    </rPh>
    <rPh sb="16" eb="18">
      <t>ナダク</t>
    </rPh>
    <rPh sb="18" eb="20">
      <t>ツチヤマ</t>
    </rPh>
    <rPh sb="20" eb="21">
      <t>マチ</t>
    </rPh>
    <phoneticPr fontId="2"/>
  </si>
  <si>
    <t>CONN,COMPRESSION 166 WIRES/INCH</t>
  </si>
  <si>
    <t>S16-0312</t>
  </si>
  <si>
    <t>桜橋渡辺病院_0312 (2)</t>
  </si>
  <si>
    <t>0399NV</t>
  </si>
  <si>
    <t>SWHメディカル株式会社</t>
  </si>
  <si>
    <t>秋田様</t>
  </si>
  <si>
    <t>〒530-0028　大阪府大阪市北区万歳町3-20　北大阪ビルディング1階</t>
  </si>
  <si>
    <t>06-6311-1821</t>
  </si>
  <si>
    <t>06-6311-1820</t>
  </si>
  <si>
    <t>桜橋渡辺病院</t>
  </si>
  <si>
    <t>06-6341-8651</t>
  </si>
  <si>
    <t>〒530-0001　大阪府大阪市北区梅田2-4-32</t>
  </si>
  <si>
    <t>P00538</t>
  </si>
  <si>
    <t>S16-0313</t>
  </si>
  <si>
    <t>宮崎大学_0313 (2)</t>
  </si>
  <si>
    <t>2016/04/27-02</t>
  </si>
  <si>
    <t>WK05PP</t>
  </si>
  <si>
    <t>松浦様</t>
  </si>
  <si>
    <t>0985-24-3164</t>
  </si>
  <si>
    <t>0985-24-3202</t>
  </si>
  <si>
    <t>宮崎大学　農学部</t>
  </si>
  <si>
    <t>S16-0314</t>
  </si>
  <si>
    <t>さとに田園クリニック_0314 (2)</t>
  </si>
  <si>
    <t>038MR0</t>
  </si>
  <si>
    <t>日本コヴィディエン株式会社　透析営業部　南日本透析営業所</t>
  </si>
  <si>
    <t>※現象不再現→報告書あり・返却(5/19)</t>
  </si>
  <si>
    <t>S16-0315</t>
  </si>
  <si>
    <t>自治医科大学_0315 (2)</t>
  </si>
  <si>
    <t>SR#4206401</t>
  </si>
  <si>
    <t>03VW1F</t>
  </si>
  <si>
    <t>坂本様</t>
  </si>
  <si>
    <t>自治医科大学附属病院</t>
  </si>
  <si>
    <t>0285-44-2111</t>
  </si>
  <si>
    <t>〒329-0498　栃木県下野市薬師寺3311-1</t>
  </si>
  <si>
    <t>S16-0316</t>
  </si>
  <si>
    <t>大分県立病院_0316 (2)</t>
  </si>
  <si>
    <t>WM04JK</t>
  </si>
  <si>
    <t>日本コヴィディエン株式会社　九州第二営業所</t>
  </si>
  <si>
    <t>光浦様</t>
  </si>
  <si>
    <t>大分県立病院</t>
  </si>
  <si>
    <t>097-546-7111</t>
  </si>
  <si>
    <t>〒870-8511　大分県大分市豊饒476</t>
    <rPh sb="10" eb="13">
      <t>オオイタケン</t>
    </rPh>
    <rPh sb="13" eb="16">
      <t>オオイタシ</t>
    </rPh>
    <rPh sb="16" eb="18">
      <t>ブニョウ</t>
    </rPh>
    <phoneticPr fontId="2"/>
  </si>
  <si>
    <t>※スタンド、キーボードトレイねじ穴補修</t>
  </si>
  <si>
    <t>S16-0317</t>
  </si>
  <si>
    <t>可児とうのう病院_0317 (2)</t>
  </si>
  <si>
    <t>2016/04/28-03</t>
  </si>
  <si>
    <t>03KH6G</t>
  </si>
  <si>
    <t>富士フイルムメディカル株式会社　北陸営業所</t>
  </si>
  <si>
    <t>〒920-0919　石川県金沢市南町4-55　住友生命金沢ビル2F</t>
  </si>
  <si>
    <t>076-223-1722</t>
  </si>
  <si>
    <t>076-223-3179</t>
  </si>
  <si>
    <t>可児とうのう病院　検査課</t>
  </si>
  <si>
    <t>検査課</t>
    <rPh sb="0" eb="3">
      <t>ケンサカ</t>
    </rPh>
    <phoneticPr fontId="2"/>
  </si>
  <si>
    <t>0574-25-3113</t>
  </si>
  <si>
    <t>〒509-0206　岐阜県可児市土田1221-5</t>
  </si>
  <si>
    <t>S16-0318</t>
  </si>
  <si>
    <t>新居浜病院_0318 (2)</t>
  </si>
  <si>
    <t>SR#4209269</t>
  </si>
  <si>
    <t>2016/04/27-08</t>
  </si>
  <si>
    <t>03WFBR</t>
  </si>
  <si>
    <t>曽我部様</t>
  </si>
  <si>
    <t>〒792-0831　愛媛県新居浜市西連寺町2-7-7</t>
  </si>
  <si>
    <t>0897-47-8168</t>
  </si>
  <si>
    <t>0897-47-8018</t>
  </si>
  <si>
    <t>新居浜病院</t>
  </si>
  <si>
    <t>0897-43-6161</t>
  </si>
  <si>
    <t>〒792-0042　愛媛県新居浜市本郷3-1-1</t>
  </si>
  <si>
    <t>※P09135-03</t>
  </si>
  <si>
    <t>S16-0319</t>
  </si>
  <si>
    <t>有田内科整形リハビリクリニック_0319</t>
  </si>
  <si>
    <t>S16-0320</t>
  </si>
  <si>
    <t>赤穂市民病院_0320 (2)</t>
  </si>
  <si>
    <t>2016/05/06-06</t>
  </si>
  <si>
    <t>UP-21MDS</t>
  </si>
  <si>
    <t>35717</t>
  </si>
  <si>
    <t>株式会社やよい　神戸営業所</t>
  </si>
  <si>
    <t>島田様</t>
  </si>
  <si>
    <t>〒671-0252　兵庫県姫路市花田町加納原田735-1</t>
    <rPh sb="10" eb="13">
      <t>ヒョウゴケン</t>
    </rPh>
    <rPh sb="13" eb="16">
      <t>ヒメジシ</t>
    </rPh>
    <rPh sb="16" eb="18">
      <t>ハナダ</t>
    </rPh>
    <rPh sb="18" eb="19">
      <t>マチ</t>
    </rPh>
    <rPh sb="19" eb="21">
      <t>カノウ</t>
    </rPh>
    <rPh sb="21" eb="23">
      <t>ハラダ</t>
    </rPh>
    <phoneticPr fontId="2"/>
  </si>
  <si>
    <t>078-652-5151</t>
  </si>
  <si>
    <t>078-652-5155</t>
  </si>
  <si>
    <t>赤穂市民病院</t>
  </si>
  <si>
    <t>0791-43-3222</t>
  </si>
  <si>
    <t xml:space="preserve">〒678-0232　兵庫県赤穂市中広1090 </t>
  </si>
  <si>
    <t>リミットゴム</t>
  </si>
  <si>
    <t>リボンパネル</t>
  </si>
  <si>
    <t>S16-0321</t>
  </si>
  <si>
    <t>練馬区東海病院_0321（2）</t>
  </si>
  <si>
    <t>SR#4217599</t>
  </si>
  <si>
    <t>2016年</t>
  </si>
  <si>
    <t>WK3F2G</t>
  </si>
  <si>
    <t>島崎様</t>
  </si>
  <si>
    <t>医療法人社団　秀佑会 東海病院（練馬区）</t>
  </si>
  <si>
    <t>03-3999-1131</t>
  </si>
  <si>
    <t>〒176-0023東京都練馬区中村北2-10-11</t>
  </si>
  <si>
    <t>S16-0322</t>
  </si>
  <si>
    <t>東京大学病院_0322 (2)</t>
  </si>
  <si>
    <t>2016/05/06-07</t>
  </si>
  <si>
    <t>東京大学病院</t>
  </si>
  <si>
    <t>※現象不再現→返却（報告書あり）7/4</t>
  </si>
  <si>
    <t>S16-0323</t>
  </si>
  <si>
    <t>順天堂病院_0323 (2)</t>
  </si>
  <si>
    <t>03X60L</t>
  </si>
  <si>
    <t>株式会社栗原医療器械店　東京支店</t>
  </si>
  <si>
    <t>浅草様</t>
  </si>
  <si>
    <t>〒112-0004　東京都文京区後楽1-4-25　日教販ビル6階</t>
  </si>
  <si>
    <t>03-5802-6131</t>
  </si>
  <si>
    <t>03-5802-5081</t>
  </si>
  <si>
    <t>03-3813-3111</t>
  </si>
  <si>
    <t>〒113-8431　東京都文京区本郷3-1-3</t>
  </si>
  <si>
    <t>※点検/スタンダードプラン</t>
  </si>
  <si>
    <t>S16-0324</t>
  </si>
  <si>
    <t>代替機NIM159_0324 (2)</t>
  </si>
  <si>
    <t>SR#4209275</t>
  </si>
  <si>
    <t>S-Series</t>
  </si>
  <si>
    <t>03MHYK</t>
  </si>
  <si>
    <t>代替機 NIM159</t>
  </si>
  <si>
    <t>S16-0325</t>
  </si>
  <si>
    <t>札幌東徳州会病院_0325</t>
  </si>
  <si>
    <t>S16-0326</t>
  </si>
  <si>
    <t>国保梼原病院_0326 (2)</t>
  </si>
  <si>
    <t>SR#4209277</t>
  </si>
  <si>
    <t>2016/05/11-02</t>
  </si>
  <si>
    <t>WK1462</t>
  </si>
  <si>
    <t>〒780-0087　高知県高知市南久保9-8</t>
  </si>
  <si>
    <t>国保梼原病院</t>
  </si>
  <si>
    <t>0889-65-1151</t>
  </si>
  <si>
    <t>〒785-0612　高知県高岡郡梼原町川西路2320-1</t>
  </si>
  <si>
    <t>※P02173-02</t>
  </si>
  <si>
    <t>S16-0327</t>
  </si>
  <si>
    <t>川崎医科大学附属病院_0327 (2)</t>
  </si>
  <si>
    <t>2016/05/11-03</t>
  </si>
  <si>
    <t>033M9P</t>
  </si>
  <si>
    <t>ﾃｨｰｴｽｱﾙﾌﾚｯｻ株式会社　岡山機器試薬店</t>
  </si>
  <si>
    <t>神谷様</t>
  </si>
  <si>
    <t>川崎医科大学附属病院　腎センター</t>
  </si>
  <si>
    <t>腎センター</t>
    <rPh sb="0" eb="1">
      <t>ジン</t>
    </rPh>
    <phoneticPr fontId="2"/>
  </si>
  <si>
    <t>086-464-1111</t>
  </si>
  <si>
    <t>〒701-0192　岡山県倉敷市松島577</t>
  </si>
  <si>
    <t>※電源スイッチの位置調整で返却（報告書あり）</t>
  </si>
  <si>
    <t>S16-0328</t>
  </si>
  <si>
    <t>勤医協中央病院_0328 (2)</t>
  </si>
  <si>
    <t>2016/05/11-06</t>
  </si>
  <si>
    <t>038P86</t>
  </si>
  <si>
    <t>株式会社エム・イー器械　札幌営業所</t>
  </si>
  <si>
    <t>小西様</t>
  </si>
  <si>
    <t>〒007-0834　北海道札幌市東区北34条東19丁目1-20</t>
    <rPh sb="10" eb="13">
      <t>ホッカイドウ</t>
    </rPh>
    <rPh sb="13" eb="16">
      <t>サッポロシ</t>
    </rPh>
    <rPh sb="16" eb="18">
      <t>ヒガシク</t>
    </rPh>
    <rPh sb="18" eb="19">
      <t>キタ</t>
    </rPh>
    <rPh sb="21" eb="22">
      <t>ジョウ</t>
    </rPh>
    <rPh sb="22" eb="23">
      <t>ヒガシ</t>
    </rPh>
    <rPh sb="25" eb="27">
      <t>チョウメ</t>
    </rPh>
    <phoneticPr fontId="2"/>
  </si>
  <si>
    <t>011-789-1350</t>
  </si>
  <si>
    <t>011-789-1352</t>
  </si>
  <si>
    <t>勤医協中央病院</t>
  </si>
  <si>
    <t>在原様</t>
    <rPh sb="0" eb="2">
      <t>アリハラ</t>
    </rPh>
    <rPh sb="2" eb="3">
      <t>サマ</t>
    </rPh>
    <phoneticPr fontId="2"/>
  </si>
  <si>
    <t>綜合診療科(5東)</t>
    <rPh sb="0" eb="2">
      <t>ソウゴウ</t>
    </rPh>
    <rPh sb="2" eb="5">
      <t>シンリョウカ</t>
    </rPh>
    <rPh sb="7" eb="8">
      <t>ヒガシ</t>
    </rPh>
    <phoneticPr fontId="2"/>
  </si>
  <si>
    <t>011-782-9111</t>
  </si>
  <si>
    <t>〒007-8505　北海道札幌市東区東苗穂5条1丁目9-1</t>
    <rPh sb="10" eb="13">
      <t>ホッカイドウ</t>
    </rPh>
    <rPh sb="13" eb="16">
      <t>サッポロシ</t>
    </rPh>
    <rPh sb="16" eb="18">
      <t>ヒガシク</t>
    </rPh>
    <rPh sb="18" eb="19">
      <t>ヒガシ</t>
    </rPh>
    <rPh sb="19" eb="20">
      <t>ナエ</t>
    </rPh>
    <rPh sb="20" eb="21">
      <t>ホ</t>
    </rPh>
    <rPh sb="22" eb="23">
      <t>ジョウ</t>
    </rPh>
    <rPh sb="24" eb="26">
      <t>チョウメ</t>
    </rPh>
    <phoneticPr fontId="2"/>
  </si>
  <si>
    <t>S16-0329</t>
  </si>
  <si>
    <t>岡波総合病院_0329 (2)</t>
  </si>
  <si>
    <t>038548</t>
  </si>
  <si>
    <t>岡波総合病院　幾内会</t>
  </si>
  <si>
    <t>0595-21-3135</t>
  </si>
  <si>
    <t>〒518-0842 三重県伊賀市上野桑町1734</t>
  </si>
  <si>
    <t>S16-0330</t>
  </si>
  <si>
    <t>川口市立医療センター_0330（2）</t>
  </si>
  <si>
    <t>2016/05/10-02</t>
  </si>
  <si>
    <t>065352</t>
  </si>
  <si>
    <t>株式会社ウイン・インターナショナル　埼玉営業所</t>
  </si>
  <si>
    <t>寺坂様</t>
  </si>
  <si>
    <t>045-835-2721</t>
  </si>
  <si>
    <t>045-835-2723</t>
  </si>
  <si>
    <t>川口市立医療センター</t>
  </si>
  <si>
    <t>S16-0331</t>
  </si>
  <si>
    <t>宇治武田病院_0331 (3)</t>
  </si>
  <si>
    <t>2016/05/12-01</t>
  </si>
  <si>
    <t>WK11PD</t>
  </si>
  <si>
    <t>株式会社三笑堂</t>
  </si>
  <si>
    <t>前田様</t>
  </si>
  <si>
    <t>〒601-8533　京都府京都市南区上鳥羽大物町68</t>
  </si>
  <si>
    <t>075-681-2750</t>
  </si>
  <si>
    <t>075-681-4391</t>
  </si>
  <si>
    <t>宇治武田病院</t>
  </si>
  <si>
    <t>吉村様</t>
    <rPh sb="0" eb="2">
      <t>ヨシムラ</t>
    </rPh>
    <rPh sb="2" eb="3">
      <t>サマ</t>
    </rPh>
    <phoneticPr fontId="2"/>
  </si>
  <si>
    <t>0774-25-2500</t>
  </si>
  <si>
    <t>〒611-0021 京都府宇治市宇治里尻36-26</t>
  </si>
  <si>
    <t>Bracket screws　×　2</t>
  </si>
  <si>
    <t>S16-0332</t>
  </si>
  <si>
    <t>松本病院_0332</t>
  </si>
  <si>
    <t>S16-0333</t>
  </si>
  <si>
    <t>獨協医科大学越谷病院_0333 (2)</t>
  </si>
  <si>
    <t>2016/05/11-01</t>
  </si>
  <si>
    <t>034DYK</t>
  </si>
  <si>
    <t>株式会社 獨協メディカルサービス</t>
  </si>
  <si>
    <t>重見様</t>
  </si>
  <si>
    <t>〒343-8555　埼玉県越谷市南越谷2-1-50 獨協医科大学越谷病院内</t>
    <rPh sb="10" eb="13">
      <t>サイタマケン</t>
    </rPh>
    <rPh sb="13" eb="16">
      <t>コシガヤシ</t>
    </rPh>
    <rPh sb="16" eb="19">
      <t>ミナミコシガヤ</t>
    </rPh>
    <rPh sb="26" eb="28">
      <t>ドッキョウ</t>
    </rPh>
    <rPh sb="28" eb="30">
      <t>イカ</t>
    </rPh>
    <rPh sb="30" eb="32">
      <t>ダイガク</t>
    </rPh>
    <rPh sb="32" eb="34">
      <t>コシガヤ</t>
    </rPh>
    <rPh sb="34" eb="36">
      <t>ビョウイン</t>
    </rPh>
    <rPh sb="36" eb="37">
      <t>ナイ</t>
    </rPh>
    <phoneticPr fontId="2"/>
  </si>
  <si>
    <t>048-965-5001</t>
  </si>
  <si>
    <t>048-965-5800</t>
  </si>
  <si>
    <t>獨協医科大学越谷病院</t>
  </si>
  <si>
    <t>〒343-8555　埼玉県越谷市南越谷2-1-50</t>
    <rPh sb="10" eb="13">
      <t>サイタマケン</t>
    </rPh>
    <rPh sb="13" eb="16">
      <t>コシガヤシ</t>
    </rPh>
    <rPh sb="16" eb="17">
      <t>ミナミ</t>
    </rPh>
    <rPh sb="17" eb="19">
      <t>コシガヤ</t>
    </rPh>
    <phoneticPr fontId="2"/>
  </si>
  <si>
    <t>S16-0334</t>
  </si>
  <si>
    <t>さいたま市立病院_0334 (2)</t>
  </si>
  <si>
    <t>WK0VJR</t>
  </si>
  <si>
    <t>株式会社 栗原医療器械店 さいたま支店</t>
  </si>
  <si>
    <t>梶谷様</t>
  </si>
  <si>
    <t>.048-687-5259</t>
  </si>
  <si>
    <t>さいたま市立病院</t>
  </si>
  <si>
    <t>048-873-4111</t>
  </si>
  <si>
    <t>〒336-8522　埼玉県さいたま市緑区三室2460</t>
  </si>
  <si>
    <t>Kyco Connecto</t>
  </si>
  <si>
    <t>S16-0335</t>
  </si>
  <si>
    <t xml:space="preserve">産業医科大学_0335(2) </t>
  </si>
  <si>
    <t>032ZXZ</t>
  </si>
  <si>
    <t>産業医科大学</t>
  </si>
  <si>
    <t>093-603-1611</t>
  </si>
  <si>
    <t>〒807-8556　福岡県北九州市八幡西区医生ヶ丘1番1号</t>
  </si>
  <si>
    <t>S16-0336</t>
  </si>
  <si>
    <t>名古屋大学医学部附属病院_0336 (2)</t>
  </si>
  <si>
    <t>SR#4210905</t>
  </si>
  <si>
    <t>2016/05/17-05</t>
  </si>
  <si>
    <t>WK0W8C</t>
  </si>
  <si>
    <t>名古屋大学医学部附属病院</t>
  </si>
  <si>
    <t>052-741-2111</t>
  </si>
  <si>
    <t>〒466-8560　愛知県名古屋市昭和区鶴舞町65</t>
  </si>
  <si>
    <t>P08856-01</t>
  </si>
  <si>
    <t>P19087-01</t>
  </si>
  <si>
    <t>CONN COMPRESSION</t>
  </si>
  <si>
    <t>SERVICE ASSEMBLY CONTROL PANEL, M-TURBO, ENGLISH</t>
  </si>
  <si>
    <t>S16-0337</t>
  </si>
  <si>
    <t>代替機NIM104_0337 (2)</t>
  </si>
  <si>
    <t>SR#4209271</t>
  </si>
  <si>
    <t>S16-0338</t>
  </si>
  <si>
    <t>三つ葉在宅クリニック_0338 (2)</t>
  </si>
  <si>
    <t>2016/05/16-06</t>
  </si>
  <si>
    <t>03BM9K</t>
  </si>
  <si>
    <t>高島様</t>
  </si>
  <si>
    <t>〒460-8318　愛知県名古屋市中区千代田2-16-30</t>
  </si>
  <si>
    <t>052-261-1738</t>
  </si>
  <si>
    <t>052-251-7726</t>
  </si>
  <si>
    <t>三つ葉在宅クリニック</t>
  </si>
  <si>
    <t>052-858-3281</t>
  </si>
  <si>
    <t>〒466-0015　愛知県名古屋市昭和区御器所通3-12 　御器所ステーションビル3F</t>
  </si>
  <si>
    <t>※現象不再現→返却・報告書あり(6/3)</t>
  </si>
  <si>
    <t>S16-0339</t>
  </si>
  <si>
    <t>JCHO南海医療センター_0339 (2)</t>
  </si>
  <si>
    <t>2016/05/16-02</t>
  </si>
  <si>
    <t>C60x/5-2</t>
  </si>
  <si>
    <t>03FCH2</t>
  </si>
  <si>
    <t>P09149-04</t>
  </si>
  <si>
    <t>株式会社フィデスワン 大分営業所</t>
  </si>
  <si>
    <t>〒870-0014　大分県大分市勢泉芦崎1202-10 オリベ第3ビル1Ｆ</t>
    <phoneticPr fontId="2"/>
  </si>
  <si>
    <t>097-973-5040</t>
  </si>
  <si>
    <t>JCHO 南海医療センター</t>
  </si>
  <si>
    <t>0972-22-0547</t>
    <phoneticPr fontId="2"/>
  </si>
  <si>
    <t>〒876-0857　大分県佐伯市常盤西町11-20</t>
    <phoneticPr fontId="2"/>
  </si>
  <si>
    <t>S16-0340</t>
  </si>
  <si>
    <t>木戸病院_0340 (2)</t>
  </si>
  <si>
    <t>SR#4210909</t>
  </si>
  <si>
    <t>2016/04/26-01</t>
  </si>
  <si>
    <t>WK1HPT</t>
  </si>
  <si>
    <t>P16693-01</t>
  </si>
  <si>
    <t>025-385-8307</t>
  </si>
  <si>
    <t>025-385-8311</t>
  </si>
  <si>
    <t>木戸病院</t>
  </si>
  <si>
    <t>025-273-2151</t>
  </si>
  <si>
    <t xml:space="preserve">〒950-0862　新潟県新潟市東区竹尾4-13-3 </t>
  </si>
  <si>
    <t>※コンパネの調整にて返却→報告書あり(5/30)</t>
  </si>
  <si>
    <t>S16-0341</t>
  </si>
  <si>
    <t>さくら鍼灸接骨院_0341 (2)</t>
  </si>
  <si>
    <t>SR#4210907</t>
  </si>
  <si>
    <t>2016/5/13-05</t>
  </si>
  <si>
    <t>WK3FXG</t>
  </si>
  <si>
    <t>P16693-62</t>
  </si>
  <si>
    <t>中井様</t>
  </si>
  <si>
    <t xml:space="preserve">〒532-0004　大阪府大阪市淀川区西宮原1-3-5
</t>
  </si>
  <si>
    <t>さくら鍼灸接骨院</t>
  </si>
  <si>
    <t>小林様</t>
    <rPh sb="0" eb="2">
      <t>コバヤシ</t>
    </rPh>
    <rPh sb="2" eb="3">
      <t>サマ</t>
    </rPh>
    <phoneticPr fontId="2"/>
  </si>
  <si>
    <t>0725-33-4154</t>
  </si>
  <si>
    <t>〒595-0012　大阪府泉大津市北豊中町2-13-22</t>
    <rPh sb="10" eb="13">
      <t>オオサカフ</t>
    </rPh>
    <rPh sb="13" eb="14">
      <t>イズミ</t>
    </rPh>
    <rPh sb="14" eb="17">
      <t>オオツシ</t>
    </rPh>
    <rPh sb="17" eb="18">
      <t>キタ</t>
    </rPh>
    <rPh sb="18" eb="19">
      <t>トヨ</t>
    </rPh>
    <rPh sb="19" eb="21">
      <t>ナカマチ</t>
    </rPh>
    <phoneticPr fontId="2"/>
  </si>
  <si>
    <t>CONN, COMPRESSION</t>
  </si>
  <si>
    <t>S16-0342</t>
  </si>
  <si>
    <t>札幌厚生病院_0342 (2)</t>
  </si>
  <si>
    <t>SR#4209279</t>
  </si>
  <si>
    <t>03XV14</t>
  </si>
  <si>
    <t>山内様</t>
  </si>
  <si>
    <t>〒001-0018　北海道札幌市北区北18条西3-1-38</t>
  </si>
  <si>
    <t>011-758-0381</t>
  </si>
  <si>
    <t>011-747-9485</t>
  </si>
  <si>
    <t>札幌厚生病院</t>
  </si>
  <si>
    <t>011-261-5331</t>
  </si>
  <si>
    <t xml:space="preserve">〒060-0033　北海道札幌市中央区北3条東8丁目5
</t>
  </si>
  <si>
    <t>S16-0343</t>
  </si>
  <si>
    <t>南生協病院_0343</t>
  </si>
  <si>
    <t>S16-0344</t>
  </si>
  <si>
    <t>新潟県立新発田病院_0344 (2)</t>
  </si>
  <si>
    <t>2016/05/06-04</t>
  </si>
  <si>
    <t>0367NJ</t>
  </si>
  <si>
    <t>ジェイメディカル株式会社</t>
  </si>
  <si>
    <t>岩渕様</t>
  </si>
  <si>
    <t>〒950-8701　新潟県新潟市東区紫竹卸新町1808-22</t>
  </si>
  <si>
    <t>025-272-3311</t>
  </si>
  <si>
    <t>025-272-3321</t>
  </si>
  <si>
    <t>新潟県立新発田病院</t>
  </si>
  <si>
    <t>0254-22-3121</t>
  </si>
  <si>
    <t>〒957-8588　新潟県新発田市本町1-2-8</t>
  </si>
  <si>
    <t>※返却→報告書あり(6/14)</t>
  </si>
  <si>
    <t>S16-0345</t>
  </si>
  <si>
    <t>総合母子保健センター愛育病院_0345 (2)</t>
  </si>
  <si>
    <t>2016/05/13-01</t>
  </si>
  <si>
    <t>03BH2K</t>
  </si>
  <si>
    <t>奥村様</t>
  </si>
  <si>
    <t>総合母子保健センター愛育病院</t>
  </si>
  <si>
    <t>S16-0346</t>
  </si>
  <si>
    <t>クリニカET_0346 (2)</t>
  </si>
  <si>
    <t>2016/05/17-03</t>
  </si>
  <si>
    <t>WK1687</t>
  </si>
  <si>
    <t>P09141-24</t>
  </si>
  <si>
    <t>株式会社ムトウ　横浜支店</t>
  </si>
  <si>
    <t>大石様</t>
  </si>
  <si>
    <t>〒221-0865　神奈川県横浜市神奈川区片倉4-3-17</t>
    <rPh sb="10" eb="14">
      <t>カナガワケン</t>
    </rPh>
    <rPh sb="14" eb="17">
      <t>ヨコハマシ</t>
    </rPh>
    <rPh sb="17" eb="21">
      <t>カナガワク</t>
    </rPh>
    <rPh sb="21" eb="23">
      <t>カタクラ</t>
    </rPh>
    <phoneticPr fontId="2"/>
  </si>
  <si>
    <t>045-491-6107</t>
  </si>
  <si>
    <t>045-491-6137</t>
  </si>
  <si>
    <t>クリニカET</t>
  </si>
  <si>
    <t>清水様</t>
    <rPh sb="0" eb="2">
      <t>シミズ</t>
    </rPh>
    <rPh sb="2" eb="3">
      <t>サマ</t>
    </rPh>
    <phoneticPr fontId="2"/>
  </si>
  <si>
    <t>045-942-2701</t>
  </si>
  <si>
    <t>〒224-0032　神奈川県横浜市都筑区茅ヶ崎中央36-6</t>
    <rPh sb="10" eb="14">
      <t>カナガワケン</t>
    </rPh>
    <rPh sb="14" eb="17">
      <t>ヨコハマシ</t>
    </rPh>
    <rPh sb="17" eb="20">
      <t>ツヅキク</t>
    </rPh>
    <rPh sb="20" eb="23">
      <t>チガサキ</t>
    </rPh>
    <rPh sb="23" eb="25">
      <t>チュウオウ</t>
    </rPh>
    <phoneticPr fontId="2"/>
  </si>
  <si>
    <t>※アダプタの交換のみで</t>
  </si>
  <si>
    <t>S16-0347</t>
  </si>
  <si>
    <t>デモ機HIG3_0347</t>
  </si>
  <si>
    <t>S16-0348</t>
  </si>
  <si>
    <t>西川農場_0348 (2)</t>
  </si>
  <si>
    <t>2016/05/16-01</t>
  </si>
  <si>
    <t>01G2YF</t>
  </si>
  <si>
    <t>西川農場</t>
  </si>
  <si>
    <t>村井様</t>
  </si>
  <si>
    <t>〒059-2564　北海道日高郡新ひだか町静内西川258-1</t>
    <rPh sb="10" eb="13">
      <t>ホッカイドウ</t>
    </rPh>
    <rPh sb="13" eb="16">
      <t>ヒダカグン</t>
    </rPh>
    <rPh sb="16" eb="17">
      <t>シン</t>
    </rPh>
    <rPh sb="20" eb="21">
      <t>マチ</t>
    </rPh>
    <rPh sb="21" eb="22">
      <t>セイ</t>
    </rPh>
    <rPh sb="22" eb="23">
      <t>ナイ</t>
    </rPh>
    <rPh sb="23" eb="24">
      <t>ニシ</t>
    </rPh>
    <rPh sb="24" eb="25">
      <t>カワ</t>
    </rPh>
    <phoneticPr fontId="2"/>
  </si>
  <si>
    <t>0146-44-2383</t>
  </si>
  <si>
    <t>施設直接</t>
    <rPh sb="0" eb="2">
      <t>シセツ</t>
    </rPh>
    <rPh sb="2" eb="4">
      <t>チョクセツ</t>
    </rPh>
    <phoneticPr fontId="2"/>
  </si>
  <si>
    <t>※修理キャンセル→返却(6/15)</t>
  </si>
  <si>
    <t>S16-0349</t>
  </si>
  <si>
    <t xml:space="preserve">青森県立中央病院_0349(2) </t>
  </si>
  <si>
    <t>2016/05/16-03</t>
  </si>
  <si>
    <t>03HMQ3</t>
  </si>
  <si>
    <t>株式会社日立製作所 ヘルスケア弘前事業所</t>
  </si>
  <si>
    <t>後藤様</t>
  </si>
  <si>
    <t>〒036-8164 　青森県弘前市泉野5-5-6</t>
  </si>
  <si>
    <t>0172-89-3456</t>
  </si>
  <si>
    <t>0172-89-3458</t>
  </si>
  <si>
    <t>青森県立中央病院</t>
  </si>
  <si>
    <t>017-726-8111</t>
  </si>
  <si>
    <t xml:space="preserve">〒030-8553 青森県青森市東造道2丁目1-1 </t>
  </si>
  <si>
    <t>S16-0350</t>
  </si>
  <si>
    <t>一宮西病院_0350 (2)</t>
  </si>
  <si>
    <t>2015/04/21-09</t>
  </si>
  <si>
    <t>03YW1T</t>
  </si>
  <si>
    <t>P05677-10</t>
  </si>
  <si>
    <t>株式会社八神製作所 一宮営業所</t>
  </si>
  <si>
    <t>0586-44-1171</t>
  </si>
  <si>
    <t>一宮西病院</t>
  </si>
  <si>
    <t>八瀬様</t>
    <rPh sb="0" eb="1">
      <t>ハチ</t>
    </rPh>
    <rPh sb="1" eb="2">
      <t>セ</t>
    </rPh>
    <rPh sb="2" eb="3">
      <t>サマ</t>
    </rPh>
    <phoneticPr fontId="2"/>
  </si>
  <si>
    <t>0586-85-7728</t>
  </si>
  <si>
    <t>〒494-0001　愛知県一宮市開明字平1</t>
    <rPh sb="10" eb="13">
      <t>アイチケン</t>
    </rPh>
    <rPh sb="13" eb="16">
      <t>イチノミヤシ</t>
    </rPh>
    <rPh sb="16" eb="17">
      <t>カイ</t>
    </rPh>
    <rPh sb="17" eb="18">
      <t>メイ</t>
    </rPh>
    <rPh sb="18" eb="19">
      <t>アザ</t>
    </rPh>
    <rPh sb="19" eb="20">
      <t>タイ</t>
    </rPh>
    <phoneticPr fontId="2"/>
  </si>
  <si>
    <t>P05677-11</t>
  </si>
  <si>
    <t>SonoSite TEEx/8-3 Transducer (MicroMaxx, M-Turbo, Edge, S-PREMIER)</t>
  </si>
  <si>
    <t>※新品交換(TEEx)</t>
  </si>
  <si>
    <t>S16-0351</t>
  </si>
  <si>
    <t>京都府立医科大学病院_0351 (2)</t>
  </si>
  <si>
    <t>2016/05/17-01</t>
  </si>
  <si>
    <t>C11x/8-5</t>
  </si>
  <si>
    <t>03W5RZ</t>
  </si>
  <si>
    <t>P09167-05</t>
  </si>
  <si>
    <t>京都府立医科大学附属病院</t>
  </si>
  <si>
    <t>075-251-5111</t>
  </si>
  <si>
    <t>〒602-8566　京都府京都市上京区河原町通広小路上る梶井町465</t>
  </si>
  <si>
    <t>S16-0352</t>
  </si>
  <si>
    <t>岡山大学病院_0352 (2)</t>
  </si>
  <si>
    <t>03F5Q1</t>
  </si>
  <si>
    <t>奥田様</t>
  </si>
  <si>
    <t>岡山大学病院</t>
  </si>
  <si>
    <t>086-223-7151</t>
  </si>
  <si>
    <t>〒700-8558　岡山県岡山市北区鹿田町2-5-1</t>
    <rPh sb="10" eb="13">
      <t>オカヤマケン</t>
    </rPh>
    <rPh sb="13" eb="16">
      <t>オカヤマシ</t>
    </rPh>
    <rPh sb="16" eb="18">
      <t>キタク</t>
    </rPh>
    <rPh sb="18" eb="19">
      <t>シカ</t>
    </rPh>
    <rPh sb="19" eb="20">
      <t>タ</t>
    </rPh>
    <rPh sb="20" eb="21">
      <t>マチ</t>
    </rPh>
    <phoneticPr fontId="2"/>
  </si>
  <si>
    <t>※修理キャンセル→返却(8/8)</t>
  </si>
  <si>
    <t>S16-0353</t>
  </si>
  <si>
    <t>協和中央病院_0353 (2)</t>
  </si>
  <si>
    <t>2016/05/12-02</t>
  </si>
  <si>
    <t>03D3QB</t>
  </si>
  <si>
    <t>P08063-04</t>
  </si>
  <si>
    <t>〒305-0821　茨城県つくば市春日3-5-6</t>
  </si>
  <si>
    <t>029-851-2741</t>
  </si>
  <si>
    <t>029-855-7565</t>
  </si>
  <si>
    <t>協和中央病院　生理検査室</t>
  </si>
  <si>
    <t>0296-57-6131</t>
  </si>
  <si>
    <t>〒309-1107　茨城県筑西市門井1676-1</t>
    <rPh sb="10" eb="13">
      <t>イバラキケン</t>
    </rPh>
    <rPh sb="13" eb="16">
      <t>チクセイシ</t>
    </rPh>
    <rPh sb="16" eb="17">
      <t>モン</t>
    </rPh>
    <rPh sb="17" eb="18">
      <t>イ</t>
    </rPh>
    <phoneticPr fontId="2"/>
  </si>
  <si>
    <t>S16-0354</t>
  </si>
  <si>
    <t>和歌山県立医科大学附属病院_0354 (2)</t>
  </si>
  <si>
    <t>2016/5/12-03</t>
  </si>
  <si>
    <t>S-Series Stand</t>
  </si>
  <si>
    <t>WM03V4</t>
  </si>
  <si>
    <t>P10288-02</t>
  </si>
  <si>
    <t>セイコーメディカル株式会社　本社</t>
  </si>
  <si>
    <t>中屋様</t>
  </si>
  <si>
    <t>〒640-8287　和歌山県和歌山市築港6-9-10</t>
    <rPh sb="10" eb="14">
      <t>ワカヤマケン</t>
    </rPh>
    <rPh sb="14" eb="18">
      <t>ワカヤマシ</t>
    </rPh>
    <rPh sb="18" eb="20">
      <t>チッコウ</t>
    </rPh>
    <phoneticPr fontId="2"/>
  </si>
  <si>
    <t>和歌山県立医科大学附属病院　麻酔科</t>
  </si>
  <si>
    <t>稲垣様</t>
    <rPh sb="0" eb="2">
      <t>イナガキ</t>
    </rPh>
    <rPh sb="2" eb="3">
      <t>サマ</t>
    </rPh>
    <phoneticPr fontId="2"/>
  </si>
  <si>
    <t>073-447-2300</t>
  </si>
  <si>
    <t>〒641-8509　和歌山市紀三井寺811-1</t>
  </si>
  <si>
    <t>S16-0355</t>
  </si>
  <si>
    <t>デモ機WST7_0355 (2)</t>
  </si>
  <si>
    <t>03K3C0</t>
  </si>
  <si>
    <t>デモ機WST7</t>
  </si>
  <si>
    <t>S16-0356</t>
  </si>
  <si>
    <t>神戸徳洲会病院_0356 (2)</t>
  </si>
  <si>
    <t>038P8J</t>
  </si>
  <si>
    <t>日本コヴィディエン株式会社　京滋兵庫営業所</t>
  </si>
  <si>
    <t>塩川様</t>
  </si>
  <si>
    <t>神戸徳洲会病院</t>
  </si>
  <si>
    <t>078-707-1110</t>
  </si>
  <si>
    <t>〒655-0017　兵庫県神戸市垂水区上高丸1-3-10</t>
    <rPh sb="10" eb="13">
      <t>ヒョウゴケン</t>
    </rPh>
    <rPh sb="13" eb="16">
      <t>コウベシ</t>
    </rPh>
    <rPh sb="16" eb="19">
      <t>タルミク</t>
    </rPh>
    <rPh sb="19" eb="20">
      <t>カミ</t>
    </rPh>
    <rPh sb="20" eb="21">
      <t>タカ</t>
    </rPh>
    <rPh sb="21" eb="22">
      <t>マル</t>
    </rPh>
    <phoneticPr fontId="2"/>
  </si>
  <si>
    <t>※修理キャンセル（6/14)やよい　神戸　犬伏様宛に返却</t>
  </si>
  <si>
    <t>S16-0357</t>
  </si>
  <si>
    <t>中濃厚生病院_0357 (2)</t>
  </si>
  <si>
    <t>2016/05/19-01</t>
  </si>
  <si>
    <t>WK02TV</t>
  </si>
  <si>
    <t>株式会社 八神製作所 岐阜営業所</t>
  </si>
  <si>
    <t>新井様</t>
    <rPh sb="0" eb="3">
      <t>アライサマ</t>
    </rPh>
    <phoneticPr fontId="2"/>
  </si>
  <si>
    <t>救命救急センター</t>
    <rPh sb="0" eb="4">
      <t>キュウメイキュキュウ</t>
    </rPh>
    <phoneticPr fontId="2"/>
  </si>
  <si>
    <t>〒501-3802　岐阜県関市若草通5-1</t>
  </si>
  <si>
    <t>S16-0358</t>
  </si>
  <si>
    <t>聖隷浜松病院_0358</t>
  </si>
  <si>
    <t>S16-0359</t>
  </si>
  <si>
    <t>名古屋市立東部医療センター_0359 (2)</t>
  </si>
  <si>
    <t>2016/05/23-05</t>
  </si>
  <si>
    <t>0402BM</t>
  </si>
  <si>
    <t>P09168-50</t>
  </si>
  <si>
    <t>株式会社八神製作所　本社</t>
  </si>
  <si>
    <t>〒460-8318　愛知県名古屋市中区千代田二丁目16番30号</t>
  </si>
  <si>
    <t>052-251-6671</t>
  </si>
  <si>
    <t>名古屋市立東部医療センター</t>
  </si>
  <si>
    <t>052-721-7171</t>
  </si>
  <si>
    <t>〒464-8547 愛知県名古屋市千種区若水一丁目2番23号</t>
  </si>
  <si>
    <t>※プローブ無償交換</t>
  </si>
  <si>
    <t>S16-0360</t>
  </si>
  <si>
    <t>JA尾道総合病院_0360 (2)</t>
  </si>
  <si>
    <t>2016/05/17-04</t>
  </si>
  <si>
    <t>03F8Q1</t>
  </si>
  <si>
    <t>尾道医療機器株式会社</t>
  </si>
  <si>
    <t>大礒様</t>
  </si>
  <si>
    <t>〒722-0037　広島県広島市西御所町6-3</t>
    <rPh sb="10" eb="13">
      <t>ヒロシマケン</t>
    </rPh>
    <rPh sb="13" eb="16">
      <t>ヒロシマシ</t>
    </rPh>
    <rPh sb="16" eb="17">
      <t>ニシ</t>
    </rPh>
    <rPh sb="17" eb="19">
      <t>ゴショ</t>
    </rPh>
    <rPh sb="19" eb="20">
      <t>マチ</t>
    </rPh>
    <phoneticPr fontId="2"/>
  </si>
  <si>
    <t>0848-22-7904</t>
  </si>
  <si>
    <t>0848-227902</t>
  </si>
  <si>
    <t>JA尾道総合病院</t>
  </si>
  <si>
    <t>0848-22-8111</t>
  </si>
  <si>
    <t>〒722-8508 広島県尾道市平原1-10-23</t>
  </si>
  <si>
    <t>※コネクタ基板のクリーニング、及び接続レバーの調整を実施。</t>
  </si>
  <si>
    <t>S16-0361</t>
  </si>
  <si>
    <t>デモ機MAK41_0361</t>
  </si>
  <si>
    <t>S16-0362</t>
  </si>
  <si>
    <t>福岡徳洲会病院_0362 (2)</t>
  </si>
  <si>
    <t>03CVJN</t>
  </si>
  <si>
    <t>日本コヴィディエン株式会社　九州第一営業所</t>
  </si>
  <si>
    <t>福岡徳洲会病院</t>
  </si>
  <si>
    <t>〒816-0864 福岡県春日市須玖北4丁目5番地</t>
  </si>
  <si>
    <t>S16-0363</t>
  </si>
  <si>
    <t>日本医科大学_0363</t>
  </si>
  <si>
    <t>S16-0364</t>
  </si>
  <si>
    <t>市立横手病院_0364 (2)</t>
  </si>
  <si>
    <t>WK1D6F</t>
  </si>
  <si>
    <t>日本コヴィディエン株式会社　南東北営業所</t>
  </si>
  <si>
    <t>市立横手病院</t>
  </si>
  <si>
    <t>0182-32-5001</t>
  </si>
  <si>
    <t>〒013-0016　秋田県横手市根岸町5-31</t>
  </si>
  <si>
    <t>※ネジ穴の補修、及び固定ネジの交換を実施。</t>
  </si>
  <si>
    <t>S16-0365</t>
  </si>
  <si>
    <t>市立旭川病院_0365 (2)</t>
  </si>
  <si>
    <t>01LC0Z</t>
  </si>
  <si>
    <t>富士フイルムメディカル株式会社　札幌支店</t>
  </si>
  <si>
    <t>山内 様</t>
  </si>
  <si>
    <t>市立旭川病院</t>
  </si>
  <si>
    <t xml:space="preserve">0166-24-3181 </t>
  </si>
  <si>
    <t>〒070-8610 北海道旭川市金星町1丁目1番65号</t>
  </si>
  <si>
    <t>※修理キャンセル→返却(7/13)返却先はFMS旭川営業所のソウマ様宛て</t>
  </si>
  <si>
    <t>S16-0366</t>
  </si>
  <si>
    <t>加納岩総合病院_0366 (2)</t>
  </si>
  <si>
    <t>01J3ZG</t>
  </si>
  <si>
    <t>マコト医科精機株式会社</t>
  </si>
  <si>
    <t>藤巻様</t>
  </si>
  <si>
    <t>〒409-3845　山梨県中央市流通団地北5番地</t>
  </si>
  <si>
    <t>055-273-0333</t>
  </si>
  <si>
    <t>055-273-7626</t>
  </si>
  <si>
    <t>加納岩総合病院</t>
  </si>
  <si>
    <t>0553-22-2511</t>
  </si>
  <si>
    <t>〒405-0018 山梨県山梨市上神内川1309</t>
  </si>
  <si>
    <t>S16-0367</t>
  </si>
  <si>
    <t>和歌山医療センター_0367 (2)</t>
  </si>
  <si>
    <t>SR#4211165</t>
  </si>
  <si>
    <t>WK0H3W</t>
  </si>
  <si>
    <t>株式会社大黒</t>
  </si>
  <si>
    <t>岡本様</t>
  </si>
  <si>
    <t>〒641-0012　和歌山県和歌山市紀三井寺855-71</t>
  </si>
  <si>
    <t>073-441-5051</t>
  </si>
  <si>
    <t>073-445-7205</t>
  </si>
  <si>
    <t>和歌山医療センター</t>
  </si>
  <si>
    <t>073-422-4171</t>
  </si>
  <si>
    <t>〒640-8558　和歌山市小松原通四丁目20番地</t>
  </si>
  <si>
    <t>P05462-01</t>
  </si>
  <si>
    <t>SERVICE ASSEMBLY CONTROL PANEL, MICROMAXX, ENGLISH</t>
  </si>
  <si>
    <t>S16-0368</t>
  </si>
  <si>
    <t>藤岡総合病院_0368 (2)</t>
  </si>
  <si>
    <t>2016/04/20-03</t>
  </si>
  <si>
    <t>WK0WJD</t>
  </si>
  <si>
    <t>P0914-23</t>
  </si>
  <si>
    <t>〒379-2154　群馬県前橋市天川大島町2-26-13</t>
  </si>
  <si>
    <t>027-223-6760</t>
  </si>
  <si>
    <t>027-223-3017</t>
  </si>
  <si>
    <t>藤岡総合病院</t>
  </si>
  <si>
    <t>0274-22-3311</t>
  </si>
  <si>
    <t>〒375-8503　群馬県藤岡市藤岡942番地1</t>
  </si>
  <si>
    <t>※様子見返却・報告書あり(6/16)</t>
  </si>
  <si>
    <t>S16-0369</t>
  </si>
  <si>
    <t>群馬県立がんセンター_0369 (2)</t>
  </si>
  <si>
    <t>SR#4211159</t>
  </si>
  <si>
    <t>2016/05/24-06</t>
  </si>
  <si>
    <t>03WF3F</t>
  </si>
  <si>
    <t>群馬県立がんセンター</t>
  </si>
  <si>
    <t>0276-38-0771</t>
  </si>
  <si>
    <t>〒373-8550 群馬県太田市高林西町617-1</t>
  </si>
  <si>
    <t>S16-0370</t>
  </si>
  <si>
    <t>九州医療センター_0370 (2)</t>
  </si>
  <si>
    <t>2016/03/30-04</t>
  </si>
  <si>
    <t>P21x/5-1</t>
  </si>
  <si>
    <t>03CP65</t>
  </si>
  <si>
    <t>P09171-03</t>
  </si>
  <si>
    <t>九州医療センター</t>
  </si>
  <si>
    <t>092-852-0700</t>
  </si>
  <si>
    <t>〒810-8563　福岡市中央区地行浜1-8-1</t>
  </si>
  <si>
    <t>※作業報告書はなし</t>
  </si>
  <si>
    <t>S16-0371</t>
  </si>
  <si>
    <t>市立札幌病院_0371 (2)</t>
  </si>
  <si>
    <t>SR#4211161</t>
  </si>
  <si>
    <t>2016/05/25-02</t>
  </si>
  <si>
    <t>03WRBP</t>
  </si>
  <si>
    <t>〒003-0021　北海道札幌市白石区栄通4丁目3-1</t>
  </si>
  <si>
    <t>〒060-8604 北海道札幌市中央区北11条西13丁目1-1</t>
  </si>
  <si>
    <t>P07750-04</t>
  </si>
  <si>
    <t>ASSEMBLY, NEST FRAME, TURBO</t>
  </si>
  <si>
    <t>S16-0372</t>
  </si>
  <si>
    <t>横浜市立大学病院_0372 (2)</t>
  </si>
  <si>
    <t>2016/05/25-03</t>
  </si>
  <si>
    <t>03LDTH</t>
  </si>
  <si>
    <t>P09171-05</t>
  </si>
  <si>
    <t>芝滝 様</t>
  </si>
  <si>
    <t>横浜市立大学病院</t>
  </si>
  <si>
    <t>045-787-2800</t>
  </si>
  <si>
    <t>P09171-51</t>
  </si>
  <si>
    <t>P21x/5-1 Phased Array Transducer (M-Turbo, Edge, S)</t>
  </si>
  <si>
    <t>※P21x/5-1(S/N:043H8M)交換・9/16出荷</t>
  </si>
  <si>
    <t>S16-0373</t>
  </si>
  <si>
    <t>岐阜大学病院_0373 (2)</t>
  </si>
  <si>
    <t>2016/05/27-01</t>
  </si>
  <si>
    <t>03G3H6</t>
  </si>
  <si>
    <t>井上精機株式会社　本社</t>
  </si>
  <si>
    <t>鷲津様</t>
  </si>
  <si>
    <t>〒500-8687　岐阜県岐阜市玉宮町1-11</t>
    <phoneticPr fontId="2"/>
  </si>
  <si>
    <t>058-265-4501</t>
  </si>
  <si>
    <t>058-262-7858</t>
  </si>
  <si>
    <t>岐阜大学医学部附属病院 高度救命救急センタ</t>
  </si>
  <si>
    <t>杉原様</t>
    <rPh sb="0" eb="2">
      <t>スギハラ</t>
    </rPh>
    <rPh sb="2" eb="3">
      <t>サマ</t>
    </rPh>
    <phoneticPr fontId="2"/>
  </si>
  <si>
    <t>高度救急救命センター</t>
    <rPh sb="0" eb="2">
      <t>コウド</t>
    </rPh>
    <rPh sb="2" eb="4">
      <t>キュウキュウ</t>
    </rPh>
    <rPh sb="4" eb="6">
      <t>キュウメイ</t>
    </rPh>
    <phoneticPr fontId="2"/>
  </si>
  <si>
    <t>058-230-6000</t>
    <phoneticPr fontId="2"/>
  </si>
  <si>
    <t>〒501-1194　岐阜県岐阜市柳戸１番１</t>
    <phoneticPr fontId="2"/>
  </si>
  <si>
    <t>S16-0374</t>
  </si>
  <si>
    <t>宮前診療所_0374 (2)</t>
  </si>
  <si>
    <t>SR#4212137</t>
  </si>
  <si>
    <t>2016/05/24-08</t>
  </si>
  <si>
    <t>WK2886</t>
  </si>
  <si>
    <t>P16693-03</t>
  </si>
  <si>
    <t>山川様</t>
  </si>
  <si>
    <t>宮前診療所</t>
  </si>
  <si>
    <t>院長　尾邉利英様</t>
    <rPh sb="0" eb="2">
      <t>インチョウ</t>
    </rPh>
    <rPh sb="3" eb="4">
      <t>オ</t>
    </rPh>
    <rPh sb="4" eb="5">
      <t>ナベ</t>
    </rPh>
    <rPh sb="5" eb="7">
      <t>トシヒデ</t>
    </rPh>
    <rPh sb="7" eb="8">
      <t>サマ</t>
    </rPh>
    <phoneticPr fontId="2"/>
  </si>
  <si>
    <t>内科</t>
    <rPh sb="0" eb="2">
      <t>ナイカ</t>
    </rPh>
    <phoneticPr fontId="2"/>
  </si>
  <si>
    <t>0598-46-0003</t>
  </si>
  <si>
    <t>〒515-1502　三重県松阪市飯高町宮前1104</t>
    <rPh sb="10" eb="13">
      <t>ミエケン</t>
    </rPh>
    <rPh sb="13" eb="16">
      <t>マツサカシ</t>
    </rPh>
    <rPh sb="16" eb="18">
      <t>イイタカ</t>
    </rPh>
    <rPh sb="18" eb="19">
      <t>マチ</t>
    </rPh>
    <rPh sb="19" eb="21">
      <t>ミヤマエ</t>
    </rPh>
    <phoneticPr fontId="2"/>
  </si>
  <si>
    <t>S16-0375</t>
  </si>
  <si>
    <t>JAとりで総合医療センター_0375 (2)</t>
  </si>
  <si>
    <t>2016/05/25-06</t>
  </si>
  <si>
    <t>-</t>
    <phoneticPr fontId="2"/>
  </si>
  <si>
    <t>039TT7</t>
  </si>
  <si>
    <t>株式会社 栗原医療器械店 土浦支店</t>
  </si>
  <si>
    <t>阿久津様　藤枝様</t>
  </si>
  <si>
    <t xml:space="preserve"> 〒300-0063　茨城県土浦市若松町1-21　</t>
    <phoneticPr fontId="2"/>
  </si>
  <si>
    <t>JAとりで総合医療センター</t>
  </si>
  <si>
    <t>0297-74-5551</t>
    <phoneticPr fontId="2"/>
  </si>
  <si>
    <t>302-0022　茨城県取手市本郷2-1-1</t>
    <phoneticPr fontId="2"/>
  </si>
  <si>
    <t>S16-0376</t>
  </si>
  <si>
    <t>横浜痛みのクリニック_0376 (2)</t>
  </si>
  <si>
    <t>03YYWX</t>
  </si>
  <si>
    <t>P13811-02</t>
  </si>
  <si>
    <t>〒222-0033　神奈川県横浜市港北区新横浜2-8-11</t>
    <phoneticPr fontId="2"/>
  </si>
  <si>
    <t>S16-0377</t>
  </si>
  <si>
    <t>川崎医科大学附属病院_0377 (2)</t>
  </si>
  <si>
    <t>SR#4230109</t>
  </si>
  <si>
    <t>2016/05/30-02</t>
  </si>
  <si>
    <t>03J175</t>
  </si>
  <si>
    <t>株式会社カワニシ岡山支店</t>
  </si>
  <si>
    <t>井本様</t>
  </si>
  <si>
    <t>〒700-8528 　岡山県岡山市北区今1-4-31</t>
  </si>
  <si>
    <t>川崎医科大学 麻酔科 ICU</t>
  </si>
  <si>
    <t>麻酔科　ICU</t>
    <rPh sb="0" eb="2">
      <t>マスイカ</t>
    </rPh>
    <phoneticPr fontId="2"/>
  </si>
  <si>
    <t>086-462-1111</t>
  </si>
  <si>
    <t>※本体とバッテリーで出荷(8/2)</t>
  </si>
  <si>
    <t>S16-0378</t>
  </si>
  <si>
    <t>宮崎大学病院_0378 (2)</t>
  </si>
  <si>
    <t>03VH9K</t>
  </si>
  <si>
    <t>木下様</t>
  </si>
  <si>
    <t>0985-85-1510</t>
  </si>
  <si>
    <t>〒889-1692 宮崎県宮崎市清武町木原5200</t>
  </si>
  <si>
    <t>S16-0379</t>
  </si>
  <si>
    <t>国際医療研究センター_0379 (2)</t>
  </si>
  <si>
    <t>SR#4217609</t>
  </si>
  <si>
    <t>03WGB8</t>
  </si>
  <si>
    <t>辻山様</t>
  </si>
  <si>
    <t>国立国際医療研究センター病院</t>
  </si>
  <si>
    <t>03-3202-7181</t>
  </si>
  <si>
    <t>〒162-8655　東京都新宿区戸山1-21-1</t>
  </si>
  <si>
    <t>S16-0380</t>
  </si>
  <si>
    <t>藤田保健衛生大学_0380 (2)</t>
  </si>
  <si>
    <t>SR#4212135</t>
  </si>
  <si>
    <t>03X4P7</t>
  </si>
  <si>
    <t>日本コヴィディエン株式会社 愛知岐阜営業所</t>
  </si>
  <si>
    <t>藤田保健衛生大学病院</t>
  </si>
  <si>
    <t>0562-93-2111</t>
  </si>
  <si>
    <t>〒470-1192 愛知県豊明市沓掛町田楽ヶ窪1番地98</t>
  </si>
  <si>
    <t>S16-0381</t>
  </si>
  <si>
    <t>水俣市立総合医療センター_0381 (2)</t>
  </si>
  <si>
    <t>SR#4213981</t>
  </si>
  <si>
    <t>2016/5/25-07</t>
  </si>
  <si>
    <t>WK1569</t>
  </si>
  <si>
    <t>P09142-24</t>
  </si>
  <si>
    <t>株式会社フィデスワン　熊本営業所</t>
  </si>
  <si>
    <t>小島様</t>
  </si>
  <si>
    <t>〒860-0826　熊本県熊本市南区平田2-20-36　エレンスウエストビル1F</t>
  </si>
  <si>
    <t>096-312-5660</t>
  </si>
  <si>
    <t>096-312-5661</t>
  </si>
  <si>
    <t>水俣市立総合医療センター</t>
  </si>
  <si>
    <t>0966-63-2101</t>
  </si>
  <si>
    <t>〒867-0041　熊本県水俣市天神町1丁目2番1号</t>
  </si>
  <si>
    <t>※本体先行で返却(8/29) ミニドックの発注書待ち→10/4発注書到着。出荷</t>
  </si>
  <si>
    <t>S16-0382</t>
  </si>
  <si>
    <t>東京大学病院_0382 (2)</t>
  </si>
  <si>
    <t>SR#</t>
    <phoneticPr fontId="2"/>
  </si>
  <si>
    <t>iLook Docking Station</t>
  </si>
  <si>
    <t>033590</t>
  </si>
  <si>
    <t>P04313-01</t>
  </si>
  <si>
    <t>野間様</t>
  </si>
  <si>
    <t>S16-0383</t>
  </si>
  <si>
    <t>植木病院_0383</t>
  </si>
  <si>
    <t>S16-0384</t>
  </si>
  <si>
    <t>佐賀医療センター_0384 (2)</t>
  </si>
  <si>
    <t>2016/05/26-02</t>
  </si>
  <si>
    <t>03JNJJ</t>
  </si>
  <si>
    <t>株式会社キシヤ　佐賀営業所</t>
  </si>
  <si>
    <t>御園様　→　三原様</t>
  </si>
  <si>
    <t>〒840-0857　佐賀県佐賀市鍋島町大字八戸3036-3</t>
    <rPh sb="10" eb="13">
      <t>サガケン</t>
    </rPh>
    <rPh sb="13" eb="16">
      <t>サガシ</t>
    </rPh>
    <rPh sb="16" eb="17">
      <t>ナベ</t>
    </rPh>
    <rPh sb="17" eb="18">
      <t>シマ</t>
    </rPh>
    <rPh sb="18" eb="19">
      <t>マチ</t>
    </rPh>
    <rPh sb="19" eb="21">
      <t>オオアザ</t>
    </rPh>
    <rPh sb="21" eb="23">
      <t>ハチノヘ</t>
    </rPh>
    <phoneticPr fontId="2"/>
  </si>
  <si>
    <t>0952-24-3350</t>
  </si>
  <si>
    <t>0952-24-3357</t>
  </si>
  <si>
    <t>佐賀県医療センター好生館</t>
  </si>
  <si>
    <t>MEセンター(ER)</t>
  </si>
  <si>
    <t>0952-24-2171</t>
  </si>
  <si>
    <t>〒840-8571 佐賀県佐賀市嘉瀬町大字中原400</t>
  </si>
  <si>
    <t>※作業報告書なし</t>
  </si>
  <si>
    <t>S16-0385</t>
  </si>
  <si>
    <t>埼玉石心会病院_0385 (2)</t>
  </si>
  <si>
    <t>SR#4212131</t>
  </si>
  <si>
    <t>2016/05/27-04</t>
  </si>
  <si>
    <t>03T3MK</t>
  </si>
  <si>
    <t>株式会社アイビージャパン</t>
  </si>
  <si>
    <t>〒350-0045　埼玉県川越市南通町13-2　西澤ビル２F</t>
  </si>
  <si>
    <t>049-211-1020</t>
  </si>
  <si>
    <t>049-211-1021</t>
  </si>
  <si>
    <t>埼玉石心会病院</t>
  </si>
  <si>
    <t>04-2953-6611</t>
  </si>
  <si>
    <t>〒350-1323 埼玉県狭山市鵜ノ木1-33</t>
  </si>
  <si>
    <t>S16-0386</t>
  </si>
  <si>
    <t>福岡徳洲会病院_0386 (2)</t>
  </si>
  <si>
    <t>2016/05/31-02</t>
  </si>
  <si>
    <t>01J40C</t>
  </si>
  <si>
    <t>株式会社 キシヤ</t>
  </si>
  <si>
    <t>橋谷様</t>
  </si>
  <si>
    <t>〒812-0062　福岡県福岡市東区松島1-41-21</t>
    <rPh sb="10" eb="12">
      <t>フクオカ</t>
    </rPh>
    <rPh sb="12" eb="13">
      <t>ケン</t>
    </rPh>
    <rPh sb="13" eb="16">
      <t>フクオカシ</t>
    </rPh>
    <rPh sb="16" eb="18">
      <t>ヒガシク</t>
    </rPh>
    <rPh sb="18" eb="20">
      <t>マツシマ</t>
    </rPh>
    <phoneticPr fontId="2"/>
  </si>
  <si>
    <t>S16-0387</t>
  </si>
  <si>
    <t>大月市立中央病院_0387 (2)</t>
  </si>
  <si>
    <t>SR#4230119</t>
  </si>
  <si>
    <t>2016/05/27-02</t>
  </si>
  <si>
    <t>L38e/13-6</t>
  </si>
  <si>
    <t>0393CD</t>
  </si>
  <si>
    <t>豊前医化株式会社</t>
  </si>
  <si>
    <t>中込様</t>
  </si>
  <si>
    <t xml:space="preserve">〒409-3812　山梨県中央市乙黒107-6 </t>
  </si>
  <si>
    <t>055-274-8800</t>
  </si>
  <si>
    <t>054-274-8808</t>
  </si>
  <si>
    <t>大月市立中央病院</t>
  </si>
  <si>
    <t>小林様</t>
    <rPh sb="0" eb="1">
      <t>コバヤシ</t>
    </rPh>
    <rPh sb="1" eb="2">
      <t>サマ</t>
    </rPh>
    <phoneticPr fontId="2"/>
  </si>
  <si>
    <t>手術室</t>
    <rPh sb="0" eb="1">
      <t>シュジュツ</t>
    </rPh>
    <rPh sb="1" eb="2">
      <t>シツ</t>
    </rPh>
    <phoneticPr fontId="2"/>
  </si>
  <si>
    <t>0554-22-1251</t>
  </si>
  <si>
    <t>〒401-0015 山梨県大月市大月町花咲1225</t>
  </si>
  <si>
    <t>S16-0388</t>
  </si>
  <si>
    <t>竹田綜合病院_0388 (2)</t>
  </si>
  <si>
    <t>2016/06/02-06</t>
  </si>
  <si>
    <t>0206ZM</t>
  </si>
  <si>
    <t>サンセイ医機株式会社　会津営業所</t>
  </si>
  <si>
    <t>田代様</t>
  </si>
  <si>
    <t>〒965-0064　福島県会津若松市神指町黒川字湯川168</t>
    <rPh sb="10" eb="13">
      <t>フクシマケン</t>
    </rPh>
    <rPh sb="13" eb="18">
      <t>アイヅワカマツシ</t>
    </rPh>
    <rPh sb="18" eb="19">
      <t>ジン</t>
    </rPh>
    <rPh sb="19" eb="20">
      <t>ユビ</t>
    </rPh>
    <rPh sb="20" eb="21">
      <t>マチ</t>
    </rPh>
    <rPh sb="21" eb="23">
      <t>クロカワ</t>
    </rPh>
    <rPh sb="23" eb="24">
      <t>アザ</t>
    </rPh>
    <rPh sb="24" eb="26">
      <t>ユカワ</t>
    </rPh>
    <phoneticPr fontId="2"/>
  </si>
  <si>
    <t>0242-39-6801</t>
  </si>
  <si>
    <t>0242-396802</t>
  </si>
  <si>
    <t>竹田綜合病院　外科外来　3F</t>
  </si>
  <si>
    <t>ME 阿部様</t>
    <rPh sb="3" eb="5">
      <t>アベ</t>
    </rPh>
    <rPh sb="5" eb="6">
      <t>サマ</t>
    </rPh>
    <phoneticPr fontId="2"/>
  </si>
  <si>
    <t>外科外来(3F)</t>
    <rPh sb="0" eb="2">
      <t>ゲカ</t>
    </rPh>
    <rPh sb="2" eb="4">
      <t>ガイライ</t>
    </rPh>
    <phoneticPr fontId="2"/>
  </si>
  <si>
    <t>0242-27-5511</t>
  </si>
  <si>
    <t>〒965-8585　福島県会津若松市山鹿町3-27</t>
  </si>
  <si>
    <t>S16-0389</t>
  </si>
  <si>
    <t>代替機NIM160_0389 (2)</t>
  </si>
  <si>
    <t>SR#4212129</t>
  </si>
  <si>
    <t xml:space="preserve">代替機NIM160 </t>
  </si>
  <si>
    <t>S16-0390</t>
  </si>
  <si>
    <t>神戸赤十字病院_0390 (2)</t>
  </si>
  <si>
    <t>2016/06/01-02</t>
  </si>
  <si>
    <t>032N2J</t>
  </si>
  <si>
    <t>田中様→上田様</t>
  </si>
  <si>
    <t>〒651-0073　兵庫県神戸市中央区脇浜海岸通1丁目3番1号</t>
  </si>
  <si>
    <t>S16-0391</t>
  </si>
  <si>
    <t>岡山医療センター_0391 (2)</t>
  </si>
  <si>
    <t>03CMXC</t>
  </si>
  <si>
    <t>岡山医療センター国立病院機構</t>
  </si>
  <si>
    <t>086-294-9911</t>
  </si>
  <si>
    <t>〒701-1192　岡山県岡山市北区田益1711-1</t>
    <rPh sb="10" eb="13">
      <t>オカヤマケン</t>
    </rPh>
    <rPh sb="13" eb="16">
      <t>オカヤマシ</t>
    </rPh>
    <rPh sb="16" eb="18">
      <t>キタク</t>
    </rPh>
    <rPh sb="18" eb="19">
      <t>タ</t>
    </rPh>
    <rPh sb="19" eb="20">
      <t>マ</t>
    </rPh>
    <phoneticPr fontId="2"/>
  </si>
  <si>
    <t>S16-0392</t>
  </si>
  <si>
    <t>大阪医科大学_0392 (2)</t>
  </si>
  <si>
    <t>03CN65</t>
  </si>
  <si>
    <t>大阪医科大学附屬病院</t>
  </si>
  <si>
    <t>S16-0393</t>
  </si>
  <si>
    <t>昭和大学藤が丘病院_0393</t>
  </si>
  <si>
    <t>S16-0394</t>
  </si>
  <si>
    <t>デモ機MAE11_0394 (2)</t>
  </si>
  <si>
    <t>SR#4212681</t>
  </si>
  <si>
    <t>03BM83</t>
  </si>
  <si>
    <t>デモ機MAE11</t>
  </si>
  <si>
    <t>S16-0395</t>
  </si>
  <si>
    <t>日立総合病院_0395 (2)</t>
  </si>
  <si>
    <t>SR#4215677</t>
  </si>
  <si>
    <t>03TBX0</t>
  </si>
  <si>
    <t>上原様</t>
  </si>
  <si>
    <t>日立総合病院</t>
  </si>
  <si>
    <t>0294-23-1111</t>
  </si>
  <si>
    <t>〒317-0077　茨城県日立市城南町２-1-1</t>
  </si>
  <si>
    <t>ADAPTER CABLE</t>
  </si>
  <si>
    <t>S16-0396</t>
  </si>
  <si>
    <t>山梨厚生病院_0396 (2)</t>
  </si>
  <si>
    <t>SR#4213985</t>
  </si>
  <si>
    <t>2016/05/20-03</t>
  </si>
  <si>
    <t>03VHGQ</t>
  </si>
  <si>
    <t>〒190-0004　東京都立川市柏町2-7-11</t>
  </si>
  <si>
    <t>山梨厚生病院</t>
  </si>
  <si>
    <t>0553-23-1311</t>
  </si>
  <si>
    <t>〒405-0033　山梨県山梨市落合860</t>
  </si>
  <si>
    <t>S16-0397</t>
  </si>
  <si>
    <t>北川ひ尿器科クリニック_0397 (2)</t>
  </si>
  <si>
    <t>SR#4213983</t>
  </si>
  <si>
    <t>2016/03/10-01</t>
  </si>
  <si>
    <t>株式会社北斗医理科</t>
  </si>
  <si>
    <t xml:space="preserve">〒030-0131　青森県青森市問屋町2-13-8
</t>
  </si>
  <si>
    <t>017-764-4121</t>
  </si>
  <si>
    <t>0172-28-5162</t>
  </si>
  <si>
    <t>〒030-0966　青森県青森市花園2-43-18</t>
  </si>
  <si>
    <t>P12718</t>
  </si>
  <si>
    <t>S16-0398</t>
  </si>
  <si>
    <t>熊本中央病院_0398 (2)</t>
  </si>
  <si>
    <t>2016/06/02-01</t>
  </si>
  <si>
    <t>0341TN</t>
  </si>
  <si>
    <t>株式会社アイティーアイ　熊本支社</t>
  </si>
  <si>
    <t xml:space="preserve">096-326-7552 </t>
  </si>
  <si>
    <t>熊本中央病院</t>
  </si>
  <si>
    <t>野村様</t>
    <rPh sb="0" eb="2">
      <t>ノムラ</t>
    </rPh>
    <rPh sb="2" eb="3">
      <t>サマ</t>
    </rPh>
    <phoneticPr fontId="2"/>
  </si>
  <si>
    <t>腎科</t>
    <rPh sb="0" eb="1">
      <t>ジン</t>
    </rPh>
    <rPh sb="1" eb="2">
      <t>カ</t>
    </rPh>
    <phoneticPr fontId="2"/>
  </si>
  <si>
    <t>096-370-3111</t>
  </si>
  <si>
    <t xml:space="preserve">〒862-0965 熊本県熊本市南区田井島1-5-1  </t>
  </si>
  <si>
    <t>P06733</t>
  </si>
  <si>
    <t>P06902</t>
  </si>
  <si>
    <t>S16-0399</t>
  </si>
  <si>
    <t>東京医科大学病院_0399 (2)</t>
  </si>
  <si>
    <t>2016/06/08-04</t>
  </si>
  <si>
    <t>03J15L</t>
  </si>
  <si>
    <t>日本光電東京　株式会社　新宿営業所</t>
  </si>
  <si>
    <t>青柳様</t>
  </si>
  <si>
    <t>〒112-0002　東京都文京区小石川1-3-25　小石川大国ビル5F</t>
    <rPh sb="10" eb="13">
      <t>トウキョウト</t>
    </rPh>
    <rPh sb="13" eb="16">
      <t>ブンキョウク</t>
    </rPh>
    <rPh sb="16" eb="19">
      <t>コイシカワ</t>
    </rPh>
    <rPh sb="26" eb="29">
      <t>コイシカワ</t>
    </rPh>
    <rPh sb="29" eb="30">
      <t>ダイ</t>
    </rPh>
    <rPh sb="30" eb="31">
      <t>コク</t>
    </rPh>
    <phoneticPr fontId="2"/>
  </si>
  <si>
    <t>03-3815-9483</t>
  </si>
  <si>
    <t>03-3815-9433</t>
  </si>
  <si>
    <t>西山先生</t>
    <rPh sb="0" eb="2">
      <t>ニシヤマ</t>
    </rPh>
    <rPh sb="2" eb="4">
      <t>センセイ</t>
    </rPh>
    <phoneticPr fontId="2"/>
  </si>
  <si>
    <t>CONN,COMPRESSION</t>
  </si>
  <si>
    <t>S16-0400</t>
  </si>
  <si>
    <t>国際医療研究センター_0400 (2)</t>
  </si>
  <si>
    <t>2016/06/07-03</t>
  </si>
  <si>
    <t>03D6MW</t>
  </si>
  <si>
    <t>田井様</t>
  </si>
  <si>
    <t>国際医療研究センター</t>
  </si>
  <si>
    <t>※8/17出荷</t>
  </si>
  <si>
    <t>S16-0401</t>
  </si>
  <si>
    <t>恵寿総合病院_0401 (2)</t>
  </si>
  <si>
    <t>SR#4213987</t>
  </si>
  <si>
    <t>2016/05/26-04</t>
  </si>
  <si>
    <t>041BYQ</t>
  </si>
  <si>
    <t>セントラルメディカル株式会社</t>
  </si>
  <si>
    <t>モリ様</t>
  </si>
  <si>
    <t>〒920-0024 石川県金沢市西念3-1-5</t>
  </si>
  <si>
    <t>076-262-1111</t>
  </si>
  <si>
    <t>076-223-7255</t>
  </si>
  <si>
    <t>恵寿総合病院</t>
  </si>
  <si>
    <t>0767-52-3211</t>
  </si>
  <si>
    <t>〒926-8605　石川県七尾市富岡町94</t>
  </si>
  <si>
    <t>S16-0402</t>
  </si>
  <si>
    <t>田無病院_0402 (2)</t>
  </si>
  <si>
    <t>2016/06/09-09</t>
  </si>
  <si>
    <t>03900G</t>
  </si>
  <si>
    <t>渡部様</t>
  </si>
  <si>
    <t>田無病院</t>
  </si>
  <si>
    <t>042-461-2682</t>
  </si>
  <si>
    <t xml:space="preserve">〒188-0002　東京都西東京市緑町3-6-1 </t>
  </si>
  <si>
    <t>※修理せず返却→報告書あり(6/14)</t>
  </si>
  <si>
    <t>S16-0403</t>
  </si>
  <si>
    <t>上津江診療所_0403 (2)</t>
  </si>
  <si>
    <t>2016/05/31-01</t>
  </si>
  <si>
    <t>03GHTQ</t>
  </si>
  <si>
    <t>フクダ電子西部南販売株式会社</t>
  </si>
  <si>
    <t>〒870-0850　大分県大分市賀来西1-10-13</t>
  </si>
  <si>
    <t>097-549-5066</t>
  </si>
  <si>
    <t>097-549-5139</t>
  </si>
  <si>
    <t>日田市立上津江診療所</t>
  </si>
  <si>
    <t>0973-54-3001</t>
  </si>
  <si>
    <t>〒877-0311　大分県日田市上津江町川原3933</t>
  </si>
  <si>
    <t>※点検、スタンダードプラン</t>
  </si>
  <si>
    <t>S16-0404</t>
  </si>
  <si>
    <t>帝京大学病院_0404 (2)</t>
  </si>
  <si>
    <t>03BLRH</t>
  </si>
  <si>
    <t>日本コヴィディエン株式会社　東京第二営業部</t>
  </si>
  <si>
    <t>帝京大学医学部附属病院</t>
  </si>
  <si>
    <t>03-3964-1211</t>
  </si>
  <si>
    <t>〒173-8606　東京都板橋区加賀2-11-1</t>
  </si>
  <si>
    <t>※現象不再現→返却、報告書あり(7/28)</t>
  </si>
  <si>
    <t>S16-0405</t>
  </si>
  <si>
    <t>飯塚病院_0405 (2)</t>
  </si>
  <si>
    <t>038MLG(034GGC)</t>
  </si>
  <si>
    <t>P04723-03</t>
  </si>
  <si>
    <t>株式会社 日立製作所</t>
  </si>
  <si>
    <t>株式会社麻生　飯塚病院</t>
  </si>
  <si>
    <t>※修理キャンセル返却(9/26）</t>
  </si>
  <si>
    <t>S16-0406</t>
  </si>
  <si>
    <t>松江市立病院_0406 (2)</t>
  </si>
  <si>
    <t>2016/06/09-03</t>
  </si>
  <si>
    <t>033LY7</t>
  </si>
  <si>
    <t>小西医療器株式会社</t>
  </si>
  <si>
    <t>立石様</t>
  </si>
  <si>
    <t>〒690-0038 島根県松江市平成町182-32</t>
  </si>
  <si>
    <t>0852-25-1590</t>
  </si>
  <si>
    <t>0852-27-7116</t>
  </si>
  <si>
    <t>松江市立病院</t>
  </si>
  <si>
    <t>〒690-8509 島根県松江市乃白町32-1</t>
  </si>
  <si>
    <t>S16-0407</t>
  </si>
  <si>
    <t>和歌山医科大学附属病院_0407 (2)</t>
  </si>
  <si>
    <t>2016/06/13-06</t>
  </si>
  <si>
    <t>03BLT6</t>
  </si>
  <si>
    <t>ナカヤ様</t>
  </si>
  <si>
    <t>〒640-8287　和歌山市築港6丁目9番地の10</t>
  </si>
  <si>
    <t>和歌山県立医科大学附属病院</t>
  </si>
  <si>
    <t>〒640-8287　和歌山県和歌山市築港6丁目9番地の10</t>
  </si>
  <si>
    <t>※修理キャンセル→返却(7/12)</t>
  </si>
  <si>
    <t>S16-0408</t>
  </si>
  <si>
    <t>日本医科大学附属病院_0408 (2)</t>
  </si>
  <si>
    <t>SR#4215683</t>
  </si>
  <si>
    <t>03X61Y</t>
  </si>
  <si>
    <t>日本医科大学付属病院</t>
  </si>
  <si>
    <t>S16-0409</t>
  </si>
  <si>
    <t>成城マタニティクリニック_0409 (2)</t>
  </si>
  <si>
    <t>2016/06/08-03</t>
  </si>
  <si>
    <t>WK1NRY</t>
  </si>
  <si>
    <t>相模原商事株式会社</t>
  </si>
  <si>
    <t>森井様</t>
  </si>
  <si>
    <t>〒252-0317　神奈川県相模原市南区御園5-15-13</t>
  </si>
  <si>
    <t>042-743-0587</t>
  </si>
  <si>
    <t>042-748-7878</t>
  </si>
  <si>
    <t>〒157-0066　東京都世田谷区成城1-1-2</t>
  </si>
  <si>
    <t>※現象不再現→返却、報告書あり(6/27)ACアダプタのセーフティシャット
ダウン機能の可能性</t>
  </si>
  <si>
    <t>S16-0410</t>
  </si>
  <si>
    <t>代替機NIM171_0410 (2)</t>
  </si>
  <si>
    <t>S16-0411</t>
  </si>
  <si>
    <t>東部医療センター_0411 (2)</t>
  </si>
  <si>
    <t>SR#4217589</t>
  </si>
  <si>
    <t>WK27TB</t>
  </si>
  <si>
    <t>052-51-6671</t>
  </si>
  <si>
    <t>S16-0412</t>
  </si>
  <si>
    <t>小田原循環器病院_0412 (2)</t>
  </si>
  <si>
    <t>SR#4215667</t>
  </si>
  <si>
    <t>2016/06/15-01</t>
  </si>
  <si>
    <t>WK0H2P</t>
  </si>
  <si>
    <t>小田原循環器病院</t>
  </si>
  <si>
    <t>S16-0413</t>
  </si>
  <si>
    <t>日高病院_0413 (2)</t>
  </si>
  <si>
    <t>SR#4215671</t>
  </si>
  <si>
    <t>2016/06/13-04</t>
  </si>
  <si>
    <t>WK0G6D</t>
  </si>
  <si>
    <t>風間 様</t>
  </si>
  <si>
    <t>日高病院</t>
  </si>
  <si>
    <t>027-362-6201</t>
  </si>
  <si>
    <t>〒370-0001　群馬県高崎市中尾町886</t>
  </si>
  <si>
    <t>S16-0414</t>
  </si>
  <si>
    <t>大阪大学医学部附属病院_0414 (2)</t>
  </si>
  <si>
    <t>2016/05/23-04</t>
  </si>
  <si>
    <t>03JNJH</t>
  </si>
  <si>
    <t>株式会社ダテメディカルサービス　大阪支店</t>
  </si>
  <si>
    <t>中別府様</t>
  </si>
  <si>
    <t>〒564-0062　大阪府吹田市垂水町3-27-27　第2江坂三昌ビル6F</t>
    <rPh sb="10" eb="13">
      <t>オオサカフ</t>
    </rPh>
    <rPh sb="13" eb="16">
      <t>スイタシ</t>
    </rPh>
    <rPh sb="16" eb="18">
      <t>タルミ</t>
    </rPh>
    <rPh sb="18" eb="19">
      <t>マチ</t>
    </rPh>
    <rPh sb="27" eb="28">
      <t>ダイ</t>
    </rPh>
    <rPh sb="29" eb="31">
      <t>エサカ</t>
    </rPh>
    <rPh sb="31" eb="32">
      <t>サン</t>
    </rPh>
    <rPh sb="32" eb="33">
      <t>ショウ</t>
    </rPh>
    <phoneticPr fontId="2"/>
  </si>
  <si>
    <t>06-6368-5776</t>
  </si>
  <si>
    <t>06-6387-8111</t>
  </si>
  <si>
    <t>大阪大学医学部附属病院</t>
  </si>
  <si>
    <t>06-6879-5111</t>
  </si>
  <si>
    <t>〒565-0871　大阪府吹田市山田丘2-15</t>
    <rPh sb="10" eb="13">
      <t>オオサカフ</t>
    </rPh>
    <rPh sb="13" eb="16">
      <t>スイタシ</t>
    </rPh>
    <rPh sb="16" eb="18">
      <t>ヤマダ</t>
    </rPh>
    <rPh sb="18" eb="19">
      <t>オカ</t>
    </rPh>
    <phoneticPr fontId="2"/>
  </si>
  <si>
    <t>※装置の分解・クリーニング・再組立を実施</t>
  </si>
  <si>
    <t>S16-0415</t>
  </si>
  <si>
    <t>国立小倉医療センター_0415 (2)</t>
  </si>
  <si>
    <t>2016/05/17-02</t>
  </si>
  <si>
    <t>WK030C</t>
  </si>
  <si>
    <t>株式会社アステム　ME北九州支店</t>
  </si>
  <si>
    <t>原岡様</t>
  </si>
  <si>
    <t>〒802-0229　福岡県北九州市小倉南区下曽根新町13-1</t>
    <rPh sb="10" eb="12">
      <t>フクオカ</t>
    </rPh>
    <rPh sb="12" eb="13">
      <t>ケン</t>
    </rPh>
    <rPh sb="13" eb="17">
      <t>キタキュウシュウシ</t>
    </rPh>
    <rPh sb="17" eb="19">
      <t>コクラ</t>
    </rPh>
    <rPh sb="19" eb="20">
      <t>ミナミ</t>
    </rPh>
    <rPh sb="20" eb="21">
      <t>ク</t>
    </rPh>
    <rPh sb="21" eb="22">
      <t>シモ</t>
    </rPh>
    <rPh sb="22" eb="24">
      <t>ソネ</t>
    </rPh>
    <rPh sb="24" eb="26">
      <t>シンマチ</t>
    </rPh>
    <phoneticPr fontId="2"/>
  </si>
  <si>
    <t>093-473-1514</t>
  </si>
  <si>
    <t>093-471-1862</t>
  </si>
  <si>
    <t>国立小倉医療センター　（循環器）</t>
  </si>
  <si>
    <t>鈴木先生</t>
    <rPh sb="0" eb="2">
      <t>スズキ</t>
    </rPh>
    <rPh sb="2" eb="4">
      <t>センセイ</t>
    </rPh>
    <phoneticPr fontId="2"/>
  </si>
  <si>
    <t>093-921-8881</t>
  </si>
  <si>
    <t>〒802-8533 福岡県北九州市小倉南区春ケ丘10番1号</t>
  </si>
  <si>
    <t>※現象不再現、バッテリーは交換</t>
  </si>
  <si>
    <t>S16-0416</t>
  </si>
  <si>
    <t>みはま成田クリニック_0416 (2)</t>
  </si>
  <si>
    <t>SR#4215673</t>
  </si>
  <si>
    <t>2016/05/30-01</t>
  </si>
  <si>
    <t>WK2GVV</t>
  </si>
  <si>
    <t>(施設直接）医療法人社団　誠仁会　みはま成田クリニック</t>
  </si>
  <si>
    <t>〒286-0041　千葉県成田市飯田町129-1</t>
  </si>
  <si>
    <t>0476-29-8811</t>
  </si>
  <si>
    <t>0476-29-8833</t>
  </si>
  <si>
    <t>みはま成田クリニック</t>
  </si>
  <si>
    <t>ME科</t>
    <rPh sb="2" eb="3">
      <t>カ</t>
    </rPh>
    <phoneticPr fontId="2"/>
  </si>
  <si>
    <t>〒286-0041　千葉県成田市飯田町129-1</t>
    <rPh sb="10" eb="13">
      <t>チバケン</t>
    </rPh>
    <rPh sb="13" eb="16">
      <t>ナリタシ</t>
    </rPh>
    <rPh sb="16" eb="18">
      <t>イイダ</t>
    </rPh>
    <rPh sb="18" eb="19">
      <t>マチ</t>
    </rPh>
    <phoneticPr fontId="2"/>
  </si>
  <si>
    <t>L25x/13-6</t>
  </si>
  <si>
    <t>L25x/13-6リニアプローブ</t>
  </si>
  <si>
    <t>※M-Turbo先行で返却(8/31) 王ローブ入荷。L25x/13-6(S/M:043GV2)出荷(9/16)</t>
  </si>
  <si>
    <t>S16-0417</t>
  </si>
  <si>
    <t xml:space="preserve">八戸市民病院_0417(2) </t>
  </si>
  <si>
    <t>2016/06/09-04</t>
  </si>
  <si>
    <t>03F2KP</t>
  </si>
  <si>
    <t>P04322-04</t>
  </si>
  <si>
    <t>株式会社シバタ医理科</t>
  </si>
  <si>
    <t>佐々木様</t>
  </si>
  <si>
    <t xml:space="preserve">〒031-0821　青森県八戸市白銀３丁目８−１ </t>
  </si>
  <si>
    <t>0178-34-1122</t>
  </si>
  <si>
    <t>0178-34-1123</t>
  </si>
  <si>
    <t>八戸市立市民病院</t>
  </si>
  <si>
    <t>0178-72-5111</t>
  </si>
  <si>
    <t>〒031-8555　青森県八戸市大字田向字毘沙門平1</t>
  </si>
  <si>
    <t>※テープ補強で返却（報告書なし）</t>
  </si>
  <si>
    <t>S16-0418</t>
  </si>
  <si>
    <t>近森病院_0418 (2)</t>
  </si>
  <si>
    <t>2016/06/15-04</t>
  </si>
  <si>
    <t>035HY5</t>
  </si>
  <si>
    <t>080-880-0668</t>
  </si>
  <si>
    <t>近森病院</t>
  </si>
  <si>
    <t>〒780-8522　高知県高知市大川筋1-1-16</t>
  </si>
  <si>
    <t>※現象不再現→返却　報告書あり(8/8)</t>
  </si>
  <si>
    <t>S16-0419</t>
  </si>
  <si>
    <t>聖路加国際病院_0419 (2)</t>
    <phoneticPr fontId="2"/>
  </si>
  <si>
    <t>2016/06/14-02</t>
  </si>
  <si>
    <t>03JHGQ</t>
  </si>
  <si>
    <t>P12060-05</t>
  </si>
  <si>
    <t xml:space="preserve">〒112-0002 東京都文京区小石川4-17-15 </t>
  </si>
  <si>
    <t>03-3814-3644</t>
    <phoneticPr fontId="2"/>
  </si>
  <si>
    <t>03-3815-8811</t>
    <phoneticPr fontId="2"/>
  </si>
  <si>
    <t>03-3541-5151</t>
    <phoneticPr fontId="2"/>
  </si>
  <si>
    <t xml:space="preserve"> 〒104-8560　東京都中央区明石町9-1</t>
    <phoneticPr fontId="2"/>
  </si>
  <si>
    <t>S16-0420</t>
  </si>
  <si>
    <t>埼玉医科大学病院_0420 (2)</t>
  </si>
  <si>
    <t>2016-06/02-03</t>
  </si>
  <si>
    <t>034GXV</t>
  </si>
  <si>
    <t>青木様</t>
  </si>
  <si>
    <t>048-645-6001</t>
  </si>
  <si>
    <t>048-645-6026</t>
  </si>
  <si>
    <t>埼玉医科大学病院</t>
  </si>
  <si>
    <t>S16-0421</t>
  </si>
  <si>
    <t>戸田駅前クリニック_0421 (2)</t>
  </si>
  <si>
    <t>SR#4233597</t>
  </si>
  <si>
    <t>2016/05/09-09</t>
  </si>
  <si>
    <t>03B4BN</t>
  </si>
  <si>
    <t>富士フイルムメディカル株式会社　埼玉支店</t>
  </si>
  <si>
    <t>保永様</t>
  </si>
  <si>
    <t>〒330-0842　埼玉県さいたま市大宮区浅間町2-240</t>
  </si>
  <si>
    <t>戸田駅前クリニック</t>
  </si>
  <si>
    <t>048-434-6325</t>
  </si>
  <si>
    <t xml:space="preserve">〒335-0021 埼玉県戸田市大字新曽330-1　グランド静扇2F </t>
  </si>
  <si>
    <t>P06973-01</t>
  </si>
  <si>
    <t>WIRE HARNESS, LCD, LVDS, 8"</t>
  </si>
  <si>
    <t>S16-0422</t>
  </si>
  <si>
    <t>飯塚病院_0422 (2)</t>
  </si>
  <si>
    <t>02069Ｋ</t>
  </si>
  <si>
    <t>株式会社アステム　メディカル筑豊支店</t>
  </si>
  <si>
    <t xml:space="preserve">〒820-0101　福岡県飯塚市綱分761-19 </t>
  </si>
  <si>
    <t>0948-82-2021</t>
  </si>
  <si>
    <t>0948-82-2543</t>
  </si>
  <si>
    <t>〒820-8505　福岡県飯塚市芳雄町3-83</t>
  </si>
  <si>
    <t>※修理キャンセル返却(9/9)</t>
  </si>
  <si>
    <t>S16-0423</t>
  </si>
  <si>
    <t>昭島腎クリニック_0423</t>
  </si>
  <si>
    <t>S16-0424</t>
  </si>
  <si>
    <t>竹田綜合病院_0424 (2)</t>
  </si>
  <si>
    <t>2016/06/02-07</t>
  </si>
  <si>
    <t>03DX23</t>
  </si>
  <si>
    <t>サンセイ医機株式会社</t>
  </si>
  <si>
    <t>〒965-0064　福島県会津若松市神指町黒川字湯川168</t>
  </si>
  <si>
    <t>0242-39-6802</t>
  </si>
  <si>
    <t>竹田綜合病院</t>
  </si>
  <si>
    <t>S16-0425</t>
  </si>
  <si>
    <t xml:space="preserve">おかむらクリニック_0425(2) </t>
  </si>
  <si>
    <t>2016/06/08-02</t>
  </si>
  <si>
    <t>WK3GL4</t>
  </si>
  <si>
    <t>P16693-61</t>
  </si>
  <si>
    <t>おかむらクリニック</t>
  </si>
  <si>
    <t>0798-34-2030</t>
  </si>
  <si>
    <t>〒662-0912　兵庫県西宮市松原町2-20-101</t>
  </si>
  <si>
    <t>調整にて改善</t>
  </si>
  <si>
    <t>S16-0426</t>
  </si>
  <si>
    <t>デモ機KAZ2_0426 (2)</t>
  </si>
  <si>
    <t>SR#4215675</t>
  </si>
  <si>
    <t>03BMYX</t>
  </si>
  <si>
    <t>デモ機KAZ2</t>
  </si>
  <si>
    <t xml:space="preserve">BRACKET,  DIN CONNECTOR　 </t>
  </si>
  <si>
    <t>CONN,RCPT,5 PIN CIRCULAR DIN</t>
  </si>
  <si>
    <t>S16-0427</t>
  </si>
  <si>
    <t>有川医療センター_0427 (2)</t>
  </si>
  <si>
    <t>2016/06/17-03</t>
  </si>
  <si>
    <t>03XWJH</t>
  </si>
  <si>
    <t>P09149-08</t>
  </si>
  <si>
    <t>山下医科器械株式会社</t>
  </si>
  <si>
    <t>伊東様</t>
  </si>
  <si>
    <t>〒857-8533 長崎県佐世保市湊町3-13</t>
  </si>
  <si>
    <t xml:space="preserve">0956-25-2111 </t>
  </si>
  <si>
    <t>0956-25-2116</t>
  </si>
  <si>
    <t>有川医療センター</t>
  </si>
  <si>
    <t>下山様</t>
  </si>
  <si>
    <t>臨床工学部</t>
  </si>
  <si>
    <t>0959-42-0320</t>
  </si>
  <si>
    <t>〒857-4211　長崎県南松浦郡新上五島町有川郷2255</t>
  </si>
  <si>
    <t>P09149-51</t>
  </si>
  <si>
    <t>C60x/5-2 Convex Transducer (M-Turbo, Edge, S)</t>
  </si>
  <si>
    <t>※C60x/5-2(S/N:043VPB)出荷(9/16)山下医科　佐世保　伊東様へ</t>
  </si>
  <si>
    <t>S16-0428</t>
  </si>
  <si>
    <t>神戸中央市民病院_0428</t>
  </si>
  <si>
    <t>030HGQ</t>
  </si>
  <si>
    <t>宮野医療器 株式会社</t>
  </si>
  <si>
    <t>※修理件セル→返却(7/14)</t>
  </si>
  <si>
    <t>S16-0429</t>
  </si>
  <si>
    <t>横浜市大附属市民総合医療センター_0429 (2)</t>
  </si>
  <si>
    <t>2016/06/21-03</t>
  </si>
  <si>
    <t>0419MW</t>
  </si>
  <si>
    <t>横浜市大学附属市民総合医療センター</t>
  </si>
  <si>
    <t>045-261-5656</t>
  </si>
  <si>
    <t>〒232-0024　神奈川県横浜市南区浦舟町4-57</t>
  </si>
  <si>
    <t>※HFL50x/13-6プローブ無償交換HFL50x/15-6(S/N:0445W9)(9/16)出荷　本体とC60xは7/19に返却済み</t>
  </si>
  <si>
    <t>S16-0430</t>
  </si>
  <si>
    <t>佐野在宅診療所_0430 (2)</t>
  </si>
  <si>
    <t>2016/06/20-05</t>
  </si>
  <si>
    <t>39538</t>
  </si>
  <si>
    <t>サンメディックス株式会社　佐野営業所</t>
  </si>
  <si>
    <t>江田様</t>
  </si>
  <si>
    <t>〒327-0003　栃木県佐野市大橋町1377</t>
  </si>
  <si>
    <t>0283-21-1007</t>
  </si>
  <si>
    <t>0283-21-1008</t>
  </si>
  <si>
    <t>佐野在宅診療所</t>
  </si>
  <si>
    <t>0283-21-2688</t>
  </si>
  <si>
    <t>〒327-0003 栃木県佐野市大橋町字三ツ橋1997-23</t>
  </si>
  <si>
    <t>385773312</t>
  </si>
  <si>
    <t>385776202</t>
  </si>
  <si>
    <t>S16-0431</t>
  </si>
  <si>
    <t>代替機NIM104_0431 (2)</t>
  </si>
  <si>
    <t>SR#4217591</t>
  </si>
  <si>
    <t>代替機NIM104</t>
  </si>
  <si>
    <t>S16-0432</t>
  </si>
  <si>
    <t>大分循環器病院_0432 (2)</t>
  </si>
  <si>
    <t>2016/0/20-02</t>
  </si>
  <si>
    <t>03RLH1</t>
  </si>
  <si>
    <t>P09171-06</t>
  </si>
  <si>
    <t>株式会社アステム ME大分第2支店</t>
  </si>
  <si>
    <t>首藤様</t>
  </si>
  <si>
    <t>097-543-6788</t>
  </si>
  <si>
    <t>097-515-3638</t>
  </si>
  <si>
    <t>大分循環器病院　検査部</t>
  </si>
  <si>
    <t>梁井様</t>
  </si>
  <si>
    <t>検査部</t>
  </si>
  <si>
    <t>097-544-8800</t>
  </si>
  <si>
    <t>〒870-0837　大分県大分市大平町4組</t>
  </si>
  <si>
    <t>※P21x/5-1(S/N:043TMW)交換。出荷(9/16)</t>
  </si>
  <si>
    <t>S16-0433</t>
  </si>
  <si>
    <t>関西医科大学附属病院_0433 (2)</t>
  </si>
  <si>
    <t>2016/06/20-07</t>
  </si>
  <si>
    <t>03H9XY</t>
  </si>
  <si>
    <t>関西医科大学附属病院　麻酔科</t>
  </si>
  <si>
    <t>麻酔科</t>
  </si>
  <si>
    <t>072-804-0101</t>
  </si>
  <si>
    <t>〒573-1191　大阪府枚方市新町2-3-1</t>
    <rPh sb="10" eb="13">
      <t>オオサカフ</t>
    </rPh>
    <rPh sb="13" eb="16">
      <t>ヒラカタシ</t>
    </rPh>
    <rPh sb="16" eb="18">
      <t>シンマチ</t>
    </rPh>
    <phoneticPr fontId="2"/>
  </si>
  <si>
    <t>S16-0434</t>
  </si>
  <si>
    <t>山口大学医学部附属病院_0434 (2)</t>
  </si>
  <si>
    <t>2016/06/17-02</t>
  </si>
  <si>
    <t>035V6G</t>
  </si>
  <si>
    <t>P05670-03</t>
  </si>
  <si>
    <t>ティーエスアルフレッサ株式会社 宇部機器試薬支店</t>
  </si>
  <si>
    <t>姫宮様</t>
  </si>
  <si>
    <t>〒759-0204　山口県宇部市大字妻崎開作950-1</t>
    <rPh sb="10" eb="13">
      <t>ヤマグチケン</t>
    </rPh>
    <rPh sb="13" eb="16">
      <t>ウベシ</t>
    </rPh>
    <rPh sb="16" eb="18">
      <t>オオアザ</t>
    </rPh>
    <rPh sb="18" eb="19">
      <t>ツマ</t>
    </rPh>
    <rPh sb="19" eb="20">
      <t>サキ</t>
    </rPh>
    <rPh sb="20" eb="22">
      <t>カイサク</t>
    </rPh>
    <phoneticPr fontId="2"/>
  </si>
  <si>
    <t>0836-41-6212</t>
  </si>
  <si>
    <t>0836-41-6316</t>
  </si>
  <si>
    <t>山口大学医学部附属病院　麻酔科</t>
  </si>
  <si>
    <t>原田様</t>
    <rPh sb="0" eb="2">
      <t>ハラダ</t>
    </rPh>
    <rPh sb="2" eb="3">
      <t>サマ</t>
    </rPh>
    <phoneticPr fontId="2"/>
  </si>
  <si>
    <t>0836-22-2616</t>
  </si>
  <si>
    <t>〒755-8505　山口県宇部市南小串1-1-1</t>
    <rPh sb="10" eb="13">
      <t>ヤマグチケン</t>
    </rPh>
    <rPh sb="13" eb="16">
      <t>ウベシ</t>
    </rPh>
    <rPh sb="16" eb="17">
      <t>ミナミ</t>
    </rPh>
    <rPh sb="17" eb="19">
      <t>コグシ</t>
    </rPh>
    <phoneticPr fontId="2"/>
  </si>
  <si>
    <t>S16-0435</t>
  </si>
  <si>
    <t>第一東和会病院_0435 (2)</t>
  </si>
  <si>
    <t>WK21JN</t>
  </si>
  <si>
    <t>石黒メディカルシステム株式会社　大阪支店</t>
  </si>
  <si>
    <t>大橋様</t>
  </si>
  <si>
    <t>〒569-1145　大阪府高槻市富田丘町9-5</t>
  </si>
  <si>
    <t>072-696-1496</t>
  </si>
  <si>
    <t>072-696-1961</t>
  </si>
  <si>
    <t>第一東和会病院</t>
  </si>
  <si>
    <t>072-671-1008</t>
  </si>
  <si>
    <t>〒569-0081 大阪府高槻市宮野町2-17</t>
  </si>
  <si>
    <t>S16-0436</t>
  </si>
  <si>
    <t>近畿大学医学部附属病院_0436</t>
  </si>
  <si>
    <t>S16-0437</t>
  </si>
  <si>
    <t>大分赤十字病院_0437 (2)</t>
  </si>
  <si>
    <t>2016/05/20-05</t>
  </si>
  <si>
    <t>03G7TH</t>
  </si>
  <si>
    <t>〒870-8602　大分県大分市西大道2-3-62</t>
  </si>
  <si>
    <t>向 哲男様</t>
    <rPh sb="0" eb="1">
      <t>ムカイ</t>
    </rPh>
    <rPh sb="2" eb="4">
      <t>テツオ</t>
    </rPh>
    <rPh sb="4" eb="5">
      <t>サマ</t>
    </rPh>
    <phoneticPr fontId="2"/>
  </si>
  <si>
    <t>〒870-0033　大分県大分市千代町3丁目2-37</t>
  </si>
  <si>
    <t>※C60e/5-2プローブ新品交換(S/N:045QR8)</t>
  </si>
  <si>
    <t>S16-0438</t>
  </si>
  <si>
    <t>獨協医科大学越谷病院_0438 (2)</t>
  </si>
  <si>
    <t>SR#4230111</t>
  </si>
  <si>
    <t>2016/05/24-05</t>
  </si>
  <si>
    <t>038K7N</t>
  </si>
  <si>
    <t>P08063-01</t>
  </si>
  <si>
    <t>木村様</t>
  </si>
  <si>
    <t>〒337-0051 埼玉県さいたま市見沼区東大宮6-3-3</t>
  </si>
  <si>
    <t>048-965-1111</t>
  </si>
  <si>
    <t>〒343-8555　埼玉県越谷市南越谷2-1-50</t>
  </si>
  <si>
    <t>S16-0439</t>
  </si>
  <si>
    <t>上天草市立天草総合病院_0439 (2)</t>
  </si>
  <si>
    <t>2016/06/07-02</t>
  </si>
  <si>
    <t>0352DD</t>
  </si>
  <si>
    <t>アイティーアイ株式会社天草営業所</t>
  </si>
  <si>
    <t>〒863-0014　熊本県天草市東浜町7番9号</t>
  </si>
  <si>
    <t>0969-23-2061</t>
  </si>
  <si>
    <t>0969-23-2062</t>
  </si>
  <si>
    <t>上天草病院</t>
  </si>
  <si>
    <t>0969-62-1122</t>
  </si>
  <si>
    <t>〒866-0293　熊本県上天草市龍ヶ岳町高戸1419-19</t>
  </si>
  <si>
    <t>P12165</t>
  </si>
  <si>
    <t>SERVICE ASSEMBLY, MDS(E) DVI MINIDOCK</t>
  </si>
  <si>
    <t>※8/16出荷</t>
  </si>
  <si>
    <t>S16-0440</t>
  </si>
  <si>
    <t>代替機FST5_0440 (2)</t>
  </si>
  <si>
    <t>SR#4217593</t>
  </si>
  <si>
    <t>03X636</t>
  </si>
  <si>
    <t>代替機FST5</t>
  </si>
  <si>
    <t>S16-0441</t>
  </si>
  <si>
    <t>岐阜市民病院_0441 (2)</t>
  </si>
  <si>
    <t>03W86X</t>
  </si>
  <si>
    <t>〒920-0919　石川県金沢市南町4-55　WAKITA金沢ビル2F</t>
    <phoneticPr fontId="2"/>
  </si>
  <si>
    <t>076-223-1722</t>
    <phoneticPr fontId="2"/>
  </si>
  <si>
    <t>076-223-3179</t>
    <phoneticPr fontId="2"/>
  </si>
  <si>
    <t>岐阜市民病院</t>
  </si>
  <si>
    <t>058-251-1101</t>
    <phoneticPr fontId="2"/>
  </si>
  <si>
    <t>〒500-8513　岐阜県岐阜市鹿島町7丁目1番地</t>
    <phoneticPr fontId="2"/>
  </si>
  <si>
    <t>S16-0442</t>
  </si>
  <si>
    <t>昭島腎クリニック_0442 (2)</t>
  </si>
  <si>
    <t>SR#4220351</t>
  </si>
  <si>
    <t>2016/06/22-05</t>
  </si>
  <si>
    <t>WK0G0B</t>
  </si>
  <si>
    <t xml:space="preserve">042-525-3578 </t>
  </si>
  <si>
    <t>昭島腎クリニック</t>
  </si>
  <si>
    <t>042-546-8581</t>
  </si>
  <si>
    <t>〒196-0003 東京都昭島市松原町4丁目7-3</t>
  </si>
  <si>
    <t>S16-0443</t>
  </si>
  <si>
    <t>代替機NIM21_0443 (2)</t>
  </si>
  <si>
    <t>SR#4217595</t>
  </si>
  <si>
    <t>032Y2W</t>
  </si>
  <si>
    <t>代替機NIM21</t>
  </si>
  <si>
    <t>S16-0444</t>
  </si>
  <si>
    <t>新潟県立中央病院_0444</t>
  </si>
  <si>
    <t>S16-0445</t>
  </si>
  <si>
    <t>県立広島病院_0445 (2)</t>
  </si>
  <si>
    <t>2016/06/24-05</t>
  </si>
  <si>
    <t>SLAx/13-6</t>
  </si>
  <si>
    <t>03KMLX</t>
  </si>
  <si>
    <t>P12645-01</t>
  </si>
  <si>
    <t>ティーエスアルフレッサ株式会社 広島機器試薬支店</t>
  </si>
  <si>
    <t>〒733-8633　広島県広島市商工センター1-2-19</t>
    <rPh sb="10" eb="13">
      <t>ヒロシマケン</t>
    </rPh>
    <rPh sb="13" eb="16">
      <t>ヒロシマシ</t>
    </rPh>
    <rPh sb="16" eb="18">
      <t>ショウコウ</t>
    </rPh>
    <phoneticPr fontId="2"/>
  </si>
  <si>
    <t>県立広島病院　腎臓内科</t>
  </si>
  <si>
    <t>ト部様</t>
    <rPh sb="1" eb="2">
      <t>ベ</t>
    </rPh>
    <rPh sb="2" eb="3">
      <t>サマ</t>
    </rPh>
    <phoneticPr fontId="2"/>
  </si>
  <si>
    <t>肝臓内科</t>
    <rPh sb="0" eb="2">
      <t>カンゾウ</t>
    </rPh>
    <rPh sb="2" eb="4">
      <t>ナイカ</t>
    </rPh>
    <phoneticPr fontId="2"/>
  </si>
  <si>
    <t>※販売終了。キャンセル。</t>
  </si>
  <si>
    <t>S16-0446</t>
  </si>
  <si>
    <t>日本医科大学附属病院_0446</t>
  </si>
  <si>
    <t>〒106-0031　東京都港区西麻布2-26-30 富士フイルム西麻布ビル</t>
  </si>
  <si>
    <t>S16-0447</t>
  </si>
  <si>
    <t>武蔵野赤十字病院_0447 (2)</t>
  </si>
  <si>
    <t>2016/06/27-01</t>
  </si>
  <si>
    <t>33961</t>
  </si>
  <si>
    <t>武蔵野赤十字病院</t>
  </si>
  <si>
    <t>櫻木様</t>
    <rPh sb="0" eb="2">
      <t>サクラギ</t>
    </rPh>
    <rPh sb="2" eb="3">
      <t>サマ</t>
    </rPh>
    <phoneticPr fontId="2"/>
  </si>
  <si>
    <t>147435011</t>
  </si>
  <si>
    <t>P00536-02</t>
  </si>
  <si>
    <t>ビデオケーブル（BNC/RCA)</t>
  </si>
  <si>
    <t>S16-0448</t>
  </si>
  <si>
    <t>仙台医療センター_0448 (2)</t>
  </si>
  <si>
    <t>2016/06/22-04</t>
  </si>
  <si>
    <t>WK0CF1</t>
  </si>
  <si>
    <t>丸木医科器械株式会社</t>
  </si>
  <si>
    <t>〒981-1105 宮城県仙台市太白区西中田3-20-7</t>
  </si>
  <si>
    <t>022-242-6001</t>
  </si>
  <si>
    <t>022-242-6101</t>
  </si>
  <si>
    <t>仙台医療センター</t>
  </si>
  <si>
    <t>022-293-1111</t>
  </si>
  <si>
    <t>〒983-8520 宮城県仙台市宮城野区宮城野2-8-8</t>
  </si>
  <si>
    <t>S16-0449</t>
  </si>
  <si>
    <t>関門医療センター_0449 (2)</t>
  </si>
  <si>
    <t>038750</t>
  </si>
  <si>
    <t>原 様</t>
  </si>
  <si>
    <t>関門医療センター</t>
  </si>
  <si>
    <t xml:space="preserve">083-241-1199 </t>
  </si>
  <si>
    <t>〒752-8510　山口県下関市長府外浦町1番1号</t>
  </si>
  <si>
    <t>S16-0450</t>
  </si>
  <si>
    <t>佐渡総合病院_0450 (2)</t>
  </si>
  <si>
    <t>SR#4219447</t>
  </si>
  <si>
    <t>2016/06/24-02</t>
  </si>
  <si>
    <t>03Q92J</t>
  </si>
  <si>
    <t>株式会社新潟ムトウ</t>
  </si>
  <si>
    <t>角鹿様</t>
  </si>
  <si>
    <t xml:space="preserve">〒952-1209 新潟県佐渡市千種1095-1 ヒルサイド木戸沢 B棟1号 </t>
  </si>
  <si>
    <t>0259-61-1321</t>
  </si>
  <si>
    <t>0259-63-3121</t>
  </si>
  <si>
    <t>佐渡総合病院</t>
  </si>
  <si>
    <t>〒952-1209　新潟県佐渡市千種161番地</t>
  </si>
  <si>
    <t>S16-0451</t>
  </si>
  <si>
    <t>三春町立三春病院_0451</t>
  </si>
  <si>
    <t>S16-0452</t>
  </si>
  <si>
    <t>札幌循環器病院_0452 (2)</t>
  </si>
  <si>
    <t>2016/06/24-03</t>
  </si>
  <si>
    <t>042QV9</t>
  </si>
  <si>
    <t>P16360-63</t>
  </si>
  <si>
    <t>札幌循環器病院</t>
  </si>
  <si>
    <t>011-747-5821</t>
  </si>
  <si>
    <t>〒060-0011 北海道札幌市中央区北１１条西１４丁目２９－１５</t>
  </si>
  <si>
    <t>※現象不再現、調整で返却(7/6)</t>
  </si>
  <si>
    <t>S16-0453</t>
  </si>
  <si>
    <t>長野赤十字病院_0453 (2)</t>
  </si>
  <si>
    <t>2016/06/28-03</t>
  </si>
  <si>
    <t>03FM6F</t>
  </si>
  <si>
    <t>株式会社上條器械店 長野営業所</t>
  </si>
  <si>
    <t>〒380-0921　長野県長野市栗田501-1</t>
    <rPh sb="10" eb="13">
      <t>ナガノケン</t>
    </rPh>
    <rPh sb="13" eb="16">
      <t>ナガノシ</t>
    </rPh>
    <rPh sb="16" eb="18">
      <t>クリタ</t>
    </rPh>
    <phoneticPr fontId="2"/>
  </si>
  <si>
    <t>026-227-4339</t>
  </si>
  <si>
    <t>長野赤十字病院</t>
  </si>
  <si>
    <t>026-226-4131</t>
  </si>
  <si>
    <t>〒380-8582　長野県長野市若里五丁目22番1号</t>
  </si>
  <si>
    <t>※修理キャンセルで返却(9/16)</t>
  </si>
  <si>
    <t>S16-0454</t>
  </si>
  <si>
    <t>のぼり病院_0454 (2)</t>
  </si>
  <si>
    <t>2016/06/22-02</t>
  </si>
  <si>
    <t>01LBWK</t>
  </si>
  <si>
    <t>大同医科器械株式会社 鹿児島営業所</t>
  </si>
  <si>
    <t>平田様</t>
  </si>
  <si>
    <t>〒890-0072　鹿児島県鹿児島市新栄町20-24</t>
    <rPh sb="10" eb="14">
      <t>カゴシマケン</t>
    </rPh>
    <rPh sb="14" eb="18">
      <t>カゴシマシ</t>
    </rPh>
    <rPh sb="18" eb="19">
      <t>シン</t>
    </rPh>
    <rPh sb="19" eb="20">
      <t>サカエ</t>
    </rPh>
    <rPh sb="20" eb="21">
      <t>マチ</t>
    </rPh>
    <phoneticPr fontId="2"/>
  </si>
  <si>
    <t xml:space="preserve">099-813-0185 </t>
  </si>
  <si>
    <t>産婦人科 のぼり病院</t>
  </si>
  <si>
    <t>峯苫様</t>
    <rPh sb="0" eb="1">
      <t>トマ</t>
    </rPh>
    <rPh sb="1" eb="2">
      <t>サマ</t>
    </rPh>
    <phoneticPr fontId="2"/>
  </si>
  <si>
    <t>産婦人科</t>
    <rPh sb="0" eb="3">
      <t>サンフジンカ</t>
    </rPh>
    <phoneticPr fontId="2"/>
  </si>
  <si>
    <t>099-256-1313</t>
  </si>
  <si>
    <t>〒890-0054 鹿児島市荒田1丁目13-13</t>
  </si>
  <si>
    <t>S16-0455</t>
  </si>
  <si>
    <t>北川ひ尿器科クリニック_0455 (2)</t>
  </si>
  <si>
    <t>SR#4221689</t>
  </si>
  <si>
    <t>03VTBB</t>
  </si>
  <si>
    <t>S16-0456</t>
  </si>
  <si>
    <t>守谷慶友病院_0456 (2)</t>
  </si>
  <si>
    <t>03T9N3</t>
  </si>
  <si>
    <t>守谷慶友病院</t>
  </si>
  <si>
    <t>0297-45-3311</t>
  </si>
  <si>
    <t>〒302-0118　茨城県守谷市立沢980-1</t>
    <rPh sb="10" eb="13">
      <t>イバラギケン</t>
    </rPh>
    <rPh sb="13" eb="16">
      <t>モリヤシ</t>
    </rPh>
    <rPh sb="16" eb="17">
      <t>タテ</t>
    </rPh>
    <rPh sb="17" eb="18">
      <t>サワ</t>
    </rPh>
    <phoneticPr fontId="2"/>
  </si>
  <si>
    <t>※現象不再現→返却(7/12)報告書あり</t>
  </si>
  <si>
    <t>S16-0457</t>
  </si>
  <si>
    <t>高知医療センター_0457 (2)</t>
  </si>
  <si>
    <t>2016/06/28-06</t>
  </si>
  <si>
    <t>03HN0L</t>
  </si>
  <si>
    <t>株式会社末徳屋医療器店</t>
  </si>
  <si>
    <t>藤井様</t>
  </si>
  <si>
    <t>〒780-0863　高知県高知市与力町4-15</t>
    <rPh sb="10" eb="13">
      <t>コウチケン</t>
    </rPh>
    <rPh sb="13" eb="16">
      <t>コウチシ</t>
    </rPh>
    <rPh sb="16" eb="18">
      <t>ヨリキ</t>
    </rPh>
    <rPh sb="18" eb="19">
      <t>マチ</t>
    </rPh>
    <phoneticPr fontId="2"/>
  </si>
  <si>
    <t>088-875-4451</t>
  </si>
  <si>
    <t>088-823-2536</t>
  </si>
  <si>
    <t>高知医療センター</t>
  </si>
  <si>
    <t>濱田様</t>
    <rPh sb="0" eb="2">
      <t>ハマダ</t>
    </rPh>
    <rPh sb="2" eb="3">
      <t>サマ</t>
    </rPh>
    <phoneticPr fontId="2"/>
  </si>
  <si>
    <t>088-837-3000</t>
  </si>
  <si>
    <t>〒781-8555　高知県高知市池2125番地1</t>
  </si>
  <si>
    <t>※現象不再現→返却(7/21)報告書あり</t>
  </si>
  <si>
    <t>S16-0458</t>
  </si>
  <si>
    <t>松江生協病院_0458 (2)</t>
  </si>
  <si>
    <t>SR#4233593</t>
  </si>
  <si>
    <t xml:space="preserve"> -</t>
  </si>
  <si>
    <t xml:space="preserve">03356P </t>
  </si>
  <si>
    <t>〒198-8577　東京都青梅市今井3-7-19</t>
  </si>
  <si>
    <t xml:space="preserve">0428-32-3140 </t>
  </si>
  <si>
    <t>松江生協病院</t>
  </si>
  <si>
    <t>0852-23-1111</t>
  </si>
  <si>
    <t>〒690-8522　島根県松江市西津田8-8-8</t>
    <rPh sb="10" eb="13">
      <t>シマネケン</t>
    </rPh>
    <rPh sb="13" eb="16">
      <t>マツエシ</t>
    </rPh>
    <rPh sb="16" eb="17">
      <t>ニシ</t>
    </rPh>
    <rPh sb="17" eb="18">
      <t>ツ</t>
    </rPh>
    <rPh sb="18" eb="19">
      <t>タ</t>
    </rPh>
    <phoneticPr fontId="2"/>
  </si>
  <si>
    <t>S16-0459</t>
  </si>
  <si>
    <t>常滑市民病院_0459 (2)</t>
  </si>
  <si>
    <t>2016/06/27-03</t>
  </si>
  <si>
    <t>01J3XP</t>
  </si>
  <si>
    <t>株式会社八神製作所　大府営業所</t>
  </si>
  <si>
    <t>〒474-0038　愛知県大府市森岡町2-385</t>
    <rPh sb="10" eb="13">
      <t>アイチケン</t>
    </rPh>
    <rPh sb="13" eb="16">
      <t>オオブシ</t>
    </rPh>
    <rPh sb="16" eb="19">
      <t>モリオカマチ</t>
    </rPh>
    <phoneticPr fontId="2"/>
  </si>
  <si>
    <t>0562-45-5501</t>
  </si>
  <si>
    <t>0562-45-6540</t>
  </si>
  <si>
    <t>常滑市民病院</t>
  </si>
  <si>
    <t>羽田野様</t>
    <rPh sb="0" eb="3">
      <t>ハタノ</t>
    </rPh>
    <rPh sb="3" eb="4">
      <t>サマ</t>
    </rPh>
    <phoneticPr fontId="2"/>
  </si>
  <si>
    <t>0569-35-3１70</t>
  </si>
  <si>
    <t>〒479-8510　愛知県常滑市飛香台3-3-3</t>
    <rPh sb="10" eb="13">
      <t>アイチケン</t>
    </rPh>
    <rPh sb="13" eb="16">
      <t>トコナメシ</t>
    </rPh>
    <rPh sb="16" eb="17">
      <t>ト</t>
    </rPh>
    <rPh sb="17" eb="18">
      <t>カオル</t>
    </rPh>
    <rPh sb="18" eb="19">
      <t>ダイ</t>
    </rPh>
    <phoneticPr fontId="2"/>
  </si>
  <si>
    <t>S16-0460</t>
  </si>
  <si>
    <t>つかだファミリークリニック_0460 (2)</t>
  </si>
  <si>
    <t>SR#4219445</t>
  </si>
  <si>
    <t>2016/06/20-09</t>
  </si>
  <si>
    <t>WK168H</t>
  </si>
  <si>
    <t>043-261-8801</t>
  </si>
  <si>
    <t>043-261-8807</t>
  </si>
  <si>
    <t>つかだファミリークリニック</t>
  </si>
  <si>
    <t>0476-26-4750</t>
  </si>
  <si>
    <t>〒286-0036　千葉県成田市加良部5-7-2</t>
  </si>
  <si>
    <t>S16-0461</t>
  </si>
  <si>
    <t>亀田第一病院_0461</t>
  </si>
  <si>
    <t>S16-0462</t>
  </si>
  <si>
    <t>京都市立病院_0462 (2)</t>
  </si>
  <si>
    <t>0329X1</t>
  </si>
  <si>
    <t>江邉様</t>
  </si>
  <si>
    <t>京都市立病院</t>
  </si>
  <si>
    <t>075-311-5311</t>
  </si>
  <si>
    <t>〒604-8845　京都府京都市中京区壬生東高田町1-2</t>
    <rPh sb="10" eb="13">
      <t>キョウトフ</t>
    </rPh>
    <rPh sb="13" eb="16">
      <t>キョウトシ</t>
    </rPh>
    <rPh sb="16" eb="18">
      <t>チュウキョウ</t>
    </rPh>
    <rPh sb="18" eb="19">
      <t>ク</t>
    </rPh>
    <rPh sb="19" eb="20">
      <t>ミノブ</t>
    </rPh>
    <rPh sb="20" eb="21">
      <t>ウ</t>
    </rPh>
    <rPh sb="21" eb="22">
      <t>ヒガシ</t>
    </rPh>
    <rPh sb="22" eb="24">
      <t>タカダ</t>
    </rPh>
    <rPh sb="24" eb="25">
      <t>マチ</t>
    </rPh>
    <phoneticPr fontId="2"/>
  </si>
  <si>
    <t>※修理キャンセル→返却(7/22)</t>
  </si>
  <si>
    <t>S16-0463</t>
  </si>
  <si>
    <t>国立循環器病研究センター_0463 (2)</t>
  </si>
  <si>
    <t>2016/07/04-04</t>
  </si>
  <si>
    <t>083P89</t>
  </si>
  <si>
    <t>株式会社エム・イー・サイエンス</t>
  </si>
  <si>
    <t>S16-0464</t>
  </si>
  <si>
    <t>北川ひ尿器科クリニック_0464 (2)</t>
  </si>
  <si>
    <t>SR#4219443</t>
  </si>
  <si>
    <t>2016・06/22-01</t>
  </si>
  <si>
    <t>WK3FM2</t>
  </si>
  <si>
    <t>株式会社北斗医理科　青森営業所</t>
  </si>
  <si>
    <t>〒030-0131　青森県青森市問屋町2-13-8</t>
  </si>
  <si>
    <t>017-728-4131</t>
  </si>
  <si>
    <t>西巻様</t>
    <rPh sb="0" eb="2">
      <t>ニシマキ</t>
    </rPh>
    <rPh sb="2" eb="3">
      <t>サマ</t>
    </rPh>
    <phoneticPr fontId="2"/>
  </si>
  <si>
    <t>S16-0465</t>
  </si>
  <si>
    <t>デモ機KUM5_0465 (2)</t>
  </si>
  <si>
    <t>SR#4221907</t>
  </si>
  <si>
    <t>EDGE Stand</t>
  </si>
  <si>
    <t>WK2D4B</t>
  </si>
  <si>
    <t>P16365-01</t>
  </si>
  <si>
    <t>デモ機KUM5</t>
  </si>
  <si>
    <t>P15512-01</t>
  </si>
  <si>
    <t>CASTER EDGE　STAND</t>
  </si>
  <si>
    <t>S16-0466</t>
  </si>
  <si>
    <t>丘ノ規病院_0466 (2)</t>
  </si>
  <si>
    <t>SR#4221631</t>
  </si>
  <si>
    <t>03K0FR</t>
  </si>
  <si>
    <t>日本コヴィディエン株式会社　営業企画室</t>
  </si>
  <si>
    <t>※ファンの交換</t>
  </si>
  <si>
    <t>S16-0467</t>
  </si>
  <si>
    <t>栃木県立がんセンター_0467 (2)</t>
  </si>
  <si>
    <t>2016/06/21-02</t>
  </si>
  <si>
    <t>42025</t>
  </si>
  <si>
    <t>有限会社いわしや丸富器械店</t>
  </si>
  <si>
    <t>宇野沢様</t>
  </si>
  <si>
    <t>〒320-0811　栃木県宇都宮市大通り2-2-4</t>
  </si>
  <si>
    <t>028-633-4325</t>
  </si>
  <si>
    <t>028-633-3760</t>
  </si>
  <si>
    <t>栃木県立がんセンター</t>
  </si>
  <si>
    <t>028-658-5151</t>
  </si>
  <si>
    <t>〒320-0834 栃木県宇都宮市陽南4-9-13</t>
  </si>
  <si>
    <t>リモート端子</t>
  </si>
  <si>
    <t>S16-0468</t>
  </si>
  <si>
    <t>新潟大学医歯学総合病院_0468 (2)</t>
  </si>
  <si>
    <t>SR#4219441</t>
  </si>
  <si>
    <t>2016/07/05-01</t>
  </si>
  <si>
    <t>040CCF</t>
  </si>
  <si>
    <t>源川医科器械株式会社　本社</t>
  </si>
  <si>
    <t>025-229-7766</t>
  </si>
  <si>
    <t>025-229-7770</t>
  </si>
  <si>
    <t>新潟大学医歯学総合病院　ICU</t>
  </si>
  <si>
    <t>P18673-01N</t>
  </si>
  <si>
    <t>X-PORTE ENGINE, CW, JAPAN</t>
  </si>
  <si>
    <t>※現地修理</t>
  </si>
  <si>
    <t>S16-0469</t>
  </si>
  <si>
    <t>大分記念病院_0469 (2)</t>
  </si>
  <si>
    <t>SR#4221629</t>
  </si>
  <si>
    <t>03MHL5</t>
  </si>
  <si>
    <t>大分記念病院</t>
  </si>
  <si>
    <t>097-543-5005</t>
  </si>
  <si>
    <t>〒870-0854 大分県大分市羽屋9-5</t>
  </si>
  <si>
    <t>S16-0470</t>
  </si>
  <si>
    <t>加藤病院_0470 (2)</t>
  </si>
  <si>
    <t>2016/07/01-06</t>
  </si>
  <si>
    <t>2015年4月</t>
  </si>
  <si>
    <t>39795</t>
  </si>
  <si>
    <t>ティーエスアルフレッサ株式会社　浜田支店</t>
  </si>
  <si>
    <t>狩野様</t>
  </si>
  <si>
    <t>〒697-0006　島根県浜田市下府町388-30</t>
    <rPh sb="10" eb="13">
      <t>シマネケン</t>
    </rPh>
    <rPh sb="13" eb="16">
      <t>ハマダシ</t>
    </rPh>
    <rPh sb="16" eb="17">
      <t>シモ</t>
    </rPh>
    <rPh sb="17" eb="18">
      <t>フ</t>
    </rPh>
    <rPh sb="18" eb="19">
      <t>マチ</t>
    </rPh>
    <phoneticPr fontId="2"/>
  </si>
  <si>
    <t>0855-28-1414</t>
  </si>
  <si>
    <t>仁寿会　加藤病院</t>
  </si>
  <si>
    <t>石橋様</t>
    <rPh sb="0" eb="1">
      <t>イシバシ</t>
    </rPh>
    <rPh sb="1" eb="2">
      <t>サマ</t>
    </rPh>
    <phoneticPr fontId="2"/>
  </si>
  <si>
    <t>検査科</t>
    <rPh sb="0" eb="2">
      <t>ケンサカ</t>
    </rPh>
    <phoneticPr fontId="2"/>
  </si>
  <si>
    <t>0855-72-0640</t>
  </si>
  <si>
    <t>〒696-0001 島根県邑智郡川本町川本383-1</t>
    <rPh sb="10" eb="13">
      <t>シマネケン</t>
    </rPh>
    <rPh sb="13" eb="16">
      <t>オオチグン</t>
    </rPh>
    <rPh sb="16" eb="19">
      <t>カワモトマチ</t>
    </rPh>
    <rPh sb="19" eb="21">
      <t>カワモト</t>
    </rPh>
    <phoneticPr fontId="2"/>
  </si>
  <si>
    <t>A1078892B</t>
  </si>
  <si>
    <t>SE-768　MOUNT</t>
  </si>
  <si>
    <t>※無償対応</t>
  </si>
  <si>
    <t>S16-0471</t>
  </si>
  <si>
    <t>大阪警察病院_0471 (2)</t>
  </si>
  <si>
    <t>SR#4220349</t>
  </si>
  <si>
    <t>2016/06/29-02</t>
  </si>
  <si>
    <t>WK32PG</t>
  </si>
  <si>
    <t>P16693-60</t>
  </si>
  <si>
    <t>真住居様</t>
  </si>
  <si>
    <t>〒540-0038 大阪府大阪市中央区内淡路町2-1-5</t>
    <rPh sb="10" eb="13">
      <t>オオサカフ</t>
    </rPh>
    <phoneticPr fontId="2"/>
  </si>
  <si>
    <t>06-6941-1365</t>
  </si>
  <si>
    <t>06-6941-1089</t>
  </si>
  <si>
    <t>大阪警察病院</t>
  </si>
  <si>
    <t>06-6771-6051</t>
  </si>
  <si>
    <t>〒543-0035 大阪府大阪市天王寺区北山町10-31</t>
  </si>
  <si>
    <t>S16-0472</t>
  </si>
  <si>
    <t>應天堂内科中田町CL_0472 (2)</t>
  </si>
  <si>
    <t>SR#4220339</t>
  </si>
  <si>
    <t>2016/07/06-02</t>
  </si>
  <si>
    <t>WK1DMP</t>
  </si>
  <si>
    <t>富士フイルムメディカル株式会社　神奈川支店</t>
  </si>
  <si>
    <t>應天堂内科中田町クリニック</t>
  </si>
  <si>
    <t xml:space="preserve"> 045-800-3330</t>
  </si>
  <si>
    <t>〒245-0014　神奈川県横浜市泉区中田南3-6-1　希光ビル2F</t>
  </si>
  <si>
    <t>S16-0473</t>
  </si>
  <si>
    <t>北里大学病院_0473 (2)</t>
  </si>
  <si>
    <t>SR#4220341</t>
  </si>
  <si>
    <t>2016/07/06-01</t>
  </si>
  <si>
    <t>WK1YN5</t>
  </si>
  <si>
    <t>北里大学病院　透析室</t>
  </si>
  <si>
    <t>042-778-8111</t>
  </si>
  <si>
    <t>〒252-0375 神奈川県相模原市南区北里1-15-1</t>
  </si>
  <si>
    <t>S16-0474</t>
  </si>
  <si>
    <t>神居ペインクリニック_0474 (2)</t>
  </si>
  <si>
    <t>SR#4230107</t>
  </si>
  <si>
    <t>2016/06/27-02</t>
  </si>
  <si>
    <t>WK1HKQ</t>
  </si>
  <si>
    <t>福地様</t>
  </si>
  <si>
    <t>神居ペインクリニック</t>
  </si>
  <si>
    <t>0166-62-8600</t>
  </si>
  <si>
    <t>〒070-8013 北海道旭川市神居3条9丁目1-3</t>
  </si>
  <si>
    <t>※現象不再現→返却・報告書あり(8/5)</t>
  </si>
  <si>
    <t>S16-0475</t>
  </si>
  <si>
    <t>福田病院_0475 (2)</t>
  </si>
  <si>
    <t>SR#4220337</t>
  </si>
  <si>
    <t>2016/06/21-01</t>
  </si>
  <si>
    <t>福田病院</t>
  </si>
  <si>
    <t>〒860-0004 熊本県熊本市中央区新町2丁目2-6</t>
  </si>
  <si>
    <t>S16-0476</t>
  </si>
  <si>
    <t>日鋼記念病院_0476 (2)</t>
  </si>
  <si>
    <t>03K0N1</t>
  </si>
  <si>
    <t>P12700-30</t>
  </si>
  <si>
    <t>日本コヴィディエン株式会社　札幌北東北営業所</t>
  </si>
  <si>
    <t>日鋼記念病院</t>
  </si>
  <si>
    <t>0143-24-1331</t>
  </si>
  <si>
    <t>〒051-0005　北海道室蘭市新富町1-5-13</t>
    <rPh sb="10" eb="13">
      <t>ホッカイドウ</t>
    </rPh>
    <rPh sb="13" eb="16">
      <t>ムロランシ</t>
    </rPh>
    <rPh sb="16" eb="18">
      <t>シントミ</t>
    </rPh>
    <rPh sb="18" eb="19">
      <t>マチ</t>
    </rPh>
    <phoneticPr fontId="2"/>
  </si>
  <si>
    <t>※修理キャンセル品→返却(7/20)</t>
  </si>
  <si>
    <t>S16-0477</t>
  </si>
  <si>
    <t>ヨナハ総合病院_0477</t>
  </si>
  <si>
    <t>S16-0478</t>
  </si>
  <si>
    <t>長岡中央病院_0478 (2)</t>
  </si>
  <si>
    <t>SR#4221627</t>
  </si>
  <si>
    <t>2016/07/05-02</t>
  </si>
  <si>
    <t>03N18M</t>
  </si>
  <si>
    <t>源川医科器械株式会社　長岡営業所</t>
  </si>
  <si>
    <t>成田様</t>
  </si>
  <si>
    <t>〒940-0877　新潟県長岡市稲保4-720-6</t>
  </si>
  <si>
    <t>0258-22-6711</t>
  </si>
  <si>
    <t>0258-22-6722</t>
  </si>
  <si>
    <t>長岡中央病院</t>
  </si>
  <si>
    <t>〒940-8653 新潟県長岡市川崎町2041番地</t>
  </si>
  <si>
    <t>S16-0479</t>
  </si>
  <si>
    <t>帝京大学病院_0479 (2)</t>
  </si>
  <si>
    <t>03526J</t>
  </si>
  <si>
    <t>※修理キャンセル返却(8/2)</t>
  </si>
  <si>
    <t>S16-0480</t>
  </si>
  <si>
    <t>苫小牧市立病院_0480 (2)</t>
  </si>
  <si>
    <t>SR#4233591</t>
  </si>
  <si>
    <t>2016/06/01-01</t>
  </si>
  <si>
    <t>0367MM</t>
  </si>
  <si>
    <t>〒053-8567　北海道苫小牧市清水町1丁目5番20号</t>
  </si>
  <si>
    <t>※点検依頼　（メンテナンスプログラム ／スタンダードプラン）バッテリー交換(P07168)</t>
  </si>
  <si>
    <t>S16-0481</t>
  </si>
  <si>
    <t>ABEクリニック_0481 (2)</t>
  </si>
  <si>
    <t>2016/07/08-04</t>
  </si>
  <si>
    <t>WK359L</t>
  </si>
  <si>
    <t>P16693-62C</t>
  </si>
  <si>
    <t>西條様</t>
  </si>
  <si>
    <t>〒020-0034　岩手県盛岡市盛岡駅前通8-17　明治安田生命盛岡駅前ビル4F</t>
  </si>
  <si>
    <t>ABEビルクリニック</t>
  </si>
  <si>
    <t>0178-22-7927</t>
  </si>
  <si>
    <t>〒 031-0053　青森県八戸市本徒士町10-2</t>
  </si>
  <si>
    <t>※FMS盛岡の西條さんへ7/27着で返却</t>
  </si>
  <si>
    <t>S16-0482</t>
  </si>
  <si>
    <t>済生会茨木病院_0482 (2)</t>
  </si>
  <si>
    <t>036JPD</t>
  </si>
  <si>
    <t>日本コヴィディエン株式会社 大阪営業所</t>
  </si>
  <si>
    <t>済生会茨木病院</t>
  </si>
  <si>
    <t>072-622-8651</t>
  </si>
  <si>
    <t>〒567-0035　大阪府茨木市見付山2-1-45</t>
  </si>
  <si>
    <t>S16-0483</t>
  </si>
  <si>
    <t>国際親善総合病院_0483 (2)</t>
  </si>
  <si>
    <t>〒224-0041 神奈川県横浜市都筑区仲町台5-2-43</t>
    <phoneticPr fontId="2"/>
  </si>
  <si>
    <t>045-949-6275</t>
  </si>
  <si>
    <t>※修理キャンセル→返却(11/14)装置更新のため</t>
    <rPh sb="1" eb="3">
      <t>シュウリ</t>
    </rPh>
    <rPh sb="9" eb="11">
      <t>ヘンキャク</t>
    </rPh>
    <rPh sb="18" eb="20">
      <t>ソウチ</t>
    </rPh>
    <rPh sb="20" eb="22">
      <t>コウシン</t>
    </rPh>
    <phoneticPr fontId="2"/>
  </si>
  <si>
    <t>S16-0484</t>
  </si>
  <si>
    <t>兵庫県立淡路医療センター_0484 (2)</t>
  </si>
  <si>
    <t>03LBBR</t>
  </si>
  <si>
    <t>フクダ電子兵庫販売株式会社</t>
  </si>
  <si>
    <t>西元様</t>
  </si>
  <si>
    <t>〒650-0047　兵庫県神戸市中央区港島南町6-5-3</t>
  </si>
  <si>
    <t>078-302-3001</t>
  </si>
  <si>
    <t>078-302-3008</t>
  </si>
  <si>
    <t>兵庫県立淡路医療センター</t>
  </si>
  <si>
    <t>P06528-50</t>
  </si>
  <si>
    <t>P17/5-1 Phased Array Transducer (MicroMaxx)</t>
  </si>
  <si>
    <t>※P17/5-1(S/N:041DBW購入</t>
  </si>
  <si>
    <t>S16-0485</t>
  </si>
  <si>
    <t>代替機NIM64_0485 (2)</t>
  </si>
  <si>
    <t>SR#4221675</t>
  </si>
  <si>
    <t>梶田</t>
    <phoneticPr fontId="2"/>
  </si>
  <si>
    <t>0346CV</t>
  </si>
  <si>
    <t>代替機NIM64</t>
  </si>
  <si>
    <t>S16-0486</t>
  </si>
  <si>
    <t>長野赤十字病院_0486 (2)</t>
  </si>
  <si>
    <t>2016/07/11-02</t>
  </si>
  <si>
    <t>WT093N</t>
  </si>
  <si>
    <t>小嶋様</t>
  </si>
  <si>
    <t>長野赤十字病院 COP</t>
  </si>
  <si>
    <t>坂口師長</t>
    <rPh sb="0" eb="2">
      <t>サカグチ</t>
    </rPh>
    <rPh sb="2" eb="3">
      <t>シ</t>
    </rPh>
    <rPh sb="3" eb="4">
      <t>チョウ</t>
    </rPh>
    <phoneticPr fontId="2"/>
  </si>
  <si>
    <t>COP</t>
  </si>
  <si>
    <t>※修理キャンセル→返却(7/27)</t>
  </si>
  <si>
    <t>S16-0487</t>
  </si>
  <si>
    <t>呉医療センター_0487 (2)</t>
  </si>
  <si>
    <t>2016/07/08-01</t>
  </si>
  <si>
    <t>ティーエスアルフレッサ株式会社呉支店</t>
  </si>
  <si>
    <t>呉医療センター 7B 0823-22-3111</t>
  </si>
  <si>
    <t>中野先生</t>
    <rPh sb="0" eb="2">
      <t>ナカノ</t>
    </rPh>
    <rPh sb="2" eb="4">
      <t>センセイ</t>
    </rPh>
    <phoneticPr fontId="2"/>
  </si>
  <si>
    <t>7B</t>
  </si>
  <si>
    <t>※現象不再現→報告書あり返却(8/4)</t>
  </si>
  <si>
    <t>S16-0488</t>
  </si>
  <si>
    <t>ももたろう往診クリニック_0488 (2)</t>
  </si>
  <si>
    <t>2016/07/04-01</t>
  </si>
  <si>
    <t>WK0BY9</t>
  </si>
  <si>
    <t>株式会社カワニシ 岡山支店</t>
  </si>
  <si>
    <t>〒700-8528　岡山県岡山市北区今1-4-31</t>
    <rPh sb="10" eb="13">
      <t>オカヤマケン</t>
    </rPh>
    <rPh sb="13" eb="16">
      <t>オカヤマシ</t>
    </rPh>
    <rPh sb="16" eb="18">
      <t>キタク</t>
    </rPh>
    <rPh sb="18" eb="19">
      <t>イマ</t>
    </rPh>
    <phoneticPr fontId="2"/>
  </si>
  <si>
    <t>ももたろう往診クリニック</t>
  </si>
  <si>
    <t>小森先生</t>
    <rPh sb="0" eb="2">
      <t>コモリ</t>
    </rPh>
    <rPh sb="2" eb="4">
      <t>センセイ</t>
    </rPh>
    <phoneticPr fontId="2"/>
  </si>
  <si>
    <t>086-242-3232</t>
  </si>
  <si>
    <t>〒700-0953　岡山県岡山市南区西市101-4-2</t>
    <rPh sb="10" eb="13">
      <t>オカヤマケン</t>
    </rPh>
    <rPh sb="13" eb="16">
      <t>オカヤマシ</t>
    </rPh>
    <rPh sb="16" eb="18">
      <t>ミナミク</t>
    </rPh>
    <rPh sb="18" eb="19">
      <t>ニシ</t>
    </rPh>
    <rPh sb="19" eb="20">
      <t>イチ</t>
    </rPh>
    <phoneticPr fontId="2"/>
  </si>
  <si>
    <t>※現象不再現→7/25返却</t>
  </si>
  <si>
    <t>S16-0489</t>
  </si>
  <si>
    <t>代替機NIM8_0489 (2)</t>
  </si>
  <si>
    <t>SR#4221625</t>
  </si>
  <si>
    <t>032D0Z</t>
  </si>
  <si>
    <t>代替機NIM8</t>
  </si>
  <si>
    <t>S16-0490</t>
  </si>
  <si>
    <t>札幌東徳洲会病院_0490</t>
  </si>
  <si>
    <t>S16-0491</t>
  </si>
  <si>
    <t>大阪警察病院_0491 (2)</t>
  </si>
  <si>
    <t>2016/06/30-03</t>
  </si>
  <si>
    <t>WK052P</t>
  </si>
  <si>
    <t>株式会社日立製作所 ヘルスケア大阪営業所</t>
  </si>
  <si>
    <t>〒564-0051　大阪府吹田市豊津町41-35</t>
  </si>
  <si>
    <t>06-4861-4866</t>
  </si>
  <si>
    <t>06-4861-4860</t>
  </si>
  <si>
    <t>大阪警察病院 呼吸器科</t>
  </si>
  <si>
    <t>今村様</t>
    <rPh sb="0" eb="2">
      <t>イマムラ</t>
    </rPh>
    <rPh sb="2" eb="3">
      <t>サマ</t>
    </rPh>
    <phoneticPr fontId="2"/>
  </si>
  <si>
    <t>呼吸器科</t>
    <rPh sb="0" eb="4">
      <t>コキュウキカ</t>
    </rPh>
    <phoneticPr fontId="2"/>
  </si>
  <si>
    <t>〒543-0035　大阪府大阪市天王寺区北山町10-31</t>
  </si>
  <si>
    <t>CONN,RCPT,5 PIN CIRCULAR DIN,SN CONTACTS,SHIELDED,LOW PROFILE,ROHS</t>
  </si>
  <si>
    <t>S16-0492</t>
  </si>
  <si>
    <t>横浜市立大学病院_0492</t>
  </si>
  <si>
    <t>S16-0493</t>
  </si>
  <si>
    <t>神戸市立医療センター中央市民病院_0493 (2)</t>
  </si>
  <si>
    <t>SR#4221677</t>
  </si>
  <si>
    <t>2016/07/07-04</t>
  </si>
  <si>
    <t>040DB7</t>
  </si>
  <si>
    <t>神戸市立医療センター中央市民病院 呼吸内科</t>
  </si>
  <si>
    <t>中川先生</t>
    <rPh sb="0" eb="2">
      <t>ナカガワ</t>
    </rPh>
    <rPh sb="2" eb="4">
      <t>センセイ</t>
    </rPh>
    <phoneticPr fontId="2"/>
  </si>
  <si>
    <t>ナノドックを装着して充電が出来たり、出来なかったりする</t>
  </si>
  <si>
    <t>ナノドックと本体接続コネクタの接触不良が有り、充電出来ず、電源が入らないことが有る（テスト用ナノドックでも同様）ＦＡＴテスト中でも、本体とナノドックの接触不良が有りパワーオフとなることが有る上記症状確認。バックエンド基板、コネクター部浮きがある。　バックエンド基盤交換必要。ナノドックのガイド部分が破損　→　先月新品交換した分充電できない、電源基盤交換必要。充電中→放電90分以上確認バックエンド基板　→　出庫依頼書提出ナノドック　or　変換アダプタ　→　見積提出　　※8/23ナノドックで見積OKあり</t>
  </si>
  <si>
    <t>バックエンド基板の交換を実施。　　※先行使用許可あり新品ナノドックの動作チェック異常なし</t>
  </si>
  <si>
    <t>動作チェック異常なし本日出荷正式に出庫依頼があったため、クローズ</t>
  </si>
  <si>
    <t>S16-0494</t>
  </si>
  <si>
    <t>自治医科大学病院_0494 (2)</t>
  </si>
  <si>
    <t>SR#不要</t>
    <phoneticPr fontId="2"/>
  </si>
  <si>
    <t>01J3X3</t>
  </si>
  <si>
    <t>風間様　下様</t>
  </si>
  <si>
    <t>自治医科大学病院</t>
  </si>
  <si>
    <t>エラーコード1271 D:4522054 発生</t>
  </si>
  <si>
    <t>筺体上部 破損個所有り（２ヶ所）・ゲインダイヤル等の文字が消えかけている・画面左半分 白色が抜けている状況パワーオン直後に上記症状が発生AC電源アダプタ故障　⇒　出力電圧が0VアダプタDCコネクタ付根断線、アダプタ交換必要。メイン基板DCソケットぐらぐら、通電されない、メイン基板故障の為交換必要。画面左1/4が変色、ディスプレイユニット故障の為交換必要。バッテリー90以上持つことを確認。　→　LOT古いため、バッテリー販売終了について説明が必要</t>
  </si>
  <si>
    <t>見積と耐用期間外をFMS風間様に提出。更新予定とのこと</t>
  </si>
  <si>
    <t>更新完了修理キャンセルで返却</t>
  </si>
  <si>
    <t>※修理キャンセル→返却(9/8)FMS宇都宮営業所・下様宛に返却</t>
  </si>
  <si>
    <t>S16-0495</t>
  </si>
  <si>
    <t>三重大学病院_0495(2)</t>
  </si>
  <si>
    <t>03858C</t>
  </si>
  <si>
    <t>S16-0496</t>
  </si>
  <si>
    <t>北見赤十字病院_0496 (2)</t>
  </si>
  <si>
    <t>2016/07/14-01</t>
  </si>
  <si>
    <t>01J3YZ</t>
  </si>
  <si>
    <t>株式会社ムトウ　北見支店</t>
  </si>
  <si>
    <t>神崎様</t>
  </si>
  <si>
    <t>〒090-0056  北海道北見市卸町3丁目5番地2</t>
    <phoneticPr fontId="2"/>
  </si>
  <si>
    <t>0157-66-1610</t>
  </si>
  <si>
    <t>0157-66-1010</t>
  </si>
  <si>
    <t>北見赤十字病院</t>
  </si>
  <si>
    <t>0157-24-3115</t>
    <phoneticPr fontId="2"/>
  </si>
  <si>
    <t>〒090-8666 北海道北見市北6条東2丁目</t>
    <phoneticPr fontId="2"/>
  </si>
  <si>
    <t>AC接続していないと使用不可</t>
  </si>
  <si>
    <t>症状未再現、バッテリのみで起動可。バッテリ脱装時も起動可。アダプタ差込口異常なし。ヒンジ緩い→交換必須電源スイッチ消耗の為若干戻りが緩い/液晶に気泡数箇所あり　→交換推奨バッテリー劣化を確認(持続時間約15分)　本体での充電は可能ヒンジ硬化　→　P00343　必須液晶レンズ、傷　→　P00340　推奨電源スイッチ、接触不良　→　P00104　必須バッテリーに関しては在庫切れを報告見積提出　※山内様報告済みFAXにて督促実施</t>
  </si>
  <si>
    <t>修理キャンセル連絡あり本日返却</t>
  </si>
  <si>
    <t>※修理キャンセル→返却(11/14)</t>
    <rPh sb="1" eb="3">
      <t>シュウリ</t>
    </rPh>
    <rPh sb="9" eb="11">
      <t>ヘンキャク</t>
    </rPh>
    <phoneticPr fontId="2"/>
  </si>
  <si>
    <t>S16-0497</t>
  </si>
  <si>
    <t>自衛隊福岡病院_0497 (2)</t>
  </si>
  <si>
    <t>SR#4230117</t>
  </si>
  <si>
    <t>2016/07/13-01</t>
  </si>
  <si>
    <t>0206ZX</t>
  </si>
  <si>
    <t>株式会社キシヤ　本社　営業4課</t>
  </si>
  <si>
    <t>古谷様</t>
  </si>
  <si>
    <t>〒812-0062 　福岡県福岡市東区松島1-41-21</t>
  </si>
  <si>
    <t>自衛隊福岡病院 衛生資材課</t>
  </si>
  <si>
    <t>中原様</t>
    <rPh sb="0" eb="2">
      <t>ナカハラ</t>
    </rPh>
    <rPh sb="2" eb="3">
      <t>サマ</t>
    </rPh>
    <phoneticPr fontId="2"/>
  </si>
  <si>
    <t>衛生資材課</t>
    <rPh sb="0" eb="2">
      <t>エイセイ</t>
    </rPh>
    <rPh sb="2" eb="5">
      <t>シザイカ</t>
    </rPh>
    <phoneticPr fontId="2"/>
  </si>
  <si>
    <t>092-581-0431</t>
  </si>
  <si>
    <t>〒816-0826　福岡県春日市小倉東1-61</t>
  </si>
  <si>
    <t>①バッテリ切れ
②トラックボール前画像に逆戻り出来ない</t>
  </si>
  <si>
    <t>画面全体にコーティング剥れ有りバッテリ切れは再現トラックボールの現象は未再現バッテリー0V、アダプター出力変動する、断線。アダプター交換必要ヒンジ固い交換必要。 レンズ傷多い、交換おすすめ。 テスト用アダプターにて充電可能40PIN固い交換おすすめ。トラックボールからの画像の選択の機能無し。ディスプレイ左にあるボタンにて正常に保存画像の選択可能又、コントロールパネルの左右矢印キーでも選択できることを確認。 勘違いか。バッテリー90分動作確認</t>
  </si>
  <si>
    <t>上記内容でお見積り作成、提出。回答待ち。見積OKありヒンジ、40PIN、レンズ、ACアダプタの交換実施。動作OK</t>
  </si>
  <si>
    <t>動作チェック異常なし本日出荷</t>
  </si>
  <si>
    <t>S16-0498</t>
  </si>
  <si>
    <t>宝塚市立病院_0498 (2)</t>
  </si>
  <si>
    <t>2016/07/21-02</t>
  </si>
  <si>
    <t>0341VM</t>
  </si>
  <si>
    <t>株式会社日立製作所 ﾍﾙｽｹｱ東京事業所</t>
  </si>
  <si>
    <t>宝塚市立病院</t>
  </si>
  <si>
    <t>0797-87-1161</t>
  </si>
  <si>
    <t>〒665-0827　兵庫県宝塚市小浜4-5-1</t>
    <rPh sb="10" eb="13">
      <t>ヒョウゴケン</t>
    </rPh>
    <rPh sb="13" eb="16">
      <t>タカラヅカシ</t>
    </rPh>
    <rPh sb="16" eb="18">
      <t>コハマ</t>
    </rPh>
    <phoneticPr fontId="2"/>
  </si>
  <si>
    <t>電源入らない</t>
  </si>
  <si>
    <t>現象再現、ACｱﾀﾞﾌﾟﾀ、ﾊﾞｯﾃﾘともに起動せず。電源入らない　→　電源基板故障、交換必要。バッテリーを取り付けると電源が入る　→　メイン基板故障、交換必要。ヒンジ破損の為交換必要。バッテリー2005年製造の為交換おすすめ見積提出。回答待ち</t>
  </si>
  <si>
    <t>修理キャンセル本日返却</t>
  </si>
  <si>
    <t>S16-0499</t>
  </si>
  <si>
    <t>埼玉協同病院_0499 (2)</t>
  </si>
  <si>
    <t>036PYX</t>
  </si>
  <si>
    <t>日本コヴィディエン株式会社 南関東営業所</t>
  </si>
  <si>
    <t>宮澤様</t>
  </si>
  <si>
    <t>埼玉協同病院</t>
  </si>
  <si>
    <t>048-296-4771</t>
  </si>
  <si>
    <t xml:space="preserve"> 〒333-0831　埼玉県川口市木曽路1317</t>
  </si>
  <si>
    <t>使用しようとすると、すぐに電源が落ちてしまう症状が連発している。
充電しても、この症状は改善されず、通常使用できない。</t>
  </si>
  <si>
    <t>ACｱﾀﾞﾌﾟﾀ 4Pin 14.95V受付： R160715069ヒートラン実施、症状確認できず。バッテリー動作40分確認。施設アダプタ、電源コード、変換コネクタ使用し充電、ヒートラン実施し正常動作確認。スタンド使用の場合はスタンド故障の可能性が高い。オートシャットオフ機能： オフ電源ケーブル非純正品　→　通電は可</t>
  </si>
  <si>
    <t>テクサポに現象不再現にて報告。回答待ち。テクサポより一旦返却で様子を見ていただくこととなりました。</t>
  </si>
  <si>
    <t>※現象不再現→報告書有で返却(9/8)</t>
  </si>
  <si>
    <t>S16-0500</t>
  </si>
  <si>
    <t>川崎医科大学附属病院_0500 (2)</t>
  </si>
  <si>
    <t>2016/07/15-02</t>
  </si>
  <si>
    <t>ティーエスアルフレッサ株式会社  岡山機器試薬支店</t>
  </si>
  <si>
    <t>川崎医科大学附属病院</t>
  </si>
  <si>
    <t>画面に何も表示されない</t>
  </si>
  <si>
    <t>バッテリでの起動不可(ON直後に落ちる)、ACアダプタ接続で起動可本体にてバッテリー充電後、残圧12.53Vまで上昇、再検証実施、バッテリーのみで起動可能。(2時間超持続)　→電源アダプタ、または電源コード不良の可能性あり。現象確認出来ず、今回は画面表示トラブルではなく、電源供給不良だった可能性あり一度様子見返却の方向で。</t>
  </si>
  <si>
    <t>TEL＞　状況をご説明、スタンドについてはピンが変形しているが修理不能な為このまま使用する事となっています。　　　　　一旦返却様子見でOKとのこと</t>
  </si>
  <si>
    <t>※現象不再現→返却(8/4)</t>
  </si>
  <si>
    <t>S16-0501</t>
  </si>
  <si>
    <t>代替機NIM130_0501 (2)</t>
  </si>
  <si>
    <t>SR#4221909</t>
  </si>
  <si>
    <t>03D53V</t>
  </si>
  <si>
    <t>P10284-02</t>
  </si>
  <si>
    <t xml:space="preserve"> 代替機NIM130</t>
  </si>
  <si>
    <t>メモリ読み込みが終わらず、その後ＡＣ：10269発生</t>
  </si>
  <si>
    <t>メモリ読み込み終わらず、しばらくするとAC:10269発生ドーターカード、SDカードの差し直しでは復旧せず0リセットもかからないメイン基板の仮交換にて症状改善</t>
  </si>
  <si>
    <t>FMS簿外部品にて本修理対応　※大石様よりパーツ到着メイン基板交換を実施ヒートランニング異常なし</t>
  </si>
  <si>
    <t>オプション変更のLKC依頼・入力済み動作チェック異常なしこれでクローズ</t>
  </si>
  <si>
    <t>S16-0502</t>
  </si>
  <si>
    <t>光輝病院_0502 (2)</t>
  </si>
  <si>
    <t>SR#4224429</t>
  </si>
  <si>
    <t>03XV5Q</t>
  </si>
  <si>
    <t>日本コヴィディエン株式会社　営業企画室　西日本Inside Sales</t>
  </si>
  <si>
    <t>光輝会　光輝病院</t>
  </si>
  <si>
    <t>0820-58-1111</t>
  </si>
  <si>
    <t>〒742-1193 山口県熊毛郡平生町大字佐賀字鳩ヶ峯2-77</t>
  </si>
  <si>
    <t>ｴﾗｰｺｰﾄﾞ：15358が表示され、再起動をかけたがﾌﾘｰｽﾞしてしまったり、電源が入らない状態になった。</t>
  </si>
  <si>
    <t>起動後、ロゴ画面でロックアップする。バックエンド基板故障の為交換必要。</t>
  </si>
  <si>
    <t>代替機が回らないとの連絡があり　→　JTP在庫から部品を先行使用予定バックエンド基板交換　動作OKヒートランニング異常なし</t>
  </si>
  <si>
    <t>動作チェック異常なし本日出荷パーツ出庫指示あり、JTP在庫に補填クローズ</t>
  </si>
  <si>
    <t>S16-0503</t>
  </si>
  <si>
    <t>菅医院_0503 (2)</t>
  </si>
  <si>
    <t>WM04ZR</t>
  </si>
  <si>
    <t>日本コヴィディエン株式会社　 南日本透析営業所</t>
  </si>
  <si>
    <t>讃井様</t>
  </si>
  <si>
    <t>菅医院</t>
  </si>
  <si>
    <t>0957-74-2457</t>
  </si>
  <si>
    <t>〒854-0512　長崎県雲仙市小浜町北木指3035-3</t>
  </si>
  <si>
    <t>スタンドの支柱がぐらついている。</t>
  </si>
  <si>
    <t>スタンド15.23V　出力正常支柱をベースに固定しているネジが緩んでいる事を確認→スタンドのそこからネジの増し締め、調整済みY字コネクタ調整済み、出力値正常修理依頼番号：R160719100</t>
  </si>
  <si>
    <t>岡山様＞　思ったより作業費が掛かってしまうことに納得されない、一旦キャンセルにて依頼あり</t>
  </si>
  <si>
    <t>キャンセル、返却　（ネジの増し締めだけなので、今回はそのまま返却）</t>
  </si>
  <si>
    <t>※修理キャンセル→返却(8/16) ※8/22報告書依頼あり。作成→郵送</t>
  </si>
  <si>
    <t>S16-0504</t>
  </si>
  <si>
    <t>岡田医院_0504 (2)</t>
  </si>
  <si>
    <t>2016/07/15-01</t>
  </si>
  <si>
    <t>03BLXB</t>
  </si>
  <si>
    <t xml:space="preserve"> 岡田医院　在宅部</t>
  </si>
  <si>
    <t>岡田徹也様</t>
  </si>
  <si>
    <t>〒177-0051 東京都練馬区関町北1-8-9</t>
  </si>
  <si>
    <t>03-6712-0388</t>
  </si>
  <si>
    <t>03-6712-0387</t>
  </si>
  <si>
    <t xml:space="preserve"> 岡田医院</t>
  </si>
  <si>
    <t>在宅部</t>
    <rPh sb="0" eb="2">
      <t>ザイタク</t>
    </rPh>
    <rPh sb="2" eb="3">
      <t>ブ</t>
    </rPh>
    <phoneticPr fontId="2"/>
  </si>
  <si>
    <t xml:space="preserve">起動がするが、画面がまっくら。 </t>
  </si>
  <si>
    <t>アサートログよりＡＣ：10324が複数回発生している。アサートログは2015年12月22日に発生している、今回の症状とは関係ないと判断。症状確認できず、ヒートラン実施中8時間クールダウン後の起動再現せず、20回起動テストにても再現せず。P17にて縦ノイズが多い、シールドテープ貼り付け実施。　→　提言ディスプレイケーブル、インバーターケーブル再接続実施。症状再現しない為様子見、一旦返却の方向で</t>
  </si>
  <si>
    <t>島崎様へ相談更新を狙っていたが、故障していないので今回は返却でもOKとのこと</t>
  </si>
  <si>
    <t>先生にご説明の上、一旦返却の許可あり本日出荷</t>
  </si>
  <si>
    <t>S16-0505</t>
  </si>
  <si>
    <t>さかいペインクリニック_0505 (2)</t>
  </si>
  <si>
    <t>SR#4229551</t>
  </si>
  <si>
    <t>2016/07/06-04</t>
  </si>
  <si>
    <t>2011/6/27</t>
  </si>
  <si>
    <t>03MF3V</t>
  </si>
  <si>
    <t xml:space="preserve"> さかいペインクリニック</t>
  </si>
  <si>
    <t>072-971-1899</t>
  </si>
  <si>
    <t>〒582-0007　大阪府柏原市上市1-2-2　アゼリア柏原416</t>
  </si>
  <si>
    <t>電源がすぐ落ちる
（JTP故障発生のコール受付日：2016/6/20）</t>
  </si>
  <si>
    <t>現象不再現保存画像多い（36％）症状確認できず、放電中2015/2/7に　アサートコード　12283発生履歴あり　　今回の症状には関係ないと判断。バッテリー動作50分確認、少し稼働時間が短い、2010年製でもある為交換おすすめ。20回コネクタ抜き差し実施、セーフティーシャットオフ発生せず。電源がすぐ落ちる症状については確認できず、スタンド側に問題ある可能性あり。一旦返却、様子見の方向で、もしくはメイン基板見込み交換パーツ出庫依頼書提出</t>
  </si>
  <si>
    <t>パーツ出庫指示ありメイン基板、電源基板の交換を実施。動作OK</t>
  </si>
  <si>
    <t>S16-0506</t>
  </si>
  <si>
    <t>代替機NIM190_0506 (2)</t>
  </si>
  <si>
    <t>SR#4224435</t>
  </si>
  <si>
    <t>03WRLZ</t>
  </si>
  <si>
    <t xml:space="preserve"> 代替機NIM190</t>
  </si>
  <si>
    <t>S16-0507</t>
  </si>
  <si>
    <t>愛媛県立中央病院_0507 (2)</t>
  </si>
  <si>
    <t>2016/07/07-01</t>
  </si>
  <si>
    <t>0206Z0</t>
  </si>
  <si>
    <t>株式会社カワニシ　松山支店</t>
  </si>
  <si>
    <t>榎谷様</t>
  </si>
  <si>
    <t>〒791-2112　愛媛県伊予郡砥部町重光241-3</t>
    <rPh sb="10" eb="13">
      <t>エヒメケン</t>
    </rPh>
    <rPh sb="13" eb="16">
      <t>イヨグン</t>
    </rPh>
    <rPh sb="16" eb="18">
      <t>トベ</t>
    </rPh>
    <rPh sb="18" eb="19">
      <t>マチ</t>
    </rPh>
    <rPh sb="19" eb="21">
      <t>シゲミツ</t>
    </rPh>
    <phoneticPr fontId="2"/>
  </si>
  <si>
    <t>愛媛県立中央病院　人工透析室</t>
  </si>
  <si>
    <t>089-947-1111</t>
  </si>
  <si>
    <t>〒790-0024 愛媛県松山市春日町83番地</t>
  </si>
  <si>
    <t>電源立上げ途中で止まり起動出来ない</t>
  </si>
  <si>
    <t>画面が白い状態で何も表示されない起動は出来たので、ユーザ設定控え・FATテスト実施画面のコーティング剥れ・左側ヒンジ部の破損画面が白い状態で何も表示されない　→　検証用の液晶ケーブルと交換にて改善。液晶ケーブルの内部断線が原因と判断。ヒンジ、破損。液晶レンズ、小傷が多い。バッテリー、放電テスト中。バッテリー60分動作確認、正常。</t>
  </si>
  <si>
    <t>必須交換OKあり液晶ケーブル、ヒンジ交換実施動作正常</t>
  </si>
  <si>
    <t>S16-0508</t>
  </si>
  <si>
    <t>デモ機MUR10_0508 (2)</t>
  </si>
  <si>
    <t>03JFKP</t>
  </si>
  <si>
    <t>デモ機MUR10</t>
  </si>
  <si>
    <t>S16-0509</t>
  </si>
  <si>
    <t>山形県立中央病院_0509 (2)</t>
  </si>
  <si>
    <t>2016/07/14-03</t>
  </si>
  <si>
    <t>03KYFP</t>
  </si>
  <si>
    <t>株式会社シバタインテック 山形支店</t>
  </si>
  <si>
    <t>藤田様</t>
  </si>
  <si>
    <t>〒990-2323　山形県山形市桜田東二丁目1番21号</t>
  </si>
  <si>
    <t>023-642-8153</t>
  </si>
  <si>
    <t>023-623-5853</t>
  </si>
  <si>
    <t>山形県立中央病院</t>
  </si>
  <si>
    <t>0236-85-2626</t>
  </si>
  <si>
    <t>〒990-2292 　山形市大字青柳1800</t>
    <rPh sb="11" eb="13">
      <t>ヤマガタ</t>
    </rPh>
    <rPh sb="13" eb="14">
      <t>シ</t>
    </rPh>
    <rPh sb="14" eb="16">
      <t>オオアザ</t>
    </rPh>
    <rPh sb="16" eb="18">
      <t>アオヤギ</t>
    </rPh>
    <phoneticPr fontId="2"/>
  </si>
  <si>
    <t>①バッテリ駆動不可
②診断画像エリアにノイズ発生</t>
  </si>
  <si>
    <t>上記現象（バッテリ駆動不可・画面ノイズ）が再現しました。バッテリー稼働不可　→　バッテリー充電不可、バッテリーの故障。プローブシールド変形。診断画像エリアにノイズ発生(写メ済み)　→　インターポージャーの変形で改善せず。メイン基盤の故障と判断。メイン基盤、プローブシールドショートx2、ロングx2、必須交換。バッテリー、推奨交換。</t>
  </si>
  <si>
    <t>メイン基板、シールドショート、ロング、バッテリーの交換実施。動作OK</t>
  </si>
  <si>
    <t>S16-0510</t>
  </si>
  <si>
    <t>砂川市立病院_0510</t>
  </si>
  <si>
    <t>S16-0511</t>
  </si>
  <si>
    <t>岐阜大学医学部附属病院_0511 (2)</t>
  </si>
  <si>
    <t>SR#4230113</t>
  </si>
  <si>
    <t>2016/07/21-01</t>
  </si>
  <si>
    <t>03KYFC</t>
  </si>
  <si>
    <t>〒501-0115　岐阜市鏡島南二丁目8番33号</t>
  </si>
  <si>
    <t>岐阜大学医学部附属病院</t>
  </si>
  <si>
    <t>058-230-6000</t>
  </si>
  <si>
    <t>〒501-1194　岐阜県岐阜市柳戸1-1</t>
  </si>
  <si>
    <t>スタンダードプラン点検依頼</t>
  </si>
  <si>
    <t>点検依頼分Mini-Dockガイドピンぐらつき。　→　調整にて改善。コントロールパネル浮きやすい。　→　調整にて改善。本体動作OK。　プローブ動作OK。　バッテリー放電テスト予定。C60xラッチ回る、交換おすすめ。</t>
  </si>
  <si>
    <t>通常のスタンダードプランにてOK。点検整備記録に基づく点検・整備実施。</t>
  </si>
  <si>
    <t>最終動作確認を実施し異常なし。本日出荷。</t>
  </si>
  <si>
    <t>※スタンダードプラン　8/1or2出荷予定</t>
  </si>
  <si>
    <t>S16-0512</t>
  </si>
  <si>
    <t>国際医療センター_0512 (2)</t>
  </si>
  <si>
    <t>03V2NJ</t>
  </si>
  <si>
    <t>S16-0513</t>
  </si>
  <si>
    <t>滋賀医科大学病院_0513 (2)</t>
  </si>
  <si>
    <t>034K90</t>
  </si>
  <si>
    <t>川上様</t>
  </si>
  <si>
    <t>滋賀医科大学医学部附属病院</t>
  </si>
  <si>
    <t>077-548-2111</t>
  </si>
  <si>
    <t>〒520-2192　滋賀県大津市瀬田月輪町</t>
  </si>
  <si>
    <t>ディスプレイ表示がかすれており、視認が困難。</t>
  </si>
  <si>
    <t>修理依頼番号：R160721114画像不鮮明（画面が白く文字が不鮮明状態で有る）画像が不鮮明　→　外部出力は正常なため、ディスプレイユニット、または、メイン基盤の故障。検証の必要あり。ディスプレイユニット交換で症状改善。バッテリー膨張していて抜き差し引っかかる。その他動作ＯＫディスプレイユニット、バッテリー交換必要</t>
  </si>
  <si>
    <t>修理不能と判定。修理不能扱いとして報告。</t>
  </si>
  <si>
    <t>テクサポより修理不能書発行依頼あり。修理不能書提出。本日返却致しました。</t>
  </si>
  <si>
    <t>S16-0514</t>
  </si>
  <si>
    <t>埼玉医大総合医療センター_0514</t>
  </si>
  <si>
    <t>S16-0515</t>
  </si>
  <si>
    <t>横浜市立大学総合医療センター_0515 (2)</t>
  </si>
  <si>
    <t>SR#4224431</t>
  </si>
  <si>
    <t>2016/07/25-02</t>
  </si>
  <si>
    <t>0419ND</t>
  </si>
  <si>
    <t>岡崎 様</t>
  </si>
  <si>
    <t xml:space="preserve"> 横浜市立大学総合医療センター</t>
  </si>
  <si>
    <t>エラー10960を表示、またエラー220.222.223のいずれかを表示</t>
  </si>
  <si>
    <t>電源オン直後にエラー（C:10960 D:0）が表示され起動できない。軌道直後にAC:10960、220発生。(写メ済)メイン基板故障の為交換必要。パーツ出庫依頼書提出TTC切り替え20回実施、特に問題なし。</t>
  </si>
  <si>
    <t>パーツ出庫指示ありメイン基板の交換実施。動作OK</t>
  </si>
  <si>
    <t>S16-0516</t>
  </si>
  <si>
    <t>鹿児島市立病院_0516 (2)</t>
  </si>
  <si>
    <t>2016/07/15-07</t>
  </si>
  <si>
    <t>037BTB</t>
  </si>
  <si>
    <t>株式会社八郷医療器</t>
  </si>
  <si>
    <t>河嶋 様</t>
  </si>
  <si>
    <t>〒891-0114　鹿児島県鹿児島市小松原1-29-5</t>
  </si>
  <si>
    <t>099-268-0010</t>
  </si>
  <si>
    <t>099-267-7790</t>
  </si>
  <si>
    <t>〒890-8760　鹿児島県鹿児島市上荒田町37-1</t>
  </si>
  <si>
    <t>画面全体が白い状態で立上る</t>
  </si>
  <si>
    <t>上記症状が再現しました。起動時画面が白く表示される症状確認。メイン基板側に接続されているディスプレイケーブル抜き差しにて改善。前回修理でディスプレイを交換している。ヒンジに黒いプラスチックでケーブルが固定されており、ケーブルに遊びが無かった為ケーブルがしっかり刺さっていなかったヒートラン、動作テスト中。再度発生、ディスプレイ故障の為交換必要。前回修理時もディスプレイ交換の為注意必要。</t>
  </si>
  <si>
    <t>パーツ欠品中、入荷未定ディスプレイユニット交換実施　動作正常ヒートランニング異常なし</t>
  </si>
  <si>
    <t>S16-0517</t>
  </si>
  <si>
    <t>勤医協中央病院_0517 (2)</t>
  </si>
  <si>
    <t>2016/07/21-03</t>
  </si>
  <si>
    <t>和田先生</t>
    <rPh sb="0" eb="2">
      <t>ワダ</t>
    </rPh>
    <rPh sb="2" eb="4">
      <t>センセイ</t>
    </rPh>
    <phoneticPr fontId="2"/>
  </si>
  <si>
    <t>総合診療科（5東)</t>
    <rPh sb="0" eb="2">
      <t>ソウゴウ</t>
    </rPh>
    <rPh sb="2" eb="5">
      <t>シンリョウカ</t>
    </rPh>
    <rPh sb="7" eb="8">
      <t>ヒガシ</t>
    </rPh>
    <phoneticPr fontId="2"/>
  </si>
  <si>
    <t>〒007-8505　北海道札幌市東区東苗穂5条1丁目9-1</t>
  </si>
  <si>
    <t>電源が入らない</t>
  </si>
  <si>
    <t>AC電源アダプタ故障（出力0V）アダプタのDCコネクタ側根元の断線、交換必要。本体側DCソケット接触不良、ケーブル揺すると電源が落ちる事がまれにある、少し遊びがある→調整実施し改善。ヒートラン中放電テスト、90分以上持つことを確認。</t>
  </si>
  <si>
    <t>ACアダプタの交換実施。動作OK。</t>
  </si>
  <si>
    <t>S16-0518</t>
  </si>
  <si>
    <t>京都市立病院_0518 (2)</t>
  </si>
  <si>
    <t>SR不要</t>
  </si>
  <si>
    <t>039D3H</t>
  </si>
  <si>
    <t>日本コヴィディエン株式会社京滋兵庫営業所</t>
  </si>
  <si>
    <t>〒604-8845 京都府京都市中京区壬生東高田町1-2</t>
  </si>
  <si>
    <t>S16-0519</t>
  </si>
  <si>
    <t>横浜市東部病院_0519 (2)</t>
    <phoneticPr fontId="2"/>
  </si>
  <si>
    <t>SR#4224433</t>
  </si>
  <si>
    <t>2016/07/26-04</t>
  </si>
  <si>
    <t>0422MH</t>
  </si>
  <si>
    <t>P16360-03</t>
  </si>
  <si>
    <t>横浜市東部病院</t>
  </si>
  <si>
    <t>045-576-3000</t>
  </si>
  <si>
    <t>〒230-8765　神奈川県横浜市鶴見区下末吉3-6-1</t>
  </si>
  <si>
    <t>アサートコード15320 D:0発生</t>
  </si>
  <si>
    <t xml:space="preserve">アサートコード10960 D:0、10888 D:52094420、15320 D:0（各1回）発生 </t>
  </si>
  <si>
    <t>メイン基板交換実施。動作Ok</t>
  </si>
  <si>
    <t>S16-0520</t>
  </si>
  <si>
    <t>新潟県警察本部_0520 (2)</t>
    <phoneticPr fontId="2"/>
  </si>
  <si>
    <t>2016/07/27-05</t>
  </si>
  <si>
    <t>03H19W</t>
  </si>
  <si>
    <t>施設直接依頼</t>
  </si>
  <si>
    <t xml:space="preserve">
〒950-8553　新潟県新潟市中央区新光町4番地1</t>
  </si>
  <si>
    <t>025-285-0110 内4152</t>
  </si>
  <si>
    <t>025-283-7129</t>
  </si>
  <si>
    <t>新潟県警察本部　捜査一課</t>
  </si>
  <si>
    <t>電源が入りにくい エラーが出る 画像ノイズ</t>
  </si>
  <si>
    <t>ヒートラン中→Transducer Problem1)2)3)発生、メイン基板故障の為交換必要。</t>
  </si>
  <si>
    <t>メイン基板の交換を実施　動作正常 ヒートランニング異常なし</t>
  </si>
  <si>
    <t>動作チェック異常なし 本日出荷</t>
    <phoneticPr fontId="2"/>
  </si>
  <si>
    <t>S16-0521</t>
  </si>
  <si>
    <t>上都賀総合病院_0521</t>
  </si>
  <si>
    <t>S16-0522</t>
  </si>
  <si>
    <t>東邦大学医療センター大森病院_0522 (2)</t>
  </si>
  <si>
    <t>03BLJ0</t>
  </si>
  <si>
    <t xml:space="preserve"> 東邦大学医療センター大森病院</t>
  </si>
  <si>
    <t>03-3762-4151</t>
  </si>
  <si>
    <t>〒143-8541　東京都大田区大森西6-11-1</t>
  </si>
  <si>
    <t>電源が入らない。</t>
    <phoneticPr fontId="2"/>
  </si>
  <si>
    <t>アダプタの全PIN出力なし、アダプタ故障の為交換必要。スタンド基板のDCソケット破損、スタンド基板交換必要。スプリングリターンなし 本体正常動作確認。</t>
    <phoneticPr fontId="2"/>
  </si>
  <si>
    <t xml:space="preserve">スタンド内部メイン基板、電源コネクタ、ACアダプタの交換実施。動作OK </t>
    <phoneticPr fontId="2"/>
  </si>
  <si>
    <t>S16-0523</t>
  </si>
  <si>
    <t>国立がん研究センター中央病院_0523 (2)</t>
  </si>
  <si>
    <t>2016/07/27-06</t>
  </si>
  <si>
    <t>WK032H</t>
  </si>
  <si>
    <t>株式会社八神製作所　本郷営業所</t>
  </si>
  <si>
    <t>〒113-0033　文京区本郷三丁目22番5号　住友不動産本郷ビル11階</t>
  </si>
  <si>
    <t>03-3818-4661</t>
  </si>
  <si>
    <t>03-3818-4666</t>
  </si>
  <si>
    <t>国立がん研究センター中央病院</t>
  </si>
  <si>
    <t>03-3542-2511</t>
  </si>
  <si>
    <t>〒104－0045　東京都中央区築地5－1－1</t>
  </si>
  <si>
    <t>起動直後にAC2726発生</t>
  </si>
  <si>
    <t>本体正常動作確認。</t>
  </si>
  <si>
    <t>狩野様から連絡あり。GEのエコーを新規で購入されるとのことで、未修理返却。本日返却致しました。</t>
  </si>
  <si>
    <t>※修理キャンセル返却(9/26)</t>
  </si>
  <si>
    <t>S16-0524</t>
  </si>
  <si>
    <t>藤沢市民病院_0524 (2)</t>
  </si>
  <si>
    <t>2016/07/19-07</t>
  </si>
  <si>
    <t>030JDF</t>
  </si>
  <si>
    <t>P02996-01</t>
  </si>
  <si>
    <t>協和医科器械株式会社 横浜支店</t>
  </si>
  <si>
    <t>小澤様</t>
  </si>
  <si>
    <t>〒224-0003　神奈川県横浜市都筑区中川中央2-4-8</t>
  </si>
  <si>
    <t>045-595-2785</t>
  </si>
  <si>
    <t>045-593-8382</t>
  </si>
  <si>
    <t>藤沢市民病院</t>
  </si>
  <si>
    <t>0466-25-3111</t>
  </si>
  <si>
    <t>〒251-8550 神奈川県藤沢市藤沢2-6-1</t>
  </si>
  <si>
    <t>P00747-03</t>
  </si>
  <si>
    <t>SERVICE ASSEMBLY, DISPLAY</t>
  </si>
  <si>
    <t>画面映りが悪い</t>
  </si>
  <si>
    <t>画面が白く見えない状況である画面』全体に傷有り外部出力は正常。液晶ケーブルを交換で復旧しない。　→　ディスプレイユニット交換で復旧。　→　ディスプレイユニットの故障。ディスプレイユニット、必須交換。バッテリー、90分稼働OK。</t>
  </si>
  <si>
    <t>見積提出パーツ入荷待ちディスプレイの交換実施。</t>
  </si>
  <si>
    <t>S16-0525</t>
  </si>
  <si>
    <t>伊那中央病院_0525 (2)</t>
  </si>
  <si>
    <t>2016/07/28-01</t>
  </si>
  <si>
    <t>01J4GJ</t>
  </si>
  <si>
    <t>中日本メディカルリンク株式会社</t>
  </si>
  <si>
    <t>〒399-4511　長野県上伊那郡南箕輪村田畑5565-3</t>
  </si>
  <si>
    <t>0265-73-2281</t>
  </si>
  <si>
    <t xml:space="preserve">0265-74-1006 </t>
  </si>
  <si>
    <t>伊那中央病院</t>
  </si>
  <si>
    <t>0265-72-3121</t>
  </si>
  <si>
    <t>〒396-8555 長野県伊那市小四郎久保1313番地1</t>
  </si>
  <si>
    <t>バッテリ起動ではパワーオン出来ない。AC電源アダプタ経由ではパワーオン出来る状況である。エラーコード1271 D:4522054発生（バッテリ充電不足）　⇒　バッテリ充電後には上記症状は発生しませんでした。　ARM Ｖerが01の為、データ転送・FATテストは不可電源スイッチ、摩耗劣化。少し反応が悪い。本体DCINジャック問題なし。ACアダプタ出力正常。バッテリー、90分以上稼働を確認。</t>
  </si>
  <si>
    <t>バッテリーの充電OK</t>
  </si>
  <si>
    <t>※現象不再現→8/9</t>
  </si>
  <si>
    <t>S16-0526</t>
  </si>
  <si>
    <t>勤医協浦河診療所_0526 (2)</t>
  </si>
  <si>
    <t>2016/07/26-01</t>
  </si>
  <si>
    <t>032B5P</t>
  </si>
  <si>
    <t>〒007-0834　北海道札幌市東区北34条東19丁目1-20</t>
  </si>
  <si>
    <t>勤医協浦河診療所</t>
  </si>
  <si>
    <t>松崎事務局長</t>
    <rPh sb="0" eb="2">
      <t>マツザキ</t>
    </rPh>
    <rPh sb="2" eb="4">
      <t>ジム</t>
    </rPh>
    <rPh sb="4" eb="6">
      <t>キョクチョウ</t>
    </rPh>
    <phoneticPr fontId="2"/>
  </si>
  <si>
    <t>01462-2-2501</t>
  </si>
  <si>
    <t>〒057-0024　北海道浦河郡浦河町築地2-1-2</t>
  </si>
  <si>
    <t>ディスプレイ画像がプリントされないことが有る</t>
  </si>
  <si>
    <t>本体とプリンタ接続試験を行った結果、現象は再現しました（ビデオケーブル故障）ディスプレイ画像がプリントされないことが有る。　→　ビデオケーブルの内部断線。電源が入りにくい。　→　電源スイッチの摩耗劣化。ヒンジの硬化。バッテリー、連続稼働時間、10分未満。</t>
  </si>
  <si>
    <t>ビデオケーブル、スイッチ、ヒンジの交換実施。動作OK.</t>
  </si>
  <si>
    <t>動作チェック異常なし。本日出荷。</t>
  </si>
  <si>
    <t>S16-0527</t>
  </si>
  <si>
    <t>九州中央病院_0527 (2)</t>
  </si>
  <si>
    <t>2016/07/13-06</t>
  </si>
  <si>
    <t>03CHRC</t>
  </si>
  <si>
    <t>篠原様</t>
  </si>
  <si>
    <t>〒812-0062 福岡県福岡市東区松島1丁目41番21号</t>
    <phoneticPr fontId="2"/>
  </si>
  <si>
    <t>九州中央病院 麻酔科</t>
  </si>
  <si>
    <t>092-541-4936</t>
    <phoneticPr fontId="2"/>
  </si>
  <si>
    <t>〒815-8588　福岡県福岡市南区塩原3丁目23-1</t>
    <phoneticPr fontId="2"/>
  </si>
  <si>
    <t>①Depthとカラーのボタンが効かない
②バッテリ消耗が早い</t>
  </si>
  <si>
    <t>画面上部に液漏れ有り。バッテリ駆動ではバッテリアラームが鳴り電源が落ちてしまう。HFL38/13-6 抵抗値変動大（16Ω～23Ω）　断線上記症状は未再現①Depthとカラーのボタンが効かない　→　コントロールパネル浮きやすい、調整にて改善。ディスプレイ液漏れ。(写メ済み)　→　ディスプレイユニット交換HFL38、断線を確認、踏んだ跡あり。(写メ済み)　C11eラッチが回る。交換おすすめ。②バッテリ消耗が早い　→　満充電でも、メモリがFullにならない。　バッテリー、連続稼働10分未満。S-Nerveの更新で動いているとのこと。11月末までに決着つきそう。</t>
  </si>
  <si>
    <t>S-Nerveの販売・納品終了、クローズ故障機は廃棄OK　※ﾏﾆﾌｪｽﾄ不要</t>
  </si>
  <si>
    <t>S16-0528</t>
  </si>
  <si>
    <t>九州大学病院_0528</t>
  </si>
  <si>
    <t>S16-0529</t>
  </si>
  <si>
    <t>県立広島病院_0529 (2)</t>
  </si>
  <si>
    <t>2016/07/20-06</t>
  </si>
  <si>
    <t>03L7QZ</t>
  </si>
  <si>
    <t>〒733-8633　広島県広島市西区商工センター1-2-19</t>
    <phoneticPr fontId="2"/>
  </si>
  <si>
    <t>県立広島病院　麻酔科</t>
  </si>
  <si>
    <t>082-254-1818</t>
    <phoneticPr fontId="2"/>
  </si>
  <si>
    <t>〒734-8530　広島県広島市南区宇品神田一丁目5番54号</t>
    <phoneticPr fontId="2"/>
  </si>
  <si>
    <t>黒い縦線と感度低下が見られる</t>
  </si>
  <si>
    <t>プローブチェッカーは異常なし本体接続にて上記現象は再現しました。ケーブルやヘッドに目立った損傷はなしチェッカーで断線の数値は出ないエコー画像が広範囲で淡く黒に変色（抜け）している状態振動子不良と判断、修理不能修理不能証明書提出　→　見積は小笠原様より</t>
  </si>
  <si>
    <t>代替機返却を確認小笠原様＞納品完了、現品返却不良クローズ</t>
  </si>
  <si>
    <t>S16-0530</t>
  </si>
  <si>
    <t>草津総合病院_0530 (2)</t>
  </si>
  <si>
    <t>SR#4225087</t>
  </si>
  <si>
    <t>03R5NN</t>
  </si>
  <si>
    <t>草津総合病院　誠光会</t>
  </si>
  <si>
    <t>077-563-8866</t>
  </si>
  <si>
    <t>〒525-8585 　滋賀県草津市矢橋町1660</t>
  </si>
  <si>
    <t>起動時にｴﾗｰﾒｯｾｰｼﾞが出現し、使用できない。</t>
  </si>
  <si>
    <t>プローブ接続時AC:15545発生日付2024年表示修理依頼番号R160801134過去歴から電源基盤、バックエンド基盤交換必要。バッテリー充電中パーツ出庫依頼書提出</t>
  </si>
  <si>
    <t>先行で出庫依頼許可ありメイン基板、電源基板交換実施。動作OK</t>
  </si>
  <si>
    <t>動作チェック異常なし本日出荷パーツ出庫指示あり。クローズ</t>
  </si>
  <si>
    <t>S16-0531</t>
  </si>
  <si>
    <t>大阪労災病院_0531 (2)</t>
    <phoneticPr fontId="2"/>
  </si>
  <si>
    <t>2016/07/25-03</t>
  </si>
  <si>
    <t>WG0186</t>
  </si>
  <si>
    <t>P09141-22</t>
  </si>
  <si>
    <t>株式会社 ダテ・メディカルサービス</t>
  </si>
  <si>
    <t>岸田様、長谷川様</t>
  </si>
  <si>
    <t>06‐6368‐5776</t>
  </si>
  <si>
    <t xml:space="preserve"> 大阪労災病院 麻酔科</t>
  </si>
  <si>
    <t>2011‐05</t>
  </si>
  <si>
    <t>画面が点滅する</t>
  </si>
  <si>
    <t>現象不再現。タッチパッド反応が悪い、再起動で改善　液晶ケーブル黒いカバーは破れていたがケーブルの被覆は外傷なし。ヒートラン中DCソケットへアダプタ差しにくい、調整実施。アダプタ抜き差し20回実施、正常。症状確認出来ず、MINIDOCKの接触不良、DCソケット故障により画面の点滅（ブレ）が発生している可能性あり。ヒートラン8時間×4回正常、一旦様子見でご返却の方向でMINIDOCK到着、DCコネクタ正常、動作正常、コネクタピン2本緩み、増し締め実施、ヒートラン中症状確認できない。様子見返却の方向でアップグレード、返却についてご了承を得ていただくよう依頼済み　TO：岸田様</t>
  </si>
  <si>
    <t>以下の許可ありアップグレード実施　　（データはCDにやく）内部クリーニング返却様子見アップグレードを実施し、正常動作を確認</t>
  </si>
  <si>
    <t>S16-0532</t>
  </si>
  <si>
    <t>東京西中央総合病院_0532</t>
  </si>
  <si>
    <t>S16-0533</t>
  </si>
  <si>
    <t>長野赤十字病院_0533 (2)</t>
  </si>
  <si>
    <t>2016/08/01-04</t>
  </si>
  <si>
    <t>03L0P0</t>
  </si>
  <si>
    <t>株式会社上條器械店</t>
  </si>
  <si>
    <t>〒380-0921 長野県長野市栗田501-1</t>
  </si>
  <si>
    <t>026‐227‐2952</t>
  </si>
  <si>
    <t xml:space="preserve"> 長野赤十字病院</t>
  </si>
  <si>
    <t>2011‐02</t>
  </si>
  <si>
    <t xml:space="preserve">起動後ＡＣ：16868発生。 </t>
  </si>
  <si>
    <t>現象不再現アサートログよりAC16868複数回発生している。プローブ、スキャンヘッド側根本断線している。プローブを動かすとＡＣ16868発生する。テスト用プローブでは発生しない。プローブ故障と判断、メイン基板の故障はなし</t>
  </si>
  <si>
    <t>プローブの修理不能書提出。見積はFMSより提出。TEL＞　プローブの購入が終了、本体返却依頼あり</t>
  </si>
  <si>
    <t>本日返却　　故障プローブは回収、廃棄OK</t>
  </si>
  <si>
    <t>S16-0534</t>
  </si>
  <si>
    <t>デモ機ZAK8_0534 (2)</t>
  </si>
  <si>
    <t>SR#4225085</t>
  </si>
  <si>
    <t>03YCPV</t>
  </si>
  <si>
    <t>P18173-02</t>
  </si>
  <si>
    <t>島崎 様</t>
  </si>
  <si>
    <t>デモ機ZAK8</t>
  </si>
  <si>
    <t>P14586-04</t>
  </si>
  <si>
    <t>BATTERY,X-PORTE</t>
  </si>
  <si>
    <t>バッテリー充電できない。</t>
  </si>
  <si>
    <t>バッテリー認識されていない、バッテリースイッチ入れ起動させても、バッテリースイッチが入っていない時に表示されるメッセージが出る。画面上のインジケーターでもコンセントマークのみ表示、支柱付近にあるLEDは緑色で点灯状態。バッテリー仮交換にて改善確認、交換必要。出庫依頼書提出。出庫指示あり。</t>
  </si>
  <si>
    <t>バッテリーの交換を実施。</t>
  </si>
  <si>
    <t>動作チェック異常なし。本日クローズ</t>
  </si>
  <si>
    <t>S16-0535</t>
  </si>
  <si>
    <t>聖隷浜松病院1_0535 (2)</t>
  </si>
  <si>
    <t>2016/07/27-04</t>
  </si>
  <si>
    <t>03KJCD</t>
  </si>
  <si>
    <t>〒433-8119　静岡県浜松市中区高丘北二丁目15番6号</t>
  </si>
  <si>
    <t xml:space="preserve"> 聖隷浜松病院</t>
  </si>
  <si>
    <t>ＣＯＮＮ，ＣＯＭＰＲＥＳＳＩＯＮ</t>
  </si>
  <si>
    <t xml:space="preserve">電源が入らない </t>
  </si>
  <si>
    <t>AC接続でも起動不可ヒンジ破損、中でカラカラ音がする。バッテリーから起動を確認。起動後、コントロールパネルが反応しない。　→　コントロールパネルが浮きやすい。ヒンジ、ネジが外れていることを確認。コントロールパネル、ヒンジ調整にて改善。放電テスト予定。バッテリー65分、交換おすすめ。動作確認予定、その他動作ＯＫ。MINIDOCK、アダプタ到着、MINIDOCKのDCソケット接触不良、セーフティーシャットオフ発生する。MINIDOCK交換必要。アダプタは正常。</t>
  </si>
  <si>
    <t>見積提出　　※ミニドックは芝滝様から新品を購入必須交換にてOKありバッテリー交換不要、ミニドックはFMSから購入接続コネクタ交換実施　動作正常</t>
  </si>
  <si>
    <t>※S16-0535,S16-0536,S16-0589同時に出荷(9/9)</t>
  </si>
  <si>
    <t>S16-0536</t>
  </si>
  <si>
    <t>聖隷浜松病院2_0536 (2)</t>
  </si>
  <si>
    <t>SR#4225083</t>
  </si>
  <si>
    <t>2016/08/01-03</t>
  </si>
  <si>
    <t xml:space="preserve">電源が入ったり、はいらなかったりする。 </t>
  </si>
  <si>
    <t>ACアダプタ経由でも起動不可、コンパネのランプが点灯している状態になる。2016/5/19に、電源が入らない症状で、電源基盤の交換を実施。電源基盤の初期不良の可能性あり。JTP資産から電源基盤の交換を実施。( ご施設様分　S/N:R0CWXH 、JTP資産 REF:P05471-01　S/N:W0C9M7 )電源基盤交換後、起動を確認。ヒートラン8時間×4回、アダプタコネクタ抜き差し20回実施、正常動作中　　　　※電源基板は仮交換の状態ヒートラン8時間×2正常、電源基板故障と判断、交換必要。3か月以内での故障の為、無償交換が必要と判断</t>
  </si>
  <si>
    <t>電源基板を新品に交換　動作正常ヒートランニング異常なしヒートランニング異常なし</t>
  </si>
  <si>
    <t>動作チェック異常なし</t>
  </si>
  <si>
    <t>S16-0537</t>
  </si>
  <si>
    <t>川内病院_0537 (2)</t>
  </si>
  <si>
    <t>SR#4225715</t>
  </si>
  <si>
    <t>2016/07/26-03</t>
  </si>
  <si>
    <t>03MFD7</t>
  </si>
  <si>
    <t>富士フイルムメディカル株式会社　鹿児島営業所</t>
  </si>
  <si>
    <t>末永様</t>
  </si>
  <si>
    <t>〒890-0073　鹿児島県鹿児島市宇宿1-13-10</t>
    <rPh sb="10" eb="14">
      <t>カゴシマケン</t>
    </rPh>
    <rPh sb="14" eb="18">
      <t>カゴシマシ</t>
    </rPh>
    <rPh sb="18" eb="19">
      <t>ウ</t>
    </rPh>
    <rPh sb="19" eb="20">
      <t>ジュク</t>
    </rPh>
    <phoneticPr fontId="2"/>
  </si>
  <si>
    <t>済生会 川内病院　用度課</t>
  </si>
  <si>
    <t>大久保様</t>
    <rPh sb="0" eb="3">
      <t>オオクボ</t>
    </rPh>
    <rPh sb="3" eb="4">
      <t>サマ</t>
    </rPh>
    <phoneticPr fontId="2"/>
  </si>
  <si>
    <t>用度課</t>
    <rPh sb="0" eb="2">
      <t>ヨウド</t>
    </rPh>
    <rPh sb="2" eb="3">
      <t>カ</t>
    </rPh>
    <phoneticPr fontId="2"/>
  </si>
  <si>
    <t>0996-23-5221</t>
  </si>
  <si>
    <t>〒895-0074 鹿児島県薩摩川内市原田町2番46号</t>
  </si>
  <si>
    <t>フリーズして電源が落ちない</t>
  </si>
  <si>
    <t>画面上に細かい傷有り上記症状が再現　⇒　フリーズして電源が落ちない為、バッテリを抜き差ししました。その後、電源が全く入らない状態になりました。バッテリーをつけておくと異音がする。電源が入らない時がある症状と、電源OFF時、画面表示は消えるが、電源が落ちない症状確認。メイン基板、電源基板故障の為交換必要。他本体で充電中バッテリー72分動作、交換推奨</t>
  </si>
  <si>
    <t>メイン基板・電源基板の交換を実施　症状改善ヒートランニング異常なし</t>
  </si>
  <si>
    <t>S16-0538</t>
  </si>
  <si>
    <t>名古屋大学病院_0538 (2)</t>
  </si>
  <si>
    <t>SR#4233603</t>
  </si>
  <si>
    <t>03V3Q6</t>
  </si>
  <si>
    <t>日本コヴィディエン株式会社愛知岐阜営業所</t>
  </si>
  <si>
    <t>笠永様</t>
  </si>
  <si>
    <t>〒466-8560 愛知県名古屋市昭和区鶴舞町65番地</t>
  </si>
  <si>
    <t>電源を繋いでも充電できたり、できなかったりする。ｽﾀﾝﾀﾞｰﾄﾞﾌﾟﾗﾝでの点検を依頼。</t>
  </si>
  <si>
    <t>修理依頼番号：R160802177スタンド　カバー割れ有り。AC電源アダプタ出力0V（故障）スタンドとテーブルのジョイント部分にネジ有り（ネジ除去）。YGコネクタ補強済みスタンド出力ＯＫ　アダプター出力0Ｖ　故障ケーブル出力ＯＫ　２本ともその他動作ＯＫスタンドのバスケット破損確認。バッテリー90分以上ＯＫアダプター交換必要、バスケット交換おすすめ。</t>
  </si>
  <si>
    <t>テクサポに現時点ではスタンドを介して充電出来ない症状は確認できていない旨を報告。</t>
  </si>
  <si>
    <t>テクサポより修理キャンセル依頼あり。本日返却</t>
  </si>
  <si>
    <t>※修理キャンセル返却(8/31)</t>
  </si>
  <si>
    <t>S16-0539</t>
  </si>
  <si>
    <t>舞鶴赤十字病院_0539</t>
  </si>
  <si>
    <t>S16-0540</t>
  </si>
  <si>
    <t>高岡市民病院_0540 (2)</t>
  </si>
  <si>
    <t>2016/08/02-02</t>
  </si>
  <si>
    <t>03KYYM</t>
  </si>
  <si>
    <t>株式会社　ハイメック</t>
  </si>
  <si>
    <t>篠田 様</t>
  </si>
  <si>
    <t>高岡市民病院</t>
  </si>
  <si>
    <t>0766-23-0204</t>
  </si>
  <si>
    <t>〒933-8550富山県高岡市宝町4番1号</t>
  </si>
  <si>
    <t>使用中突然電源が落ちる。訪問時は再現せず、電源コード歪曲のため、交換。
後日、症状再現したとの連絡あり。</t>
  </si>
  <si>
    <t>症状再現せず。コネクタ部異常なし。バッテリーフル充電にて持続時間75分。バッテリーの交換を推奨。確認できず、ヒートラン8時間実施正常。アサートコード2013年、2014年に1回ずつ　C:0　発生しているが今回の修理に影響していないと判断。入荷時Sleep Delay5、Power Delay30に設定されていたことによる症状の可能性あり</t>
  </si>
  <si>
    <t>設定をOFF・OFFにして返却アップグレード可　CD焼くバッテリー見積入れる動作チェック異常なし本日出荷</t>
  </si>
  <si>
    <t>※現象不再現→返却　報告書あり　画像データCDに　ACアダプタ　電源コード代替品だす</t>
  </si>
  <si>
    <t>S16-0541</t>
  </si>
  <si>
    <t>鹿児島水族館_0541 (2)</t>
  </si>
  <si>
    <t>2016/08/04-07</t>
  </si>
  <si>
    <t>WK02RR</t>
  </si>
  <si>
    <t>〒892-0814 鹿児島県鹿児島市本港新町3-1</t>
  </si>
  <si>
    <t>099-226-2233</t>
  </si>
  <si>
    <t>099-226-8334</t>
  </si>
  <si>
    <t>鹿児島水族館 展示課海獣展示係</t>
  </si>
  <si>
    <t>画面が暗い（GAIN調整が出来ない）</t>
  </si>
  <si>
    <t>C60eプローブ抵抗値変動大（900Ω～1200Ω）上記プローブを本体に接続した結果、現象再現。テスト用プローブでは異常なく使用出来たのでプローブ故障と思われる。現象確認、テスト用プローブだと正常。プローブ抵抗値大きく変動、コネクタ再接続実施→改善しない。アダプター、ケーブル出力ＯＫバッテリー消耗早い。動作ＯＫプローブ交換必要、バッテリー交換おすすめ。</t>
  </si>
  <si>
    <t>装置本体を先行で返却◆P17プローブ OB設定で緊急貸出、手配出来たらC60eプローブを出荷◆装置自体は鹿児島県の持ち物　→　勝手に廃棄は不可　※要確認見積OKプローブ入荷。C60e/5-2(S/N:043GR0)</t>
  </si>
  <si>
    <t>新プローブ動作チェック異常なし 。本日出荷。故障品のC60e/5-2(S/N:03GXW0)も返却済。</t>
  </si>
  <si>
    <t>※C60e/5-2　コンベックスプローブ (SN:045JRW)</t>
  </si>
  <si>
    <t>S16-0542</t>
  </si>
  <si>
    <t>福岡大学病院_0542 (2)</t>
  </si>
  <si>
    <t>2016/08/02-04</t>
  </si>
  <si>
    <t>01G2KR</t>
  </si>
  <si>
    <t>加嶋 様</t>
  </si>
  <si>
    <t>福岡大学病院</t>
  </si>
  <si>
    <t>092-801-1011</t>
  </si>
  <si>
    <t>〒814-0180　福岡県福岡市城南区七隈七丁目45-1</t>
  </si>
  <si>
    <t>資産管理シール貼り付けのため、見えず</t>
  </si>
  <si>
    <t>症状確認　電源ボタン無反応→強制起動は可能、本体にてﾊﾞｯﾃﾘｰ充電可電源スイッチから起動不可、４つボタンで起動可能電源スイッチ接触部、清掃実施。改善せずヒンジ硬化、40ＰＩＮ固い、レンズ傷多い、電源スイッチ、ヒンジ交換必要。レンズ、40ＰＩＮ交換おすすめ。バッテリー70分動作御見積提出しました。</t>
  </si>
  <si>
    <t>修理キャンセル依頼あり。本日返却致しました。</t>
  </si>
  <si>
    <t>※修理キャンセル→返却(8/25)</t>
  </si>
  <si>
    <t>S16-0543</t>
  </si>
  <si>
    <t>西尾市民病院_0543 (2)</t>
  </si>
  <si>
    <t>SR#4230115</t>
  </si>
  <si>
    <t>2016/08/08-01</t>
  </si>
  <si>
    <t>03855X</t>
  </si>
  <si>
    <t>株式会社八神製作所 安城営業所</t>
  </si>
  <si>
    <t>鈴木 様</t>
  </si>
  <si>
    <t>〒446-0076　愛知県安城市美園町二丁目5番地4</t>
    <rPh sb="10" eb="13">
      <t>アイチケン</t>
    </rPh>
    <phoneticPr fontId="2"/>
  </si>
  <si>
    <t>0566-77-5025</t>
  </si>
  <si>
    <t>0566-77-5030</t>
  </si>
  <si>
    <t>西尾市民病院</t>
  </si>
  <si>
    <t>0563-56-3171</t>
  </si>
  <si>
    <t>〒445-8510　愛知県西尾市熊味町上泡原6番地</t>
  </si>
  <si>
    <t>バッテリー不良　　※8/15までに装置返却希望</t>
  </si>
  <si>
    <t>バッテリー起動にて電源即落ち、フル充電しても、数分で電源落ちる。バッテリー消耗確認。テスト用バッテリーで充電可能。動作ＯＫバッテリー交換必要。見積は事前に提出済。バッテリーの交換で発注あり</t>
  </si>
  <si>
    <t>バッテリーの交換実施。充電OK</t>
  </si>
  <si>
    <t>※消耗販売か修理扱いかで報告書あり・なし</t>
  </si>
  <si>
    <t>S16-0544</t>
  </si>
  <si>
    <t>熊本医療センター_0544 (2)</t>
  </si>
  <si>
    <t>2016/08/02-06</t>
  </si>
  <si>
    <t>03LP6D</t>
  </si>
  <si>
    <t>株式会社キシヤ　熊本営業所</t>
  </si>
  <si>
    <t>繋田様</t>
  </si>
  <si>
    <t>〒860-0826 熊本県熊本市南区平田2丁目8番36号</t>
  </si>
  <si>
    <t>096-351-6670</t>
  </si>
  <si>
    <t xml:space="preserve">096-351-6672 </t>
  </si>
  <si>
    <t>熊本医療センター</t>
  </si>
  <si>
    <t>096-353-6501</t>
  </si>
  <si>
    <t>〒860-0008　熊本県熊本市中央区二の丸1-５</t>
  </si>
  <si>
    <t>フリーズする</t>
  </si>
  <si>
    <t>上記症状は発生しませんでした。保存画像多い、残り12％ＤＣジャック、コンポジット端子少し緩い、セーフティなし、印刷可能動作ＯＫ、ヒートラン中バッテリー動作5分、交換おすすめ2016/8/3　AC：6762　1回発生、過去歴ではメイン基板交換対応、TTC使用し30回切替正常。メモリ使用量が多い、読込時間が長くなり、メモリ読込中のプローブ切替により発生していた可能性あり。ARMVerが古い為アップグレード必要、画像データ消し、読込時間を短くして様子を見て頂く、もしくはメイン基板見込み交換</t>
  </si>
  <si>
    <t>森澤様を通してアップグレードの許可あり　→　バッテリーは見積ARMVer1.9.1へアップグレード実施バッテリーの交換を実施　正常動作確認</t>
  </si>
  <si>
    <t>※現象不再現、アップグレードして返却（報告書あり）9/5</t>
  </si>
  <si>
    <t>S16-0545</t>
  </si>
  <si>
    <t>坂総合病院_0545</t>
  </si>
  <si>
    <t>S16-0546</t>
  </si>
  <si>
    <t>足利赤十字病院_0546 (2)</t>
  </si>
  <si>
    <t>201608/04-02</t>
  </si>
  <si>
    <t>0203LV</t>
  </si>
  <si>
    <t>P01914-01</t>
  </si>
  <si>
    <t>〒321-0104　栃木県宇都宮市台新田1-13-20</t>
  </si>
  <si>
    <t>028-658-5551</t>
  </si>
  <si>
    <t>028-645-6156</t>
  </si>
  <si>
    <t>エラーコード1271発生</t>
  </si>
  <si>
    <t>パワーオン直後にエラーコード1271 D:4522054発生ＡＣ1271、過去歴から充電不足が原因アダプター、ケーブル出力ＯＫ充電中放電中→90分動作確認、ヒートラン中8時間ヒートラン正常動作、バッテリー電圧残量が少ないことにより出た症状、故障個所無しと判断。</t>
  </si>
  <si>
    <t>充電不足の旨を報告。一旦返却で様子をみていただくこととなりました。</t>
  </si>
  <si>
    <t>S16-0547</t>
  </si>
  <si>
    <t>北九州総合病院_0547</t>
  </si>
  <si>
    <t>S16-0548</t>
  </si>
  <si>
    <t>デモ機MUR17_0548 (2)</t>
  </si>
  <si>
    <t>SR#4226017</t>
  </si>
  <si>
    <t>03X4WH</t>
  </si>
  <si>
    <t>P18173-01</t>
  </si>
  <si>
    <t>村上 様</t>
  </si>
  <si>
    <t>〒460-8404　愛知県名古屋市中区栄1-12-17 富士フイルム名古屋ビル4階</t>
    <phoneticPr fontId="2"/>
  </si>
  <si>
    <t>052-221-7871</t>
    <phoneticPr fontId="2"/>
  </si>
  <si>
    <t>052-203-4875</t>
    <phoneticPr fontId="2"/>
  </si>
  <si>
    <t xml:space="preserve">デモ機 MUR17 </t>
  </si>
  <si>
    <t>BATTERRY,X-PORTE STAND</t>
  </si>
  <si>
    <t>バッテリースイッチをオンにしても充電出来ない
バッテリー駆動出来ない</t>
  </si>
  <si>
    <t>コールにて受付、現在デモ中で終了後セミナーに行くので、JTP返送のタイミングなしパーツを東海支店に送り、合間を見て交換作業を行いたいとのご意向故障の可能性があるバッテリーは返送いただき、JTPで検証する予定交換済みのバッテリーが入荷（村上様より）以下、検証内容バッテリーを検証X-Porteに入れてバッテリースイッチをONにして起動バッテリーのアイコン出ず、バッテリー駆動不可バッテリー故障と判断</t>
  </si>
  <si>
    <t>処理クローズ</t>
  </si>
  <si>
    <t>S16-0549</t>
  </si>
  <si>
    <t>山梨大学_0549 (2)</t>
  </si>
  <si>
    <t>SR#4227061</t>
  </si>
  <si>
    <t>2016/08/05-01</t>
  </si>
  <si>
    <t>森</t>
    <rPh sb="0" eb="1">
      <t>モリ</t>
    </rPh>
    <phoneticPr fontId="2"/>
  </si>
  <si>
    <t>0420TT</t>
  </si>
  <si>
    <t>浅井 様</t>
  </si>
  <si>
    <t>山梨大学医学部附属病院</t>
  </si>
  <si>
    <t>055-273-1111</t>
  </si>
  <si>
    <t>〒409-3898 山梨県中央市下河東1110</t>
  </si>
  <si>
    <t>P14027-01N</t>
  </si>
  <si>
    <t>X-Porte Control Panel</t>
  </si>
  <si>
    <t xml:space="preserve"> 操作パネルの画面中央から横ラインにおいて、タッチセンサーが反応しない。</t>
  </si>
  <si>
    <t>本症状を確認。エンジンスワップでは改善せず。また、操作パネルケーブルの付け直し等実施も改善なし。操作パネル単体故障と考えれる。</t>
  </si>
  <si>
    <t>操作パネルの交換実施。　→　症状改善を確認。</t>
  </si>
  <si>
    <t>動作チェック実施　→　異常なし。　本件対応完了。パーツ出庫指示あり、クローズ</t>
  </si>
  <si>
    <t>S16-0550</t>
  </si>
  <si>
    <t>竜王レディースクリニック_0550 (2)</t>
  </si>
  <si>
    <t>03WF5T</t>
  </si>
  <si>
    <t>株式会社匠メディカル</t>
  </si>
  <si>
    <t>中島 様</t>
  </si>
  <si>
    <t>055-275-0617</t>
  </si>
  <si>
    <t>055-275-0619</t>
  </si>
  <si>
    <t>竜王レディースクリニック(055-279-4132)</t>
  </si>
  <si>
    <t>装置フリーズ、エラー発生。
※2016/8/10　JTP森オンサイト対応</t>
  </si>
  <si>
    <t>本症状の発生は確認できず。TTCをお使いで、起動直後の切り替えが原因と推察。</t>
  </si>
  <si>
    <t>起動直後の操作によるトラブルについてご説明しばらく様子見でご了承いただきました。本日クローズ</t>
  </si>
  <si>
    <t>S16-0551</t>
  </si>
  <si>
    <t>八女総合病院_0551 (2)</t>
  </si>
  <si>
    <t>2016/08/04-06</t>
  </si>
  <si>
    <t>-</t>
    <phoneticPr fontId="2"/>
  </si>
  <si>
    <t>0330JK</t>
  </si>
  <si>
    <t>株式会社 渡辺商会　ﾃｸﾉﾒﾃﾞｨｶﾙ事業部</t>
  </si>
  <si>
    <t>溝口様</t>
  </si>
  <si>
    <t>〒830-0047　福岡県久留米市津福本町2348</t>
    <phoneticPr fontId="2"/>
  </si>
  <si>
    <t>0942-31-8822</t>
  </si>
  <si>
    <t>0942-31-8825</t>
  </si>
  <si>
    <t>八女総合病院</t>
  </si>
  <si>
    <t>0943-23-4131</t>
    <phoneticPr fontId="2"/>
  </si>
  <si>
    <t>〒834-0034　福岡県八女市高塚540-2</t>
    <phoneticPr fontId="2"/>
  </si>
  <si>
    <t>画面が真っ白になる</t>
  </si>
  <si>
    <t>C60プローブで基板の根元で被覆破れ有り1番－4番端子間が0Vである。他端子は正常に電圧が出力されている。上記症状は再現しませんでした。画面全体が白く表示される現象確認、ディスプレイ故障の為交換必要。アダプタ4PIN断線、交換必要。MINIDOCKガイドピン2本欠品、内部で折れている。使用できるが交換おすすめ。プローブを振ると「カラカラ」音がする、ヘッドに亀裂あり、使用は出来るが交換おすすめ。バッテリー放電中→90分動作確認。見積提出　※ディスプレイ入手不可の可能性についても報告済み更新予算をとっていないとのことで、修理を希望　→　在庫有りと返答済み</t>
  </si>
  <si>
    <t>更新するとのことで、未修理返却本日返却</t>
  </si>
  <si>
    <t>※修理キャンセル返却(11/14)</t>
    <phoneticPr fontId="2"/>
  </si>
  <si>
    <t>S16-0552</t>
  </si>
  <si>
    <t>六甲病院_0552</t>
  </si>
  <si>
    <t>S16-0553</t>
  </si>
  <si>
    <t>手稲渓仁会病院_0553 (2)</t>
  </si>
  <si>
    <t>2016/08/09-02</t>
  </si>
  <si>
    <t xml:space="preserve"> 無償</t>
  </si>
  <si>
    <t>03W0TY</t>
  </si>
  <si>
    <t>株式会社マック　手稲支店</t>
  </si>
  <si>
    <t>吉村様</t>
  </si>
  <si>
    <t>〒006-0811　札幌市手稲区前田1条12丁目1-22</t>
    <rPh sb="10" eb="13">
      <t>サッポロシ</t>
    </rPh>
    <rPh sb="13" eb="15">
      <t>テイネ</t>
    </rPh>
    <rPh sb="15" eb="16">
      <t>ク</t>
    </rPh>
    <rPh sb="16" eb="18">
      <t>マエダ</t>
    </rPh>
    <rPh sb="19" eb="20">
      <t>ジョウ</t>
    </rPh>
    <rPh sb="22" eb="24">
      <t>チョウメ</t>
    </rPh>
    <phoneticPr fontId="2"/>
  </si>
  <si>
    <t>011-699-7210</t>
  </si>
  <si>
    <t>011-681-8111</t>
  </si>
  <si>
    <t>手稲渓仁会病院</t>
  </si>
  <si>
    <t>〒006-8555 北海道札幌市手稲区前田1条12丁目1-40</t>
  </si>
  <si>
    <t>P15637-01</t>
  </si>
  <si>
    <t>P15051-20</t>
  </si>
  <si>
    <t>SERVICE ASSEMBLY, DISPLAY, EDGE</t>
  </si>
  <si>
    <t>BATTERY PACK</t>
  </si>
  <si>
    <t>画面が割れた</t>
  </si>
  <si>
    <t>画面破損の為表示不可→外部出力は可能画面左下から放射状にヒビ、ぶつかった　or　モニタを閉じた時に何かを挟んだ等が原因ディスプレイ破損確認、交換必要。他正常動作バッテリー70分動作、90分に達してない為交換おすすめ。保証について確認　→　有償判断</t>
  </si>
  <si>
    <t>推奨交換にて見積OKディスプレイとバッテリーの交換を実施。動作OK</t>
  </si>
  <si>
    <t>※9/8修理完了品はFMS山内様宛に出荷。納品書と作業報告書（コピー）はマックの手稲支店吉村様へ送付。</t>
  </si>
  <si>
    <t>S16-0554</t>
  </si>
  <si>
    <t>上野原市立病院_0554 (2)</t>
  </si>
  <si>
    <t>2016/07/01-03</t>
  </si>
  <si>
    <t>WK0CLJ</t>
  </si>
  <si>
    <t>株式会社 ムトウ 山梨</t>
  </si>
  <si>
    <t>和田様</t>
  </si>
  <si>
    <t>〒400-0115　山梨県甲斐市篠原1945</t>
    <rPh sb="10" eb="13">
      <t>ヤマナシケン</t>
    </rPh>
    <rPh sb="13" eb="16">
      <t>カイシ</t>
    </rPh>
    <rPh sb="16" eb="18">
      <t>シノハラ</t>
    </rPh>
    <phoneticPr fontId="2"/>
  </si>
  <si>
    <t>055-276-5388</t>
  </si>
  <si>
    <t>055-276-5385</t>
  </si>
  <si>
    <t>上野原市立病院</t>
  </si>
  <si>
    <t>竹中様</t>
    <rPh sb="0" eb="2">
      <t>タケナカ</t>
    </rPh>
    <rPh sb="2" eb="3">
      <t>サマ</t>
    </rPh>
    <phoneticPr fontId="2"/>
  </si>
  <si>
    <t>ME課</t>
    <rPh sb="2" eb="3">
      <t>カ</t>
    </rPh>
    <phoneticPr fontId="2"/>
  </si>
  <si>
    <t>055-462-5121</t>
  </si>
  <si>
    <t>〒409-0112　山梨県上野原市上野原3504-3</t>
    <rPh sb="10" eb="13">
      <t>ヤマナシケン</t>
    </rPh>
    <rPh sb="13" eb="16">
      <t>ウエノハラ</t>
    </rPh>
    <rPh sb="16" eb="17">
      <t>シ</t>
    </rPh>
    <rPh sb="17" eb="20">
      <t>ウエノハラ</t>
    </rPh>
    <phoneticPr fontId="2"/>
  </si>
  <si>
    <t>ﾓﾆﾀｰが突然ﾌﾞﾗｯｸｱｳﾄ</t>
  </si>
  <si>
    <t>症状確認できずﾋﾝｼﾞ若干のぐらつきｲﾝﾀｰﾎﾟｰｼﾞｬｰ端子曲りあり、交換必須症状確認できず。ヒンジネジ緩みの為増し締め実施、インターポージャ変形箇所が多い、交換必要。←BGI対応可能スリープモード10、30設定確認、設定による症状の可能性が高い。バッテリー動作30分で電源が落ちる、バッテリー交換おすすめ。ヒートラン中ヒートラン8時間×3回実施、動作正常。スリープ設定をOFF、OFF、劣化パーツ交換、様子を見て頂く方向で。</t>
  </si>
  <si>
    <t>症状確認できないことを報告。一旦返却様子見でOKとのこと。</t>
  </si>
  <si>
    <t>S16-0555</t>
  </si>
  <si>
    <t>和歌山県立医大_0555 (2)</t>
  </si>
  <si>
    <t>03BH7L</t>
  </si>
  <si>
    <t xml:space="preserve"> ｼｽﾃﾑｴﾗｰ発生とのこと。</t>
  </si>
  <si>
    <t>管理番号：R160808235症状確認できず、ヒートラン8時間×3正常、バッテリー動作でもアサートコード発生せず。バッテリー動作40分症状確認できない為一旦返却様子を見て頂く方向で。症状の発生頻度について確認中、また今後の対応についても連絡待ちテクサポ＞今回はメイン基板見込み交換での見積が欲しいとのこと　→　提出済み</t>
  </si>
  <si>
    <t>メイン基板の交換を実施　動作OKヒートランニング異常なし</t>
  </si>
  <si>
    <t>S16-0556</t>
  </si>
  <si>
    <t>上越総合病院_0556 (2)</t>
  </si>
  <si>
    <t>SR#4229547</t>
  </si>
  <si>
    <t>03VW14</t>
  </si>
  <si>
    <t>日本コヴィディエン株式会社 北関東営業所</t>
  </si>
  <si>
    <t>坂東様</t>
  </si>
  <si>
    <t>上越総合病院</t>
  </si>
  <si>
    <t>025-524-3000</t>
  </si>
  <si>
    <t xml:space="preserve">〒943-8507 新潟県上越市大道福田616 </t>
  </si>
  <si>
    <t>P13374-04</t>
  </si>
  <si>
    <t>KIT, BRACKET, SINGLE TRANSDUCER, NANOMAXX, JAPAN</t>
  </si>
  <si>
    <t>①電源を入れると警告画面が出て使用できない。②ﾌﾟﾛｰﾌﾞｽﾀﾝﾄﾞとﾄﾞｯｸﾞが破損してしまった。(この破損は①のｴﾗｰｶﾞ発生した後に起きたものです)。</t>
  </si>
  <si>
    <t>ﾅﾉﾄﾞｯｸ ｼﾞｬｯｸ破損　ﾌﾟﾛｰﾌﾞﾎﾙﾀﾞｰｶｯﾌﾟ欠損ﾌﾟﾛｰﾌﾞ接続でｴﾗｰｺｰﾄﾞ：15545 発生管理番号：R160808230バッテリー３時間以上ＯＫ　電源基板仮交換にて改善、FAT PASS確認、電源基板故障の為交換必要。プローブホルダプラスチックパーツ部分欠損、交換必要。プローブホルダはコヴィディエン販売？NanoDock破損、RCAコネクタ変形、NanoDock交換必要。パーツ出庫依頼書提出有償パーツの見積提出</t>
  </si>
  <si>
    <t>パーツ出庫依頼指示あり。電源基板の交換を実施。動作OK有償パーツの見積OKありナノマックスドック、プローブホルダーの交換を実施。</t>
  </si>
  <si>
    <t>S16-0557</t>
  </si>
  <si>
    <t>昭和大北部病院_0557 (2)</t>
  </si>
  <si>
    <t>2016/07/19-09</t>
  </si>
  <si>
    <t>01J3TL</t>
  </si>
  <si>
    <t>田川様</t>
  </si>
  <si>
    <t>048-663-9312</t>
  </si>
  <si>
    <t>048-663-9361</t>
  </si>
  <si>
    <t>昭和大学横浜市北部病院</t>
  </si>
  <si>
    <t xml:space="preserve"> 充電できない。</t>
  </si>
  <si>
    <t>アダプタコネクタ付根の断線、スタンド1ピン変形、破損。スタンド背面のACコンセント差込口欠損。プリンタ故障、印刷にノイズが入る。プローブは代替機アダプタ断線による症状、アダプタ交換必要。スタンドの増設コンセント破損、奥に入り込んでしまっているため使用できない。スタンド基板故障、1ピンの変形、パーツ供給終了の為修理不可。バッテリー動作57分　→　在庫なし装置本体は故障なし、スタンド修理不能連絡先：（病院内）B2F　物品管理室　気付　田川様　045-949-6869耐用期間切れの案内送付　→　岡崎様更新案件</t>
  </si>
  <si>
    <t>修理キャンセルで連絡あり。※エコー装置購入しないとこのこと本日返却</t>
  </si>
  <si>
    <t>S16-0558</t>
  </si>
  <si>
    <t>代替機NIM35_0558 (2)</t>
  </si>
  <si>
    <t>SR#4229269</t>
  </si>
  <si>
    <t>035K15</t>
  </si>
  <si>
    <t>代替機NIM35</t>
  </si>
  <si>
    <t>日時設定がずれる</t>
  </si>
  <si>
    <t>起動のたびに日付設定がずれる　→　19XX年等基板上のボタンバッテリーの電圧低　2.6 v</t>
  </si>
  <si>
    <t>ボタンバッテリーの交換を実施　NEW： 2.99v※JTP在庫より先行で使用</t>
  </si>
  <si>
    <t>スケジュールが埋まっていたため緊急出荷補填分の部品手配予定</t>
  </si>
  <si>
    <t>S16-0559</t>
  </si>
  <si>
    <t>国立相模原病院_0559</t>
  </si>
  <si>
    <t>S16-0560</t>
  </si>
  <si>
    <t>名古屋大学医学部付属病院_0560 (2)</t>
  </si>
  <si>
    <t>SR#4229275</t>
  </si>
  <si>
    <t>2016/08/10-02</t>
  </si>
  <si>
    <t>042CCR</t>
  </si>
  <si>
    <t>名古屋大学医学部付属病院 　麻酔科／手術室</t>
  </si>
  <si>
    <t>麻酔科／手術室</t>
  </si>
  <si>
    <t xml:space="preserve">コントロールパネルの反応が悪い。　　患者情報入力画面が勝手に表示される。　勝手に画面がスクロールされる。
（2016/8/12 JTP高橋オンサイト対応分） </t>
  </si>
  <si>
    <t>患者登録画面で、画面に触れていないのに、勝手にスクロールされたり、プルダウンリストが表示される事を確認オンサイトにて対応。バッテリー駆動で操作中にも同様の症状を確認再起動しても復旧せず、コントロールパネルのタッチセンサ異常と判断</t>
  </si>
  <si>
    <t>オンサイトにて対応。コントロールパネルを交換　症状改善</t>
  </si>
  <si>
    <t>オンサイトにて対応。各種診断モードの動作確認を実施。　→　動作チェック問題無し。ヒートラン(30分)を実施。　→　動作チェック問題無し。印刷テストを実施。　→　動作チェック問題無し。パーツ出庫指示あり、クローズ</t>
  </si>
  <si>
    <t>S16-0561</t>
  </si>
  <si>
    <t>安曇野赤十字病院_0561 (2)</t>
  </si>
  <si>
    <t>SR#4229279</t>
  </si>
  <si>
    <t>2016/07/15-04</t>
  </si>
  <si>
    <t xml:space="preserve">0263-72-3170 </t>
  </si>
  <si>
    <t>動画保存が出来たり、出来なかったりする。
ビープ音が鳴らない</t>
  </si>
  <si>
    <t>ユーザ設定・動画保存は出来るが、保存時のビーブ音は鳴らない（パワーオン・オフ時も同様）症状確認、ドップラーは音でる。コンパネｌ交換で症状改善。コンパネのスピーカー故障が原因。放電テスト90分動作ＯＫ。パーツ出庫依頼書提出</t>
  </si>
  <si>
    <t>パーツ出庫指示有りコントロールパネルの交換を実施。動作正常※コントロールパネルは先行でJTP在庫を使用。　出庫要求戻り分はJTP在庫として補てんする。</t>
  </si>
  <si>
    <t>S16-0562</t>
  </si>
  <si>
    <t>佐世保共済病院_0562</t>
  </si>
  <si>
    <t>S16-0563</t>
  </si>
  <si>
    <t>八戸市立市民病院_0563</t>
  </si>
  <si>
    <t>〒039-1166　青森県八戸市根城3丁目18番3号</t>
    <phoneticPr fontId="2"/>
  </si>
  <si>
    <t>石戸師長</t>
    <rPh sb="0" eb="2">
      <t>イシド</t>
    </rPh>
    <rPh sb="2" eb="4">
      <t>シチョウ</t>
    </rPh>
    <phoneticPr fontId="2"/>
  </si>
  <si>
    <t>手術室</t>
    <phoneticPr fontId="2"/>
  </si>
  <si>
    <t>0178-72-5111</t>
    <phoneticPr fontId="2"/>
  </si>
  <si>
    <t>〒031-8555　青森県八戸市大字田向字毘沙門平1</t>
    <phoneticPr fontId="2"/>
  </si>
  <si>
    <t>※点検依頼：プレミアムプラン</t>
    <rPh sb="1" eb="3">
      <t>テンケン</t>
    </rPh>
    <rPh sb="3" eb="5">
      <t>イライ</t>
    </rPh>
    <phoneticPr fontId="2"/>
  </si>
  <si>
    <t>S16-0564</t>
  </si>
  <si>
    <t>大阪市立総合医療センター_0564 (2)</t>
  </si>
  <si>
    <t>038MT1</t>
  </si>
  <si>
    <t>〒108-0075  東京都港区港南一丁目2番70号　品川シーズンテラス　22F</t>
    <phoneticPr fontId="2"/>
  </si>
  <si>
    <t>大阪市立総合医療センター　大阪市民病院機構</t>
  </si>
  <si>
    <t>使用中に電源が落ちる。終了後、電源を切ると暗くなるが、よく見ると画面がﾁｶﾁｶしている。後ろの電源ｺｰﾄﾞの接続を触ると症状が無くなる。</t>
  </si>
  <si>
    <t>動作チェックしたところ、特に異常はなかった。管理番号R160817089ilookスタンドはプチプチに巻かれて梱包DCジャック、グラグラ、通電が途切れてしまうことがあることを確認、スタンド基板交換必要。本体、アダプター、ケーブルＯＫスタンド、爪摩耗している交換おすすめ。バッテリー動作60分確認</t>
  </si>
  <si>
    <t>見積OKありスタンド内部メイン基板の交換実施。動作OK</t>
  </si>
  <si>
    <t>S16-0565</t>
  </si>
  <si>
    <t>小倉記念病院_0565 (2)</t>
  </si>
  <si>
    <t>SR#不要</t>
    <phoneticPr fontId="2"/>
  </si>
  <si>
    <t>有償</t>
    <phoneticPr fontId="2"/>
  </si>
  <si>
    <t>M-Turbo</t>
    <phoneticPr fontId="2"/>
  </si>
  <si>
    <t>03JNJY</t>
  </si>
  <si>
    <t>株式会社キシヤ　北九州営業所</t>
    <phoneticPr fontId="2"/>
  </si>
  <si>
    <t>武富様</t>
    <rPh sb="0" eb="2">
      <t>タケトミ</t>
    </rPh>
    <phoneticPr fontId="2"/>
  </si>
  <si>
    <t>〒805-0071 福岡県北九州市八幡東区東田1丁目3番7号</t>
    <rPh sb="10" eb="12">
      <t>フクオカ</t>
    </rPh>
    <rPh sb="12" eb="13">
      <t>ケン</t>
    </rPh>
    <phoneticPr fontId="2"/>
  </si>
  <si>
    <t>093-663-8610</t>
    <phoneticPr fontId="2"/>
  </si>
  <si>
    <t>093-663-8620</t>
    <phoneticPr fontId="2"/>
  </si>
  <si>
    <t>小倉記念病院　総合5F病棟（腎内）</t>
    <phoneticPr fontId="2"/>
  </si>
  <si>
    <t>総合5F病棟（腎内）</t>
    <phoneticPr fontId="2"/>
  </si>
  <si>
    <t>電源が入らない</t>
    <phoneticPr fontId="2"/>
  </si>
  <si>
    <t>バッテリー、ACアダプタともに電源は入らず。Cアダプタに繋げると若干焦げ臭い匂いがする。</t>
    <phoneticPr fontId="2"/>
  </si>
  <si>
    <t>修理キャンセル依頼あり 理由＞エコーの台数は間に合っている、中古で購入したのもあり、修理しないとの結論にいたったとのこと 装置は廃棄にて依頼あり。 クローズ</t>
    <phoneticPr fontId="2"/>
  </si>
  <si>
    <t>S16-0566</t>
  </si>
  <si>
    <t>順天堂静岡病院_0566</t>
  </si>
  <si>
    <t>S16-0567</t>
  </si>
  <si>
    <t>帯広厚生病院_0567</t>
  </si>
  <si>
    <t>S16-0568</t>
  </si>
  <si>
    <t>岡山協立病院_0568 (2)</t>
  </si>
  <si>
    <t>SR#4229545</t>
  </si>
  <si>
    <t>206/8/31</t>
  </si>
  <si>
    <t>03XW27</t>
  </si>
  <si>
    <t>岡山協立病院</t>
  </si>
  <si>
    <t>086-272-2121</t>
  </si>
  <si>
    <t>〒703-8511 岡山県岡山市中区赤坂本町8-10</t>
  </si>
  <si>
    <t>電源を入れると、画面に英語のｴﾗｰﾒｯｾｰｼﾞが出てくる。それ以降画面がﾌﾘｰｽﾞして動かない。</t>
  </si>
  <si>
    <t>修理依頼番号：R160818165プローブ接続にてエラーコード15545 D:0xf67ff9fを表示。日付が2069/01/26を表示。日時を現日時に再設定し、バッテリーを抜き差ししたが、日時については現時刻を表示電源基盤交換で症状改善。電源基盤故障が原因と思われる。　交換必要充電中バッテリー3時間ＯＫ</t>
  </si>
  <si>
    <t>パーツ出庫指示有り電源基板の交換を実施　動作正常</t>
  </si>
  <si>
    <t>動作チェック異常なし。本日出荷</t>
    <phoneticPr fontId="2"/>
  </si>
  <si>
    <t>S16-0569</t>
  </si>
  <si>
    <t>日本赤十字医療センター_0569 (2)</t>
  </si>
  <si>
    <t>2016/08/17-03</t>
  </si>
  <si>
    <t>01G2NC</t>
  </si>
  <si>
    <t>オリンパスメディカルサイエンス販売 株式会社</t>
  </si>
  <si>
    <t>高野様</t>
  </si>
  <si>
    <t>03-3379-6006</t>
  </si>
  <si>
    <t>日本赤十字医療センター　救命救急センター外来</t>
  </si>
  <si>
    <t>救命救急センター外来</t>
    <rPh sb="0" eb="4">
      <t>キュウメイキュキュウ</t>
    </rPh>
    <rPh sb="8" eb="10">
      <t>ガイライ</t>
    </rPh>
    <phoneticPr fontId="2"/>
  </si>
  <si>
    <t>03-3400-1311</t>
  </si>
  <si>
    <t>電源ボタンを押しても起動しない</t>
  </si>
  <si>
    <t>上記症状は再現しました（電源スイッチ故障）　⇒　強制パワーオン実施日時再設定後、データ転送・FATテスト実施後に時間が1H進む状態になる。電源入らない、電源スイッチエレメント部の摩耗劣化、交換必要。バッテリー60分動作する事を確認。時間は正常に進んでいる。他動作正常。</t>
  </si>
  <si>
    <t>見積OKありスイッチの交換を実施。動作OK</t>
  </si>
  <si>
    <t>S16-0570</t>
  </si>
  <si>
    <t>都立広尾病院_0570 (2)</t>
  </si>
  <si>
    <t>2016/08/17-01</t>
  </si>
  <si>
    <t>03RBNT</t>
  </si>
  <si>
    <t>株式会社イノメディックス</t>
  </si>
  <si>
    <t>〒112-0002　東京都文京区小石川4-17-5</t>
    <rPh sb="10" eb="13">
      <t>トウキョウト</t>
    </rPh>
    <rPh sb="13" eb="16">
      <t>ブンキョウク</t>
    </rPh>
    <rPh sb="16" eb="19">
      <t>コイシカワ</t>
    </rPh>
    <phoneticPr fontId="2"/>
  </si>
  <si>
    <t>都立広尾病院 麻酔科</t>
  </si>
  <si>
    <t>03-3444-1181</t>
  </si>
  <si>
    <t>〒150-0013　東京都渋谷区恵比寿2－34－10</t>
  </si>
  <si>
    <t>BATTERY PACK EDGE</t>
  </si>
  <si>
    <t>画面にヒビが入って半分映っていない</t>
  </si>
  <si>
    <t>上記症状は再現しました。画面右下から放射状にヒビが入っている事を確認、破損のため交換必要。　→　有償扱い他動作正常、※Assert Logにて 2012年12月から2014年11月にかけて「TEE Sensor value warning」 が多発している事を確認←2015年TEE交換済みバッテリー動作90分　→　製造年から交換推奨モニタとバッテリーの有償見積提出</t>
  </si>
  <si>
    <t>ディスプレイユニット、バッテリー交換　動作正常</t>
  </si>
  <si>
    <t>S16-0571</t>
  </si>
  <si>
    <t>あわじ鍼灸整骨院_0571 (2)</t>
  </si>
  <si>
    <t>SR#4233601</t>
  </si>
  <si>
    <t>2016/08/17-02</t>
  </si>
  <si>
    <t>WK3KJN</t>
  </si>
  <si>
    <t>富士フイルムメディカル株式会社大阪支店</t>
  </si>
  <si>
    <t>あわじ鍼灸整骨院</t>
  </si>
  <si>
    <t>0736-66-2557</t>
  </si>
  <si>
    <t>〒649-6112　和歌山県紀の川市桃山町調月1045</t>
  </si>
  <si>
    <t>電源が入らなくなった（セーフティシャットオフ発生）
納入直後のトラブル、心配なので一度点検希望</t>
  </si>
  <si>
    <t>上記症状は再現しませんでした。アダプタ出力正常。アダプタ抜き差し20回実施、セーフティーシャットオフ発生せず。ヒートラン中引き続きヒートラン中、正常動作中アダプタ抜き差し20回実施、セーフティーシャットオフ発生せず。引き続きヒートラン中、正常動作中</t>
  </si>
  <si>
    <t>セーフティシャットのダウン機能を報告。一旦返却で様子をみていただくこととなりました。</t>
  </si>
  <si>
    <t>動作チェック異常なし。本日出荷</t>
  </si>
  <si>
    <t>※現象不再現→返却(8/31) アダプタのセーフティシャトダウン機能</t>
  </si>
  <si>
    <t>S16-0572</t>
  </si>
  <si>
    <t>代替機NIM57_0572 (2)</t>
  </si>
  <si>
    <t>SR#4229543</t>
  </si>
  <si>
    <t>馬屋原</t>
    <phoneticPr fontId="2"/>
  </si>
  <si>
    <t>03LP5V</t>
  </si>
  <si>
    <t xml:space="preserve">0798-46-1216 </t>
  </si>
  <si>
    <t>0798-46-7802</t>
  </si>
  <si>
    <t>代替機NIM157</t>
  </si>
  <si>
    <t>起動直後に＜AssertCode#9521＞発生</t>
  </si>
  <si>
    <t>プローブ接続にて＜AssertCode#9521 D:0＞表示　　発生頻度100%プローブを交換しても現象変わらず過去歴よりメイン基板故障と判断</t>
  </si>
  <si>
    <t>メイン基板の交換を実施　症状改善</t>
  </si>
  <si>
    <t>動作チェック異常なし。本日、出荷</t>
  </si>
  <si>
    <t>S16-0573</t>
  </si>
  <si>
    <t>大阪労災病院_0573</t>
  </si>
  <si>
    <t>S16-0574</t>
  </si>
  <si>
    <t>阪田医院_0574 (2)</t>
  </si>
  <si>
    <t>2016/08/09-01</t>
  </si>
  <si>
    <t>WK0CF2</t>
  </si>
  <si>
    <t>五洋医療器株式会社　三原営業所</t>
  </si>
  <si>
    <t>〒723-0051　広島県三原市宮浦4-3-1</t>
  </si>
  <si>
    <t>0848-63-3352</t>
  </si>
  <si>
    <t>0848-62-6996</t>
  </si>
  <si>
    <t>阪田医院</t>
  </si>
  <si>
    <t>0848-69-0003</t>
  </si>
  <si>
    <t>〒729-2252　広島県三原市幸崎能地4丁目10-5</t>
  </si>
  <si>
    <t>液漏れ。ミニドック側に多量付着。画面の気泡も発生</t>
  </si>
  <si>
    <t>装置後方右側で液漏れ発生。画面の気泡発生（左側）データ量が多く（420ヶ）ユーザ設定データが保存出来ない為、印刷にて対応。また操作中にハングアップ状態となることが多い液漏れ、気泡あり。モニタ交換必要バッテリー、90分OK　　→　LOTが古い、交換を提案保存画像多い、残り50パーセント（3313)使用小笠原様のデモ機を借用、急ぎ対応が必要液漏れは、クリーニング　ｏｒ　ディスプレイ交換で提示予定</t>
  </si>
  <si>
    <t>ディスプレイとバッテリーの交換実施。動作OK。</t>
  </si>
  <si>
    <t>S16-0575</t>
  </si>
  <si>
    <t>杏林大学医学部附属病院_0575 (2)</t>
  </si>
  <si>
    <t>SR#4232435</t>
  </si>
  <si>
    <t>2016/8/19-03</t>
  </si>
  <si>
    <t>041P7L</t>
  </si>
  <si>
    <t>稲村様</t>
  </si>
  <si>
    <t>野澤様</t>
    <rPh sb="0" eb="2">
      <t>ノザワ</t>
    </rPh>
    <rPh sb="2" eb="3">
      <t>サマ</t>
    </rPh>
    <phoneticPr fontId="2"/>
  </si>
  <si>
    <t>臨床工学部技師</t>
    <rPh sb="5" eb="7">
      <t>ギシ</t>
    </rPh>
    <phoneticPr fontId="2"/>
  </si>
  <si>
    <t>画面がブルーアウトする。</t>
  </si>
  <si>
    <t>上記症状は再現しませんでした。FATテスト時、アサートログを取得しテスト結果と一緒に内容を保存しました。Assert Logで10960多発している事を確認、メイン基板故障の為交換必要。ミニドックは故障が無いため返却 （8/29着指定）</t>
  </si>
  <si>
    <t>動作チェック異常なし本日、出荷</t>
  </si>
  <si>
    <t>S16-0576</t>
  </si>
  <si>
    <t>名古屋市立病院_0576 (2)</t>
  </si>
  <si>
    <t>038559</t>
  </si>
  <si>
    <t>畔上様</t>
  </si>
  <si>
    <t>立ち上げ時にバグ発生。
何度か試すうちに直るが念のため点検依頼。</t>
  </si>
  <si>
    <t>修理依頼番号：R160822110症状確認できず、20回起動実施し、エラー出ず。ヒートラン中バッテリー40分動作確認、引き続きヒートラン中引き続きヒートラン実施し、正常動作中ヒートラン8時間×4実施、症状確認できず、正常と判断、一旦返却、様子見お願いの方向で。テクサポより　→　メイン基板の予防交換見積希望</t>
  </si>
  <si>
    <t>修理キャンセル依頼あり※　メイン基板の予防交換希望だったが返却様子見となったため本日返却</t>
  </si>
  <si>
    <t>S16-0577</t>
  </si>
  <si>
    <t>糀谷病院_0577 (2)</t>
  </si>
  <si>
    <t>SR#4232439</t>
  </si>
  <si>
    <t>03XV0F</t>
  </si>
  <si>
    <t>日本コヴィディエン株式会社　東日本Inside Sales</t>
  </si>
  <si>
    <t>糀谷病院</t>
  </si>
  <si>
    <t>03-3745-2354</t>
  </si>
  <si>
    <t>〒144-0035　東京都大田区南蒲田3-3-15</t>
  </si>
  <si>
    <t>ロゴ画面でフリーズ、電源落ちない。
バッテリー付け直すとしばらく使用可能だが、再発する。</t>
  </si>
  <si>
    <t>修理依頼番号：R160822146症状確認できず。Assert logにて2016/8/15に15385発生FATにてFE Loop Backにてエラー。過去歴より、バックエンド基板故障と判断、交換必要。起動ロゴ表示でロックアップする事を確認。スタンドY字コネクタ補強実施、出力正常確認。</t>
  </si>
  <si>
    <t>S16-0578</t>
  </si>
  <si>
    <t>つばさ静岡_0578 (2)</t>
  </si>
  <si>
    <t>2016/07/22-06</t>
  </si>
  <si>
    <t>037VFC</t>
  </si>
  <si>
    <t>ベルメディカルケア株式会社</t>
  </si>
  <si>
    <t>〒424-0065　静岡県静岡市清水区長崎322</t>
    <rPh sb="10" eb="13">
      <t>シズオカケン</t>
    </rPh>
    <rPh sb="13" eb="16">
      <t>シズオカシ</t>
    </rPh>
    <rPh sb="16" eb="18">
      <t>シミズ</t>
    </rPh>
    <rPh sb="18" eb="19">
      <t>ク</t>
    </rPh>
    <rPh sb="19" eb="21">
      <t>ナガサキ</t>
    </rPh>
    <phoneticPr fontId="2"/>
  </si>
  <si>
    <t>054-348-8640</t>
  </si>
  <si>
    <t>054-349-2766</t>
  </si>
  <si>
    <t>つばさ静岡</t>
  </si>
  <si>
    <t>054-249-2830</t>
  </si>
  <si>
    <t>〒420-0805　 静岡県静岡市葵区城北117</t>
  </si>
  <si>
    <t>印刷できない。起動すると「external video is～」がでる。</t>
  </si>
  <si>
    <t>起動して操作中「The external video is not functional」が数回表示された。プリンターに繋げ印刷テストしてみたが、印刷できず。ミニドックを変えても効果なし。症状確認。メイン基盤故障のため交換必要バッテリー充電中液漏れあり、気泡なし。左の磁石付近ひび割れありモニタ交換おすすめ。その他動作OKバッテリー60分くらい交換推奨</t>
  </si>
  <si>
    <t>修理キャンセル、プリントはしない形で使用されるとのこと</t>
  </si>
  <si>
    <t>修理キャンセル、本日返却</t>
  </si>
  <si>
    <t>S16-0579</t>
  </si>
  <si>
    <t>重井医学研究所病院_0579</t>
  </si>
  <si>
    <t>S16-0580</t>
  </si>
  <si>
    <t>産業医科大学_0580 (2)</t>
  </si>
  <si>
    <t>2016/08/03-01</t>
  </si>
  <si>
    <t>03H07J</t>
  </si>
  <si>
    <t>P09141-11</t>
  </si>
  <si>
    <t>株式会社キシヤ　北九州営業所</t>
  </si>
  <si>
    <t xml:space="preserve">〒805-0071 福岡県北九州市八幡東区東田1丁目3番7号 </t>
  </si>
  <si>
    <t>産業医科大学病院</t>
  </si>
  <si>
    <t>〒807-855　北九州市八幡西区医生ヶ丘1番1号</t>
  </si>
  <si>
    <t>キーボードが効かない</t>
  </si>
  <si>
    <t>上記症状は再現せず。症状再現、コンパネ浮きが原因。調整実施で改善コンパネの接続コネクタの予防交換が必要と判断　P08306バッテリー30分で切れる、交換推奨</t>
  </si>
  <si>
    <t>接続コネクタ、バッテリー交換実施　動作正常ヒートランニング異常なし</t>
  </si>
  <si>
    <t>S16-0581</t>
  </si>
  <si>
    <t>佐賀大学医学部附属病院_0581 (2)</t>
  </si>
  <si>
    <t>SR#4232443</t>
  </si>
  <si>
    <t>2016/08/18-01-02</t>
  </si>
  <si>
    <t>WK28WD</t>
  </si>
  <si>
    <t>黒岩様</t>
  </si>
  <si>
    <t>〒840-0857 佐賀市鍋島町大字八戸3036番地3</t>
  </si>
  <si>
    <t>佐賀大学医学部附属病院</t>
  </si>
  <si>
    <t>0952-31-6511</t>
  </si>
  <si>
    <t>〒849-8501　佐賀県佐賀市鍋島5-1-1</t>
  </si>
  <si>
    <t>最初の画面のままフリーズする</t>
  </si>
  <si>
    <t>上記症状が１回再現したが、その後は再現しませんでした（間欠障害）エラーコード10960 D:0発生アサートログより10960が複数発生している。メイン基盤故障のため交換必要。バッテリー90分動作</t>
  </si>
  <si>
    <t>メイン基板の交換を実施　症状改善ヒートランニング異常なし</t>
  </si>
  <si>
    <t>S16-0582</t>
  </si>
  <si>
    <t>代替機WST27_0582 (2)</t>
  </si>
  <si>
    <t>SR#4232971</t>
  </si>
  <si>
    <t>WK0QGZ</t>
  </si>
  <si>
    <t>代替機WST27</t>
  </si>
  <si>
    <t>バッテリ故障。日時がずれる。</t>
  </si>
  <si>
    <t>上記症状が再現　⇒　バッテリ電圧：0V  日時：1981/1/18 15:34 表示電源オフ/オン・リスタート時の音が異常ボタンバッテリー切れ、交換必要。電源オフ/オンの音は他と変わりなし、接触不良による一過性の症状と判断バッテリー稼働時間 90分</t>
  </si>
  <si>
    <t>ボタン電池交換実施、症状改善　　※JTP在庫から使用　　　NEW：2.99v　OLD：0.01v</t>
  </si>
  <si>
    <t>動作チェック異常なし入荷したボタン電池をJTP在庫に補填クローズ</t>
  </si>
  <si>
    <t>S16-0583</t>
  </si>
  <si>
    <t>信州大学医学部附属病院_0583 (2)</t>
  </si>
  <si>
    <t>037RN4</t>
  </si>
  <si>
    <t>ｴﾗｰ1301等々が出たり、映像を出力しているﾓﾆﾀｰが表示されなかったりしたため、(他のiLOOKで検索したところﾓﾆﾀｰ出力は可能なためｽﾀﾝﾄﾞはOKとのこと)修理依頼。</t>
  </si>
  <si>
    <t>修理依頼番号：R160824074画面右下に傷有り　エラーコード993 D:0発生AC:993　→　過去の修理履歴より、メイン基板の故障と判断。バッテリー動作20分以上確認</t>
  </si>
  <si>
    <t>内部メイン基板の交換を実施。ヒートランニング異常なし</t>
  </si>
  <si>
    <t>S16-0584</t>
  </si>
  <si>
    <t>愛媛大学医学部附属病院_0584 (2)</t>
  </si>
  <si>
    <t>03K0NT</t>
  </si>
  <si>
    <t>愛媛大学医学部附属病院</t>
  </si>
  <si>
    <t>089-964-5111</t>
  </si>
  <si>
    <t>〒791-0295　愛媛県東温市志津川</t>
  </si>
  <si>
    <t>AC:15545表示、再起動しても復旧しない。</t>
  </si>
  <si>
    <t>修理依頼番号：R160824072画面のコーティング剥れ有りプローブ接続にてエラーコード15545 D:0xf67ff9fを表示プローブ装着時、AC：15545発生確認。電源基板の故障、交換で症状改善。電源基盤交換必要バッテリー動作20分、交換おすすめ</t>
  </si>
  <si>
    <t>推奨交換にて見積OKあり電源基板、バッテリーの交換を実施。動作正常ヒートランニング異常なし。</t>
  </si>
  <si>
    <t>S16-0585</t>
  </si>
  <si>
    <t>旭川医科大学病院_0585 (2)</t>
  </si>
  <si>
    <t>2016/08/22-04</t>
  </si>
  <si>
    <t>WK0CW4</t>
  </si>
  <si>
    <t>P05680-06</t>
  </si>
  <si>
    <t xml:space="preserve">〒078-8510 旭川市緑が丘東2条1丁目1番1号 </t>
  </si>
  <si>
    <t>マイクロコンベックスボタンが押されたままになる</t>
  </si>
  <si>
    <t>切替テストを繰り返し実施したが正常に切り替わることを確認　⇒　上記症状は未再現再現なし。引き続き検証予定。TTC内部スイッチパーツ破損　→　ボタンの根本に亀裂TTC上部カバーの交換必要（元がグレーの為、交換すると上部だけブラックになる、確認必要）プローブ切替20回正常。</t>
  </si>
  <si>
    <t>修理キャンセル連絡あり山内様＞　スイッチの破損はあたものの現時点では切り替えは可能なためこの判断とのこと　　　　　　　物理的にスイッチが破損している為、後々めりこんで戻ってこない可能性あり　→　ご了承あり</t>
  </si>
  <si>
    <t>本日返却</t>
  </si>
  <si>
    <t>S16-0586</t>
  </si>
  <si>
    <t>デモ機KUM4_0586</t>
  </si>
  <si>
    <t>S16-0587</t>
  </si>
  <si>
    <t>津島市民病院_0587 (2)</t>
  </si>
  <si>
    <t>2016/08/23-01</t>
  </si>
  <si>
    <t>0201Q7</t>
  </si>
  <si>
    <t>株式会社 八神製作所　一宮営業所</t>
  </si>
  <si>
    <t>関様</t>
  </si>
  <si>
    <t>〒491-0913　愛知県一宮市中町二丁目4-2</t>
    <phoneticPr fontId="2"/>
  </si>
  <si>
    <t>津島市民病院 4南病棟</t>
  </si>
  <si>
    <t>用度　米山様</t>
    <rPh sb="0" eb="2">
      <t>ヨウド</t>
    </rPh>
    <rPh sb="3" eb="5">
      <t>ヨネヤマ</t>
    </rPh>
    <rPh sb="5" eb="6">
      <t>サマ</t>
    </rPh>
    <phoneticPr fontId="2"/>
  </si>
  <si>
    <t>4南病棟</t>
    <rPh sb="1" eb="2">
      <t>ミナミ</t>
    </rPh>
    <rPh sb="2" eb="4">
      <t>ビョウトウ</t>
    </rPh>
    <phoneticPr fontId="2"/>
  </si>
  <si>
    <t>0567-28-5151</t>
    <phoneticPr fontId="2"/>
  </si>
  <si>
    <t>〒496-8537　愛知県津島市橘町3-73</t>
    <rPh sb="10" eb="13">
      <t>アイチケン</t>
    </rPh>
    <rPh sb="13" eb="16">
      <t>ツシマシ</t>
    </rPh>
    <rPh sb="16" eb="17">
      <t>タチバナ</t>
    </rPh>
    <rPh sb="17" eb="18">
      <t>マチ</t>
    </rPh>
    <phoneticPr fontId="2"/>
  </si>
  <si>
    <t>画像が粗い</t>
  </si>
  <si>
    <t>上記症状が再現（バームクーヘン状態）　⇒　添付資料参照ヒンジが硬く液晶パネルの蓋が完全に閉まらない。バームクーヘン状のノイズを確認。(写メ済み)　→　プローブコネクタ、インターポージャー、清掃にて、症状改善？　ヒートラン中。インターポージャー、変形。ヒートランにて診断エリアに白くノイズが入る症状確認、メイン基板故障の為交換必要。ヒンジ固い、ヒンジ交換必要、40PIN固い、交換おすすめ。電源少し入りにくい、電源スイッチ交換必要。バッテリー動作5分</t>
  </si>
  <si>
    <t>修理キャンセル連絡あり。※バッテリーの供給もないので修理はしない。本日返却</t>
  </si>
  <si>
    <t>※修理キャンセル返却(12/1)</t>
    <rPh sb="1" eb="3">
      <t>シュウリ</t>
    </rPh>
    <rPh sb="8" eb="10">
      <t>ヘンキャク</t>
    </rPh>
    <phoneticPr fontId="2"/>
  </si>
  <si>
    <t>S16-0588</t>
  </si>
  <si>
    <t>日立総合病院_0588 (2)</t>
  </si>
  <si>
    <t>2016/08/16-01</t>
  </si>
  <si>
    <t>03P1FZ</t>
  </si>
  <si>
    <t>P15078-10</t>
  </si>
  <si>
    <t>株式会社栗原医療器械店　水戸支店</t>
  </si>
  <si>
    <t>〒310-0905　茨城県水戸市石川2-4090-1</t>
  </si>
  <si>
    <t>029-251-2161</t>
  </si>
  <si>
    <t>029-251-2130</t>
  </si>
  <si>
    <t>日立総合病院　ME</t>
  </si>
  <si>
    <t>姫路様</t>
    <rPh sb="0" eb="2">
      <t>ヒメジ</t>
    </rPh>
    <rPh sb="2" eb="3">
      <t>サマ</t>
    </rPh>
    <phoneticPr fontId="2"/>
  </si>
  <si>
    <t>029-423-1111</t>
  </si>
  <si>
    <t>プリンタ出力が出来ない</t>
  </si>
  <si>
    <t>プリンタ入力端子の破損。振ると内部からカラカラ音がするRCAジャック破損を確認。(写メ済み)破損確認、ドック交換必要</t>
  </si>
  <si>
    <t>見積提出　→　9月中終了希望EDGEドックの交換を実施。</t>
  </si>
  <si>
    <t>S16-0589</t>
  </si>
  <si>
    <t>聖隷浜松病院_0589 (2)</t>
  </si>
  <si>
    <t>SR#4235663</t>
  </si>
  <si>
    <t>2016/08/26-02</t>
  </si>
  <si>
    <t>WK2KF2</t>
  </si>
  <si>
    <t>〒433-8119　静岡県浜松市中区高丘北2-15-6</t>
  </si>
  <si>
    <t>聖隷浜松病院 循環器科</t>
  </si>
  <si>
    <t>ノイズが入って映らない</t>
  </si>
  <si>
    <t>パワーオン当初からノイズが有り、映らない現象が発生。開閉すると現象が変化するP21xプローブ接続でドップラーテスト中に停止し、インコンパチブル エクスターナル パワーサプライ発生（添付資料参照）ディスプレイノイズを確認。　→　ディスプレイ側の問題。(写メ済み)　詳細検証予定8/19に、1回のみAC：12283発生を確認。P21x接続で、1回のみ、TransducerProblem,2,3発生を確認。ディスプレイの角度を変えると画面にノイズが出る事を確認、ディスプレイケーブル差し直しにて症状改善したがディスプレイケーブルの黒いテープが一部破れている箇所あり、交換必要。ヒートラン中、バッテリー動作60分でインジケーター半分、バッテリー正常と判断</t>
  </si>
  <si>
    <t>JTP在庫より液晶ケーブルを交換ヒートランニング異常なし</t>
  </si>
  <si>
    <t>動作チェック異常なし本日出荷パーツ出庫指示ありJTP在庫に補填しクローズ</t>
  </si>
  <si>
    <t>S16-0590</t>
  </si>
  <si>
    <t>大河原医院_0590 (2)</t>
  </si>
  <si>
    <t>2016/07/04-07</t>
  </si>
  <si>
    <t>RZ0FFM</t>
  </si>
  <si>
    <t>P04341-05</t>
  </si>
  <si>
    <t>浅井様</t>
  </si>
  <si>
    <t>〒110-0008　東京都台東区池之端2-1-11</t>
    <rPh sb="10" eb="13">
      <t>トウキョウト</t>
    </rPh>
    <rPh sb="13" eb="16">
      <t>タイトウク</t>
    </rPh>
    <rPh sb="16" eb="19">
      <t>イケノハタ</t>
    </rPh>
    <phoneticPr fontId="2"/>
  </si>
  <si>
    <t>03-3822-2171</t>
  </si>
  <si>
    <t>03-3828-4127</t>
  </si>
  <si>
    <t>大河原医院</t>
  </si>
  <si>
    <t>大河原明美様</t>
    <rPh sb="0" eb="3">
      <t>オオカワラ</t>
    </rPh>
    <rPh sb="3" eb="5">
      <t>アケミ</t>
    </rPh>
    <rPh sb="5" eb="6">
      <t>サマ</t>
    </rPh>
    <phoneticPr fontId="2"/>
  </si>
  <si>
    <t>03-3611-1916</t>
  </si>
  <si>
    <t>〒131-0046  東京都墨田区京島1-19-5</t>
    <rPh sb="11" eb="14">
      <t>トウキョウト</t>
    </rPh>
    <rPh sb="14" eb="17">
      <t>スミダク</t>
    </rPh>
    <rPh sb="17" eb="19">
      <t>キョウジマ</t>
    </rPh>
    <phoneticPr fontId="2"/>
  </si>
  <si>
    <t>プリンタ外部出力が出来ない</t>
  </si>
  <si>
    <t>ローカル・リモート印刷は、共に出来る状態（現象未再現）DC-INコネクタにグラツキが有るコンポジット端子、半田割れを確認。(写メ済み)DC-INコネクタ、問題なし。RCAコネクタ揺すりながら印刷しても症状確認できず。RCAコネクタ調整し一旦お返し、様子を見て頂く方向で。RCAコネクタ調整実施済み</t>
  </si>
  <si>
    <t>調整作業で見積OKありRCAコネクタ部の補修を実施。動作OK</t>
  </si>
  <si>
    <t>※部品交換なし。調整で改善。</t>
  </si>
  <si>
    <t>S16-0591</t>
  </si>
  <si>
    <t>紀和病院_0591 (2)</t>
  </si>
  <si>
    <t>2016/08/25-04</t>
  </si>
  <si>
    <t>030JJ2</t>
  </si>
  <si>
    <t>073-441-5015</t>
  </si>
  <si>
    <t>紀和病院　内視鏡室</t>
  </si>
  <si>
    <t>0736-33-5000</t>
  </si>
  <si>
    <t>〒648-0085 和歌山県橋本市岸上18番地の1</t>
  </si>
  <si>
    <t>画面全体が暗い</t>
  </si>
  <si>
    <t>上記症状は再現しませんでした。診断画像エリア全体にデジタル的な白いノイズが入る、テスト用プローブ2本で同現象メイン基板故障の為交換必要。放電テスト、バッテリー60分アダプター、コード出力OK コード非正規品、２ピン</t>
  </si>
  <si>
    <t>見積提出修理するか更新するか検討するため修理キャンセルで連絡</t>
  </si>
  <si>
    <t>S16-0592</t>
  </si>
  <si>
    <t>千葉医療センター_0592 (2)</t>
  </si>
  <si>
    <t>2016/08/29-06</t>
  </si>
  <si>
    <t>01H8CJ</t>
  </si>
  <si>
    <t>株式会社イノメディックス 千葉営業所</t>
  </si>
  <si>
    <t>〒260-0001 千葉県千葉市中央区都町2-7-3</t>
  </si>
  <si>
    <t>千葉医療センター 救急外来</t>
  </si>
  <si>
    <t>〒260-8606　千葉県千葉市中央区椿森4-1-2</t>
  </si>
  <si>
    <t>プローブ根元の被覆破れ</t>
  </si>
  <si>
    <t>上記症状は再現しました。チェッカー・本体接続　⇒　異常なし被覆破れ、ラッチ側根元とスキャンヘッド側根元にあり。断線なし。補強実施。動作OK 。動作問題ないが交換おすすめ。</t>
  </si>
  <si>
    <t>修理キャンセル依頼あり。本日返却</t>
  </si>
  <si>
    <t>修理キャンセル返却(9/20)</t>
  </si>
  <si>
    <t>S16-0593</t>
  </si>
  <si>
    <t>姫路医療センター_0593 (2)</t>
  </si>
  <si>
    <t>SR#4232447</t>
  </si>
  <si>
    <t>03VHP9</t>
  </si>
  <si>
    <t>野崎様</t>
  </si>
  <si>
    <t>姫路医療センター　国立病院機構</t>
  </si>
  <si>
    <t>079-225-3211</t>
  </si>
  <si>
    <t>〒670-8520　兵庫県姫路市本町68番地</t>
  </si>
  <si>
    <t>ｴﾗｰｺｰﾄﾞ15545が出現する。</t>
  </si>
  <si>
    <t>修理依頼番号：R160829205プローブ接続にてエラーコード15545 D:0xf67ff9f表示起動直後、15545発生。現象確認電源基盤交換で症状改善。FATPass。電源基盤故障が原因。充電中→90分以上確認パーツ出庫依頼書提出</t>
  </si>
  <si>
    <t xml:space="preserve">先行で出庫依頼許可あり電源基板交換実施。動作OK </t>
  </si>
  <si>
    <t>S16-0594</t>
  </si>
  <si>
    <t>佐野内科リハビリテーションクリニック_0594</t>
  </si>
  <si>
    <t>S16-0595</t>
  </si>
  <si>
    <t>昭和大学横浜市北部病院_0595 (2)</t>
  </si>
  <si>
    <t>03K0PK</t>
  </si>
  <si>
    <t>045-949-7000</t>
    <phoneticPr fontId="2"/>
  </si>
  <si>
    <t xml:space="preserve">〒224-8503　神奈川県横浜市都筑区茅ヶ崎中央35-1 </t>
    <phoneticPr fontId="2"/>
  </si>
  <si>
    <t>電源ｹｰﾌﾞﾙを接続しても充電が開始されず、電源も入らない状態となった。</t>
  </si>
  <si>
    <t>修理依頼番号：R160829209スタンド部：テーブル無し　出力電圧（15V）⇒出力無し（0V）アダプタ故障、1PIN出力なし、交換必要本体ヒートラン中、放電予定バッテリー90分以上動作確認。本体に故障個所無し。</t>
  </si>
  <si>
    <t>見積OKありアダプタ交換を実施。動作OK</t>
  </si>
  <si>
    <t>S16-0596</t>
  </si>
  <si>
    <t>産業医科大学病院_0596 (2)</t>
  </si>
  <si>
    <t>0347R4</t>
  </si>
  <si>
    <t>〒807-8556　福岡県北九州市八幡西区医生ヶ丘1-1</t>
    <rPh sb="10" eb="12">
      <t>フクオカ</t>
    </rPh>
    <rPh sb="12" eb="13">
      <t>ケン</t>
    </rPh>
    <rPh sb="13" eb="17">
      <t>キタキュウシュウシ</t>
    </rPh>
    <rPh sb="17" eb="19">
      <t>ハチマン</t>
    </rPh>
    <rPh sb="19" eb="20">
      <t>ニシ</t>
    </rPh>
    <rPh sb="20" eb="21">
      <t>ク</t>
    </rPh>
    <rPh sb="21" eb="22">
      <t>イ</t>
    </rPh>
    <rPh sb="22" eb="23">
      <t>セイ</t>
    </rPh>
    <rPh sb="24" eb="25">
      <t>オカ</t>
    </rPh>
    <phoneticPr fontId="2"/>
  </si>
  <si>
    <t>スタンドのキャスターが劣化している</t>
  </si>
  <si>
    <t>修理依頼番号：R160829207ILOOK25本体（代替機）をセットし、問題ないことを確認ロックが無いキャスター3個破損確認、地面と当たる部分が欠損している、3個交換必要。ロック付キャスター2個に破損は無いが他キャスター破損により、負荷がかかっている可能性が高いため交換おすすめ。ドックコネクタ摩耗、交換おすすめ。</t>
  </si>
  <si>
    <t>キャスターが部品の製造・供給が終了の旨、テクサポに報告。テクサポに修理不能証明書のを提出。修理キャンセルで返却依頼あり。</t>
  </si>
  <si>
    <t>修理キャンセル返却依頼あり。本日返却</t>
  </si>
  <si>
    <t>※修理キャンセル返却(9/20)</t>
  </si>
  <si>
    <t>S16-0597</t>
  </si>
  <si>
    <t>東北大学病院_0597 (2)</t>
  </si>
  <si>
    <t>2016/07/20-01</t>
  </si>
  <si>
    <t>HFL38/13-6</t>
  </si>
  <si>
    <t>03B32F</t>
  </si>
  <si>
    <t>P05674-07</t>
  </si>
  <si>
    <t>テスコ株式会社</t>
  </si>
  <si>
    <t>中森様</t>
  </si>
  <si>
    <t>〒981-3137　宮城県仙台市泉区大沢3-4-3</t>
    <rPh sb="10" eb="13">
      <t>ミヤギケン</t>
    </rPh>
    <rPh sb="13" eb="16">
      <t>センダイシ</t>
    </rPh>
    <rPh sb="16" eb="18">
      <t>イズミク</t>
    </rPh>
    <rPh sb="18" eb="20">
      <t>オオサワ</t>
    </rPh>
    <phoneticPr fontId="2"/>
  </si>
  <si>
    <t>022-771-6350</t>
  </si>
  <si>
    <t>022-771-6353</t>
  </si>
  <si>
    <t xml:space="preserve">東北大学病院 </t>
  </si>
  <si>
    <t>022-717-7000</t>
  </si>
  <si>
    <t>〒980-8574 宮城県仙台市青葉区星陵町1-1</t>
  </si>
  <si>
    <t>コネクタのプレートが回らない</t>
  </si>
  <si>
    <t>上記症状が再現しました。プレートが回らないので、チェッカー及び本体接続の確認は出来ませんでした。ラッチの棒状の部品が曲がっていたのが原因。調整実施。調整したがラッチ交換おすすめ。現在テスト用ラッチがついている、動作OK。</t>
  </si>
  <si>
    <t>ラッチキットの交換で見積OKラッチキットの交換を実施。動作OK</t>
  </si>
  <si>
    <t>※ラッチの交換。9/20出荷</t>
  </si>
  <si>
    <t>S16-0598</t>
  </si>
  <si>
    <t>沖縄赤十字病院_0598 (2)</t>
  </si>
  <si>
    <t>2016/09/01-03</t>
  </si>
  <si>
    <t>037RXQ</t>
  </si>
  <si>
    <t>P05670-06</t>
  </si>
  <si>
    <t>アイティーアイ株式会社 沖縄支社</t>
  </si>
  <si>
    <t>宮里様</t>
  </si>
  <si>
    <t>〒900-0001　沖縄県那覇市港町2-9-5</t>
    <rPh sb="10" eb="13">
      <t>オキナワケン</t>
    </rPh>
    <rPh sb="13" eb="16">
      <t>ナハシ</t>
    </rPh>
    <rPh sb="16" eb="17">
      <t>ミナト</t>
    </rPh>
    <rPh sb="17" eb="18">
      <t>マチ</t>
    </rPh>
    <phoneticPr fontId="2"/>
  </si>
  <si>
    <t>098-869-2281</t>
  </si>
  <si>
    <t>098-869-2282</t>
  </si>
  <si>
    <t>沖縄赤十字病院 救急外来</t>
  </si>
  <si>
    <t>施設科 宮城様</t>
    <rPh sb="0" eb="2">
      <t>シセツ</t>
    </rPh>
    <rPh sb="2" eb="3">
      <t>カ</t>
    </rPh>
    <rPh sb="4" eb="6">
      <t>ミヤギ</t>
    </rPh>
    <rPh sb="6" eb="7">
      <t>サマ</t>
    </rPh>
    <phoneticPr fontId="2"/>
  </si>
  <si>
    <t>098-853-3134</t>
  </si>
  <si>
    <t>〒902-8588　沖縄県那覇市与儀1-3-1</t>
  </si>
  <si>
    <t>①電源が入らない
②ディスプレイを閉じた時に「ビッ」と音がする
③ディスプレイが汚い</t>
  </si>
  <si>
    <t>AC電源アダプタ出力無し（0V）。予備AC電源アダプタ接続でも電源オンが出来ない状態ディスプレイを閉じた時に「ビッ」と音が鳴りっぱなしの為、バッテリは取り外した状態にしました。上記症状は再現コントロールパネル故障の為交換必要ディスプレイ液漏れ交換必要HFL38断線、本体を壊す可能性が高いため交換必要。バッテリー放電60分で残り2メモリ、バッテリー正常と判断。</t>
  </si>
  <si>
    <t>見積提出修理キャンセルの連絡書あり。　年数がだいぶ経過しているのと高額修理だった為。　</t>
  </si>
  <si>
    <t>※修理キャンセル返却(9/12)</t>
  </si>
  <si>
    <t>S16-0599</t>
  </si>
  <si>
    <t>竜王ペインクリニック_0599 (2)</t>
  </si>
  <si>
    <t>SR#4232449</t>
  </si>
  <si>
    <t>2016/08/29-04</t>
  </si>
  <si>
    <t>〒409-3866　山梨県中巨摩郡昭和町西条5141</t>
  </si>
  <si>
    <t>竜王ペインクリニック</t>
  </si>
  <si>
    <t>055-298-6666</t>
  </si>
  <si>
    <t>〒400-0126 山梨県甲斐市大下条1600-5</t>
  </si>
  <si>
    <t>フリーズが発生する</t>
  </si>
  <si>
    <t>エラーコード10960 D:0発生（1回）し、その後は発生しませんでした。起動直後AC10960発生、ログから複数回発生している。メイン基盤故障のため交換必要DCジャック緩い、抜き差し20回実施、セーフティなし充電中放電テスト85分、交換おすすめ動作OK</t>
  </si>
  <si>
    <t>S16-0600</t>
  </si>
  <si>
    <t>久留米大学病院_0600 (2)</t>
  </si>
  <si>
    <t>2016/08/30-02</t>
  </si>
  <si>
    <t>03V3PM</t>
  </si>
  <si>
    <t>〒839-0801　福岡県久留米市宮ノ陣3-5-15</t>
    <rPh sb="10" eb="12">
      <t>フクオカ</t>
    </rPh>
    <rPh sb="12" eb="13">
      <t>ケン</t>
    </rPh>
    <rPh sb="13" eb="17">
      <t>クルメシ</t>
    </rPh>
    <rPh sb="17" eb="18">
      <t>ミヤ</t>
    </rPh>
    <rPh sb="19" eb="20">
      <t>ジン</t>
    </rPh>
    <phoneticPr fontId="2"/>
  </si>
  <si>
    <t>久留米大学病院 救命センター</t>
  </si>
  <si>
    <t>梅木様</t>
    <rPh sb="0" eb="2">
      <t>ウメキ</t>
    </rPh>
    <rPh sb="2" eb="3">
      <t>サマ</t>
    </rPh>
    <phoneticPr fontId="2"/>
  </si>
  <si>
    <t>0942-35-3311</t>
    <phoneticPr fontId="2"/>
  </si>
  <si>
    <t>〒830-0011 福岡県久留米市旭町67番地</t>
    <phoneticPr fontId="2"/>
  </si>
  <si>
    <t>バッテリ充電出来ない（バッテリ駆動不可）</t>
  </si>
  <si>
    <t>画面全体に細かい傷が有るAC電源アダプタ（15V）の出力は正常FATテスト不可（レディ状態にならない⇒赤色状態のまま）バッテリー動作、充電できない、バッテリー故障の為交換必要。NANODOCKツメ摩耗しているため外れやすい、交換必要。ネットワーク接続できない、バックエンド基板交換にて改善、交換必要。モニタ傷が多い、交換おすすめ。</t>
  </si>
  <si>
    <t>10月中に発注予定　※連絡書返信有変換アダプタ、バッテリーでOKあり変換アダプタ、バッテリーの交換を実施。</t>
  </si>
  <si>
    <t>動作チェック異常なし本日出荷※ナノドックは使用禁止シールを張り付けて返却</t>
  </si>
  <si>
    <t>S16-0601</t>
  </si>
  <si>
    <t>はら耳鼻咽喉科_0601 (2)</t>
  </si>
  <si>
    <t>2016/08/26-06</t>
  </si>
  <si>
    <t>032VG5</t>
  </si>
  <si>
    <t>株式会社医療設備企画</t>
  </si>
  <si>
    <t>〒816-0812　福岡県春日市平田台3-109</t>
    <rPh sb="10" eb="12">
      <t>フクオカ</t>
    </rPh>
    <rPh sb="12" eb="13">
      <t>ケン</t>
    </rPh>
    <rPh sb="13" eb="16">
      <t>カスガシ</t>
    </rPh>
    <rPh sb="16" eb="18">
      <t>ヒラタ</t>
    </rPh>
    <rPh sb="18" eb="19">
      <t>ダイ</t>
    </rPh>
    <phoneticPr fontId="2"/>
  </si>
  <si>
    <t>092-595-1986</t>
  </si>
  <si>
    <t>はら耳鼻咽喉科</t>
  </si>
  <si>
    <t>093-701-8841</t>
  </si>
  <si>
    <t>〒807-0022　福岡県遠賀郡水巻町頃末北4-7-3</t>
    <rPh sb="10" eb="12">
      <t>フクオカ</t>
    </rPh>
    <rPh sb="12" eb="13">
      <t>ケン</t>
    </rPh>
    <rPh sb="13" eb="14">
      <t>トオ</t>
    </rPh>
    <rPh sb="14" eb="15">
      <t>ガ</t>
    </rPh>
    <rPh sb="15" eb="16">
      <t>グン</t>
    </rPh>
    <rPh sb="16" eb="18">
      <t>ミズマキ</t>
    </rPh>
    <rPh sb="18" eb="19">
      <t>マチ</t>
    </rPh>
    <rPh sb="19" eb="20">
      <t>コロ</t>
    </rPh>
    <rPh sb="20" eb="21">
      <t>スエ</t>
    </rPh>
    <rPh sb="21" eb="22">
      <t>キタ</t>
    </rPh>
    <phoneticPr fontId="2"/>
  </si>
  <si>
    <t>エラーコード1297発生</t>
  </si>
  <si>
    <t>データ転送中にエラーコード1297 D:4発生Depthキーを押すとAC：1297発生する、メイン基板故障の為交換必要。ヒンジ固い、交換必要。バッテリー動作10分　→　在庫ぎれの案内必要</t>
  </si>
  <si>
    <t>見積OKあり。荒木様TEL＞9月中の修理完了希望。メイン基板、ヒンジの交換実施。動作OK</t>
  </si>
  <si>
    <t>動作チェック異常なし本日出荷　※施設に直送</t>
  </si>
  <si>
    <t>S16-0602</t>
  </si>
  <si>
    <t>代替機NIM101_0602（2）</t>
    <phoneticPr fontId="2"/>
  </si>
  <si>
    <t>03C6XN</t>
  </si>
  <si>
    <t>代替機NIM101</t>
  </si>
  <si>
    <t>エラーコード2719発生</t>
  </si>
  <si>
    <t>ドップラーテスト中で、エラーコード2719 D:20発生代替機として出荷中S16-0721 にて別途入荷処理本シートは欠番としクローズ</t>
  </si>
  <si>
    <t>S16-0603</t>
  </si>
  <si>
    <t>近畿大学医学部附属病院_0603</t>
  </si>
  <si>
    <t>S16-0604</t>
  </si>
  <si>
    <t>新潟臨港病院_0604 (2)</t>
  </si>
  <si>
    <t>2016/8/30-05</t>
  </si>
  <si>
    <t>39804</t>
  </si>
  <si>
    <t>小熊様</t>
  </si>
  <si>
    <t>〒950-0141　新潟県新潟市江南区亀田工業団地2-2528-38</t>
    <phoneticPr fontId="2"/>
  </si>
  <si>
    <t>社会医療法人　新潟臨港保健会　新潟臨港病院</t>
    <phoneticPr fontId="2"/>
  </si>
  <si>
    <t>025-274-5331</t>
    <phoneticPr fontId="2"/>
  </si>
  <si>
    <t>〒950-8725　新潟県新潟市東区桃山町1丁目114番地3</t>
    <phoneticPr fontId="2"/>
  </si>
  <si>
    <t>上記症状が再現しました。電源が入らないことを確認。SONY修理センターへ出荷見積提出営業サポート石塚様よりTEL＞新品プリンタの見積提示依頼→　FMS前島様へ依頼済み</t>
  </si>
  <si>
    <t>新品のプリンタを更新するとのこと修理キャンセル、返却</t>
  </si>
  <si>
    <t>S16-0605</t>
  </si>
  <si>
    <t>山王病院_0605 (2)</t>
  </si>
  <si>
    <t>SR#4232451</t>
  </si>
  <si>
    <t>2016/08/31-04</t>
  </si>
  <si>
    <t>WK2KCM</t>
  </si>
  <si>
    <t>山王病院　麻酔科</t>
  </si>
  <si>
    <t>03-3402-3151</t>
  </si>
  <si>
    <t xml:space="preserve">
〒107-0052　東京都港区赤坂 8-10-16</t>
  </si>
  <si>
    <t>エラーコード221表示</t>
  </si>
  <si>
    <t>プローブ接続にてエラーコード221 D:0 発生起動直後AC221、222発生、コード番号よりメイン基板故障と判断放電テスト75分、交換推奨。</t>
  </si>
  <si>
    <t>動作チェック異常なし本日島崎様へ引き渡し、クローズ</t>
  </si>
  <si>
    <t>S16-0606</t>
  </si>
  <si>
    <t>代替機NIM9_0606</t>
  </si>
  <si>
    <t>S16-0607</t>
  </si>
  <si>
    <t>群馬大学医学部付属病院_0607 (2)</t>
  </si>
  <si>
    <t>2016/08/25-07</t>
  </si>
  <si>
    <t>03WRGN</t>
  </si>
  <si>
    <t>〒371-8511 群馬県前橋市昭和町三丁目39番15号</t>
  </si>
  <si>
    <t>バッテリ充電が出来ない</t>
  </si>
  <si>
    <t>受付のみミニドック　DC-IN端子がグラグラするMINIDOCK正常に通電、外部出力、印刷正常施設MINIDOCKを使用し施設バッテリー充放電正常。バッテリー動作87分、バッテリー正常。MINIDOCK内部DCコネクタ状態確認予定MINIDOCK内部DCコネクタ破損ない事を確認、念の為半田補強実施。一旦ご返却し様子を見て頂く方向で。</t>
  </si>
  <si>
    <t>FMS 風間様＞点検の結果、動作異常等ない旨を報告。返却でOK</t>
  </si>
  <si>
    <t>S16-0608</t>
  </si>
  <si>
    <t>はしぐち整骨院_0608 (2)</t>
  </si>
  <si>
    <t>2016/09/01-02</t>
  </si>
  <si>
    <t>WK02GX</t>
  </si>
  <si>
    <t>はしぐち整骨院</t>
  </si>
  <si>
    <t>095-818-6608</t>
  </si>
  <si>
    <t>〒850-0877　長崎県長崎市築町1-17 2F</t>
  </si>
  <si>
    <t>画面開閉部磁石付近から液漏れ</t>
  </si>
  <si>
    <t>上記症状が再現しました。画面正面から右上の磁石付近から液漏れ確認クリーニング実施→クリーニング中に画面左上に気泡発生。モニタ交換おすすめ。バッテリー動作70分、交換おすすめ</t>
  </si>
  <si>
    <t>クリーニングのみにて見積OKディプレイ漏出した接着剤のクリーニングを実施。動作OK</t>
  </si>
  <si>
    <t>S16-0609</t>
  </si>
  <si>
    <t>コヴィディエンプロモ機_0609 (2)</t>
  </si>
  <si>
    <t>03X62P</t>
  </si>
  <si>
    <t>日本コヴィディエン株式会社　ﾒﾃﾞｨｶﾙﾃﾞﾊﾞｲｽｻｰﾋﾞｽ課</t>
  </si>
  <si>
    <t>藤崎様</t>
  </si>
  <si>
    <t>プロモーション機</t>
  </si>
  <si>
    <t>同上</t>
    <rPh sb="0" eb="2">
      <t>ドウジョウ</t>
    </rPh>
    <phoneticPr fontId="2"/>
  </si>
  <si>
    <t>ナノドック破損
充電不可</t>
  </si>
  <si>
    <t>修理依頼番号：R160808264AC電源アダプタ DC出力：0VNANODOCKコネクタ部破損、交換必要アダプタ故障、出力電圧値が低い、交換必要。バッテリー稼働時間　90分以上本体正常、FATPASS付属品故障の為、今回の部品交換費用は有償扱い</t>
  </si>
  <si>
    <t>ナノドック、ACアダプタ動作正常</t>
  </si>
  <si>
    <t>S16-0610</t>
  </si>
  <si>
    <t>東京逓信病院_0610</t>
  </si>
  <si>
    <t>S16-0611</t>
  </si>
  <si>
    <t>代替機NIM33_0611</t>
  </si>
  <si>
    <t>S16-0612</t>
  </si>
  <si>
    <t>東京城東病院_0612 (2)</t>
  </si>
  <si>
    <t>SR#4233587</t>
  </si>
  <si>
    <t>2016/09/07-01</t>
  </si>
  <si>
    <t>042TT6</t>
  </si>
  <si>
    <t xml:space="preserve">東京城東病院 </t>
  </si>
  <si>
    <t>03-3685-1431</t>
  </si>
  <si>
    <t>〒136-0071　東京都江東区亀戸9-13-1</t>
  </si>
  <si>
    <t xml:space="preserve"> 起動直後にエラーコードが出て、使用できない。</t>
  </si>
  <si>
    <t>起動直後に、AC17193発生。オンサイトにて対応。バッテリー電源OFF、電源コードを抜き、リセット後、起動。　→　AC：17193発生。メインユニットの付け直しを実施。　→　AC：17193発生。メインユニットを交換。　→　症状改善。メインユニットの故障。</t>
  </si>
  <si>
    <t>オンサイトにて対応。メインユニットの交換を実施。</t>
  </si>
  <si>
    <t>S16-0613</t>
  </si>
  <si>
    <t>笛吹中央病院_0613 (2)</t>
  </si>
  <si>
    <t>03WQPR</t>
  </si>
  <si>
    <t>マコト医科器械株式会社</t>
  </si>
  <si>
    <t>笛吹中央病院 麻酔科</t>
  </si>
  <si>
    <t>多胡雅夫先生</t>
    <rPh sb="0" eb="2">
      <t>タゴ</t>
    </rPh>
    <rPh sb="2" eb="4">
      <t>マサオ</t>
    </rPh>
    <rPh sb="4" eb="6">
      <t>センセイ</t>
    </rPh>
    <phoneticPr fontId="2"/>
  </si>
  <si>
    <t>055-262-2185</t>
  </si>
  <si>
    <t>〒406-0032　山梨県笛吹市石和町四日市場47-1</t>
  </si>
  <si>
    <t>外側面（圧着部分）に亀裂</t>
  </si>
  <si>
    <t>両サイドの接合・圧着部が剥がれて隙間があいているチェッカー・本体接続　確認　⇒　異常なし筐体を強く推すとパチンとはまり、隙間がなくなりました。現在隙間は無い状態画像正常、一旦ご返却、様子を見て頂く方向で。</t>
  </si>
  <si>
    <t>一旦様子見返却でOKプローブは5年保証の適用外である旨をお伝え済み。</t>
  </si>
  <si>
    <t>動作チェックOK本日出荷</t>
  </si>
  <si>
    <t>※返却→報告書あり。調整で返却(9/26)　　マコト医科精機株式会社</t>
  </si>
  <si>
    <t>S16-0614</t>
  </si>
  <si>
    <t>丘ノ規病院_0614 (2)</t>
  </si>
  <si>
    <t>SR#4232973</t>
  </si>
  <si>
    <t>03XW2F</t>
  </si>
  <si>
    <t>093-602-6631</t>
  </si>
  <si>
    <t>立ち上げるとフリーズする。</t>
  </si>
  <si>
    <t>修理依頼番号：R160905248起動画面のままフリーズして立ち上がらないバックエンド基板交換にて改善、バッテリー90分以上持つことを確認。FAT PASSパーツ出庫依頼書提出</t>
  </si>
  <si>
    <t>メイン基板の交換を実施。動作OK</t>
  </si>
  <si>
    <t>S16-0615</t>
  </si>
  <si>
    <t>健和会大手町病院_0615 (2)</t>
  </si>
  <si>
    <t>SR#4232975</t>
  </si>
  <si>
    <t>03X4RY</t>
  </si>
  <si>
    <t>健和会 大手町病院</t>
  </si>
  <si>
    <t>093-592-5511</t>
  </si>
  <si>
    <t>〒803-8543　福岡県北九州市小倉北区大手町15-1</t>
  </si>
  <si>
    <t>プローブを差して電源を入れるとエラーがでて、そこから進まない。プローブを差さないと、通常通り立ち上がる。本体と電源コードの途中のコードは病院保管中。</t>
  </si>
  <si>
    <t>修理依頼番号:R160905247プローブを装着するとエラーコード(P:false C:15545　D:IntEn:0x67ff9ff)が発生電源基板交換にてAC：15545改善過去歴よりバックエンド基板が起因となる場合もあると判断、バックエンド基板の予防交換が必要バッテリー90分以上動作する事を確認。</t>
  </si>
  <si>
    <t>代替機が回らないとの連絡があり　→　JTP在庫から部品を先行使用予定バックエンド基板、電源基板の交換　動作OKヒートランニング異常なし</t>
  </si>
  <si>
    <t>S16-0616</t>
  </si>
  <si>
    <t>北柏リハビリ総合病院_0616 (2)</t>
  </si>
  <si>
    <t>SR#4232977</t>
  </si>
  <si>
    <t>03N17F</t>
  </si>
  <si>
    <t>北柏リハビリ総合病院</t>
  </si>
  <si>
    <t>04-7169-8000</t>
  </si>
  <si>
    <t>〒277-0004 千葉県柏市柏下265</t>
  </si>
  <si>
    <t>アサートコード：7014、 ｶｰﾄに取り付けるかごが破損</t>
  </si>
  <si>
    <t>修理依頼番号：R160901159パワーオン時、エラーコード7041 D:0 発生バックエンド基板交換にて症状改善、交換後FATPASSディスプレイが暗い、ディスプレイ交換にて改善、交換必要。スタンドが到着していない為、カゴの確認できず。　※パーツのみ見積提出でOKバッテリーとバスケットの見積提出パーツ出庫依頼書提出</t>
  </si>
  <si>
    <t>JTP部品を使用して先行修理メイン基板とタッチスクリーンの交換実施。動作OKCVJテクサポ＞今回バッテリー、バスケット交換不要</t>
  </si>
  <si>
    <t>動作チェック異常なし本日出荷JTP在庫に補填してクローズクローズ</t>
  </si>
  <si>
    <t>S16-0617</t>
  </si>
  <si>
    <t>両国きたむら整形外科_0617 (2)</t>
  </si>
  <si>
    <t>SR#4232979</t>
  </si>
  <si>
    <t>2016/08/22-03</t>
  </si>
  <si>
    <t>WK28B9</t>
  </si>
  <si>
    <t>両国きたむら整形外科</t>
  </si>
  <si>
    <t>北村大地様</t>
  </si>
  <si>
    <t>03-6659-5173</t>
  </si>
  <si>
    <t xml:space="preserve">〒130-0026 墨田区両国3-19-5 シュタム両国ビル2階 </t>
  </si>
  <si>
    <t>解析コード#13040 発生が表示されることがある</t>
  </si>
  <si>
    <t>パワーオン時、エラーコード13040 D:4発生（間欠）　⇒　3回発生後は立ち上がったが、その後は随時エラーコードが発生メイン基板故障の為交換必要。バッテリー90分以上動作</t>
  </si>
  <si>
    <t>S16-0618</t>
  </si>
  <si>
    <t>市立札幌病院_0618 (2)</t>
  </si>
  <si>
    <t>SR#4238711</t>
  </si>
  <si>
    <t>2016/09/06-10</t>
  </si>
  <si>
    <t>03YRWC</t>
  </si>
  <si>
    <t>市立札幌病院 MEセンター</t>
  </si>
  <si>
    <t>エラーコード14654発生</t>
  </si>
  <si>
    <t>プローブ接続にてエラーコード14654 D:0x67ff9f発生　フロントエンド基板交換にて改善、バッテリー90分以上持つことを確認。FAT PASSパーツ出庫依頼書提出</t>
  </si>
  <si>
    <t>JTP部品を使用して先行修理フロントエンド基板の交換を実施。動作OK</t>
  </si>
  <si>
    <t>動作チェック異常なし本日出荷パーツ出庫指示ありJTP在庫に補填してクローズ</t>
  </si>
  <si>
    <t>S16-0619</t>
  </si>
  <si>
    <t>千葉西総合病院_0619 (2)</t>
  </si>
  <si>
    <t>SR#4233989</t>
  </si>
  <si>
    <t>03XV05</t>
  </si>
  <si>
    <t>千葉西総合病院</t>
  </si>
  <si>
    <t>047-384-8111</t>
  </si>
  <si>
    <t>〒270-2251 千葉県松戸市金ヶ作107-1</t>
  </si>
  <si>
    <t>P09200-02</t>
  </si>
  <si>
    <t>CABLE ASSY, DISPLAY, NANOONE</t>
  </si>
  <si>
    <t>電源を立ち上げるとｴﾗｰ画面となり操作不可。再起動しても改善しない。</t>
  </si>
  <si>
    <t>修理依頼番号：R160906157日時がずれている（2003/1/7 19:05）　日時修正後にパワーオフ/オン確認　⇒　異常なしプローブ接続にてエラーコード15545 D:0xf67ff9ff発生電源基板交換にて、エラー15545が改善する事を確認。FAT　FE Loop Back test fail　→　フロントエンド基板交換にて改善確認。画面表示乱れる事がある　→　液晶ケーブル断線気味の為交換必要。バッテリー90分以上動作確認</t>
  </si>
  <si>
    <t>電源基板、フロントエンド基板、液晶会ケーブルの交換を実施　動作正常ヒートランニング異常なし</t>
  </si>
  <si>
    <t>S16-0620</t>
  </si>
  <si>
    <t>金沢医療センター_0620</t>
  </si>
  <si>
    <t>〒920-0025　石川県金沢市駅西本町2丁目11-29</t>
    <rPh sb="10" eb="13">
      <t>イシカワケン</t>
    </rPh>
    <rPh sb="13" eb="16">
      <t>カナザワシ</t>
    </rPh>
    <rPh sb="16" eb="17">
      <t>エキ</t>
    </rPh>
    <rPh sb="17" eb="18">
      <t>ニシ</t>
    </rPh>
    <rPh sb="18" eb="20">
      <t>ホンマチ</t>
    </rPh>
    <rPh sb="21" eb="23">
      <t>チョウメ</t>
    </rPh>
    <phoneticPr fontId="2"/>
  </si>
  <si>
    <t>076-262-4161</t>
    <phoneticPr fontId="2"/>
  </si>
  <si>
    <t>〒920-8650 石川県金沢市下石引町1-1</t>
    <rPh sb="10" eb="13">
      <t>イシカワケン</t>
    </rPh>
    <rPh sb="13" eb="16">
      <t>カナザワシ</t>
    </rPh>
    <rPh sb="16" eb="17">
      <t>シタ</t>
    </rPh>
    <rPh sb="17" eb="18">
      <t>イシ</t>
    </rPh>
    <rPh sb="18" eb="19">
      <t>ヒ</t>
    </rPh>
    <rPh sb="19" eb="20">
      <t>マチ</t>
    </rPh>
    <phoneticPr fontId="2"/>
  </si>
  <si>
    <t>S16-0621</t>
  </si>
  <si>
    <t>京都南病院_0621 (2)</t>
  </si>
  <si>
    <t>2016/09/06-05</t>
  </si>
  <si>
    <t>01G30F</t>
  </si>
  <si>
    <t>075-681-5131</t>
  </si>
  <si>
    <t>075-681-5144</t>
  </si>
  <si>
    <t>京都南病院</t>
  </si>
  <si>
    <t>075-312-7361</t>
  </si>
  <si>
    <t>〒600-8876　京都市下京区西七条南中野町8番地</t>
  </si>
  <si>
    <t xml:space="preserve"> 充電できない。バッテリーの消耗が早い。</t>
  </si>
  <si>
    <t>一回放電し、再び充電して電源を入れたが、10分程度で電源が落ちてしまう。ACアダプタから起動し、差込口を揺すると電力供給が途切れる。バッテリー稼働時間は、30-40分程度。コントロールパネル、Textボタンがめり込んでいる。トラックボール、滑りが悪い。9/9時点：メイン基板、コントロールパネル、トラックボール、推奨。バッテリーは、販売終了。ゲインダイアル、コントラスト、明るさ調整は可能。レンズ表面摩耗、少し見辛い為交換おすすめ。他正常</t>
  </si>
  <si>
    <t>修理キャンセル依頼あり。※メイン基板交換で高額修理のため。本日返却</t>
  </si>
  <si>
    <t>S16-0622</t>
  </si>
  <si>
    <t>伊那中央病院_0622</t>
  </si>
  <si>
    <t>〒396-8555 長野県伊那市小四郎久保1313</t>
  </si>
  <si>
    <t>S16-0623</t>
  </si>
  <si>
    <t>武蔵野赤十字病院_0623 (2)</t>
  </si>
  <si>
    <t>SR#4233985</t>
  </si>
  <si>
    <t>P05470-01</t>
  </si>
  <si>
    <t>SERVICE ASSEMBLY TGC, MICROMAXX</t>
  </si>
  <si>
    <t>遠距離ゲインスイッチがロックしない 
※代替機なし、即日発送依頼</t>
  </si>
  <si>
    <t>Farノブを押し込んだ際ロックされない症状確認。Farダイヤルシャフトのの為、TGC基板必須</t>
  </si>
  <si>
    <t>TGC基板の交換実施　※JTP在庫より先行使用交換後動作正常確認。</t>
  </si>
  <si>
    <t>動作チェック異常なし本日出荷パーツ出庫指示有り、JTP在庫に補填クローズ</t>
  </si>
  <si>
    <t>S16-0624</t>
  </si>
  <si>
    <t>大津赤十字病院_0624 (2)</t>
  </si>
  <si>
    <t>03WW1D</t>
  </si>
  <si>
    <t>石黒メディカルシステム株式会社　滋賀支店</t>
  </si>
  <si>
    <t>小林 様</t>
  </si>
  <si>
    <t>〒524-0041　滋賀県守山市勝部町6-4-36</t>
    <phoneticPr fontId="2"/>
  </si>
  <si>
    <t>077-582-7770</t>
  </si>
  <si>
    <t>077-522-4131</t>
    <phoneticPr fontId="2"/>
  </si>
  <si>
    <t>〒520-8511　滋賀県大津市長等一丁目1-35</t>
    <phoneticPr fontId="2"/>
  </si>
  <si>
    <t>P14627-01N</t>
  </si>
  <si>
    <t>P16773-01N</t>
  </si>
  <si>
    <t>X-PORTE, Clinical Minitor</t>
  </si>
  <si>
    <t>Clinical Monitor Stalk Cable Ser M2</t>
  </si>
  <si>
    <t>クリニカルモニタ（以下モニタ）の表示にノイズが出たり、　画面が突然消えたりする。</t>
  </si>
  <si>
    <t>①初回起動時は正常に表示されていることを確認。10分程度放置してみたが画面が消えることはなし。クリニカルモニタ画面右上に気泡あり。②モニタをおこしたりたおしたり、回転させたりしていると、突然モニタの「電源が落ちる」ことを確認。③一度電源が落ちると復旧せず。電源OFF/ONでも復旧しない。④電源コンセントを抜いてからのシステム起動でモニタも復旧。ただ、②を実施すると再現あり。⑤モニタの電源が落ちている間も、システムは起動しており、タッチパネルモニタ等の動作は正常。⑥モニタ　⇔　システム間の電源+HDMIケーブルの取り付け直しを実施。改善せず。⑦モニタ ⇔ システム間の電源＋HDMIケーブルの部品交換を実施。改善せず。</t>
  </si>
  <si>
    <t>モニタの交換実施。症状改善。10分程度の放置、および、②の実施も電源切れず。</t>
  </si>
  <si>
    <t>性能動作チェック実施の結果異常なし。作業完了。通常価格で見積提出特価見積 再提出　※FMS様より特別卸価格設定あり値引価格にて見積OKあり　→　請求書・報告書を発行クローズ</t>
  </si>
  <si>
    <t>S16-0625</t>
  </si>
  <si>
    <t>福知山市民病院_0625</t>
  </si>
  <si>
    <t>S16-0626</t>
  </si>
  <si>
    <t>たなごころ整骨院ひで_0626 (2)</t>
  </si>
  <si>
    <t>2016/08/29-01</t>
  </si>
  <si>
    <t>WK3HBJ</t>
  </si>
  <si>
    <t>直接</t>
  </si>
  <si>
    <t>中村秀幸様</t>
  </si>
  <si>
    <t>〒818-0134　福岡県太宰府市大佐野2-11-5</t>
  </si>
  <si>
    <t>092-555-9400</t>
  </si>
  <si>
    <t>092-555-7408</t>
  </si>
  <si>
    <t>たなごころ整骨院ひで</t>
  </si>
  <si>
    <t>中村秀幸様</t>
    <rPh sb="0" eb="2">
      <t>ナカムラ</t>
    </rPh>
    <rPh sb="2" eb="4">
      <t>ヒデユキ</t>
    </rPh>
    <rPh sb="4" eb="5">
      <t>サマ</t>
    </rPh>
    <phoneticPr fontId="2"/>
  </si>
  <si>
    <t>〒818-0134　福岡県太宰府市大佐野2-11-5</t>
    <rPh sb="10" eb="12">
      <t>フクオカ</t>
    </rPh>
    <rPh sb="12" eb="13">
      <t>ケン</t>
    </rPh>
    <rPh sb="13" eb="17">
      <t>ダザイフシ</t>
    </rPh>
    <rPh sb="17" eb="18">
      <t>オオ</t>
    </rPh>
    <rPh sb="18" eb="20">
      <t>サノ</t>
    </rPh>
    <phoneticPr fontId="2"/>
  </si>
  <si>
    <t>診断画像が鮮明に見えない</t>
  </si>
  <si>
    <t>上記症状は再現しませんでした。他M-Turboと2台並べファントムを使用し画像を比較しましたが明らかな違いはありませんでした。正常に画像が表示されていると判断致します。アサートログにエラーありませんでした。ヒートランテスト正常、返却、様子を見て頂く方向で</t>
  </si>
  <si>
    <t>先生へ状況をご説明、一旦返却の許可あり</t>
  </si>
  <si>
    <t>動作チェック異常なし本日返却</t>
  </si>
  <si>
    <t>S16-0627</t>
  </si>
  <si>
    <t>日医大多摩永山病院_0627</t>
  </si>
  <si>
    <t>S16-0628</t>
  </si>
  <si>
    <t>伊達赤十字病院_0628 (2)</t>
  </si>
  <si>
    <t>2016/08/02-01</t>
  </si>
  <si>
    <t>037HPK</t>
  </si>
  <si>
    <t>株式会社 竹山　室蘭支店</t>
  </si>
  <si>
    <t>石黒様</t>
  </si>
  <si>
    <t xml:space="preserve">〒050-0081　北海道室蘭市日の出町2丁目1番14号 </t>
  </si>
  <si>
    <t>0143-45-1221</t>
  </si>
  <si>
    <t>0143-45-1305</t>
  </si>
  <si>
    <t>伊達赤十字病院 救急外来</t>
  </si>
  <si>
    <t>0142-23-2211</t>
  </si>
  <si>
    <t>〒052-8511　北海道伊達市末永町81番地</t>
  </si>
  <si>
    <t>ディスプレイ左上が、べたつく</t>
  </si>
  <si>
    <t>上記症状が再現しました。データ転送中にエラー発生（エラー1040）し、途中までしかデータ転送が出来ませんでした。ディスプレイ液漏れ、状態が悪い、気泡は無いがすぐ入りそう。前回修理時はディスプレイ清掃にて対応、清掃にて復旧するが、交換おすすめ。FATにてFE Loop Backにてエラー、CWは正常動作。ASSERT　LOGにて2726が発生履歴あり。動作に問題は無いがメイン基板交換おすすめ。プローブ断線の可能あり。バッテリー90分動作確認</t>
  </si>
  <si>
    <t>クリーニングのみでOKありモニタのクリーニング実施</t>
  </si>
  <si>
    <t>S16-0629</t>
  </si>
  <si>
    <t>板橋中央病院_0629</t>
  </si>
  <si>
    <t>S16-0630</t>
  </si>
  <si>
    <t>吉田クリニック_0630 (2)</t>
  </si>
  <si>
    <t>2016/08/29-05</t>
  </si>
  <si>
    <t xml:space="preserve"> </t>
  </si>
  <si>
    <t>03356Y</t>
  </si>
  <si>
    <t>垣見様</t>
  </si>
  <si>
    <t>0552-251-7726</t>
  </si>
  <si>
    <t>吉田クリニック</t>
  </si>
  <si>
    <t>052-723-0018</t>
  </si>
  <si>
    <t>〒464-0082 愛知県名古屋市千種区上野1-2-7　三貴ビル２Ｆ</t>
  </si>
  <si>
    <t>P02173</t>
  </si>
  <si>
    <t>画面の変色</t>
  </si>
  <si>
    <t>上記症状が再現しました。画面全体が白い症状確認。ディスプレイ故障の為交換必要。ディスプレイ内部コネクタ再接続にて正常に表示される。バッテリー90分以上動作他正常動作接触不良の可能性もあるが、半年前にディスプレイユニットを交換しているため要注意</t>
  </si>
  <si>
    <t>液晶ケーブルの予防交換を実施使用部品は新品の簿外パーツから交換ヒートランニング異常なしヒートランニング異常なしヒートランニング異常なしヒートランニング異常なし</t>
  </si>
  <si>
    <t>S16-0631</t>
  </si>
  <si>
    <t>桜美林大学_0631 (2)</t>
  </si>
  <si>
    <t>2016/09/06-04</t>
  </si>
  <si>
    <t>03C770</t>
  </si>
  <si>
    <t>桜美林大学 健康福祉学群　</t>
  </si>
  <si>
    <t>緑川様</t>
  </si>
  <si>
    <t xml:space="preserve">〒194-0294 東京都町田市常盤町3758 </t>
  </si>
  <si>
    <t>042-797-8426</t>
  </si>
  <si>
    <t>電源ボタンを押しても全く反応しない。本体にアダプタを接続すると、一発でアダプタのセーフティーシャットオフ発生電源基板交換→改善せずメイン基板交換→改善、交換必須放電後すぐに残り2本、3分程度でビープ音が鳴り30分で電源OFF。　→　推奨交換</t>
  </si>
  <si>
    <t>緑川先生＞今回はバッテリーの交換は見送りとのこと、メイン基板交換にてOKありメイン基板の交換を実施　動作OKヒートランニング異常なし</t>
  </si>
  <si>
    <t>S16-0632</t>
  </si>
  <si>
    <t>岸和田徳洲会病院_0632 (2)</t>
  </si>
  <si>
    <t>SR#4235665</t>
  </si>
  <si>
    <t>2016/09/12-02</t>
  </si>
  <si>
    <t>WK218F</t>
  </si>
  <si>
    <t>岸和田徳洲会病院</t>
  </si>
  <si>
    <t>072-445-9915</t>
  </si>
  <si>
    <t>〒596-8522　大阪府岸和田市加守町4-27-1</t>
  </si>
  <si>
    <t>エラーコード10960が発生することが有る</t>
  </si>
  <si>
    <t>上記症状が再現しました（間欠）エラーコード11587 D:0  エラーコード10960 D:0が間欠障害で発生する為、FATテストにてエラーログ採取しました梱包状態⇒当初のキャリーケースからダンボール箱へ変更メイン基板故障の為交換必要バッテリー90分動作確認他動作正常。</t>
  </si>
  <si>
    <t>S16-0633</t>
    <phoneticPr fontId="2"/>
  </si>
  <si>
    <t>弘前大学附属病院_0633</t>
    <phoneticPr fontId="2"/>
  </si>
  <si>
    <t>〒036-8084　青森県弘前市大字高田3-7-1</t>
    <rPh sb="10" eb="13">
      <t>アオモリケン</t>
    </rPh>
    <rPh sb="13" eb="16">
      <t>ヒロサキシ</t>
    </rPh>
    <rPh sb="16" eb="18">
      <t>オオアザ</t>
    </rPh>
    <rPh sb="18" eb="20">
      <t>タカダ</t>
    </rPh>
    <phoneticPr fontId="2"/>
  </si>
  <si>
    <t>北山先生</t>
    <rPh sb="0" eb="2">
      <t>キタヤマ</t>
    </rPh>
    <rPh sb="2" eb="4">
      <t>センセイ</t>
    </rPh>
    <phoneticPr fontId="2"/>
  </si>
  <si>
    <t>手術部（麻酔科）</t>
    <rPh sb="0" eb="2">
      <t>シュジュツ</t>
    </rPh>
    <rPh sb="2" eb="3">
      <t>ブ</t>
    </rPh>
    <rPh sb="4" eb="7">
      <t>マスイカ</t>
    </rPh>
    <phoneticPr fontId="2"/>
  </si>
  <si>
    <t xml:space="preserve">0172-33-5111 </t>
    <phoneticPr fontId="2"/>
  </si>
  <si>
    <t>〒036-8563　青森県弘前市本町53</t>
    <rPh sb="10" eb="13">
      <t>アオモリケン</t>
    </rPh>
    <rPh sb="13" eb="16">
      <t>ヒロサキシ</t>
    </rPh>
    <rPh sb="16" eb="18">
      <t>ホンマチ</t>
    </rPh>
    <phoneticPr fontId="2"/>
  </si>
  <si>
    <t>S16-0634</t>
  </si>
  <si>
    <t>呉共済病院_0634</t>
  </si>
  <si>
    <t>S16-0635</t>
  </si>
  <si>
    <t>八鹿病院_0635 (2)</t>
  </si>
  <si>
    <t>2016/09/12-04</t>
  </si>
  <si>
    <t>八鹿病院　7病棟</t>
  </si>
  <si>
    <t>スタンドに取り付けても充電出来ない</t>
  </si>
  <si>
    <t>画面で若干のコーティング剥れ有りバッテリ放電（12.16V⇒11.28V）後に充電3H実施（11.28V⇒12.40V）本体にバッテリ装着し確認したところフル充電になっていることを確認しました。症状確認できず、スタンドにて充電出来る事を確認、施設スタンド故障の可能性が高い。アダプタにても充電できることを確認。バッテリー稼働時間90分以上一旦ご返却、アダプタ使用し充電して頂くようお願いする方向で代替機の状況を確認　→　代替機でも充電出来たり出来なかったりスタンド基板故障の疑い濃厚　→　アダプタ購入を望まれています　　※スタンド代替機手配スタンド代替機出荷、本体は返却。</t>
  </si>
  <si>
    <t>スタンド入荷スタンド右側の接触バネ変形有り7番・10番ショート後に接触バネの電圧確認　⇒　結果：最終の接触バネ電圧が0V（通常：12Ｖ～13V）スタンド内部基板の生産・供給が終了のため修理不能。ACアダプタの見積提出。見積OKアダプタの通常充電OK　※誤作動やショートを防ぐためスタンド電源基板の取り外しを実施。</t>
  </si>
  <si>
    <t>10月本体返却（報告書あり）→12月5日スタンド修理完了返却</t>
    <rPh sb="2" eb="3">
      <t>ガツ</t>
    </rPh>
    <rPh sb="3" eb="5">
      <t>ホンタイ</t>
    </rPh>
    <rPh sb="5" eb="7">
      <t>ヘンキャク</t>
    </rPh>
    <rPh sb="8" eb="11">
      <t>ホウコクショ</t>
    </rPh>
    <rPh sb="17" eb="18">
      <t>ガツ</t>
    </rPh>
    <rPh sb="19" eb="20">
      <t>ヒ</t>
    </rPh>
    <rPh sb="24" eb="26">
      <t>シュウリ</t>
    </rPh>
    <rPh sb="26" eb="28">
      <t>カンリョウ</t>
    </rPh>
    <rPh sb="28" eb="30">
      <t>ヘンキャク</t>
    </rPh>
    <phoneticPr fontId="2"/>
  </si>
  <si>
    <t>S16-0636</t>
  </si>
  <si>
    <t>KUM3_0636</t>
  </si>
  <si>
    <t>S16-0637</t>
  </si>
  <si>
    <t>水島協同病院_0637</t>
  </si>
  <si>
    <t>S16-0638</t>
  </si>
  <si>
    <t>岐阜市民病院_0638 (2)</t>
    <phoneticPr fontId="2"/>
  </si>
  <si>
    <t>03DVZ6</t>
  </si>
  <si>
    <t>058-251-1101</t>
  </si>
  <si>
    <t>〒500-8323　岐阜県岐阜市鹿島町7-1</t>
    <rPh sb="10" eb="13">
      <t>ギフケン</t>
    </rPh>
    <rPh sb="13" eb="16">
      <t>ギフシ</t>
    </rPh>
    <rPh sb="16" eb="18">
      <t>カシマ</t>
    </rPh>
    <rPh sb="18" eb="19">
      <t>マチ</t>
    </rPh>
    <phoneticPr fontId="2"/>
  </si>
  <si>
    <t>画像不良の為修理依頼
同様の事象で3月くらいに修理しています。</t>
  </si>
  <si>
    <t>修理依頼番号:R160914077メイン基板交換しても症状変わらず。ディスプレイユニット交換でも復旧せず診断画像エリアの下部にノイズが入る　→　プローブ故障と判断テクサポへプローブの販売が終了になり入荷不可と報告。修理不能証明書をFMSへ発行依頼済みテクサポへ修理不能証明書提出</t>
  </si>
  <si>
    <t>修理キャンセル依頼あり本日返却</t>
  </si>
  <si>
    <t>S16-0639</t>
  </si>
  <si>
    <t>名古屋医療センター_0639 (2)</t>
  </si>
  <si>
    <t>SR#4238447</t>
  </si>
  <si>
    <t>03VRRH</t>
  </si>
  <si>
    <t>松下様</t>
  </si>
  <si>
    <t>名古屋医療センター</t>
  </si>
  <si>
    <t>052-951-1111</t>
  </si>
  <si>
    <t>〒460-0001 愛知県名古屋市中区三の丸4-1-1</t>
  </si>
  <si>
    <t>使用時の本体立ち上げができない。
電源ON時にｴﾗｰが出る　ｴﾗｰｺｰﾄﾞ14653。本体のみでﾊﾞｯﾃﾘｰ駆動ができない。</t>
  </si>
  <si>
    <t>プローブを装着するとエラーコード（P:false C:14653 D:IntEn:0x201101ff）バッテリーのみの起動が不可修理依頼番号:R160913160プローブを接続し起動するとAC：14654、14653発生する事を確認。フロントエンド基板交換実施し、正常に起動、FAT passすることを確認、フロントエンド基板交換必要。バッテリー90分OKパーツ出庫依頼書提出</t>
  </si>
  <si>
    <t>JTP部品を使用して先行修理フロントエンド基板交換実施。動作OK</t>
  </si>
  <si>
    <t>S16-0640</t>
  </si>
  <si>
    <t>広島鉄道病院_0640 (2)</t>
  </si>
  <si>
    <t>SR#4236433</t>
  </si>
  <si>
    <t>2016/09/06-07</t>
  </si>
  <si>
    <t>WK28WC</t>
  </si>
  <si>
    <t>岸岡様</t>
  </si>
  <si>
    <t>082-276-3017</t>
  </si>
  <si>
    <t>広島鉄道病院</t>
  </si>
  <si>
    <t>三重野先生</t>
    <rPh sb="0" eb="3">
      <t>ミエノ</t>
    </rPh>
    <rPh sb="3" eb="5">
      <t>センセイ</t>
    </rPh>
    <phoneticPr fontId="2"/>
  </si>
  <si>
    <t>082-262-1171</t>
  </si>
  <si>
    <t>〒732-0057 広島県広島市東区二葉の里三丁目1-36</t>
  </si>
  <si>
    <t>起動時にパワーサプライエラーが出る</t>
  </si>
  <si>
    <t>DC-INコネクタにグラツキが有り、コネクタを揺らすと電源入力が不安定でパワーオンしたりしなかったりするエラーログ取得にてパワーサプライエラー有り。上記症状は再現しませんでした。DCソケット破損、交換必要。1度無線LANUSB接続時タッチパットの反応が悪くなることを確認他動作正常。バッテリー動作70分、交換おすすめ。＜The External Power Supply＞メッセージが何度も出ている小笠原様＞ 当初ACアダプタの代替のみお送りし復旧しなかった経緯あり、慎重に対応したいとのこと※今回はジャックのみではなく、メイン基板交換で対応予定</t>
  </si>
  <si>
    <t>S16-0641</t>
  </si>
  <si>
    <t>七栗記念病院_0641</t>
  </si>
  <si>
    <t>〒514-0103　三重県津市栗真中山町大縄手196</t>
    <rPh sb="10" eb="13">
      <t>ミエケン</t>
    </rPh>
    <rPh sb="13" eb="15">
      <t>ツシ</t>
    </rPh>
    <rPh sb="15" eb="16">
      <t>クリ</t>
    </rPh>
    <rPh sb="16" eb="17">
      <t>マ</t>
    </rPh>
    <rPh sb="17" eb="19">
      <t>ナカヤマ</t>
    </rPh>
    <rPh sb="19" eb="20">
      <t>マチ</t>
    </rPh>
    <rPh sb="20" eb="21">
      <t>オオ</t>
    </rPh>
    <rPh sb="21" eb="23">
      <t>ナワテ</t>
    </rPh>
    <phoneticPr fontId="2"/>
  </si>
  <si>
    <t xml:space="preserve"> 059-252-1555</t>
    <phoneticPr fontId="2"/>
  </si>
  <si>
    <t xml:space="preserve">〒514-1295 三重県津市大鳥町424番地の1 </t>
    <phoneticPr fontId="2"/>
  </si>
  <si>
    <t>※12/8 修理キャンセルで返却</t>
    <rPh sb="6" eb="8">
      <t>シュウリ</t>
    </rPh>
    <rPh sb="14" eb="16">
      <t>ヘンキャク</t>
    </rPh>
    <phoneticPr fontId="2"/>
  </si>
  <si>
    <t>S16-0642</t>
  </si>
  <si>
    <t>足利赤十字病院_0642 (2)</t>
  </si>
  <si>
    <t>SR#4238449</t>
  </si>
  <si>
    <t>03X61B</t>
  </si>
  <si>
    <t>画面のタッチパネルが全く反応しない。</t>
  </si>
  <si>
    <t>修理依頼番号：R160914075L25nプローブ　⇒　被覆破れ有りゲインダイヤル以外パネル操作キーが効かないタッチパネル、反応しない。　→　ディスプレイ、6インチケーブルの不具合。6インチケーブルの付け直しにて、操作は可能になったが、反応が悪い。ディスプレイ、6インチケーブル、必須交換。L25nプローブ　⇒　画像に影響なし、交換不要と判断その他、動作異常なし</t>
  </si>
  <si>
    <t>タッチスクリーンユニット、センサケーブルの交換を実施動作正常ヒートランニング異常なし</t>
  </si>
  <si>
    <t>S16-0643</t>
  </si>
  <si>
    <t>済生会和歌山病院_0643 (2)</t>
  </si>
  <si>
    <t>038576</t>
  </si>
  <si>
    <t>済生会和歌山病院</t>
  </si>
  <si>
    <t>ﾓﾆﾀ表示が薄い､一通り点検願います</t>
  </si>
  <si>
    <t>修理依頼番号：R160913137スタンド部　ロック用バネが無い症状確認、他ilookと比較し画面表示が暗い、ディスプレイユニット故障の為交換必要。スタンド基板DCソケット破損、ぐらぐら、現在は通電しているが交換必須。スプリングリターン、Cリング、ワッシャースプリング欠損、追加必要。ドックコネクタ摩耗、本体取付づらい、交換必須。バッテリー20分以上OK</t>
  </si>
  <si>
    <t>テクサポへ対応期間切れ、且つ、修理パーツ（ディスプレイユニット）の残数考慮から修理不能を連絡。修理キャンセル返却連絡あり。FMSへ修理不能証明書作成依頼</t>
  </si>
  <si>
    <t>本日返却後日修理不能証明書提出</t>
  </si>
  <si>
    <t>S16-0644</t>
  </si>
  <si>
    <t>西宮市立中央病院_0644</t>
  </si>
  <si>
    <t>S16-0645</t>
    <phoneticPr fontId="2"/>
  </si>
  <si>
    <t>自治医科大学附属さいたま医療センター_0645 (2)</t>
    <phoneticPr fontId="2"/>
  </si>
  <si>
    <t>2016/09/15-06</t>
  </si>
  <si>
    <t>0334D8</t>
  </si>
  <si>
    <t>ユフ精器株式会社　埼玉営業所</t>
  </si>
  <si>
    <t>永井様</t>
  </si>
  <si>
    <t>〒336-0926　埼玉県さいたま市緑区東浦和5-13-1</t>
    <rPh sb="10" eb="13">
      <t>サイタマケン</t>
    </rPh>
    <rPh sb="17" eb="18">
      <t>シ</t>
    </rPh>
    <rPh sb="18" eb="20">
      <t>ミドリク</t>
    </rPh>
    <rPh sb="20" eb="21">
      <t>ヒガシ</t>
    </rPh>
    <rPh sb="21" eb="23">
      <t>ウラワ</t>
    </rPh>
    <phoneticPr fontId="2"/>
  </si>
  <si>
    <t>048-875-1131</t>
  </si>
  <si>
    <t>048-875-6800</t>
  </si>
  <si>
    <t>循環器科</t>
    <rPh sb="0" eb="3">
      <t>ジュンカンキ</t>
    </rPh>
    <rPh sb="3" eb="4">
      <t>カ</t>
    </rPh>
    <phoneticPr fontId="2"/>
  </si>
  <si>
    <t>〒330-0834埼玉県さいたま市大宮区天沼町1-847</t>
    <rPh sb="9" eb="12">
      <t>サイタマケン</t>
    </rPh>
    <rPh sb="16" eb="17">
      <t>シ</t>
    </rPh>
    <rPh sb="17" eb="19">
      <t>オオミヤ</t>
    </rPh>
    <rPh sb="19" eb="20">
      <t>ク</t>
    </rPh>
    <rPh sb="20" eb="22">
      <t>アマヌマ</t>
    </rPh>
    <rPh sb="22" eb="23">
      <t>マチ</t>
    </rPh>
    <phoneticPr fontId="2"/>
  </si>
  <si>
    <t xml:space="preserve">電源が入らない。 </t>
  </si>
  <si>
    <t>起動はするが、画面映らない。ビープ音がおかしい。一度起動させると、電源落とせない。電源入るが画面表示されない、電源が切れなくなる症状確認。ディスプレイ、コンパネ交換にて症状変わらず。メイン基板、電源基板故障の為交換が必要になります。バッテリー90分以上動作確認見積提出</t>
  </si>
  <si>
    <t>見積OKメイン基板、電源基板、バッテリーの交換実施。動作OK</t>
  </si>
  <si>
    <t>S16-0646</t>
  </si>
  <si>
    <t>新庄徳洲会病院_0646 (2)</t>
  </si>
  <si>
    <t>2016/09/13-01</t>
  </si>
  <si>
    <t>01LBWR</t>
  </si>
  <si>
    <t xml:space="preserve"> 株式会社コーア</t>
  </si>
  <si>
    <t>023-631-6232</t>
  </si>
  <si>
    <t>023-631-0564</t>
  </si>
  <si>
    <t>新庄徳洲会病院（検査科）</t>
  </si>
  <si>
    <t>上記症状不再現。初回起動時エラー発生。C:1271 , D:4522045電源スイッチ反応悪い。バッテリーが全く充電されていない。日付ズレ有り。1916年。レンズ引っ掻き傷有り。ヒンジ非常に固い。DCソケット揺すると電源が落ちる、メイン基板交換必要。アダプタケーブル断線（フェライトコア周辺）交換必要。ヒンジ固い、交換必要。筐体ひび割れ、交換おすすめ。←在庫注意　BGI対応かスイッチエレメント部摩耗、交換おすすめバッテリー動作OK、1時間放電で残り3メモリ</t>
  </si>
  <si>
    <t>S16-0647</t>
  </si>
  <si>
    <t>石川県立中央病院_0647 (2)</t>
  </si>
  <si>
    <t>SR#4238451</t>
  </si>
  <si>
    <t>03WF8J</t>
  </si>
  <si>
    <t>石川県立中央病院</t>
  </si>
  <si>
    <t>076-237-8211</t>
  </si>
  <si>
    <t>〒920-8530　石川県金沢市鞍月東2丁目1番地</t>
  </si>
  <si>
    <t xml:space="preserve">コンセントに繋いでも、nanomaxxの電源が入らない。 </t>
  </si>
  <si>
    <t>日付ずれ。ケーブル中央付近に若干損傷あり。スタンド内アダプタ故障か。抜けてる可能性あり。修理依頼番号：R160913140スタンドYコネクタ外れ、補強、再取付実施本体動作チェック予定バッテリー充電中放電テスト90分以上ＯＫ本体動作正常、症状はYコネクタ外れによるものです。日付ずれは再設定後確認出来ずFATは通信が取れないので実施不可、動作異常なし</t>
  </si>
  <si>
    <t>スタンド底部の配線抜けの再接続、及び接続の補強を実施。動作OK</t>
  </si>
  <si>
    <t>※スタンドの底の配線つなぎ直して復旧</t>
  </si>
  <si>
    <t>S16-0648</t>
  </si>
  <si>
    <t>藤本クリニック_0648 (2)</t>
  </si>
  <si>
    <t>2016/09/16-04</t>
  </si>
  <si>
    <t>WK0T8F</t>
  </si>
  <si>
    <t>株式会社日立製作所　東京第一営業所</t>
  </si>
  <si>
    <t>齊藤様</t>
  </si>
  <si>
    <t>〒110-0015　東京都台東区東上野2-16-1</t>
    <rPh sb="10" eb="12">
      <t>トウキョウ</t>
    </rPh>
    <rPh sb="12" eb="13">
      <t>ト</t>
    </rPh>
    <rPh sb="13" eb="16">
      <t>タイトウク</t>
    </rPh>
    <rPh sb="16" eb="17">
      <t>ヒガシ</t>
    </rPh>
    <rPh sb="17" eb="19">
      <t>ウエノ</t>
    </rPh>
    <phoneticPr fontId="2"/>
  </si>
  <si>
    <t>03-6284-3669</t>
  </si>
  <si>
    <t>03-6284-3662</t>
  </si>
  <si>
    <t>藤本クリニック</t>
  </si>
  <si>
    <t>03-5685-2151</t>
  </si>
  <si>
    <t xml:space="preserve">〒110-0002　東京都台東区上野桜木1-10-22 </t>
  </si>
  <si>
    <t>装置起動後10秒ほどすると画面が青くなりエラーマークが出て強制終了が必要。</t>
  </si>
  <si>
    <t>画面のコーティング剥れ有り上記症状は再現しませんでした。ログ解析により＜解析コード#5187＞が複数回表示されている事から、記録媒体（未入荷のCFカード）の読み込み不良が要因となっていた可能性が考えられます。</t>
  </si>
  <si>
    <t>装置分解・清掃を実施　動作OK代替機を出していないので早急に返送依頼あり　→　FMS北川様より</t>
  </si>
  <si>
    <t>動作チェック異常なし本日出荷　※施設直送　検査科　坂本様宛てに返却後日CFカードが別途入荷　→　残88% 静止画1700枚　読み込みに1分以上　　※フォーマットをお奨めして返却</t>
  </si>
  <si>
    <t>S16-0649</t>
  </si>
  <si>
    <t>JA愛知厚生連海南病院_0649</t>
  </si>
  <si>
    <t>S16-0650</t>
  </si>
  <si>
    <t>関西労災病院_0650</t>
  </si>
  <si>
    <t>S16-0651</t>
  </si>
  <si>
    <t>国立国際医療研究センター病院_0651</t>
  </si>
  <si>
    <t>S16-0652</t>
  </si>
  <si>
    <t>ももたろう往診クリニック_0652 (2)</t>
  </si>
  <si>
    <t xml:space="preserve"> 株式会社カワニシ　岡山支店</t>
  </si>
  <si>
    <t xml:space="preserve">ももたろう往診クリニック </t>
  </si>
  <si>
    <t>〒700-0953　岡山県岡山市南区西市101-4-2</t>
  </si>
  <si>
    <t xml:space="preserve"> 電源が入らない</t>
  </si>
  <si>
    <t>CFカードなし。バッテリー駆動OK。設定は印刷で取得アサーとログからAC:9084数回発生している。セーフティシャットオフは発生しない。コントロールパネル、若干浮きやすい。　→ 　調整しても改善しない。コントロールパネルの交換推奨。ご指摘症状確認できず。検証中。バッテリー90分以上動作する事を確認症状確認できず、コンパネの接触不良による症状と判断致します。</t>
  </si>
  <si>
    <t>連絡書返信　→　症状改善しているならそのまま使用したいとのご希望最終調整、コンパネ再接続</t>
  </si>
  <si>
    <t>S16-0653</t>
  </si>
  <si>
    <t>横浜市立大学附属市民総合医療センタ_0653</t>
  </si>
  <si>
    <t>S16-0654</t>
  </si>
  <si>
    <t>デモ機EST4_0654</t>
  </si>
  <si>
    <t>S16-0655</t>
  </si>
  <si>
    <t>豊見城中央病院_0655 (2)</t>
  </si>
  <si>
    <t>SR#4241611</t>
  </si>
  <si>
    <t>2016/08/03-03</t>
  </si>
  <si>
    <t>WK1QLX</t>
  </si>
  <si>
    <t>アイティーアイ株式会社 沖縄支店</t>
  </si>
  <si>
    <t>興那嶺様</t>
  </si>
  <si>
    <t>〒900-0001　沖縄県那覇市港町2-9-5</t>
  </si>
  <si>
    <t>豊見城中央病院 循環器</t>
  </si>
  <si>
    <t>下地師長</t>
    <rPh sb="0" eb="2">
      <t>シモジ</t>
    </rPh>
    <rPh sb="2" eb="4">
      <t>シチョウ</t>
    </rPh>
    <phoneticPr fontId="2"/>
  </si>
  <si>
    <t>三階西病院</t>
    <rPh sb="0" eb="2">
      <t>サンカイ</t>
    </rPh>
    <rPh sb="2" eb="3">
      <t>ニシ</t>
    </rPh>
    <rPh sb="3" eb="5">
      <t>ビョウイン</t>
    </rPh>
    <phoneticPr fontId="2"/>
  </si>
  <si>
    <t>098-850-3811</t>
  </si>
  <si>
    <t>〒901-0243　沖縄県豊見城市字上田25番地</t>
  </si>
  <si>
    <t>5　PIN CIRCULAR DIN ,SN CONTACTS</t>
  </si>
  <si>
    <t>電源ランプが点滅し起動しない</t>
  </si>
  <si>
    <t>上記症状は再現しませんでした。ＤＣジャックぐらついている。セーフティシャットオフかなり高い頻度で発生。ＤＣジャックぐらついていることが原因かと思われる。交換必要。バッテリー動作OK電源ジャック部の交換・補強が必要パーツ出庫依頼書提出　</t>
  </si>
  <si>
    <t>JTP在庫よりパーツを先行使用電源ジャック一式（コネクタ・ブラケット）の交換実施。動作OK</t>
  </si>
  <si>
    <t>動作チェック異常なし。本日出荷パーツ出庫依頼指示あり。JTP在庫に補填してクローズ</t>
  </si>
  <si>
    <t>S16-0656</t>
  </si>
  <si>
    <t>日本赤十字社医療センター_0656 (2)</t>
  </si>
  <si>
    <t>2016/09/20-03</t>
  </si>
  <si>
    <t>0337GP</t>
  </si>
  <si>
    <t>一之瀬様</t>
  </si>
  <si>
    <t>本体とプローブを接続するところを押さないと使用出来ない</t>
  </si>
  <si>
    <t>上記症状が再現しました。AC電源アダプタ故障（出力異常：5.3V）現象不再現。アダプタの、装置差込口側根本のケーブル断線。症状確認できず、20回プローブ取付実施し正常認識されることを確認。プローブコネクタ部清掃実施、メイン基板のインターポージャ接点部清掃実施、20回プローブ取付実施し正常に認識されることを確認。アダプタの交換は必須プローブ認識しない症状については、インターポージャ接点清掃にて報告、8個交換必須</t>
  </si>
  <si>
    <t>ACアダプタ、電源スイッチの交換を実施　動作OK</t>
  </si>
  <si>
    <t>S16-0657</t>
  </si>
  <si>
    <t>宮崎大学医学部附属病院_0657</t>
  </si>
  <si>
    <t>〒880-0814　宮崎県宮崎市江平中町5-1</t>
    <phoneticPr fontId="2"/>
  </si>
  <si>
    <t>麻酔科外科</t>
    <rPh sb="0" eb="3">
      <t>マスイカ</t>
    </rPh>
    <rPh sb="3" eb="5">
      <t>ゲカ</t>
    </rPh>
    <phoneticPr fontId="2"/>
  </si>
  <si>
    <t>0985-85-1510</t>
    <phoneticPr fontId="2"/>
  </si>
  <si>
    <t>〒889-1692 宮崎県宮崎市清武町木原5200</t>
    <phoneticPr fontId="2"/>
  </si>
  <si>
    <t>ベストバリュープランとバッテリーの交換</t>
    <rPh sb="17" eb="19">
      <t>コウカン</t>
    </rPh>
    <phoneticPr fontId="2"/>
  </si>
  <si>
    <t>S16-0658</t>
  </si>
  <si>
    <t>森之宮病院_0658 (2)</t>
  </si>
  <si>
    <t>03KD36</t>
  </si>
  <si>
    <t>大道会　森之宮病院</t>
  </si>
  <si>
    <t>06-6969-0111</t>
  </si>
  <si>
    <t>〒536-0025 大阪府大阪市城東区森之宮2丁目1-88</t>
  </si>
  <si>
    <t>ﾅﾉﾏｯｸｽという表示が出たあと、何も動かない。再起動やﾊﾞｯﾃﾘｰを一度抜いたりしても動かない。
電源が入らない</t>
  </si>
  <si>
    <t>バッテリー、電源ケーブルの交換を実施　動作OK正常充電を確認スタンド底部の配線補強実施</t>
  </si>
  <si>
    <t>S16-0659</t>
  </si>
  <si>
    <t>産業医科大学病院_0659 (2)</t>
  </si>
  <si>
    <t>2016/09/16-03</t>
  </si>
  <si>
    <t>Mini-Dock （MDSm用）</t>
  </si>
  <si>
    <t>WV00DN</t>
  </si>
  <si>
    <t>P10390-01</t>
  </si>
  <si>
    <t>株式会社 キシヤ　北九州営業所</t>
  </si>
  <si>
    <t>〒805-0071　福岡県北九州市八幡東区東田1-3-7</t>
    <rPh sb="10" eb="12">
      <t>フクオカ</t>
    </rPh>
    <rPh sb="12" eb="13">
      <t>ケン</t>
    </rPh>
    <rPh sb="13" eb="17">
      <t>キタキュウシュウシ</t>
    </rPh>
    <rPh sb="17" eb="19">
      <t>ハチマン</t>
    </rPh>
    <rPh sb="19" eb="21">
      <t>ヒガシク</t>
    </rPh>
    <rPh sb="21" eb="22">
      <t>ヒガシ</t>
    </rPh>
    <rPh sb="22" eb="23">
      <t>タ</t>
    </rPh>
    <phoneticPr fontId="2"/>
  </si>
  <si>
    <t>産業医科大学病院 臨床工学科</t>
  </si>
  <si>
    <t>高橋様</t>
    <rPh sb="0" eb="2">
      <t>タカハシ</t>
    </rPh>
    <rPh sb="2" eb="3">
      <t>サマ</t>
    </rPh>
    <phoneticPr fontId="2"/>
  </si>
  <si>
    <t>臨床工学部(ME)</t>
    <rPh sb="0" eb="2">
      <t>リンショウ</t>
    </rPh>
    <rPh sb="2" eb="5">
      <t>コウガクブ</t>
    </rPh>
    <phoneticPr fontId="2"/>
  </si>
  <si>
    <t>接続部のピン破損</t>
  </si>
  <si>
    <t>ガイドピン折れ上記症状が再現しました。ガイドピン折れ、内部で折れているめ交換必要。ショートは発生していない　ガイドピン向かって左側が破損MDSm用と判断</t>
  </si>
  <si>
    <t>新品ミニドック 正常動作確認　※ベースは取り外し</t>
  </si>
  <si>
    <t>本日出荷　※定価証明書同梱</t>
  </si>
  <si>
    <t>P10401-30(S/N:WK3N44)</t>
  </si>
  <si>
    <t>S16-0660</t>
  </si>
  <si>
    <t>近畿大学医学部附属病院_0660 (2)</t>
  </si>
  <si>
    <t>03K0NG</t>
  </si>
  <si>
    <t>072-366-0221</t>
    <phoneticPr fontId="2"/>
  </si>
  <si>
    <t>〒589-8511　大阪府大阪狭山市大野東377-2</t>
    <phoneticPr fontId="2"/>
  </si>
  <si>
    <t>電源が入らない。電源を立ち上げると、Sonositeのﾛｺﾞの起動画面でﾌﾘｰｽﾞすることがあり、再起動すると立ち上がることもある。</t>
  </si>
  <si>
    <t>修理依頼番号：R160920123確認できず、ヒートラン中バッテリー90分以上動作する事を確認。起動テスト30回正常、引き続きヒートランAssert Log にてエラー無し20回電源ONし、正常に起動する事を確認。症状からメイン基板故障の可能性もあるが、発生頻度等の調査を依頼→　とりあえず見込でメイン基板の見積が欲しいとのこと、提出</t>
  </si>
  <si>
    <t>今回はメイン基板は様子見、バッテリーは交換でOKありバッテリーの交換を実施ヒートランニング異常なし</t>
  </si>
  <si>
    <t>S16-0661</t>
  </si>
  <si>
    <t>伊勢崎佐波医師会病院_0661</t>
  </si>
  <si>
    <t>S16-0662</t>
  </si>
  <si>
    <t>鹿児島市立病院_0662 (2)</t>
  </si>
  <si>
    <t>2016/09/16-02</t>
  </si>
  <si>
    <t>WK0G0J</t>
  </si>
  <si>
    <t>鹿児島市立病院 救急、ドクターヘリ</t>
  </si>
  <si>
    <t>ドクターヘリ</t>
    <phoneticPr fontId="2"/>
  </si>
  <si>
    <t>099-230-7000</t>
    <phoneticPr fontId="2"/>
  </si>
  <si>
    <t>〒890-8760　鹿児島県鹿児島市上荒田町37-1</t>
    <phoneticPr fontId="2"/>
  </si>
  <si>
    <t>起動はしているが、画面が表示されていない</t>
  </si>
  <si>
    <t>ヒンジ部が多少緩い上記症状が再現しました。ドックコネクタにエコーゼリー付着の為、外部出力不可　⇒　清掃にて復旧液晶ケーブル交換では復旧せずモニタ交換実施、症状改善しない以上のことからメイン基板、モニタ故障と判断、交換必要。バッテリー90分以上ＯＫ</t>
  </si>
  <si>
    <t>見積OKありメイン基板とディスプレイの交換実施。動作OK</t>
  </si>
  <si>
    <t>S16-0663</t>
  </si>
  <si>
    <t>岩手医科大学_0663</t>
  </si>
  <si>
    <t>S16-0664</t>
  </si>
  <si>
    <t>佐世保市総合医療センター_0664 (2)</t>
  </si>
  <si>
    <t>2016/09/21-04</t>
  </si>
  <si>
    <t>0300ZY</t>
  </si>
  <si>
    <t>山下医科器械株式会社 佐世保支社</t>
  </si>
  <si>
    <t>大浦様</t>
  </si>
  <si>
    <t>〒857-0055　長崎県佐世保市湊町3-13</t>
  </si>
  <si>
    <t>0956-25-2111</t>
  </si>
  <si>
    <t>佐世保市総合医療センター 外科外来</t>
  </si>
  <si>
    <t>中井様</t>
    <rPh sb="0" eb="2">
      <t>ナカイ</t>
    </rPh>
    <rPh sb="2" eb="3">
      <t>サマ</t>
    </rPh>
    <phoneticPr fontId="2"/>
  </si>
  <si>
    <t>外科外来</t>
    <rPh sb="0" eb="2">
      <t>ゲカ</t>
    </rPh>
    <rPh sb="2" eb="4">
      <t>ガイライ</t>
    </rPh>
    <phoneticPr fontId="2"/>
  </si>
  <si>
    <t>0956-24-1515</t>
  </si>
  <si>
    <t>〒857-8511 長崎県佐世保市平瀬町9-3</t>
  </si>
  <si>
    <t>上記症状が再現しました。電源入らないことを確認。ドッキングインターフェイス基盤交換で症状改善、ドッキングインターフェイス基盤故障が原因。ドッキングインターフェイス基盤交換後ＦＡＴ実施、ＲｘanalogテストＦＡＩＬ.。再度実施も同様以上のことからメイン基盤、ドッキングインターフェイス基盤故障と判断、交換必要。放電テスト80分　→　1年前に交換ＲｘanalogテストFail。 →　問題が表面化していないのと、1年前にメイン基板を交換していることから今回は見積もりから除外</t>
  </si>
  <si>
    <t>ドックインターフェイス基板の交換を実施動作正常</t>
  </si>
  <si>
    <t>S16-0665</t>
  </si>
  <si>
    <t>香川大学医学部附属病院_0665 (2)</t>
  </si>
  <si>
    <t>SR#4238707</t>
  </si>
  <si>
    <t>03V2VF</t>
  </si>
  <si>
    <t>加藤様</t>
  </si>
  <si>
    <t>香川大学医学部附属病院</t>
  </si>
  <si>
    <t>087-898-5111</t>
  </si>
  <si>
    <t>〒761-0793　香川県木田郡三木町池戸1750-1</t>
  </si>
  <si>
    <t>ｴﾗｰｺｰﾄﾞ：15545発現。電源の入り切りでも改善されず。</t>
  </si>
  <si>
    <t>修理依頼番号：R160921114プローブ接続にてエラーコード15545 D:0xf67ff9ff発生ＡＣ：15545確認電源基盤交換で症状改善。電源基板故障が原因、交換必要。その他動作ＯＫバッテリー稼働時間：90分以上</t>
  </si>
  <si>
    <t>JTP在庫よりそのまま電源基板を使用</t>
  </si>
  <si>
    <t>S16-0666</t>
  </si>
  <si>
    <t>札幌医科大学病院_0666 (2)</t>
  </si>
  <si>
    <t>2016/09/21-06</t>
  </si>
  <si>
    <t>03TGRW</t>
  </si>
  <si>
    <t>株式会社マック</t>
  </si>
  <si>
    <t>佐藤 様</t>
  </si>
  <si>
    <t>〒060-0041 北海道札幌市中央区大通東2丁目3番地 第36桂和ビル</t>
  </si>
  <si>
    <t>011-241-3181</t>
  </si>
  <si>
    <t>011-241-0626</t>
  </si>
  <si>
    <t>札幌医科大学附属病院</t>
  </si>
  <si>
    <t>011-611-2111</t>
  </si>
  <si>
    <t>〒060-8543　北海道札幌市中央区南1条西16丁目291</t>
  </si>
  <si>
    <t>LATCH KIT ASSEMBLY, ROHS</t>
  </si>
  <si>
    <t>プローブを認識しない（ラッチ突起の横棒破損）</t>
  </si>
  <si>
    <t>上記症状が再現しました。プローブチェッカー・本体接続　⇒　異常なしラッチが360°回転するラッチ突起の横棒破損、ラッチが1回転回ってしまう、ラッチキット交換必要。プローブケーブルの断線無し</t>
  </si>
  <si>
    <t>ラッチキットの交換を実施　　動作正常プローブの脱着テスト10回　→　正常動作</t>
  </si>
  <si>
    <t>S16-0667</t>
  </si>
  <si>
    <t>JAとりで総合医療センター_0667</t>
  </si>
  <si>
    <t>S16-0668</t>
  </si>
  <si>
    <t>横浜南共済病院_0668</t>
  </si>
  <si>
    <t>S16-0669</t>
  </si>
  <si>
    <t>日本医科大学附属病院_0669 (2)</t>
  </si>
  <si>
    <t>SR#4238713</t>
  </si>
  <si>
    <t>2016/09/21-03</t>
  </si>
  <si>
    <t>株式会社イノメディックス 本郷営業所</t>
  </si>
  <si>
    <t xml:space="preserve">〒113-0034 東京都文京区湯島2-16-11 </t>
  </si>
  <si>
    <t>通電が途中で途切れる（アイコンが切れる）</t>
  </si>
  <si>
    <t>上記症状が再現しました（間欠障害）AC電源アダプタ（予備機）出力電圧は正常だったが、本体接続後にセーフティシャットオフ状態となった。その後、解除しても本体に再接続後、セーフティシャットオフ状態となるDCソケット故障、アダプタコネクタを揺するとセーフティーシャットオフ発生。メイン基板故障のため交換必要（DCソケットは補強済みタイプ）AC電源アダプタ、電源ケーブルの出力正常バッテリー稼働時間 90分以上</t>
  </si>
  <si>
    <t>メイン基板の交換を実施動作チェック異常なし</t>
  </si>
  <si>
    <t>S16-0670</t>
  </si>
  <si>
    <t>代替機NIM60_0670（2）</t>
  </si>
  <si>
    <t>035V2V</t>
  </si>
  <si>
    <t>代替機NIM60</t>
  </si>
  <si>
    <t>画面が白くなる</t>
  </si>
  <si>
    <t>上記症状が再現したが、間欠障害で2回発生後は症状的には復旧しているディスプレイユニット内部の接続コネクタが外れかけていることを確認、再接続実施起動テスト20回実施し、正常表示されることを確認。ディスプレイユニットの在庫が無いためこちらで様子を見る。</t>
  </si>
  <si>
    <t>ヒートランニング異常なしヒートランニング異常なし</t>
  </si>
  <si>
    <t>本日まで検証し、再現性なし。クローズ</t>
  </si>
  <si>
    <t>S16-0671</t>
  </si>
  <si>
    <t>名寄市立病院_0671 (2)</t>
  </si>
  <si>
    <t>SR#4247429</t>
  </si>
  <si>
    <t>2016/09/07-03</t>
  </si>
  <si>
    <t>041XG2</t>
  </si>
  <si>
    <t>〒096-0036　北海道名寄市西6条北11丁目58番地21</t>
  </si>
  <si>
    <t>名寄市立総合病院</t>
  </si>
  <si>
    <t>01654-3-3101</t>
  </si>
  <si>
    <t>〒096-8511　北海道名寄市西7条南8丁目1番地</t>
  </si>
  <si>
    <t>使用中に画面が真っ白になる　　※電源は入っている様子、操作パネルのビープ音はなっていた</t>
  </si>
  <si>
    <t>上記症状は再現しませんでした。ディスプレイを閉じ、開いた際、画面全体が一瞬白くなることを確認。稀に画面が白い時間が長い時がある。画像転送ケーブル断線等無し、症状よりディスプレイ故障の可能性ありと判断、交換対応2016年1月より9月までAssertコードが17回発生している事を確認山内様経由で可能な限り内部データを残してほしいとのご意向現時点では再現性がなく、内部クリーニングや再構築にて様子見</t>
  </si>
  <si>
    <t>JTP在庫より部品先行使用ディスプレイの交換実施。動作OK</t>
  </si>
  <si>
    <t>S16-0672</t>
  </si>
  <si>
    <t>近江八幡市立総合医療センター_0672</t>
  </si>
  <si>
    <t>S16-0673</t>
  </si>
  <si>
    <t>聖隷浜松病院_0673 (2)</t>
  </si>
  <si>
    <t>2016/09/26-01</t>
  </si>
  <si>
    <t>聖隷浜松病院　NICU</t>
  </si>
  <si>
    <t>053-474-2222</t>
    <phoneticPr fontId="2"/>
  </si>
  <si>
    <t>〒430-8558　静岡県浜松市中区住吉2-12-12</t>
    <phoneticPr fontId="2"/>
  </si>
  <si>
    <t>画面が表示されない</t>
  </si>
  <si>
    <t>ＡＣ電源アダプタ接続（バッテリを抜いた状態）でSaveClip,Record横の橙色ランプ点灯および電源ランプ点灯で画面が表示されない症状が発生電源基板交換にて症状改善、FAT PASS 前回、前々回修理も電源基板交換にて対応しているFAT　pass AssertLogにてAssertCode発生なし。電源基板の初期不良と判断スタンドミニドックのガイドピンぐらつきあり　→　接点不良が生じて故障に繋がっている可能性あり　※ショートは無し</t>
  </si>
  <si>
    <t>電源基板交換にて動作正常スタンドドックコネクタ部調整実施長期で検証実施</t>
  </si>
  <si>
    <t>動作チェック異常なし本日FMS岡崎様引取り</t>
  </si>
  <si>
    <t>S16-0674</t>
  </si>
  <si>
    <t>東京労災病院_0674</t>
  </si>
  <si>
    <t>S16-0675</t>
  </si>
  <si>
    <t>東海記念病院_0675</t>
  </si>
  <si>
    <t>S16-0676</t>
  </si>
  <si>
    <t>みずい整形外科_0676</t>
  </si>
  <si>
    <t>S16-0677</t>
  </si>
  <si>
    <t>焼津市立病院_0677 (2)</t>
  </si>
  <si>
    <t>2016/09/23-01</t>
  </si>
  <si>
    <t>0206XH</t>
  </si>
  <si>
    <t>協和医科器械株式会社 焼津支店</t>
  </si>
  <si>
    <t>〒425-0066　静岡県焼津市大島817-1</t>
  </si>
  <si>
    <t>焼津市立病院 4C病棟</t>
  </si>
  <si>
    <t>4C病棟</t>
    <rPh sb="1" eb="3">
      <t>ビョウトウ</t>
    </rPh>
    <phoneticPr fontId="2"/>
  </si>
  <si>
    <t>054-623-3111</t>
  </si>
  <si>
    <t>〒425-8505 静岡県焼津市道原1000番地</t>
  </si>
  <si>
    <t>電源ボタン接触不良</t>
  </si>
  <si>
    <t>かなり力強く電源ボタンを押さないと電源が入らない状態である。症状確認。メイン基板、電源スイッチ接触部清掃実施。症状改善しない。電源スイッチ故障のため交換必要。動作ＯＫ</t>
  </si>
  <si>
    <t>電源スイッチの交換を実施動作ＯＫ</t>
  </si>
  <si>
    <t>S16-0678</t>
  </si>
  <si>
    <t>高槻病院_0678 (2)</t>
  </si>
  <si>
    <t>SR#4242743</t>
  </si>
  <si>
    <t>高槻病院</t>
  </si>
  <si>
    <t>〒569-1192　大阪府高槻市古曽部町1丁目3番13号</t>
  </si>
  <si>
    <t>ｴﾗｰ（ﾄﾞﾗｲﾊﾞｰ）ﾏｰｸが出る。</t>
  </si>
  <si>
    <t>修理依頼番号：R160929072プローブ接続にてエラーコード15545 D:0x200101ff発生ＡＣ15545発生確認。→　電源基板交換で症状改善。ゲインが勝手に動く。　→　　フロントエンド基板交換で症状改善。バッテリー90分動作確認</t>
  </si>
  <si>
    <t>JTP在庫を使用し、先行修理電源基板、フロントエンド基板の交換を実施</t>
  </si>
  <si>
    <t>動作チェック異常なし本日出荷パーツ出庫指示ありJTP在庫に補填して終了</t>
  </si>
  <si>
    <t>S16-0679</t>
  </si>
  <si>
    <t>東京女子医科大学病院_0679</t>
  </si>
  <si>
    <t>S16-0680</t>
  </si>
  <si>
    <t>東北大学病院_0680</t>
  </si>
  <si>
    <t>S16-0681</t>
  </si>
  <si>
    <t>前橋協立病院_0681 (2)</t>
  </si>
  <si>
    <t>2016/09/30-03</t>
  </si>
  <si>
    <t>035HPD</t>
  </si>
  <si>
    <t>P06092-02</t>
  </si>
  <si>
    <t>株式会社栗原医療器械店 前橋支社</t>
  </si>
  <si>
    <t>落合様</t>
  </si>
  <si>
    <t>前橋協立病院 総務課</t>
  </si>
  <si>
    <t>須永様</t>
    <rPh sb="0" eb="2">
      <t>スナガ</t>
    </rPh>
    <rPh sb="2" eb="3">
      <t>サマ</t>
    </rPh>
    <phoneticPr fontId="2"/>
  </si>
  <si>
    <t>総務課</t>
    <rPh sb="0" eb="3">
      <t>ソウムカ</t>
    </rPh>
    <phoneticPr fontId="2"/>
  </si>
  <si>
    <t>027-265-3511</t>
    <phoneticPr fontId="2"/>
  </si>
  <si>
    <t>〒371-0811　群馬県前橋市朝倉町828-1</t>
    <rPh sb="10" eb="13">
      <t>グンマケン</t>
    </rPh>
    <rPh sb="13" eb="16">
      <t>マエバシシ</t>
    </rPh>
    <rPh sb="16" eb="18">
      <t>アサクラ</t>
    </rPh>
    <rPh sb="18" eb="19">
      <t>マチ</t>
    </rPh>
    <phoneticPr fontId="2"/>
  </si>
  <si>
    <t>上記現象は再現しませんでした。画面全体が白くなる症状確認、外部出力は表示している、ディスプレイ故障の為交換必要。パーツ供給終了の為修理不能吉田様に手配いただき、前島様より提出許可あり販売店様へTEL＞急に修理不能はおそらく受け入れられない、パーツが入手出来ない可能性を記載し、見積提出希望とのこと一旦見積提出他施設で使用予定のパーツがキャンセルになった為、本件修理で使用OK　→　販売店様へご報告済み</t>
  </si>
  <si>
    <t>ディスプレイの交換実施。動作OK</t>
  </si>
  <si>
    <t>S16-0682</t>
  </si>
  <si>
    <t>近森病院_0682</t>
  </si>
  <si>
    <t>S16-0683</t>
  </si>
  <si>
    <t>ふなき助産院_0683 (2)</t>
    <phoneticPr fontId="2"/>
  </si>
  <si>
    <t>2016/10/03-03</t>
  </si>
  <si>
    <t>03CMWP</t>
  </si>
  <si>
    <t>株式会社 大黒 大阪支店</t>
  </si>
  <si>
    <t>尾茂様</t>
  </si>
  <si>
    <t>〒550-0002　大阪府大阪市西区江戸堀3-5-27</t>
  </si>
  <si>
    <t>06-6445-8828</t>
  </si>
  <si>
    <t>06-6445-1404</t>
  </si>
  <si>
    <t>ふなき助産院</t>
  </si>
  <si>
    <t>舟木操様</t>
    <rPh sb="0" eb="2">
      <t>フナキ</t>
    </rPh>
    <rPh sb="2" eb="3">
      <t>ミサオ</t>
    </rPh>
    <rPh sb="3" eb="4">
      <t>サマ</t>
    </rPh>
    <phoneticPr fontId="2"/>
  </si>
  <si>
    <t>06-6911-1238</t>
  </si>
  <si>
    <t>〒538-0053　大阪府大阪市鶴見区鶴見3丁目6-26</t>
    <rPh sb="10" eb="13">
      <t>オオサカフ</t>
    </rPh>
    <rPh sb="13" eb="16">
      <t>オオサカシ</t>
    </rPh>
    <rPh sb="16" eb="19">
      <t>ツルミク</t>
    </rPh>
    <rPh sb="19" eb="21">
      <t>ツルミ</t>
    </rPh>
    <rPh sb="22" eb="24">
      <t>チョウメ</t>
    </rPh>
    <phoneticPr fontId="2"/>
  </si>
  <si>
    <t>P02088-02</t>
  </si>
  <si>
    <t>SERVICE ASSEMBLY, TRACKBALL, C1.9</t>
  </si>
  <si>
    <t>トラックボールが効かない</t>
  </si>
  <si>
    <t>上記症状は再現しませんでした。トラックボール左右の動きが悪い、交換必要。ヒンジ破損、交換必要。ヒンジ破損により40ピンケーブルに負荷がかり、断線の恐れあり40ピン交換おすすめ。電源スイッチ引っ掛かかる、エレメント部の摩耗、交換おすすめ。バッテリー動作正常見積提出</t>
  </si>
  <si>
    <t>トラックボール、ヒンジ、液晶ケーブル、スイッチの交換実施。動作OK</t>
  </si>
  <si>
    <t>S16-0684</t>
  </si>
  <si>
    <t>岡山大学病院_0684</t>
  </si>
  <si>
    <t>※修理キャンセル→返却(12/6)</t>
    <rPh sb="1" eb="3">
      <t>シュウリ</t>
    </rPh>
    <rPh sb="9" eb="11">
      <t>ヘンキャク</t>
    </rPh>
    <phoneticPr fontId="2"/>
  </si>
  <si>
    <t>S16-0685</t>
  </si>
  <si>
    <t>ふなやまペインクリニック_0685 (2)</t>
  </si>
  <si>
    <t>2016/09/23-05</t>
  </si>
  <si>
    <t>03CF1X</t>
  </si>
  <si>
    <t>P10284-041</t>
  </si>
  <si>
    <t>フクダ電子長野販売株式会社 山梨営業所</t>
  </si>
  <si>
    <t>小渕様</t>
  </si>
  <si>
    <t>〒400-0047　山梨県甲府市徳行3-13-23</t>
    <phoneticPr fontId="2"/>
  </si>
  <si>
    <t>055-222-6655</t>
  </si>
  <si>
    <t>055-222-6465</t>
  </si>
  <si>
    <t>ふなやまペインクリニック</t>
  </si>
  <si>
    <t>055-221-1347</t>
    <phoneticPr fontId="2"/>
  </si>
  <si>
    <t>〒400-0043　山梨県甲府市国母1-22-20</t>
    <phoneticPr fontId="2"/>
  </si>
  <si>
    <t>プローブを付けるとAC:16868が発生</t>
  </si>
  <si>
    <t>上記症状が再現。（P:false C:0x41e(16868) D:0x30(48))プローブのヘッド部分を動かすと抵抗値が変動、断線の傾向があり。ＡＣ１６８６８発生確認。過去歴よりメイン基盤故障が原因、交換必要ﾌﾟﾛｰﾌﾞスキャンヘッド側根本断線バッテリー動作50分、交換おすすめ。FMS北川様&gt;更新予定とのこと</t>
  </si>
  <si>
    <t>北川様より修理キャンセル依頼あり。※修理も更新もしないとのこと本日返却</t>
  </si>
  <si>
    <t>S16-0686</t>
  </si>
  <si>
    <t>八反丸クリニック_0686 (2)</t>
  </si>
  <si>
    <t>H-Universal Stand</t>
  </si>
  <si>
    <t>WM0F86</t>
  </si>
  <si>
    <t>P13813-01</t>
  </si>
  <si>
    <t>〒260-0843　千葉県千葉市中央区末広5-6-15</t>
    <phoneticPr fontId="2"/>
  </si>
  <si>
    <t>ペインクリニック八反丸</t>
    <phoneticPr fontId="2"/>
  </si>
  <si>
    <t>047-312-0088</t>
    <phoneticPr fontId="2"/>
  </si>
  <si>
    <t>〒270-0034 千葉県松戸市新松戸1-359-1幸和ビル2F-A</t>
    <phoneticPr fontId="2"/>
  </si>
  <si>
    <t>カチカチ音がする　※引取に行ったときは現象確認出来なかった</t>
  </si>
  <si>
    <t>AC/DC出力電圧確認　⇒　異常なしTTC切替え動作確認　⇒　異常なし施設使用純正電源ケーブル、交換実施、Yコネクタ、電源アダプタ、トランス　　→　異常なし施設使用純正電源ケーブル、交換実施、Yコネクタ、電源アダプタ、トランス交換実施。　（全てFMS破棄予定部品／新品）動作正常、出力電圧正常。ご返却し様子を見て頂く。</t>
  </si>
  <si>
    <t>望月様引き取り処置クローズ</t>
  </si>
  <si>
    <t>S16-0687</t>
  </si>
  <si>
    <t>大田病院_0687</t>
  </si>
  <si>
    <t>03-3762-8421</t>
  </si>
  <si>
    <t>〒143-0012　東京都大田区大森東4-4-14</t>
  </si>
  <si>
    <t>S16-0688</t>
  </si>
  <si>
    <t>北里大学医療衛生学部_0688 (2)</t>
    <phoneticPr fontId="2"/>
  </si>
  <si>
    <t>SR#4244461</t>
  </si>
  <si>
    <t>2016/09/27-02</t>
  </si>
  <si>
    <t>WK141H</t>
  </si>
  <si>
    <t>042-752-2499</t>
  </si>
  <si>
    <t>北里大学　医療衛生学部</t>
  </si>
  <si>
    <t>渡辺様</t>
    <rPh sb="0" eb="2">
      <t>ワタナベ</t>
    </rPh>
    <rPh sb="2" eb="3">
      <t>サマ</t>
    </rPh>
    <phoneticPr fontId="2"/>
  </si>
  <si>
    <t>リハビリテーション学科</t>
    <rPh sb="9" eb="11">
      <t>ガッカ</t>
    </rPh>
    <phoneticPr fontId="2"/>
  </si>
  <si>
    <t>042-778-9968</t>
  </si>
  <si>
    <t>〒252-0373 神奈川県相模原市南区北里1-15-1</t>
    <rPh sb="10" eb="14">
      <t>カナガワケン</t>
    </rPh>
    <rPh sb="14" eb="18">
      <t>サガミハラシ</t>
    </rPh>
    <rPh sb="18" eb="20">
      <t>ミナミク</t>
    </rPh>
    <rPh sb="20" eb="22">
      <t>キタサト</t>
    </rPh>
    <phoneticPr fontId="2"/>
  </si>
  <si>
    <t>P02312-01</t>
  </si>
  <si>
    <t xml:space="preserve">BRACKET,DIN CONNECTOR </t>
  </si>
  <si>
    <t>FAN ASSEMBLY</t>
  </si>
  <si>
    <t>①ACアダプタ接続時にファン異音、30分ほど続いた。
②USBに画像を出力した際に一度エラー。</t>
  </si>
  <si>
    <t>①ACアダプタに接続するとファンの音が大きくなる。（再現）②USBへの画像出力はエラーは出ませんでした。（未再現）アダプター接続時、ファンの音はなるが他装置と同じくらい。ヒートラン予定DCソケット故障、セーフティーシャットオフ頻発する、ソケット交換必要。　→　DCジャック部一式ファン動作音異常確認できず、見込みでFAN交換アサートログにて9月27日にAC12283が1回発生している事を確認、頻発はしていないのでセーフティシャットオフの影響などにより偶発的に発生したエラーと判断。パーツ出庫依頼書提出</t>
  </si>
  <si>
    <t>JTP在庫よりパーツ先行使用ファンユニット、電源ジャックの交換実施。動作OK</t>
  </si>
  <si>
    <t>動作チェック異常なし本日出荷パーツ出庫依頼指示あり。クローズ</t>
  </si>
  <si>
    <t>S16-0689</t>
  </si>
  <si>
    <t>大阪市立総合医療センター_0689 (2)</t>
  </si>
  <si>
    <t>2016/09/27-04</t>
  </si>
  <si>
    <t>310910</t>
  </si>
  <si>
    <t>〒564-0043　大阪府吹田市南吹田5-19-26</t>
    <phoneticPr fontId="2"/>
  </si>
  <si>
    <t>06-6929-1221</t>
    <phoneticPr fontId="2"/>
  </si>
  <si>
    <t>〒534-0021　大阪府大阪市都島区都島本通2-13-22</t>
    <phoneticPr fontId="2"/>
  </si>
  <si>
    <t>給紙トレイガイド</t>
  </si>
  <si>
    <t>トレイロック</t>
  </si>
  <si>
    <t>プリンタのトレイが奥で固定されない</t>
  </si>
  <si>
    <t>トレイが奥で固定されない為、SET PAPERアラームが点灯状態となるメーカー発送実施トレイガイド、トレイロックの見積OKあり。メーカーへ修理進行依頼済み</t>
  </si>
  <si>
    <t>修理完了日到着。動作OK、外観OK</t>
  </si>
  <si>
    <t>S16-0690</t>
  </si>
  <si>
    <t>なおしま医院_0690 (2)</t>
  </si>
  <si>
    <t>SR#4241607</t>
  </si>
  <si>
    <t>2016/10/04-03</t>
  </si>
  <si>
    <t>WK2788</t>
  </si>
  <si>
    <t>フクダ電子北東北販売株式会社　盛岡営業所</t>
  </si>
  <si>
    <t>吉島様</t>
  </si>
  <si>
    <t>〒020-0051　岩手県盛岡市下太田下川原12-1</t>
  </si>
  <si>
    <t>019-656-2200</t>
  </si>
  <si>
    <t>019-656-2266</t>
  </si>
  <si>
    <t>なおしま医院</t>
  </si>
  <si>
    <t>019-673-6967</t>
  </si>
  <si>
    <t>〒028-3441　岩手県紫波郡紫波町上平沢字川原田33-5</t>
    <rPh sb="10" eb="13">
      <t>イワテケン</t>
    </rPh>
    <rPh sb="13" eb="16">
      <t>シワグン</t>
    </rPh>
    <rPh sb="16" eb="19">
      <t>シワチョウ</t>
    </rPh>
    <rPh sb="19" eb="20">
      <t>カミ</t>
    </rPh>
    <rPh sb="20" eb="22">
      <t>ヒラサワ</t>
    </rPh>
    <rPh sb="22" eb="23">
      <t>アザ</t>
    </rPh>
    <rPh sb="23" eb="26">
      <t>カワハラダ</t>
    </rPh>
    <phoneticPr fontId="2"/>
  </si>
  <si>
    <t>カラードップラーで赤色がオレンジ色になってしまう</t>
  </si>
  <si>
    <t>画面全体に画像のチラツキが有る（吹雪のようなノイズ）上記症状は再現しました。画面全体に画像のチラツキが有る（吹雪のようなノイズ）確認、ディスプレイ故障の為交換必要バッテリー90分動作確認。パーツ出庫依頼書提出</t>
  </si>
  <si>
    <t>JTP在庫よりパーツを先行使用ディスプレイの交換を実施。動作OK</t>
  </si>
  <si>
    <t>動作チェック異常なし本日出荷パーツ出庫依頼指示あり。JTP在庫に補填してクローズ</t>
  </si>
  <si>
    <t>S16-0691</t>
  </si>
  <si>
    <t>はしぐち整骨院_0691 (2)</t>
  </si>
  <si>
    <t>モニタの磁石付近より接着剤モレ</t>
  </si>
  <si>
    <t>上記症状は再現しました（再修理分）左右両方の磁石付近より液漏れ有り磁石部隙間は接着剤で埋めました。液漏れの除去実施、ディスプレイは少し液漏れしているため、今後も再発する可能性あり。バッテリー動作70分、2009年製品の為交換おすすめ。SSB中村様&gt;クリーニング出荷後、ディスプレイ交換で発注あり。修理品一式　再入荷（10/25）　プローブ動作確認　⇒　異常なし</t>
  </si>
  <si>
    <t>ディスプレイユニットの交換実施。動作OK</t>
  </si>
  <si>
    <t>再修理分の動作チェック異常なし本日出荷ディスプレイユニット交換後の動作チェック異常なし本日出荷</t>
  </si>
  <si>
    <t>S16-0692</t>
  </si>
  <si>
    <t>済生会川口総合病院_0692</t>
  </si>
  <si>
    <t>S16-0693</t>
  </si>
  <si>
    <t>大隅鹿屋病院_0693 (2)</t>
  </si>
  <si>
    <t>SR#4242739</t>
  </si>
  <si>
    <t>2016/10/03-02</t>
  </si>
  <si>
    <t>040Y7D</t>
  </si>
  <si>
    <t>アイティーアイ株式会社　鹿屋営業所</t>
  </si>
  <si>
    <t>井上様</t>
  </si>
  <si>
    <t>0994-42-7811</t>
  </si>
  <si>
    <t xml:space="preserve">0994-42-7812 </t>
  </si>
  <si>
    <t>大隅鹿屋病院</t>
  </si>
  <si>
    <t>電源を入れるとエラーコードが出る</t>
  </si>
  <si>
    <t>プローブを接続するとエラーコード15545 D:0xf67ff9ff発生電源基板交換にて症状改善、電源交換必要。バッテリー90分以上動作パーツ出庫依頼書提出</t>
  </si>
  <si>
    <t>メイン基板の交換実施。動作OK</t>
  </si>
  <si>
    <t>S16-0694</t>
  </si>
  <si>
    <t>帯広厚生病院_0694</t>
  </si>
  <si>
    <t>S16-0695</t>
  </si>
  <si>
    <t>まきの消化器内科・外科クリニック_0695 (2)</t>
  </si>
  <si>
    <t>SR#4249563</t>
  </si>
  <si>
    <t>2016/09/01-07</t>
  </si>
  <si>
    <t>WK2YXZ</t>
  </si>
  <si>
    <t>P16693-60C</t>
  </si>
  <si>
    <t>矢野様</t>
  </si>
  <si>
    <t>まきの消化器内科・外科クリニック</t>
  </si>
  <si>
    <t>①タッチパネルの反応が悪い
②エラーコードが出た</t>
  </si>
  <si>
    <t>上記症状は再現しませんでした。AC：2719（20)　8回、2720（18)1回発生、プローブ故障している可能性ありメイン基板故障の為交換必要。タッチパッド反応が悪い症状確認できず、ヒートラン中C60x、HFL38x使用、10/12矢野様へ代替機発送HFL38x、C60ｘ到着、2本ともチェッカーにて正常数値確認コントロールパネル予防交換バッテリー動作時間OK</t>
  </si>
  <si>
    <t>パーツ出庫依頼書提出メイン基板と操作パネルの交換を実施動作OK</t>
  </si>
  <si>
    <t>S16-0696</t>
  </si>
  <si>
    <t>宇部興産中央病院_0696</t>
  </si>
  <si>
    <t>S16-0697</t>
  </si>
  <si>
    <t>長岡中央総合病院_0697 (2)</t>
  </si>
  <si>
    <t>2016/10/04-02</t>
  </si>
  <si>
    <t>030HG7</t>
  </si>
  <si>
    <t>ジェイメディカル株式会社 長岡営業所</t>
  </si>
  <si>
    <t>長岡中央総合病院</t>
  </si>
  <si>
    <t>〒940-8653　新潟県長岡市川崎町2041番地</t>
  </si>
  <si>
    <t>起動はしているが画面が映らない</t>
  </si>
  <si>
    <t>画面に傷有り。上記症状が再現しました。バッテリ表示ランプが点灯および消灯を繰返しているデータ転送・FATテスト不可（装置がレディ状態にならない？）　⇒　接触部を清掃しても変化なしFAT、データ転送済み症状確認できず、予防交換として40PINケーブル交換対応レンズキズが多い、交換おすすめ。電源スイッチエレメント部摩耗、電源スイッチ交換おすすめ。バッテリー90分動作確認。見積提出</t>
  </si>
  <si>
    <t>液晶ケーブル、レンズ、電源スイッチの交換実施。動作OK</t>
  </si>
  <si>
    <t>S16-0698</t>
  </si>
  <si>
    <t>南生協病院_0698</t>
    <phoneticPr fontId="2"/>
  </si>
  <si>
    <t>S16-0699</t>
  </si>
  <si>
    <t>羊ヶ丘病院_0699 (2)</t>
  </si>
  <si>
    <t>SR#4244449</t>
  </si>
  <si>
    <t>2016/10/05-04</t>
  </si>
  <si>
    <t>03WCTV</t>
  </si>
  <si>
    <t>富士フイルムメディカル株式会社</t>
    <phoneticPr fontId="2"/>
  </si>
  <si>
    <t>山内様</t>
    <rPh sb="0" eb="2">
      <t>ヤマウチ</t>
    </rPh>
    <phoneticPr fontId="2"/>
  </si>
  <si>
    <t>011-758-0381</t>
    <phoneticPr fontId="2"/>
  </si>
  <si>
    <t>011-747-9485</t>
    <phoneticPr fontId="2"/>
  </si>
  <si>
    <t>羊ヶ丘病院 麻酔科</t>
  </si>
  <si>
    <t>011-351-2211</t>
  </si>
  <si>
    <t>〒004-0021 北海道札幌市厚別区青葉町3丁目1番10号</t>
  </si>
  <si>
    <t>電源ボタンを押しても電源が入らない（音はする）</t>
  </si>
  <si>
    <t>上記症状は再現しませんでした。ヒートラン中差込口固いキーを押すとビープ音はなるが、機能しない症状、プローブを付けると砂時計マークで止まる症状確認Near、FAR、Geinキー押してもビープ音鳴らない。メイン基板故障の為交換必要。バッテリー動作OK</t>
  </si>
  <si>
    <t>メイン基板の交換を実施　動作OKヒートランニング異常なしヒートランニング異常なし</t>
  </si>
  <si>
    <t>S16-0700</t>
  </si>
  <si>
    <t>中濃厚生病院_0700 (2)</t>
    <phoneticPr fontId="2"/>
  </si>
  <si>
    <t>SR#4245115</t>
  </si>
  <si>
    <t>03PVNL</t>
  </si>
  <si>
    <t>電源を入れるたびに日付が変わってしまう｡</t>
  </si>
  <si>
    <t>修理依頼番号：R161011144日付を設定しても、再起動するとくるってしまうことを確認基板上のバックアップバッテリーの電圧測定　0.001v出力不良の為、交換必須バッテリー稼働時間 90分以上</t>
  </si>
  <si>
    <t>JTP在庫よりパーツ使用バックアップバッテリーの交換を実施　（OLD：0.01v　NEW：2.99ｖ ）</t>
  </si>
  <si>
    <t>動作チェック異常なし本日出荷パーツ出庫指示書返信ありJTP在庫に補填して完了</t>
  </si>
  <si>
    <t>S16-0701</t>
  </si>
  <si>
    <t>北部地区医師会病院_0701 (2)</t>
  </si>
  <si>
    <t>037RYN</t>
  </si>
  <si>
    <t>南西医療器株式会社</t>
  </si>
  <si>
    <t>座間味様</t>
  </si>
  <si>
    <t>〒901-2133　沖縄県浦添市城間4-2-10</t>
    <rPh sb="10" eb="13">
      <t>オキナワケン</t>
    </rPh>
    <rPh sb="13" eb="15">
      <t>ウラゾエ</t>
    </rPh>
    <rPh sb="15" eb="16">
      <t>シ</t>
    </rPh>
    <rPh sb="16" eb="18">
      <t>シロマ</t>
    </rPh>
    <phoneticPr fontId="2"/>
  </si>
  <si>
    <t>098-870-1515</t>
  </si>
  <si>
    <t>098-870-4545</t>
  </si>
  <si>
    <t>北部地区医師会病院</t>
  </si>
  <si>
    <t xml:space="preserve">0980-54-1111 </t>
    <phoneticPr fontId="2"/>
  </si>
  <si>
    <t>〒905-8611　沖縄県名護市字宇茂佐1712-3</t>
    <phoneticPr fontId="2"/>
  </si>
  <si>
    <t>電源が入らない
（事前に前回内容でご注文頂戴済み）</t>
  </si>
  <si>
    <t>AC電源アダプタ出力確認　⇒　１－２番端子間の出力が0Vである（電源アダプタ不良）予備AC電源アダプタに交換したが、カチカチ音がして電源が入らない症状が再現しました。ＤＣジャックぐらぐらメイン基盤、電源基盤特にショート跡なし。ヒンジ破損、交換必要。　→　P08060、P03297　交換ACコード出力ＯＫアダプタ、２，５ＰＩＮ出力異常、故障のため交換必要。　→　P09823交換DCジャックはミニドックをお持ちの為、そちらを使用して電源供給される予定とのこと　→　処置不要</t>
  </si>
  <si>
    <t>ヒンジ、ロゴラベル、ACアダプタの交換を実施動作正常</t>
  </si>
  <si>
    <t>S16-0702</t>
  </si>
  <si>
    <t>倉敷中央病院_0702</t>
  </si>
  <si>
    <t>S16-0703</t>
  </si>
  <si>
    <t>筑波記念病院_0703 (2)</t>
  </si>
  <si>
    <t>2016/10/06-01</t>
  </si>
  <si>
    <t>株式会社日立製作所 ヘルスケア水戸営業所</t>
  </si>
  <si>
    <t>〒310-0026　茨城県水戸市泉町1-2-4 水戸泉町第一生命ビル5F</t>
    <rPh sb="10" eb="13">
      <t>イバラギケン</t>
    </rPh>
    <rPh sb="13" eb="16">
      <t>ミトシ</t>
    </rPh>
    <rPh sb="16" eb="17">
      <t>イズミ</t>
    </rPh>
    <rPh sb="17" eb="18">
      <t>マチ</t>
    </rPh>
    <rPh sb="24" eb="26">
      <t>ミト</t>
    </rPh>
    <rPh sb="26" eb="27">
      <t>イズミ</t>
    </rPh>
    <rPh sb="27" eb="28">
      <t>マチ</t>
    </rPh>
    <rPh sb="28" eb="30">
      <t>ダイイチ</t>
    </rPh>
    <rPh sb="30" eb="32">
      <t>セイメイ</t>
    </rPh>
    <phoneticPr fontId="2"/>
  </si>
  <si>
    <t>050-3188-2223</t>
  </si>
  <si>
    <t>029-226-4843</t>
  </si>
  <si>
    <t>筑波記念病院 手術室</t>
  </si>
  <si>
    <t>029-864-1212</t>
    <phoneticPr fontId="2"/>
  </si>
  <si>
    <t>〒300-2622　茨城県つくば市要1187-299</t>
    <phoneticPr fontId="2"/>
  </si>
  <si>
    <t>ボタンが効かない（フリーズとDepth↓キー）</t>
  </si>
  <si>
    <t>上記症状は再現しませんでした。現象不再現ヒートラン中確認できず、引き続きヒートラン中確認できず、引き続きヒートラン中バッテリー動作25分にて電源落ちる、バッテリー交換推奨。コンパネの接触端子の予防交換、アップグレード、省電力モードの設定変更で見積予定</t>
  </si>
  <si>
    <t>必須交換のみで見積OKあり接触端子の交換実施。動作OK返却時、省電力モードをOFF　OFFに変更する！！※変更済み</t>
  </si>
  <si>
    <t>S16-0704</t>
  </si>
  <si>
    <t>増子整形外科_0704 (2)</t>
  </si>
  <si>
    <t>SR#4244451</t>
  </si>
  <si>
    <t>2016/06/03-03</t>
  </si>
  <si>
    <t>WK0P9P</t>
  </si>
  <si>
    <t xml:space="preserve">フクダ電子西東京販売株式会社 </t>
  </si>
  <si>
    <t>増子整形外科まり皮フ科</t>
  </si>
  <si>
    <t>042-735-1499</t>
  </si>
  <si>
    <t>〒195-0061　東京都町田市鶴川1-17-18</t>
  </si>
  <si>
    <t>充電出来ない</t>
  </si>
  <si>
    <t>Farダイヤルキー無しFATテスト不可（レディ状態にならない）→ＦＡＴ実施ＰＡＳＳ上記症状は再現しませんでした。ＤＣジャックぐらつく、10回に１回程度セーフティシャットオフが発生する。ＤＣジャック交換必要アダプター、ＡＣコード出力ＯＫバッテリー充電中、放電テスト予定インターポージャー爪折れている、ﾌﾟﾛｰﾌﾞ問題なく認識するが交換必要パーツ出庫依頼書提出</t>
  </si>
  <si>
    <t>JTP在庫よりパーツを先行使用電源ジャックとプローブ接触端子の交換を実施。動作OK</t>
  </si>
  <si>
    <t>S16-0705</t>
  </si>
  <si>
    <t>順天堂練馬病院_0705 (2)</t>
  </si>
  <si>
    <t>SR#4243263</t>
  </si>
  <si>
    <t>2016/10/05-02</t>
  </si>
  <si>
    <t>03VH8C</t>
  </si>
  <si>
    <t>順天堂大学医学部附属練馬病院　透析室</t>
  </si>
  <si>
    <t>03-5923-3111</t>
  </si>
  <si>
    <t>〒177-8521 東京都練馬区高野台3-1-10</t>
  </si>
  <si>
    <t>電源スイッチ破損</t>
  </si>
  <si>
    <t>上記症状が再現しました（現状はテープで固定）症状確認。コントロールパネルの交換が必要。パーツ出庫依頼書提出</t>
  </si>
  <si>
    <t>JTP在庫よりパーツを先行使用コントロールパネルの交換を実施。動作OK</t>
  </si>
  <si>
    <t>動作チェック異常なしFMS島崎様引取り。パーツ出庫依頼指示あり。JTP在庫に補填してクローズ</t>
  </si>
  <si>
    <t>S16-0706</t>
  </si>
  <si>
    <t>松江記念病院_0706 (2)</t>
  </si>
  <si>
    <t>2016/09/28-01</t>
  </si>
  <si>
    <t>02070Y</t>
  </si>
  <si>
    <t>P02650-01</t>
  </si>
  <si>
    <t>ティーエスアルフレッサ株式会社 松江支店</t>
  </si>
  <si>
    <t>増原様</t>
  </si>
  <si>
    <t>〒690-0021 島根県松江市矢田町218番地2</t>
    <phoneticPr fontId="2"/>
  </si>
  <si>
    <t>0852-21-4909</t>
  </si>
  <si>
    <t>0852-31-4499</t>
  </si>
  <si>
    <t>松江記念病院　外科</t>
  </si>
  <si>
    <t>外科</t>
    <rPh sb="0" eb="2">
      <t>ゲカ</t>
    </rPh>
    <phoneticPr fontId="2"/>
  </si>
  <si>
    <t>0852-27-8111</t>
    <phoneticPr fontId="2"/>
  </si>
  <si>
    <t>〒690-0015 島根県松江市上乃木三丁目4番1号</t>
    <phoneticPr fontId="2"/>
  </si>
  <si>
    <t>定期点検</t>
  </si>
  <si>
    <t>スタンダードプラン点検依頼分ヒンジ硬化、交換必要。その他動作ＯＫ内部クリーニング実施。バッテリー10分稼働FAT audio amp test　エラー　→　ドップラー音ならない？　※昨年も報告のため、今年も報告見積提出　※バッテリー切れの案内も同送　</t>
  </si>
  <si>
    <t>基板、ヒンジ交換なしスタンダードプランのみにて見積OKあり</t>
  </si>
  <si>
    <t>点検整備記録に基づく点検・整備実施。記録書№16-0706本日出荷</t>
  </si>
  <si>
    <t>点検依頼　（メンテナンスプログラム ／スタンダードプラン）</t>
    <rPh sb="0" eb="2">
      <t>テンケン</t>
    </rPh>
    <phoneticPr fontId="2"/>
  </si>
  <si>
    <t>S16-0707</t>
  </si>
  <si>
    <t>福岡徳洲会病院_0707 (2)</t>
  </si>
  <si>
    <t>SR#4244471</t>
  </si>
  <si>
    <t>2016/10/11-01</t>
  </si>
  <si>
    <t>株式会社アステム ME福岡支店</t>
  </si>
  <si>
    <t>092-626-8443</t>
  </si>
  <si>
    <t>092-612-2500</t>
  </si>
  <si>
    <t>2Dモードに戻ってしまう。</t>
  </si>
  <si>
    <t>上記症状は再現しませんでした。症状確認できず、ヒートラン中AssertLog無し2D、カラーボタンを1回押すと2回クリック音が鳴り、画面が2Dに戻ってしまう症状確認。コントロールパネルを他のMMに取り付けても同症状発生、コンパネ故障の為交換必要。バッテリー動作90分OKパーツ出庫依頼書提出</t>
  </si>
  <si>
    <t>コンパネの交換実施。動作OK</t>
  </si>
  <si>
    <t>S16-0708</t>
    <phoneticPr fontId="2"/>
  </si>
  <si>
    <t>手稲渓仁会病院_0708 (2)</t>
  </si>
  <si>
    <t>SR#4243261</t>
  </si>
  <si>
    <t>2016/10/11-08</t>
  </si>
  <si>
    <t>〒006-0811 北海道札幌市手稲区前田1条12丁目1番22号 西通BLD201</t>
    <rPh sb="10" eb="13">
      <t>ホッカイドウ</t>
    </rPh>
    <phoneticPr fontId="2"/>
  </si>
  <si>
    <t>011-699-7211</t>
  </si>
  <si>
    <t>エラーコード16868表示</t>
  </si>
  <si>
    <t>P21xプローブ断線（基板根元付近で抵抗値変動）ACケーブル　アース棒なしプローブを本体直接接続にてエラーコード16868 D:48発生AC:16868　→　メイン基板の故障。P21x断線。バッテリーOKセクタープローブの修理不能証明書提出メイン基板の出庫依頼書提出</t>
  </si>
  <si>
    <t>先行で出庫依頼許可ありメイン基板の交換実施。動作OK</t>
  </si>
  <si>
    <t>動作チェック異常なし本日出荷。　※セクタープローブはJTPで保管パーツ出庫依頼指示あり。クローズ</t>
  </si>
  <si>
    <t>S16-0709</t>
  </si>
  <si>
    <t>春日部嬉泉病院_0709</t>
  </si>
  <si>
    <t>S16-0710</t>
  </si>
  <si>
    <t>邑久光明園_0710 (2)</t>
  </si>
  <si>
    <t>2016/10/11-02</t>
  </si>
  <si>
    <t>株式会社 日立製作所　ヘルスケア岡山第一営業所</t>
  </si>
  <si>
    <t>086-235-0202</t>
  </si>
  <si>
    <t>〒701-4593 岡山県瀬戸内市邑久町虫明6253</t>
  </si>
  <si>
    <t>定期点検依頼
スタンダードプラン</t>
  </si>
  <si>
    <t>スタンダードプラン点検依頼分既に発注あり、プラン外故障部品について確認予定アダプター、ＡＣコード出力ＯｋﾌﾟﾛｰﾌﾞＯＫその他動作ＯＫ液晶ケーブル、ヒンジ調整、実施。その他、異常なし</t>
  </si>
  <si>
    <t>点検整備記録に基づく点検を実施　異常なし</t>
  </si>
  <si>
    <t>動作チェック異常なし本日出荷※次回点検時はバッテリー交換込のベストバリュープランをご提案済み</t>
  </si>
  <si>
    <t>S16-0711</t>
  </si>
  <si>
    <t>吉田クリニック_0711 (2)</t>
  </si>
  <si>
    <t>2016/10/11-05</t>
  </si>
  <si>
    <t>-</t>
    <phoneticPr fontId="2"/>
  </si>
  <si>
    <t>036LPY</t>
  </si>
  <si>
    <t>株式会社 八神製作所</t>
  </si>
  <si>
    <t>プローブ　→　　トランスジューサプロブレム表示
アダプタ　→　通電音がしないことがある</t>
  </si>
  <si>
    <t>チェッカー・本体接続　⇒　異常なし上記症状は再現しませんでした。現象不再現。断線なし。ラッチ側根本、被服破れ。　→　漏れ電流テスト、数値規定値内お貸出し中の代替機側のトラブルだったため、本製品は問題なし返却予定ACアダプタの出力正常、接初期不良なし、動作正常こちらも様子見で返却予定施設へTEL＞貸出中のACアダプタを使用し動作異常なしとのこと、返却様子見の許可あり</t>
  </si>
  <si>
    <t>プローブの被覆破れをビニルテープで補修</t>
  </si>
  <si>
    <t>S16-0712</t>
  </si>
  <si>
    <t>代替機NIM136_0712 (2)</t>
  </si>
  <si>
    <t>35633</t>
  </si>
  <si>
    <t>03-5469-3510</t>
  </si>
  <si>
    <t>代替機NIM136</t>
  </si>
  <si>
    <t>前カバー破損</t>
  </si>
  <si>
    <t>前面カバー固定用のツメ破損の為、前面カバーが開いた状態になるカバー根本の破損を確認。</t>
  </si>
  <si>
    <t>カバー調整、接着実施、前面カバー開閉正常、印刷正常。</t>
  </si>
  <si>
    <t>修理代替機に戻します。</t>
  </si>
  <si>
    <t>S16-0713</t>
  </si>
  <si>
    <t>岐阜市民病院_0713 (2)</t>
  </si>
  <si>
    <t>2016/10/13-05</t>
  </si>
  <si>
    <t>39750</t>
  </si>
  <si>
    <t>株式会社フォーム 岐阜支店</t>
  </si>
  <si>
    <t>小椋様</t>
  </si>
  <si>
    <t>〒500-8154　岐阜県岐阜市木ノ下町5-16</t>
    <rPh sb="10" eb="13">
      <t>ギフケン</t>
    </rPh>
    <rPh sb="13" eb="16">
      <t>ギフシ</t>
    </rPh>
    <rPh sb="16" eb="17">
      <t>キ</t>
    </rPh>
    <rPh sb="18" eb="19">
      <t>シタ</t>
    </rPh>
    <rPh sb="19" eb="20">
      <t>マチ</t>
    </rPh>
    <phoneticPr fontId="2"/>
  </si>
  <si>
    <t>058-240-0059</t>
  </si>
  <si>
    <t>058-240-0527</t>
  </si>
  <si>
    <t>058-251-1101</t>
    <phoneticPr fontId="2"/>
  </si>
  <si>
    <t>〒500-8513　岐阜県岐阜市鹿島町7丁目1番地</t>
    <phoneticPr fontId="2"/>
  </si>
  <si>
    <t>プリント出来ない　　※Sony修理は無償</t>
  </si>
  <si>
    <t>ローカル・リモートケーブル交換しても印刷が途中で止まる現象と印刷しても白紙状態で印刷される。印刷できない、印刷が途中で止まる症状確認、メーカー修理必要。メーカー発送実施保証書入手、東通産業転送済み　→　納入日2016/3/29</t>
  </si>
  <si>
    <t>S16-0714</t>
  </si>
  <si>
    <t>岡山大学病院_0714</t>
  </si>
  <si>
    <t>S16-0715</t>
  </si>
  <si>
    <t>岡山協立病院_0715 (2)</t>
  </si>
  <si>
    <t>SR#4244463</t>
  </si>
  <si>
    <t>086-272-2121</t>
    <phoneticPr fontId="2"/>
  </si>
  <si>
    <t>〒703-8511 岡山県岡山市中区赤坂本町8-10</t>
    <phoneticPr fontId="2"/>
  </si>
  <si>
    <t>電源を入れると、ﾌｧﾝは回るが、画面が映らなかった。
本件、8/31に修理完了したばかりのものですので、特に急ぎ対応して頂けますと幸いです。</t>
  </si>
  <si>
    <t>修理依頼番号：R161017144日付が初期化されている　2003年2月へ　→　再設定するとずれない　※バックアップバッテリー出力不良ではない状況からシャットオフに失敗し、画面が暗い状態で固まっていた可能性あり　→　バッテリー切れなどでリセットされた可能性ありただしFATテストでFailなため、要検証症状確認できず。フロントエンド基板交換にてFATPASS、フロントエンド基板故障にて症状が発生したと判断、交換必要。パーツ出庫依頼書提出</t>
  </si>
  <si>
    <t>パーツ出庫指示ありフロント基板の交換を実施。動作OK</t>
  </si>
  <si>
    <t>S16-0716</t>
  </si>
  <si>
    <t>京都大学医学部附属病院_0716 (2)</t>
  </si>
  <si>
    <t>SR#4244453</t>
  </si>
  <si>
    <t>03TBWV</t>
  </si>
  <si>
    <t>日本コヴィディエン株式会社 西日本透析営業所</t>
  </si>
  <si>
    <t>濱口様</t>
  </si>
  <si>
    <t>京都大学医学部附属病院</t>
  </si>
  <si>
    <t>075-751-3111</t>
    <phoneticPr fontId="2"/>
  </si>
  <si>
    <t>〒606-8507　京都府京都市左京区聖護院川原町54</t>
    <phoneticPr fontId="2"/>
  </si>
  <si>
    <t>ｴﾗｰ表示有り（C：15545）</t>
  </si>
  <si>
    <t>修理依頼番号：R161017142プローブ接続にてエラーコード15545 D:0xf67ff9ff発生電源基板故障の為交換必要他正常、バッテリーOKパーツ出庫依頼書提出</t>
  </si>
  <si>
    <t>パーツ出庫指示あり電源基板の交換を実施。動作OK</t>
  </si>
  <si>
    <t>S16-0717</t>
  </si>
  <si>
    <t>飯塚病院_0717 (2)</t>
  </si>
  <si>
    <t>SR#4244457</t>
  </si>
  <si>
    <t>2016/10/13-04</t>
  </si>
  <si>
    <t>WK18Q1</t>
  </si>
  <si>
    <t>株式会社アステム　筑豊支店</t>
  </si>
  <si>
    <t>〒820-0101　福岡県飯塚市綱分761-19</t>
    <phoneticPr fontId="2"/>
  </si>
  <si>
    <t>飯塚病院 ME</t>
  </si>
  <si>
    <t>技士 藤元様</t>
    <phoneticPr fontId="2"/>
  </si>
  <si>
    <t>ME</t>
    <phoneticPr fontId="2"/>
  </si>
  <si>
    <t>0948-22-3800</t>
    <phoneticPr fontId="2"/>
  </si>
  <si>
    <t>〒820-8505　福岡県飯塚市芳雄町3-83</t>
    <phoneticPr fontId="2"/>
  </si>
  <si>
    <t>上記症状が再現しました。電源基板交換にて電源入るようになったがアダプタつけると起動してしまう、電源基板、メイン基板故障の為交換必要。ディスプレイ変色　（白く表示される部分が通常より青みがかっている）ディスプレイ変色、ディスプレイケーブル交換しても改善せず、ディスプレイユニット交換必要。ミニドック正常バッテリー動作90分OK</t>
  </si>
  <si>
    <t>メイン基板、電源基板、ディスプレイの交換を実施。動作正常</t>
  </si>
  <si>
    <t>S16-0718</t>
  </si>
  <si>
    <t>金沢赤十字病院_0718 (2)</t>
  </si>
  <si>
    <t>2016/10/13-07</t>
  </si>
  <si>
    <t>辻様</t>
  </si>
  <si>
    <t>〒920-8539　石川県金沢市問屋町2-46</t>
    <phoneticPr fontId="2"/>
  </si>
  <si>
    <t>076-237-5557</t>
  </si>
  <si>
    <t>金沢赤十字病院 手術室</t>
  </si>
  <si>
    <t>手術室</t>
    <phoneticPr fontId="2"/>
  </si>
  <si>
    <t>076-242-8131</t>
    <phoneticPr fontId="2"/>
  </si>
  <si>
    <t>〒921-8162　石川県金沢市三馬2-251</t>
    <phoneticPr fontId="2"/>
  </si>
  <si>
    <t>画面がちらつく</t>
  </si>
  <si>
    <t>上記症状は再現しませんでした。DISPLAYケーブル断線、ケーブルを揺すると画面表示がぶれる　→　断線交換必要。バッテリー放電OK、他動作正常。各プローブ、TTC、ミニドック問題なし</t>
  </si>
  <si>
    <t>液晶ケーブルの交換実施動作正常</t>
  </si>
  <si>
    <t>S16-0719</t>
  </si>
  <si>
    <t>中濃厚生病院_0719</t>
  </si>
  <si>
    <t>S16-0720</t>
  </si>
  <si>
    <t>高槻赤十字病院_0720</t>
  </si>
  <si>
    <t>S16-0721</t>
  </si>
  <si>
    <t>代替機NIM101_0721</t>
    <phoneticPr fontId="2"/>
  </si>
  <si>
    <t>S16-0722</t>
  </si>
  <si>
    <t>富山大学附属病院_0722</t>
  </si>
  <si>
    <t>S16-0723</t>
  </si>
  <si>
    <t>久留米大学病院_0723 (2)</t>
  </si>
  <si>
    <t>SR#4244467</t>
  </si>
  <si>
    <t>2016/08/31-01</t>
  </si>
  <si>
    <t>WK1H80</t>
  </si>
  <si>
    <t>才所様</t>
  </si>
  <si>
    <t>〒830-0047　福岡県久留米市津福本町2348</t>
  </si>
  <si>
    <t>久留米大学病院</t>
  </si>
  <si>
    <t>〒830-0011 福岡県久留米市旭町67番地</t>
  </si>
  <si>
    <t>アダプタ差込口が緩い</t>
  </si>
  <si>
    <t>上記症状が再現しました。画面に細かい傷有り差込口が緩い為、セーフティシャットオフ状態になる及びAC電源入力が出来ない状態となるDINジャックの交換・補強が必要その他、動作OKパーツ出庫依頼書提出</t>
  </si>
  <si>
    <t>JTP在庫よりパーツ先行使用電源ジャックの交換実施。動作OK</t>
  </si>
  <si>
    <t>S16-0724</t>
  </si>
  <si>
    <t>奈良医科大学附属病院_0724</t>
  </si>
  <si>
    <t>S16-0725</t>
  </si>
  <si>
    <t>元町形成外科_0725 (2)</t>
  </si>
  <si>
    <t>SR#4247441</t>
  </si>
  <si>
    <t>2016/10/18-03</t>
  </si>
  <si>
    <t>03TB43</t>
  </si>
  <si>
    <t>源川医科器械株式会社　秋田支店</t>
  </si>
  <si>
    <t>嵯峨様</t>
  </si>
  <si>
    <t>〒011-0901　秋田県秋田市寺内字三千刈343-1</t>
    <rPh sb="10" eb="12">
      <t>アキタ</t>
    </rPh>
    <rPh sb="12" eb="13">
      <t>ケン</t>
    </rPh>
    <rPh sb="13" eb="16">
      <t>アキタシ</t>
    </rPh>
    <phoneticPr fontId="2"/>
  </si>
  <si>
    <t>018-862-1866</t>
  </si>
  <si>
    <t>018-865-3788</t>
  </si>
  <si>
    <t>元町形成外科</t>
  </si>
  <si>
    <t>橋田院長</t>
    <rPh sb="0" eb="1">
      <t>ハシダ</t>
    </rPh>
    <rPh sb="1" eb="3">
      <t>インチョウ</t>
    </rPh>
    <phoneticPr fontId="2"/>
  </si>
  <si>
    <t>0188-29-3003</t>
    <phoneticPr fontId="2"/>
  </si>
  <si>
    <t>〒010-1414　秋田県秋田市御所野元町5丁目12-1</t>
    <phoneticPr fontId="2"/>
  </si>
  <si>
    <t>①バッテリーの消耗が早い
②充電出来ない</t>
  </si>
  <si>
    <t>上記症状はさいげんしませんでした。バッテリー、アダプタは代替機。セーフティーシャットオフ発生せず。プローブ正常。10月24日にAssertCode　0発生ログあり、それ以前のログ無し。バッテリーにて充放電3回実施、バッテリー動作75分。全て施設のHFL38xにて放電テスト実施、少し放電時間が短いですが、異常なしと判断致します。クレーム施設のため、メイン基板交換にて対応予定自作の架台の上で使用しているとのことで、セーフティが起きている可能性あり　→　これについては報告書で説明予定</t>
  </si>
  <si>
    <t>メイン基板の交換実施。動作正常</t>
  </si>
  <si>
    <t>S16-0726</t>
  </si>
  <si>
    <t>友仁山崎病院_0726</t>
  </si>
  <si>
    <t>S16-0727</t>
  </si>
  <si>
    <t>大分大学医学部附属病院_0727</t>
  </si>
  <si>
    <t>S16-0728</t>
  </si>
  <si>
    <t>後藤麻酔科クリニック_0728</t>
  </si>
  <si>
    <t>S16-0729</t>
  </si>
  <si>
    <t>南町クリニック_0729</t>
  </si>
  <si>
    <t>〒108-0075  東京都港区港南一丁目2番70号　品川シーズンテラス　22F</t>
    <phoneticPr fontId="2"/>
  </si>
  <si>
    <t>S16-0730</t>
  </si>
  <si>
    <t>安房地域医療センター_0730</t>
  </si>
  <si>
    <t>S16-0731</t>
  </si>
  <si>
    <t>多摩総合医療センター_0731 (2)</t>
  </si>
  <si>
    <t>03359F</t>
  </si>
  <si>
    <t>東京都立多摩総合医療センター</t>
  </si>
  <si>
    <t>042-323-5111</t>
    <phoneticPr fontId="2"/>
  </si>
  <si>
    <t>〒183－8524 東京都府中市武蔵台2-8-29</t>
    <phoneticPr fontId="2"/>
  </si>
  <si>
    <t>電源がすぐ切れて使えない。</t>
  </si>
  <si>
    <t>修理依頼番号：R161024114アダプタ接続での動作正常。バッテリー充電中バッテリー動作1分程度で電源が切れる、バッテリー劣化による症状、バッテリー交換必要ですが販売終了。バッテリーの在庫なしについてご報告</t>
  </si>
  <si>
    <t>現象不再現・報告書あり返却(11/10)</t>
    <phoneticPr fontId="2"/>
  </si>
  <si>
    <t>S16-0732</t>
  </si>
  <si>
    <t>にへいなかよしクリニック_0732</t>
  </si>
  <si>
    <t>S16-0733</t>
  </si>
  <si>
    <t>島根大学医学部附属病院_0733 (2)</t>
  </si>
  <si>
    <t>2016/10/18-11</t>
  </si>
  <si>
    <t>03DMD9</t>
  </si>
  <si>
    <t>ティーエスアルフレッサ株式会社 出雲支店</t>
  </si>
  <si>
    <t>赤塚様</t>
  </si>
  <si>
    <t>〒693-0054 島根県出雲市浜町218番地1</t>
    <phoneticPr fontId="2"/>
  </si>
  <si>
    <t>0853-22-7700</t>
  </si>
  <si>
    <t>0853-22-0234</t>
  </si>
  <si>
    <t>島根大学医学部附属病院 手術部</t>
  </si>
  <si>
    <t>0853-23-2111</t>
    <phoneticPr fontId="2"/>
  </si>
  <si>
    <t>〒693-8501 島根県出雲市塩冶町89-1</t>
    <phoneticPr fontId="2"/>
  </si>
  <si>
    <t>プローブを付けるとnon connectedと画面に出ることが有る</t>
  </si>
  <si>
    <t>チェッカー確認　⇒　結果：異常なし本体接続テストを10回以上、繰返し実施したが上記症状は再現しませんでした。一度、ﾌﾟﾛｰﾌﾞ取付時にフリーズした。通常取り付け20回、ＴＴＣによる切り替え変え１０回実施、問題なしヒートラン中確認できず、M-Turbo、S-Nerveにて10回取付、取り外し実施し正常。プローブコネクタ接点に変色している箇所あり、アルコールにて清掃実施、清掃後も症状発生せず。テスト用S-Nerveにて接続30回実施、症状確認できず、診断画像正常。症状は確認できてないが、故障している場合はプローブ交換になる、一度返却様子見お願い。</t>
  </si>
  <si>
    <t>ティーエスアルフレッサ赤塚様へ連絡、症状確認できず、一旦ご返却了承頂きました。</t>
  </si>
  <si>
    <t>現象不再現・報告書あり返却(11/10)</t>
    <rPh sb="0" eb="2">
      <t>ゲンショウ</t>
    </rPh>
    <rPh sb="2" eb="3">
      <t>フ</t>
    </rPh>
    <rPh sb="3" eb="5">
      <t>サイゲン</t>
    </rPh>
    <rPh sb="6" eb="9">
      <t>ホウコクショ</t>
    </rPh>
    <rPh sb="11" eb="13">
      <t>ヘンキャク</t>
    </rPh>
    <phoneticPr fontId="2"/>
  </si>
  <si>
    <t>S16-0734</t>
  </si>
  <si>
    <t>倉敷中央病院_0734 (2)</t>
  </si>
  <si>
    <t>2016/10/11-03</t>
  </si>
  <si>
    <t>34158</t>
  </si>
  <si>
    <t>株式会社カワニシ 倉敷サービスセンター</t>
  </si>
  <si>
    <t>倉敷中央病院 臨床工学部</t>
  </si>
  <si>
    <t>CE 岡様</t>
    <rPh sb="3" eb="4">
      <t>オカ</t>
    </rPh>
    <rPh sb="4" eb="5">
      <t>サマ</t>
    </rPh>
    <phoneticPr fontId="2"/>
  </si>
  <si>
    <t>臨床工学部</t>
    <rPh sb="0" eb="2">
      <t>リンショウ</t>
    </rPh>
    <rPh sb="2" eb="5">
      <t>コウガクブ</t>
    </rPh>
    <phoneticPr fontId="2"/>
  </si>
  <si>
    <t xml:space="preserve">086-422-0210  </t>
    <phoneticPr fontId="2"/>
  </si>
  <si>
    <t>〒710-8602　岡山県倉敷市美和1-1-1</t>
    <phoneticPr fontId="2"/>
  </si>
  <si>
    <t>147435011</t>
    <phoneticPr fontId="2"/>
  </si>
  <si>
    <t>385776202</t>
    <phoneticPr fontId="2"/>
  </si>
  <si>
    <t>スイッチングれグレーﾀｰ</t>
  </si>
  <si>
    <t>上記症状が再現しました。11月4日メーカーへ発送実施スイッチングレギュレータ、プラテンローラ見積OKあり。メーカーへ修理進行依頼済み。</t>
  </si>
  <si>
    <t>S16-0735</t>
  </si>
  <si>
    <t>福山市民病院_0735 (2)</t>
  </si>
  <si>
    <t>SR#4245117</t>
  </si>
  <si>
    <t>2016/10/17-07</t>
  </si>
  <si>
    <t>WK2CWR</t>
  </si>
  <si>
    <t>共和医理器株式会社　福山支店</t>
  </si>
  <si>
    <t>084-924-3108</t>
  </si>
  <si>
    <t>084-924-3749</t>
  </si>
  <si>
    <t>福山市民病院</t>
  </si>
  <si>
    <t>P19910-01N</t>
  </si>
  <si>
    <t>立上り画面のまま動かない</t>
  </si>
  <si>
    <t>パワーオン直後にエラーコード10960 D:0が発生し立ち上がらないコード番号よりメイン基板交換が必要と判断パーツ出庫依頼書提出</t>
  </si>
  <si>
    <t>S16-0736</t>
  </si>
  <si>
    <t>市立島田市民病院_0736 (2)</t>
  </si>
  <si>
    <t>SR#4247447</t>
  </si>
  <si>
    <t>2016/10/26-02</t>
  </si>
  <si>
    <t>2016年3月31日納品</t>
  </si>
  <si>
    <t>043L67</t>
  </si>
  <si>
    <t>〒420-0804　静岡県静岡市葵区竜南1-17-17</t>
    <phoneticPr fontId="2"/>
  </si>
  <si>
    <t>054-247-7251</t>
    <phoneticPr fontId="2"/>
  </si>
  <si>
    <t>054-247-5957</t>
    <phoneticPr fontId="2"/>
  </si>
  <si>
    <t xml:space="preserve">市立島田市民病院 </t>
  </si>
  <si>
    <t>0547-35－2111</t>
    <phoneticPr fontId="2"/>
  </si>
  <si>
    <t>〒427-8502 静岡県島田市野田1200番地の5</t>
    <phoneticPr fontId="2"/>
  </si>
  <si>
    <t>タッチパネルのカーソルが勝手に動く。
（2016/10/26 オンサイト作業 担当：JTP高橋）</t>
  </si>
  <si>
    <t>コントロールパネルのスクロールが勝手に動くことを確認。指でタッチしても、反応しない・反応が遅い・反応位置がずれている過去修理履歴よりコントロールパネル故障のため交換必要。</t>
  </si>
  <si>
    <t>コントロールパネル交換 → 症状改善30分ヒートランニング異常なし現地作業完了引き上げたコントロールパネルを検証用X-Porteにセット　→　症状再現コンパネ故障と判断</t>
  </si>
  <si>
    <t>先行で使用したコンパネの出庫指示書返信有クローズ</t>
  </si>
  <si>
    <t>S16-0737</t>
  </si>
  <si>
    <t>市立札幌病院_0737</t>
  </si>
  <si>
    <t>S16-0738</t>
    <phoneticPr fontId="2"/>
  </si>
  <si>
    <t>母子保険総合医療センター_0738 (2)</t>
    <phoneticPr fontId="2"/>
  </si>
  <si>
    <t>2016/10/14-05</t>
  </si>
  <si>
    <t>WK1GL3</t>
  </si>
  <si>
    <t>〒540-0038 大阪府大阪市中央区内淡路町2丁目1番5号</t>
    <phoneticPr fontId="2"/>
  </si>
  <si>
    <t>06-6941-1363</t>
    <phoneticPr fontId="2"/>
  </si>
  <si>
    <t>大阪府立母子保健総合医療センター　ICU</t>
  </si>
  <si>
    <t>ICU</t>
    <phoneticPr fontId="2"/>
  </si>
  <si>
    <t>0725-56-1220</t>
    <phoneticPr fontId="2"/>
  </si>
  <si>
    <t>〒594-1101 大阪府和泉市室堂町840</t>
    <phoneticPr fontId="2"/>
  </si>
  <si>
    <t>プローブが使用出来たり、使用出来ない時がある</t>
  </si>
  <si>
    <t>10回程度、切替えテストを実施したが上記症状は再現しませんでした。セレクトボタン破損し、プローブが切り替わらない場合がある。交換が必要。</t>
  </si>
  <si>
    <t>上部カバーの交換実施。動作OK</t>
  </si>
  <si>
    <t>S16-0739</t>
  </si>
  <si>
    <t>手稲渓仁会病院_0739 (2)</t>
  </si>
  <si>
    <t>2016/10/24-03</t>
  </si>
  <si>
    <t>033Y5Y</t>
  </si>
  <si>
    <t>〒006-0811 北海道札幌市手稲区前田1条12丁目1番22号 西通BLD201</t>
    <phoneticPr fontId="2"/>
  </si>
  <si>
    <t>011-681-8111</t>
    <phoneticPr fontId="2"/>
  </si>
  <si>
    <t>〒006-8555 札幌市手稲区前田1条12丁目1-40</t>
    <phoneticPr fontId="2"/>
  </si>
  <si>
    <t>満タンに充電しても、直ぐにバッテリ切れになる</t>
  </si>
  <si>
    <t>バッテリ起動後、５分程度で上記症状が再現しました。（予備バッテリも同様）　　　　　Auto shutoff 5分ＡＣアダプター、ＡＣコードＯＫＬＯＴ　0908バッテリー放電テスト50分稼働ＬＯＴ　0105　バッテリー膨張している、交換必要、放電テスト予定設定の問題の可能性が高いLOT 0105放電、30分、バッテリー動作極端に短くは無い。　オートシャットオフ設定の可能性あり。膨張バッテリーは本体破損させてしまう可能性あり。</t>
  </si>
  <si>
    <t>TEL状況を説明＞オートシャットオフ設定 OFFに変更膨張バッテリー使用禁止上記条件で、返却OKバッテリー在庫切れについてはご説明済み</t>
  </si>
  <si>
    <t>※現象不再現→シャットオフ設定を5分からOFFに変更(11/14)</t>
    <rPh sb="1" eb="3">
      <t>ゲンショウ</t>
    </rPh>
    <rPh sb="3" eb="4">
      <t>フ</t>
    </rPh>
    <rPh sb="4" eb="6">
      <t>サイゲン</t>
    </rPh>
    <rPh sb="13" eb="15">
      <t>セッテイ</t>
    </rPh>
    <rPh sb="17" eb="18">
      <t>フン</t>
    </rPh>
    <rPh sb="24" eb="26">
      <t>ヘンコウ</t>
    </rPh>
    <phoneticPr fontId="2"/>
  </si>
  <si>
    <t>S16-0740</t>
  </si>
  <si>
    <t>大野内科_0740</t>
  </si>
  <si>
    <t>〒798-0068　愛媛県宇和島市明倫町2-2-31</t>
    <rPh sb="10" eb="13">
      <t>エヒメケン</t>
    </rPh>
    <rPh sb="13" eb="17">
      <t>ウワジマシ</t>
    </rPh>
    <rPh sb="17" eb="19">
      <t>メイリン</t>
    </rPh>
    <rPh sb="19" eb="20">
      <t>マチ</t>
    </rPh>
    <phoneticPr fontId="2"/>
  </si>
  <si>
    <t>院長</t>
    <rPh sb="0" eb="2">
      <t>インチョウ</t>
    </rPh>
    <phoneticPr fontId="2"/>
  </si>
  <si>
    <t>0895-45-0141</t>
    <phoneticPr fontId="2"/>
  </si>
  <si>
    <t>〒798-1344　愛媛県北宇和郡鬼北町近永618</t>
    <phoneticPr fontId="2"/>
  </si>
  <si>
    <t>S16-0741</t>
  </si>
  <si>
    <t>大分県立病院_0741 (2)</t>
  </si>
  <si>
    <t>2016/10/25-02</t>
  </si>
  <si>
    <t>03DX5V</t>
  </si>
  <si>
    <t>富士フイルムメディカル株式会社　大分営業所</t>
  </si>
  <si>
    <t>〒870-0848　大分県大分市賀来北2-16-1</t>
    <rPh sb="10" eb="13">
      <t>オオイタケン</t>
    </rPh>
    <rPh sb="13" eb="16">
      <t>オオイタシ</t>
    </rPh>
    <rPh sb="16" eb="18">
      <t>カク</t>
    </rPh>
    <rPh sb="18" eb="19">
      <t>キタ</t>
    </rPh>
    <phoneticPr fontId="2"/>
  </si>
  <si>
    <t>097-549-5166</t>
  </si>
  <si>
    <t>097-549-3444</t>
  </si>
  <si>
    <t>佐藤様</t>
    <rPh sb="0" eb="2">
      <t>サトウ</t>
    </rPh>
    <rPh sb="2" eb="3">
      <t>サマ</t>
    </rPh>
    <phoneticPr fontId="2"/>
  </si>
  <si>
    <t>MEセンター</t>
    <phoneticPr fontId="2"/>
  </si>
  <si>
    <t>097-546-7111</t>
    <phoneticPr fontId="2"/>
  </si>
  <si>
    <t>電源が急に落ちる</t>
  </si>
  <si>
    <t>バッテリ起動では電源メモリの減少が早いAC電源アダプタ経由では電源が落ちることは有りませんでした。バッテリー5分ほど稼働ACアダプター、コードＯＫアダプタ接続部問題なし。動作ＯＫバッテリーの消耗だと思われる。修理が出来ない事をご報告</t>
  </si>
  <si>
    <t>※修理キャンセル→返却(11/17) アステム　大分　伊藤様へ</t>
    <rPh sb="1" eb="3">
      <t>シュウリ</t>
    </rPh>
    <rPh sb="9" eb="11">
      <t>ヘンキャク</t>
    </rPh>
    <rPh sb="24" eb="26">
      <t>オオイタ</t>
    </rPh>
    <rPh sb="27" eb="29">
      <t>イトウ</t>
    </rPh>
    <rPh sb="29" eb="30">
      <t>サマ</t>
    </rPh>
    <phoneticPr fontId="2"/>
  </si>
  <si>
    <t>S16-0742</t>
  </si>
  <si>
    <t>大垣市民病院_0742</t>
  </si>
  <si>
    <t>S16-0743</t>
  </si>
  <si>
    <t>東京医科大学八王子医療センター_0743 (2)</t>
  </si>
  <si>
    <t>2016/10/27-01</t>
  </si>
  <si>
    <t>03480D</t>
  </si>
  <si>
    <t>株式会社栗原医療器械店　八王子支店</t>
    <phoneticPr fontId="2"/>
  </si>
  <si>
    <t>〒193-0831　東京都八王子市並木町36-8</t>
    <phoneticPr fontId="2"/>
  </si>
  <si>
    <t>042-686-0521</t>
  </si>
  <si>
    <t>042-629-1970</t>
  </si>
  <si>
    <t>東京医科大学八王子医療センター</t>
    <phoneticPr fontId="2"/>
  </si>
  <si>
    <t>042-665-5611</t>
    <phoneticPr fontId="2"/>
  </si>
  <si>
    <t>〒193-0998　東京都八王子市館町1163番地</t>
    <phoneticPr fontId="2"/>
  </si>
  <si>
    <t>①電源がすぐに切れる
②バッテリー消耗が早い
③画像にノイズが乗る</t>
  </si>
  <si>
    <t>①③については現象再現しました。③については現象未再現でした。Auto shut off 5分。バッテリー駆動不可、バッテリー故障ノイズは確認できないのでヒートラン中バッテリー故障、膨張し動作しない、取り外せなかった為分解し筐体から出しました。プローブホルダ破損、交換おすすめ、ドックコネクタ爪摩耗交換おすすめ。画面にノイズが入る症状確認できず、引き続きヒートラン中、アダプタでの動作正常。ノイズ症状確認できず、返却、様子を見て頂く方向で。</t>
  </si>
  <si>
    <t>バッテリー製造終了、在庫が無いため修理不能、DMATラベルあり、持ち運び運用前提と思われるため注意。</t>
  </si>
  <si>
    <t>バッテリーの供給終了と現象未再現のため、様子見返却。</t>
  </si>
  <si>
    <t>S16-0744</t>
  </si>
  <si>
    <t>上山病院_0744</t>
  </si>
  <si>
    <t>S16-0745</t>
  </si>
  <si>
    <t>新潟県立がんセンター新潟病院_0745</t>
  </si>
  <si>
    <t>S16-0746</t>
  </si>
  <si>
    <t>先端医療センター病院_0746</t>
  </si>
  <si>
    <t>〒650-0047　兵庫県神戸市中央区港島南町4-6-1</t>
    <rPh sb="10" eb="13">
      <t>ヒョウゴケン</t>
    </rPh>
    <rPh sb="13" eb="16">
      <t>コウベシ</t>
    </rPh>
    <rPh sb="16" eb="19">
      <t>チュウオウク</t>
    </rPh>
    <rPh sb="19" eb="20">
      <t>ミナト</t>
    </rPh>
    <rPh sb="20" eb="21">
      <t>ジマ</t>
    </rPh>
    <rPh sb="21" eb="22">
      <t>ミナミ</t>
    </rPh>
    <rPh sb="22" eb="23">
      <t>マチ</t>
    </rPh>
    <phoneticPr fontId="2"/>
  </si>
  <si>
    <t>木戸様</t>
    <rPh sb="0" eb="2">
      <t>キド</t>
    </rPh>
    <rPh sb="2" eb="3">
      <t>サマ</t>
    </rPh>
    <phoneticPr fontId="2"/>
  </si>
  <si>
    <t>病院管理課</t>
    <rPh sb="0" eb="2">
      <t>ビョウイン</t>
    </rPh>
    <rPh sb="2" eb="4">
      <t>カンリ</t>
    </rPh>
    <rPh sb="4" eb="5">
      <t>カ</t>
    </rPh>
    <phoneticPr fontId="2"/>
  </si>
  <si>
    <t>078-306-0826</t>
    <phoneticPr fontId="2"/>
  </si>
  <si>
    <t>〒650-0047　兵庫県中央区港島南町2-2</t>
    <rPh sb="10" eb="13">
      <t>ヒョウゴケン</t>
    </rPh>
    <rPh sb="13" eb="16">
      <t>チュウオウク</t>
    </rPh>
    <rPh sb="16" eb="17">
      <t>ミナト</t>
    </rPh>
    <rPh sb="17" eb="18">
      <t>ジマ</t>
    </rPh>
    <rPh sb="18" eb="19">
      <t>ミナミ</t>
    </rPh>
    <rPh sb="19" eb="20">
      <t>マチ</t>
    </rPh>
    <phoneticPr fontId="2"/>
  </si>
  <si>
    <t>S16-0747</t>
  </si>
  <si>
    <t>うしくぼ消化器・内科クリニック_0747 (2)</t>
  </si>
  <si>
    <t>2016/10/20-01</t>
  </si>
  <si>
    <t>39580</t>
  </si>
  <si>
    <t>牛窪院長</t>
  </si>
  <si>
    <t>〒231-0028　神奈川県横浜市中区翁町1-4-1-2F</t>
    <rPh sb="10" eb="14">
      <t>カナガワケン</t>
    </rPh>
    <rPh sb="14" eb="17">
      <t>ヨコハマシ</t>
    </rPh>
    <rPh sb="17" eb="19">
      <t>ナカク</t>
    </rPh>
    <rPh sb="19" eb="20">
      <t>オキナ</t>
    </rPh>
    <rPh sb="20" eb="21">
      <t>マチ</t>
    </rPh>
    <phoneticPr fontId="2"/>
  </si>
  <si>
    <t>045-820-6251</t>
  </si>
  <si>
    <t>045-820-6295</t>
  </si>
  <si>
    <t>うしくぼ消化器・内科クリニック</t>
  </si>
  <si>
    <t>牛窪利明様</t>
    <rPh sb="0" eb="2">
      <t>ウシクボ</t>
    </rPh>
    <rPh sb="2" eb="4">
      <t>トシアキ</t>
    </rPh>
    <rPh sb="4" eb="5">
      <t>サマ</t>
    </rPh>
    <phoneticPr fontId="2"/>
  </si>
  <si>
    <t>045-222-9533</t>
    <phoneticPr fontId="2"/>
  </si>
  <si>
    <t>〒231-0028　神奈川県横浜市西区翁町1-4-1-2F</t>
    <rPh sb="10" eb="14">
      <t>カナガワケン</t>
    </rPh>
    <rPh sb="14" eb="17">
      <t>ヨコハマシ</t>
    </rPh>
    <rPh sb="17" eb="19">
      <t>ニシク</t>
    </rPh>
    <rPh sb="19" eb="20">
      <t>オキナ</t>
    </rPh>
    <rPh sb="20" eb="21">
      <t>マチ</t>
    </rPh>
    <phoneticPr fontId="2"/>
  </si>
  <si>
    <t>1468455641</t>
    <phoneticPr fontId="2"/>
  </si>
  <si>
    <t>125185515</t>
    <phoneticPr fontId="2"/>
  </si>
  <si>
    <t>362390905</t>
    <phoneticPr fontId="2"/>
  </si>
  <si>
    <t>X36056755</t>
  </si>
  <si>
    <t>スイッチングレグレーター</t>
  </si>
  <si>
    <t>サーマルヘッド</t>
  </si>
  <si>
    <t>カッターASSY</t>
  </si>
  <si>
    <t>上記症状が再現しました。東通産業へ発送。スイッチングレギュレータ、サーマルヘッド、プラテンローラ、カッターの交換見積OKあり。メーカーへ修理依頼済み</t>
  </si>
  <si>
    <t>修理完了日到着。動作OK</t>
  </si>
  <si>
    <t>S16-0748</t>
  </si>
  <si>
    <t>熊本中央病院_0748 (2)</t>
  </si>
  <si>
    <t>2016/10/25-07</t>
  </si>
  <si>
    <t>030B9B</t>
  </si>
  <si>
    <t>豊世様</t>
  </si>
  <si>
    <t>〒860-0826　熊本県熊本市南区平田2-12-18</t>
    <phoneticPr fontId="2"/>
  </si>
  <si>
    <t>096-370-3111</t>
    <phoneticPr fontId="2"/>
  </si>
  <si>
    <t>〒862-0965 熊本県熊本市南区田井島1-5-1</t>
    <phoneticPr fontId="2"/>
  </si>
  <si>
    <t>画面がかたまって作動しない</t>
  </si>
  <si>
    <t>若干、バッテリ残表示の目盛が早く落ちる。受付確認中は、電源が落ちることは無かった。症状確認できず、放電中電源スイッチが若干引っ掛かりあり、反応は良好放電90分弱動作正常を確認。Notesから、「電源が落とせない、バッテリーを抜いて落としている。画面表示がおかしい、ノイズがのる。」との情報あり。前半は電源スイッチ引っかかり、後半は見込み液晶ケーブル（P01213）の交換でOK。　その他異常なし。現象不再現を報告。見込見積か様子見返却。返却希望で了承。</t>
  </si>
  <si>
    <t>S16-0749</t>
  </si>
  <si>
    <t>徳之島徳洲会病院_0749 (2)</t>
  </si>
  <si>
    <t>2016/10/24-01</t>
  </si>
  <si>
    <t>01J41B</t>
  </si>
  <si>
    <t>文元様</t>
  </si>
  <si>
    <t>〒891-7101　鹿児島県大島郡徳之島町亀津7588</t>
    <phoneticPr fontId="2"/>
  </si>
  <si>
    <t>0997-83-1100</t>
  </si>
  <si>
    <t>0997-83-3756</t>
  </si>
  <si>
    <t>徳之島徳洲会病院　総務（資材）</t>
  </si>
  <si>
    <t>文元様</t>
    <rPh sb="0" eb="2">
      <t>フミモト</t>
    </rPh>
    <rPh sb="2" eb="3">
      <t>サマ</t>
    </rPh>
    <phoneticPr fontId="2"/>
  </si>
  <si>
    <t>総務（資材）</t>
    <rPh sb="0" eb="2">
      <t>ソウム</t>
    </rPh>
    <rPh sb="3" eb="5">
      <t>シザイ</t>
    </rPh>
    <phoneticPr fontId="2"/>
  </si>
  <si>
    <t>0997-83-1100</t>
    <phoneticPr fontId="2"/>
  </si>
  <si>
    <t>モニターに線が入ります。</t>
  </si>
  <si>
    <t>上記症状が再現しました。ヒンジ部が緩い。接触部清掃を実施したが、データ転送およびFATテスト不可の状態となる。C60プローブヘッドを振るとカラカラ音が鳴る。内部破損しているものと推察。RF Bus Test Fail。モニターに線が入る　→　ディスプレイの故障。　ヒンジ硬化。ベース筐体、経年劣化で内部破損。ディスプレイ、ベース筐体、ヒンジ、必須交換。メイン基板、C60プローブ推奨交換。ベース筐体が供給されていないため、修理不能。</t>
  </si>
  <si>
    <t>修理不能についてご報告したところ、返却希望とのこと修理キャンセル※　修理不能書送付本日返却</t>
  </si>
  <si>
    <t>※修理キャンセル→返却(11/21)</t>
    <rPh sb="1" eb="3">
      <t>シュウリ</t>
    </rPh>
    <rPh sb="9" eb="11">
      <t>ヘンキャク</t>
    </rPh>
    <phoneticPr fontId="2"/>
  </si>
  <si>
    <t>S16-0750</t>
  </si>
  <si>
    <t>湯布院病院_0750 (2)</t>
  </si>
  <si>
    <t>SR#4246593</t>
  </si>
  <si>
    <t>2016/10/18-10</t>
  </si>
  <si>
    <t>WK1YVN</t>
  </si>
  <si>
    <t>フクダ電子西部南販売株式会社　大分営業所</t>
  </si>
  <si>
    <t>湯布院病院</t>
  </si>
  <si>
    <t>エラーコード10960発生</t>
  </si>
  <si>
    <t>パワーオン直後にエラーコード10960 D:0発生AC:10960発生を確認。メイン基板の故障。バッテリー稼働、80分。パーツ出庫依頼書提出</t>
  </si>
  <si>
    <t>S16-0751</t>
  </si>
  <si>
    <t>相澤病院１_0751</t>
  </si>
  <si>
    <t>S16-0752</t>
  </si>
  <si>
    <t>相澤病院２_0752</t>
  </si>
  <si>
    <t>S16-0753</t>
  </si>
  <si>
    <t>近江八幡市立総合医療センター_0753</t>
  </si>
  <si>
    <t>S16-0754</t>
  </si>
  <si>
    <t>済生会宇都宮病院_0754</t>
  </si>
  <si>
    <t>S16-0755</t>
  </si>
  <si>
    <t>岸和田徳洲会病院_0755 (2)</t>
  </si>
  <si>
    <t>SR#4246595</t>
  </si>
  <si>
    <t>2016/10/26-01</t>
  </si>
  <si>
    <t>WK2JTP</t>
  </si>
  <si>
    <t>P02172-03</t>
  </si>
  <si>
    <t>WIRE HARNESS, INVERTER, C2</t>
  </si>
  <si>
    <t>角度によって画面表示が乱れる</t>
  </si>
  <si>
    <t>上記症状が再現しました。モニタ開閉によって画面のぶれることを確認。インターポージャ爪折れあり。ﾌﾟﾛｰﾌﾞ認識するが交換必要モニタの液晶ケーブル(青、赤)、液晶ケーブル（緑）の被覆が破れている、交換必要その他動作ＯＫパーツ出庫依頼書提出</t>
  </si>
  <si>
    <t>JTP部品を使用して先行修理液晶ケーブル、インバータケーブル、接触端子の交換実施。動作OK</t>
  </si>
  <si>
    <t>S16-0756</t>
  </si>
  <si>
    <t>富山協立病院_0756 (2)</t>
  </si>
  <si>
    <t>SR#4247433</t>
  </si>
  <si>
    <t>2016/10/27-04</t>
  </si>
  <si>
    <t>WK3B83</t>
  </si>
  <si>
    <t>株式会社半田　富山営業所</t>
  </si>
  <si>
    <t>〒930-0173　富山県富山市野口391</t>
    <rPh sb="10" eb="13">
      <t>トヤマケン</t>
    </rPh>
    <rPh sb="13" eb="16">
      <t>トヤマシ</t>
    </rPh>
    <rPh sb="16" eb="18">
      <t>ノグチ</t>
    </rPh>
    <phoneticPr fontId="2"/>
  </si>
  <si>
    <t>076-471-6511</t>
  </si>
  <si>
    <t>076-471-6522</t>
  </si>
  <si>
    <t>富山協立病院　生理検査室</t>
  </si>
  <si>
    <t>076-433-1077</t>
    <phoneticPr fontId="2"/>
  </si>
  <si>
    <t>〒931-8501　富山県富山市豊田町1丁目1-8</t>
    <phoneticPr fontId="2"/>
  </si>
  <si>
    <t>MAIN PCBA, M-Turbo、ROHS</t>
  </si>
  <si>
    <t>エラーコードが出る</t>
  </si>
  <si>
    <t>パワーオン直後にエラーコード10960 D:0発生1回のみ発生し、その後は発生しませんでした。AC:10960　→　メイン基板の故障。　バッテリー稼働、90分。パーツ出庫依頼書提出</t>
  </si>
  <si>
    <t>S16-0757</t>
  </si>
  <si>
    <t>守谷慶友病院_0757</t>
  </si>
  <si>
    <t>S16-0758</t>
  </si>
  <si>
    <t>四街道徳洲会病院_0758 (2)</t>
  </si>
  <si>
    <t>038LLR</t>
  </si>
  <si>
    <t>四街道徳洲会病院　沖縄徳洲会</t>
  </si>
  <si>
    <t>043-214-0111</t>
    <phoneticPr fontId="2"/>
  </si>
  <si>
    <t>〒284-0032　千葉県四街道市吉岡1830-1</t>
    <phoneticPr fontId="2"/>
  </si>
  <si>
    <t>電源が急に切れてしまうことがある。</t>
  </si>
  <si>
    <t>修理依頼番号：R161028154ACケーブル　アース棒なし1-4番間端子　出力異常　⇒　0.7V（通常：3.3V）入荷時：Auto ShutOff：5分。　→　設定変更を案内ACアダプタ故障。　→　ACアダプタ交換必須電源コード、アースピンなし。　→　電源ケーブル交換必須バッテリー稼働時間：60分</t>
  </si>
  <si>
    <t>見積OKありACアダプタと電源ケーブルの交換実施。動作OKuto ShutOff：　OFFへ変更</t>
  </si>
  <si>
    <t>S16-0759</t>
  </si>
  <si>
    <t>名古屋医療センター_0759 (2)</t>
  </si>
  <si>
    <t>03854Q</t>
  </si>
  <si>
    <t>名古屋医療センター　国立病院機構</t>
  </si>
  <si>
    <t>052-951-1111</t>
    <phoneticPr fontId="2"/>
  </si>
  <si>
    <t xml:space="preserve">〒460-0001　愛知県名古屋市中区三の丸4-1-1 </t>
    <phoneticPr fontId="2"/>
  </si>
  <si>
    <t>P06527-01</t>
  </si>
  <si>
    <t>ASSEMBLY, PCB, ILOOK CONTROL PANEL</t>
  </si>
  <si>
    <t>本体の操作ﾎﾞﾀﾝが、指示通りに動かない⇒十字ﾎﾞﾀﾝの↓向きに押すと常に押された状態となり画面上の選択ができない。ｽﾀﾝﾄﾞの点検もお願いします。
★ﾊﾞｯﾃﾘｰに関しては、購入しているものがあり交換不要です。</t>
  </si>
  <si>
    <t>十字ボタンの下の部分を押すと固まってそのまま戻らない。修理依頼番号:R161031063十字ﾎﾞﾀﾝの↓向きに押すと常に押された状態となる。　→　コントロール基板のスイッチの劣化。十字キーの向きを180度回転させて付け直しを実施。　→　一時的に症状改善。今後の使用で、再発する可能性あり。iLook Stand、DC-INジャック、ツメ折れ。交換おすすめ。</t>
  </si>
  <si>
    <t>見積OKありコントロールパネルとスタンド内部基板の交換を実施。動作OK</t>
  </si>
  <si>
    <t>S16-0760</t>
  </si>
  <si>
    <t>大分医療センター_0760</t>
  </si>
  <si>
    <t>S16-0761</t>
  </si>
  <si>
    <t>福岡徳洲会病院_0761（2）</t>
  </si>
  <si>
    <t>2016/10/13-06</t>
  </si>
  <si>
    <t>01J3BZ</t>
  </si>
  <si>
    <t>牧島様</t>
  </si>
  <si>
    <t>〒812-0062 福岡市東区松島1丁目41番21号</t>
    <phoneticPr fontId="2"/>
  </si>
  <si>
    <t>福岡徳洲会病院　腹部エコー室</t>
    <phoneticPr fontId="2"/>
  </si>
  <si>
    <t>腹部エコー室</t>
    <rPh sb="0" eb="2">
      <t>フクブ</t>
    </rPh>
    <rPh sb="5" eb="6">
      <t>シツ</t>
    </rPh>
    <phoneticPr fontId="2"/>
  </si>
  <si>
    <t>092-573-6622</t>
    <phoneticPr fontId="2"/>
  </si>
  <si>
    <t>〒816-0864 福岡県春日市須玖北4丁目5番地</t>
    <phoneticPr fontId="2"/>
  </si>
  <si>
    <t>プローブ断線疑い</t>
  </si>
  <si>
    <t>チェッカー・本体接続　⇒　結果：異常なし上記症状は再現しませんでした。コネクタ側根本の被覆が数ミリ破れている。内部のシールド線、信号線には損傷なし画像にも問題なし報告＞　修理不能、価格についてご案内　→　一旦返却様子見となりました。</t>
  </si>
  <si>
    <t>絶縁テープで補強返却</t>
  </si>
  <si>
    <t>S16-0762</t>
  </si>
  <si>
    <t>市立札幌病院_0762</t>
  </si>
  <si>
    <t>S16-0763</t>
  </si>
  <si>
    <t>日立おおみか病院_0763</t>
  </si>
  <si>
    <t>S16-0764</t>
  </si>
  <si>
    <t>日立総合病院_0764 (2)</t>
  </si>
  <si>
    <t>2016/10/18-01</t>
  </si>
  <si>
    <t>38122</t>
  </si>
  <si>
    <t>〒309-1703　茨城県水戸市石川2-4090-1</t>
    <rPh sb="10" eb="13">
      <t>イバラギケン</t>
    </rPh>
    <rPh sb="13" eb="16">
      <t>ミトシ</t>
    </rPh>
    <rPh sb="16" eb="18">
      <t>イシカワ</t>
    </rPh>
    <phoneticPr fontId="2"/>
  </si>
  <si>
    <t>0294-23-1111</t>
    <phoneticPr fontId="2"/>
  </si>
  <si>
    <t>〒317-0077　茨城県日立市城南町2-1-1</t>
    <phoneticPr fontId="2"/>
  </si>
  <si>
    <t>169143111</t>
    <phoneticPr fontId="2"/>
  </si>
  <si>
    <t>ＢＮＣコネクタ</t>
  </si>
  <si>
    <t>プリントされない</t>
  </si>
  <si>
    <t>ローカル・リモート共に印刷されない状態でした。メーカーへ発送見積提出。</t>
  </si>
  <si>
    <t>見積OK。メーカーへ修理進行依頼。修理完了日到着。動作OK、外観OK</t>
  </si>
  <si>
    <t>S16-0765</t>
  </si>
  <si>
    <t>健和会大手町病院_0765 (2)</t>
  </si>
  <si>
    <t>2016/10/31-03</t>
  </si>
  <si>
    <t>03M46B</t>
  </si>
  <si>
    <t>ジーエムメディカル株式会社</t>
  </si>
  <si>
    <t xml:space="preserve">〒810-0071　福岡県福岡市中央区那の津4丁目8-25 </t>
    <phoneticPr fontId="2"/>
  </si>
  <si>
    <t>092-722-1536</t>
  </si>
  <si>
    <t>092-722-1537</t>
  </si>
  <si>
    <t>健和会大手町病院　麻酔科</t>
  </si>
  <si>
    <t>ME高橋様</t>
    <rPh sb="2" eb="4">
      <t>タカハシ</t>
    </rPh>
    <rPh sb="4" eb="5">
      <t>サマ</t>
    </rPh>
    <phoneticPr fontId="2"/>
  </si>
  <si>
    <t>093-592-5511</t>
    <phoneticPr fontId="2"/>
  </si>
  <si>
    <t>〒803-8543　福岡県北九州市小倉北区大手町15-1</t>
    <phoneticPr fontId="2"/>
  </si>
  <si>
    <t>①画像が黒く抜けている
②バッテリ消耗が早い</t>
  </si>
  <si>
    <t>①チェッカー確認　⇒　ヘッド部根元で揺らすと12Ω～25Ωで抵抗値が変動（断線）上記①の症状が再現しました（添付資料参照）上記②についてはバッテリ消耗が早い状態でありました。写真送付したが、5年保証シールあり。製造年からは微妙に保証外なので確認する必要あり。　　※確認/保証外別途預かりのバッテリーは消耗早い。30分ぐらい。指摘事項なので改善の為交換必要。その他OK。</t>
  </si>
  <si>
    <t>プローブの修理不能書提出　TO：松尾様バッテリーに関しても今回はFMSより合算見積を提出することで合意</t>
  </si>
  <si>
    <t>毛利様より、返却依頼あり　　※代替機返却いただけるとのこと。本日返却</t>
  </si>
  <si>
    <t>※修理キャンセル→返却(11/18)</t>
    <rPh sb="1" eb="3">
      <t>シュウリ</t>
    </rPh>
    <rPh sb="9" eb="11">
      <t>ヘンキャク</t>
    </rPh>
    <phoneticPr fontId="2"/>
  </si>
  <si>
    <t>S16-0766</t>
  </si>
  <si>
    <t>磐城協立病院_0766</t>
  </si>
  <si>
    <t>S16-0767</t>
  </si>
  <si>
    <t>のぞみ鍼灸整骨院_0767 (2)</t>
  </si>
  <si>
    <t>2016/10/21-01</t>
  </si>
  <si>
    <t>WK05QN</t>
  </si>
  <si>
    <t>〒305-0853　茨城県つくば市榎戸748-2　榎戸倉庫6スパン</t>
    <phoneticPr fontId="2"/>
  </si>
  <si>
    <t>のぞみ鍼灸整骨院</t>
  </si>
  <si>
    <t>053-545-3383</t>
    <phoneticPr fontId="2"/>
  </si>
  <si>
    <t>〒434-0026　静岡県浜松市浜北区東美薗76</t>
    <phoneticPr fontId="2"/>
  </si>
  <si>
    <t>液晶パネル内外共に接着剤が漏れ出ている</t>
  </si>
  <si>
    <t>画面上部に気泡有り上記症状が再現しました。ある程度、清掃にて拭き取ったが若干、接着剤が残っている状態液漏れ確認、モニタ外まで漏れている。ミニドック接続部は大丈夫気泡入っているためモニタ交換必要。ﾌﾟﾛｰﾌﾞ、ＡＣアダプター、コード、ミニドック、本体動作ＯＫ。バッテリー９０分以上OK</t>
  </si>
  <si>
    <t>ディスプレイの交換で見積OKあり　　※バッテリー交換不要ディスプレイの交換実施。動作OK</t>
  </si>
  <si>
    <t>S16-0768</t>
  </si>
  <si>
    <t>高槻病院_0768 (2)</t>
  </si>
  <si>
    <t>愛仁会　高槻病院　</t>
  </si>
  <si>
    <t>電源が入らない。</t>
  </si>
  <si>
    <t>修理依頼番号：R161104117スタンド出力電圧確認　⇒　結果：異常なし（15V）症状確認できずYコネクタのアダプタ接続部しっかし刺さってない事を確認、補強、差し直し実施。スタンドに乗せヒートラン中。アダプタコネクタ上下にぐりぐりしながらNanoDockから抜くとセーフティーシャットオフが掛かる。バックエンド基板のNANODOCKコネクタ調整実施、その後NANODOCKのDINソケットとアダプタの接続部抜き差し40回実施、正常。ヒートランテスト、充電テスト中充電実施中、11月28日充電、放電実施し問題なければ、一旦返却の方向で。</t>
  </si>
  <si>
    <t>90分以上動作確認。</t>
  </si>
  <si>
    <t>S16-0769</t>
  </si>
  <si>
    <t>市立池田病院_0769</t>
  </si>
  <si>
    <t>S16-0770</t>
  </si>
  <si>
    <t>デモ機FJY3_770</t>
  </si>
  <si>
    <t>S16-0771</t>
  </si>
  <si>
    <t>獨協医科大学越谷病院_0771</t>
  </si>
  <si>
    <t>S16-0772</t>
  </si>
  <si>
    <t>和田病院_0772</t>
  </si>
  <si>
    <t>S16-0773</t>
  </si>
  <si>
    <t>東北労災病院_0773</t>
    <phoneticPr fontId="2"/>
  </si>
  <si>
    <t>S16-0774</t>
  </si>
  <si>
    <t>大阪市立大学病院_0774</t>
  </si>
  <si>
    <t>S16-0775</t>
  </si>
  <si>
    <t>熊本大学医学部附属病院_0775</t>
  </si>
  <si>
    <t>S16-0776</t>
  </si>
  <si>
    <t>大分記念病院_0776</t>
  </si>
  <si>
    <t>S16-0777</t>
  </si>
  <si>
    <t>日本赤十字社和歌山医療センター_0777</t>
  </si>
  <si>
    <t>S16-0778</t>
  </si>
  <si>
    <t>南部徳洲会病院_0778 (2)</t>
  </si>
  <si>
    <t>2016/11/08-02</t>
  </si>
  <si>
    <t>WK1TRC</t>
  </si>
  <si>
    <t>アイティーアイ株式会社　沖縄支店</t>
  </si>
  <si>
    <t>佐野様</t>
  </si>
  <si>
    <t>〒900-0001　沖縄県那覇市港町2-9-5</t>
    <phoneticPr fontId="2"/>
  </si>
  <si>
    <t>南部徳洲会病院　MEセンター（ER）</t>
  </si>
  <si>
    <t>宮国様</t>
    <phoneticPr fontId="2"/>
  </si>
  <si>
    <t>MEセンター(ER)</t>
    <phoneticPr fontId="2"/>
  </si>
  <si>
    <t>098-998-3221</t>
    <phoneticPr fontId="2"/>
  </si>
  <si>
    <t>〒901-0417 沖縄県島尻郡八重瀬町外間171-1</t>
    <phoneticPr fontId="2"/>
  </si>
  <si>
    <t>カラードップラー使用出来ない</t>
  </si>
  <si>
    <t>ドップラーテストを実施した結果　⇒　正常に終了しました。上記症状は再現しませんでした。CW異常なし。その他動作確認予定。現象不再現、動作異常なし。様子見返却で対応。</t>
  </si>
  <si>
    <t>一旦様子見返却でOK</t>
  </si>
  <si>
    <t>※現象不再現→返却(11/17)</t>
    <rPh sb="1" eb="3">
      <t>ゲンショウ</t>
    </rPh>
    <rPh sb="3" eb="4">
      <t>フ</t>
    </rPh>
    <rPh sb="4" eb="6">
      <t>サイゲン</t>
    </rPh>
    <rPh sb="7" eb="9">
      <t>ヘンキャク</t>
    </rPh>
    <phoneticPr fontId="2"/>
  </si>
  <si>
    <t>S16-0779</t>
  </si>
  <si>
    <t>北里大学病院_0779</t>
  </si>
  <si>
    <t>S16-0780</t>
  </si>
  <si>
    <t>はるこま皮膚科形成外科_0780 (2)</t>
  </si>
  <si>
    <t>2016/10/28-06</t>
  </si>
  <si>
    <t>0206ZQ</t>
  </si>
  <si>
    <t>施設直接依頼分</t>
  </si>
  <si>
    <t>院長 巖様</t>
  </si>
  <si>
    <t>〒080-0028　北海道帯広市西18条4丁目16-3　緑西ビル1Ｆ</t>
    <rPh sb="10" eb="13">
      <t>ホッカイドウ</t>
    </rPh>
    <rPh sb="13" eb="16">
      <t>オビヒロシ</t>
    </rPh>
    <rPh sb="16" eb="17">
      <t>ニシ</t>
    </rPh>
    <rPh sb="19" eb="20">
      <t>ジョウ</t>
    </rPh>
    <rPh sb="21" eb="23">
      <t>チョウメ</t>
    </rPh>
    <rPh sb="28" eb="29">
      <t>ミドリ</t>
    </rPh>
    <rPh sb="29" eb="30">
      <t>ニシ</t>
    </rPh>
    <phoneticPr fontId="2"/>
  </si>
  <si>
    <t>0155-38-5678</t>
  </si>
  <si>
    <t>01555-38-5680</t>
  </si>
  <si>
    <t>はるこま皮膚科形成外科</t>
  </si>
  <si>
    <t>巖先生</t>
    <rPh sb="0" eb="1">
      <t>イワオ</t>
    </rPh>
    <rPh sb="1" eb="3">
      <t>センセイ</t>
    </rPh>
    <phoneticPr fontId="2"/>
  </si>
  <si>
    <t>0155-38-5678</t>
    <phoneticPr fontId="2"/>
  </si>
  <si>
    <t>〒080-0028　北海道帯広市西18条4丁目16-3　緑西ビル1Ｆ</t>
    <phoneticPr fontId="2"/>
  </si>
  <si>
    <t>画面が映らない
（数年前に中古で購入した製品とのこと）</t>
  </si>
  <si>
    <t>上記症状が再現しました。40PIN交換にて改善、反応の悪いキーがある「←→、Freeze。Measure」強く押せば反応する、交換おすすめ。電源スイッチエレメント部摩耗、交換おすすめ。ヒンジが固い、交換必須バッテリー放電時間 90分以上見積提出</t>
  </si>
  <si>
    <t>必須交換で見積OK液晶ケーブル、スイッチ、ヒンジの交換実施。動作OK</t>
  </si>
  <si>
    <t>S16-0781</t>
  </si>
  <si>
    <t>新東京病院_0781 (2)</t>
  </si>
  <si>
    <t>SR#4249551</t>
  </si>
  <si>
    <t>2016/11/02-02</t>
  </si>
  <si>
    <t>03YRFY</t>
  </si>
  <si>
    <t>富士フイルムメディカル株式会社　茨城営業所</t>
  </si>
  <si>
    <t>〒300-0034　茨城県土浦市港町1-10-7</t>
    <phoneticPr fontId="2"/>
  </si>
  <si>
    <t>新東京病院</t>
  </si>
  <si>
    <t>小川様</t>
    <rPh sb="0" eb="1">
      <t>オガワ</t>
    </rPh>
    <rPh sb="1" eb="2">
      <t>サマ</t>
    </rPh>
    <phoneticPr fontId="2"/>
  </si>
  <si>
    <t>検査</t>
    <rPh sb="0" eb="1">
      <t>ケンサ</t>
    </rPh>
    <phoneticPr fontId="2"/>
  </si>
  <si>
    <t>047-711-8700</t>
    <phoneticPr fontId="2"/>
  </si>
  <si>
    <t>〒270-2232　千葉県松戸市和名ヶ谷1271</t>
    <phoneticPr fontId="2"/>
  </si>
  <si>
    <t>電源は入るが充電されない
日時ずれ</t>
  </si>
  <si>
    <t>上記症状は再現しませんでした。バッテリ取り外し後に日付けが2001/1/1に戻ってしまう時刻を再セット後、に取り外し・取り付けを実施したが現象は上記と同様に発生しました。バックアップバッテリーの出力不良　→　交換必須電源に関してはスタンド側のアダプタ故障の可能性あり　パーツ出庫依頼書提出</t>
  </si>
  <si>
    <t>JTP在庫より部品先行使用バックアップバッテリーの交換実施。動作OKNEW：2.99v　OLD：0.01ｖ</t>
  </si>
  <si>
    <t>S16-0782</t>
  </si>
  <si>
    <t>野崎徳洲会病院_0782 (2)</t>
  </si>
  <si>
    <t>039CYQ</t>
  </si>
  <si>
    <t>野崎徳洲会病院</t>
  </si>
  <si>
    <t>072-874-1641</t>
    <phoneticPr fontId="2"/>
  </si>
  <si>
    <t>〒574-0074　大阪府大東市谷川2丁目10番50号</t>
    <phoneticPr fontId="2"/>
  </si>
  <si>
    <t>電源が落ちることがある。</t>
  </si>
  <si>
    <t>修理依頼番号：R161109072データ転送中にチェックサムエラー発生（21/65）オートシャットオフ設定 OFF放電テスト：10分弱 　　※アイコン 3分で点滅スタンドのDCジャックぐらつきあり　→　通電は途切れないバッテリー劣化の可能性が高い　→　修理不能にて対応予定電源ケーブル非純正品、通電は問題なしロックレバー部欠品、取付必要。ドックコネクタ爪摩耗、接続に問題は無いが交換おすすめ。</t>
  </si>
  <si>
    <t>パーツ在庫なし、修理不能と判定。テクサポに報告済み。</t>
  </si>
  <si>
    <t>修理不能書、部品供給終了に関するお知らせ提出。修理キャンセル本日返却</t>
  </si>
  <si>
    <t>※修理キャンセル→返却(11/22)バッテリー在庫なしのため</t>
    <rPh sb="1" eb="3">
      <t>シュウリ</t>
    </rPh>
    <rPh sb="9" eb="11">
      <t>ヘンキャク</t>
    </rPh>
    <rPh sb="23" eb="25">
      <t>ザイコ</t>
    </rPh>
    <phoneticPr fontId="2"/>
  </si>
  <si>
    <t>S16-0783</t>
  </si>
  <si>
    <t>はな鍼灸整骨院_0783 (2)</t>
  </si>
  <si>
    <t>SR#4249553</t>
  </si>
  <si>
    <t>WK3BKF</t>
  </si>
  <si>
    <t>はな鍼灸整骨院</t>
  </si>
  <si>
    <t>エラーコード10960・3937・12630発生　→　間欠障害の為、電源オフ/オンで復旧FATテストにてエラーログ習得エラーコードからメイン基板故障と判断バッテリー放電テスト、90分OKパーツ出庫依頼書提出</t>
  </si>
  <si>
    <t>S16-0784</t>
  </si>
  <si>
    <t>名古屋大学医学部附属病院_0784</t>
  </si>
  <si>
    <t>S16-0785</t>
  </si>
  <si>
    <t>江ノ島水族館_0785 (2)</t>
  </si>
  <si>
    <t>SR#4249555</t>
  </si>
  <si>
    <t>馬屋原</t>
    <phoneticPr fontId="2"/>
  </si>
  <si>
    <t>WK0T86</t>
  </si>
  <si>
    <t>〒251-0035　神奈川県藤沢市片瀬海岸2-19-１</t>
    <phoneticPr fontId="2"/>
  </si>
  <si>
    <t>0466-29-9960</t>
  </si>
  <si>
    <t>江ノ島水族館</t>
  </si>
  <si>
    <t>点検依頼（スタンダードプラン）
モニタに気泡発生、画面が暗い気がするとの指摘</t>
  </si>
  <si>
    <t>定期点検依頼分モニタ気泡確認、バックライトの若干の劣化が見受けられる　→　指摘事項の為モニタ交換が必要と判断　【保証対応、無償】バッテリー稼働時間 90分内部クリーニングにより付着した塩分を除去その他、故障・劣化個所無しパーツ出庫依頼書提出</t>
  </si>
  <si>
    <t>JTP在庫より部品先行使用ディスプレイの交換実施、症状改善</t>
  </si>
  <si>
    <t>点検整備記録に基づく点検を実施　動作OK　　※点検整備記録書No. S16-0785本日出荷ディスプレイユニットの出庫指示ありJTP在庫に補填してクローズ</t>
  </si>
  <si>
    <t>※スタンダートプラン、P05463ディスプレイ無償交換</t>
    <rPh sb="23" eb="25">
      <t>ムショウ</t>
    </rPh>
    <rPh sb="25" eb="27">
      <t>コウカン</t>
    </rPh>
    <phoneticPr fontId="2"/>
  </si>
  <si>
    <t>S16-0786</t>
  </si>
  <si>
    <t>多摩北部医療センター_0786 (2)</t>
  </si>
  <si>
    <t>SR#4249549</t>
  </si>
  <si>
    <t>2016/11/04-03</t>
  </si>
  <si>
    <t>WK16M2</t>
  </si>
  <si>
    <t>谷本様</t>
  </si>
  <si>
    <t>多摩北部医療センター</t>
  </si>
  <si>
    <t>バッテリー取付時に音がしてバッテリ駆動およびAC電源アダプタ接続でも電源が入らない現象が発生代替バッテリーでも同様の現象が発生。尚、バッテリーを取外しAC電源アダプタ接続でパワーオン出来ました。電源回路故障と判断　→　メイン基板、電源基板同時交換が必要バッテリー放電テスト80分、交換おすすめ。パーツ出庫依頼書提出</t>
  </si>
  <si>
    <t>メイン基板と電源基板の交換実施。動作OK</t>
  </si>
  <si>
    <t>S16-0787</t>
  </si>
  <si>
    <t>湘南鎌倉総合病院_0787</t>
  </si>
  <si>
    <t>S16-0788</t>
  </si>
  <si>
    <t>みやぎ県南中核病院_0788</t>
  </si>
  <si>
    <t>S16-0789</t>
  </si>
  <si>
    <t>市立清水病院_0789</t>
  </si>
  <si>
    <t>〒422-8005　静岡県静岡市駿河区池田156-2</t>
    <rPh sb="10" eb="13">
      <t>シズオカケン</t>
    </rPh>
    <rPh sb="13" eb="16">
      <t>シズオカシ</t>
    </rPh>
    <rPh sb="16" eb="18">
      <t>スルガ</t>
    </rPh>
    <rPh sb="18" eb="19">
      <t>ク</t>
    </rPh>
    <rPh sb="19" eb="21">
      <t>イケダ</t>
    </rPh>
    <phoneticPr fontId="2"/>
  </si>
  <si>
    <t>054-336-1111</t>
    <phoneticPr fontId="2"/>
  </si>
  <si>
    <t>〒424-8636　静岡県静岡市清水区宮加三1231</t>
    <phoneticPr fontId="2"/>
  </si>
  <si>
    <t>S16-0790</t>
  </si>
  <si>
    <t>がん感染症センター都立駒込病院_0790 (2)</t>
  </si>
  <si>
    <t>L25n/13-6</t>
  </si>
  <si>
    <t>03K6XL</t>
  </si>
  <si>
    <t>P13360-01</t>
  </si>
  <si>
    <t>がん感染症センター都立駒込病院</t>
  </si>
  <si>
    <t>ﾌﾟﾛｰﾌﾞ破損、現状のままで使用可能か否か確認希望</t>
  </si>
  <si>
    <t>修理依頼番号：R161111161本体接続確認　⇒　結果：異常なしヘッド先端部　割れ有りスキャンヘッドに破損あり。診断画像に特に影響なし漏れ電テストOK水につけても気泡等発生しない。破損しているが動作的に問題なし。現状帆報告</t>
  </si>
  <si>
    <t>テクサポより、新品プローブを購入するとのこと見積はFMSよりとるそうです。現品返却希望</t>
  </si>
  <si>
    <t>本日出荷</t>
  </si>
  <si>
    <t>S16-0791</t>
  </si>
  <si>
    <t>市立池田病院_0791</t>
  </si>
  <si>
    <t>S16-0792</t>
  </si>
  <si>
    <t>仙台オープン病院_0792</t>
  </si>
  <si>
    <t>S16-0793</t>
  </si>
  <si>
    <t>香川労災病院_0793</t>
  </si>
  <si>
    <t>S16-0794</t>
  </si>
  <si>
    <t>淡路医療センター_0794 (2)</t>
  </si>
  <si>
    <t>SR#4249557</t>
    <phoneticPr fontId="2"/>
  </si>
  <si>
    <t>WK1QJJ</t>
  </si>
  <si>
    <t>富士フイルムメディカル株式会社 大阪支店</t>
  </si>
  <si>
    <t>兵庫県立淡路医療センター　救急救命センター</t>
  </si>
  <si>
    <t>エラーコード9053発生</t>
  </si>
  <si>
    <t>パワーオン直後にエラーコード9053　D:0発生エラーコードからメイン基板故障と判断パーツ借用予定ﾌﾟﾛｰﾌﾞ、3本とも断線なし。</t>
  </si>
  <si>
    <t>S16-0795</t>
  </si>
  <si>
    <t>北里大学北里研究所病院_0795</t>
  </si>
  <si>
    <t>S16-0796</t>
  </si>
  <si>
    <t>しらゆりビューティークリニック_0796</t>
  </si>
  <si>
    <t>遠藤様</t>
    <rPh sb="0" eb="1">
      <t>エンドウ</t>
    </rPh>
    <rPh sb="1" eb="2">
      <t>サマ</t>
    </rPh>
    <phoneticPr fontId="2"/>
  </si>
  <si>
    <t>事務局</t>
    <rPh sb="0" eb="2">
      <t>ジムキョク</t>
    </rPh>
    <phoneticPr fontId="2"/>
  </si>
  <si>
    <t>03-5361-6851</t>
    <phoneticPr fontId="2"/>
  </si>
  <si>
    <t>〒160-0022　東京都新宿区新宿2-11-14 ビル3階　</t>
    <phoneticPr fontId="2"/>
  </si>
  <si>
    <t>S16-0797</t>
  </si>
  <si>
    <t>長岡中央病院_0797</t>
  </si>
  <si>
    <t>S16-0798</t>
  </si>
  <si>
    <t>県立多治見病院_0798</t>
  </si>
  <si>
    <t>S16-0799</t>
  </si>
  <si>
    <t>気仙沼市立病院_0799</t>
  </si>
  <si>
    <t>S16-0800</t>
  </si>
  <si>
    <t>日本赤十字社医療センター_0800</t>
  </si>
  <si>
    <t>S16-0801</t>
  </si>
  <si>
    <t>つるたか整骨院_0801</t>
  </si>
  <si>
    <t>S16-0802</t>
  </si>
  <si>
    <t>東京山手メディカルセンター_0802 (2)</t>
  </si>
  <si>
    <t>SR#不要</t>
    <phoneticPr fontId="2"/>
  </si>
  <si>
    <t>2016/11/18-02</t>
  </si>
  <si>
    <t>1900/1/0</t>
    <phoneticPr fontId="2"/>
  </si>
  <si>
    <t>03B8ZZ</t>
  </si>
  <si>
    <t>〒106-0031　東京都港区西麻布2-26-30 富士フイルム西麻布ビル</t>
    <phoneticPr fontId="2"/>
  </si>
  <si>
    <t>東京山手メディカルセンター</t>
  </si>
  <si>
    <t>03-3364-0251</t>
    <phoneticPr fontId="2"/>
  </si>
  <si>
    <t xml:space="preserve">〒169-0073　東京都新宿区百人町3-22-1 </t>
    <phoneticPr fontId="2"/>
  </si>
  <si>
    <t>エラー発生（詳細不明）</t>
  </si>
  <si>
    <t>上記症状は再現しませんでした。エラーログ取得済Assert Log 2016.11.18 C:2719 D:20 が一回発生。　11/14 同エラーが2回発生。　11/12 に一回発生。　　　　　　　 2016.11.5 に　C:2720 D:18　が一回発生。CWモードでも Assert 2726 系は発生せず。　また、お預かりのプローブにも断線がない。TEL&gt;FMS　島崎様　TTCは使用していない。架台も使用していないので、頻繁なプローブ切り替えはないかも。発生は、連続ドップラーを使用している際に生じたとの話。その後は出なかった模様。上記エラーはプローブ断線系ではない場合、操作負荷などで発生したケースが考えられる。アップグレードと内部組み立て直しで返却を依頼。施設へ確認するとのこと。　　→　　アップグレードご返却OK</t>
  </si>
  <si>
    <t>アップグレードを実施動作正常</t>
  </si>
  <si>
    <t>※現象不再現→返却(11/24 島崎さん引取り）アップデート</t>
    <rPh sb="1" eb="3">
      <t>ゲンショウ</t>
    </rPh>
    <rPh sb="3" eb="4">
      <t>フ</t>
    </rPh>
    <rPh sb="4" eb="6">
      <t>サイゲン</t>
    </rPh>
    <rPh sb="7" eb="9">
      <t>ヘンキャク</t>
    </rPh>
    <rPh sb="16" eb="18">
      <t>シマザキ</t>
    </rPh>
    <rPh sb="20" eb="22">
      <t>ヒキト</t>
    </rPh>
    <phoneticPr fontId="2"/>
  </si>
  <si>
    <t>S16-0803</t>
  </si>
  <si>
    <t>東京医療センター_0803</t>
  </si>
  <si>
    <t>S16-0804</t>
  </si>
  <si>
    <t>後藤麻酔科クリニック_0804</t>
  </si>
  <si>
    <t>S16-0805</t>
  </si>
  <si>
    <t>久留米大学病院_0805</t>
  </si>
  <si>
    <t>〒839-0801　福岡県久留米市宮ノ陣3-5-15</t>
    <phoneticPr fontId="2"/>
  </si>
  <si>
    <t>梅木様</t>
    <phoneticPr fontId="2"/>
  </si>
  <si>
    <t>救命センター</t>
    <phoneticPr fontId="2"/>
  </si>
  <si>
    <t>0942-35-3311</t>
    <phoneticPr fontId="2"/>
  </si>
  <si>
    <t>〒830-0011 福岡県久留米市旭町67番地</t>
    <phoneticPr fontId="2"/>
  </si>
  <si>
    <t>S16-0806</t>
  </si>
  <si>
    <t>大森赤十字病院_0806</t>
  </si>
  <si>
    <t>S16-0807</t>
  </si>
  <si>
    <t>新小文字病院_0807 (2)</t>
  </si>
  <si>
    <t>SR#</t>
    <phoneticPr fontId="2"/>
  </si>
  <si>
    <t>不明</t>
    <phoneticPr fontId="2"/>
  </si>
  <si>
    <t>NanoMaxx</t>
    <phoneticPr fontId="2"/>
  </si>
  <si>
    <t>03MQBG</t>
    <phoneticPr fontId="2"/>
  </si>
  <si>
    <t>P12700-05</t>
    <phoneticPr fontId="2"/>
  </si>
  <si>
    <t>日本コヴィディエン株式会社　九州第一営業所</t>
    <phoneticPr fontId="2"/>
  </si>
  <si>
    <t>原様</t>
    <phoneticPr fontId="2"/>
  </si>
  <si>
    <t>03-6774-4629</t>
    <phoneticPr fontId="2"/>
  </si>
  <si>
    <t>03-6774-4740</t>
    <phoneticPr fontId="2"/>
  </si>
  <si>
    <t>新小文字病院</t>
    <phoneticPr fontId="2"/>
  </si>
  <si>
    <t>093-391-1001</t>
    <phoneticPr fontId="2"/>
  </si>
  <si>
    <t>〒800-0057　福岡県北九州市門司区大里新町2-5</t>
    <phoneticPr fontId="2"/>
  </si>
  <si>
    <t>使用していたところ、コンセントにつないでいるのに電源が切れた。バッテリーの表示もされない。</t>
    <phoneticPr fontId="2"/>
  </si>
  <si>
    <t>修理依頼番号：R161118271日付けが2007年になっている</t>
    <phoneticPr fontId="2"/>
  </si>
  <si>
    <t>テクサポより一旦返却で返答あり</t>
    <phoneticPr fontId="2"/>
  </si>
  <si>
    <t>動作チェック異常なし本日出荷</t>
    <phoneticPr fontId="2"/>
  </si>
  <si>
    <t>S16-0808</t>
  </si>
  <si>
    <t>草津総合病院_0808</t>
  </si>
  <si>
    <t>S16-0809</t>
  </si>
  <si>
    <t>上白根病院_0809</t>
  </si>
  <si>
    <t>045-951-3221</t>
    <phoneticPr fontId="2"/>
  </si>
  <si>
    <t>〒241-0002 神奈川県横浜市旭区上白根2-65-1</t>
    <phoneticPr fontId="2"/>
  </si>
  <si>
    <t>※現象不再現→返却、報告書有り(12/8)</t>
    <rPh sb="1" eb="3">
      <t>ゲンショウ</t>
    </rPh>
    <rPh sb="3" eb="4">
      <t>フ</t>
    </rPh>
    <rPh sb="4" eb="6">
      <t>サイゲン</t>
    </rPh>
    <rPh sb="7" eb="9">
      <t>ヘンキャク</t>
    </rPh>
    <rPh sb="10" eb="13">
      <t>ホウコクショ</t>
    </rPh>
    <rPh sb="13" eb="14">
      <t>ア</t>
    </rPh>
    <phoneticPr fontId="2"/>
  </si>
  <si>
    <t>S16-0810</t>
  </si>
  <si>
    <t>近江八幡市立病院_0810</t>
  </si>
  <si>
    <t>S16-0811</t>
  </si>
  <si>
    <t>デモ機EST21_0811</t>
  </si>
  <si>
    <t>S16-0812</t>
  </si>
  <si>
    <t>すずかけセントラル病院_0812</t>
  </si>
  <si>
    <t>〒431-3122　静岡県浜松市東区有玉南町2365</t>
    <phoneticPr fontId="2"/>
  </si>
  <si>
    <t>久米様</t>
    <rPh sb="0" eb="2">
      <t>クメ</t>
    </rPh>
    <rPh sb="2" eb="3">
      <t>サマ</t>
    </rPh>
    <phoneticPr fontId="2"/>
  </si>
  <si>
    <t>臨床工学科</t>
    <rPh sb="4" eb="5">
      <t>カ</t>
    </rPh>
    <phoneticPr fontId="2"/>
  </si>
  <si>
    <t>053-443-0111</t>
    <phoneticPr fontId="2"/>
  </si>
  <si>
    <t>〒432-8054　静岡県浜松市南区田尻町120-1</t>
    <rPh sb="10" eb="13">
      <t>シズオカケン</t>
    </rPh>
    <rPh sb="13" eb="16">
      <t>ハママツシ</t>
    </rPh>
    <rPh sb="16" eb="18">
      <t>ミナミク</t>
    </rPh>
    <rPh sb="18" eb="20">
      <t>タジリ</t>
    </rPh>
    <rPh sb="20" eb="21">
      <t>マチ</t>
    </rPh>
    <phoneticPr fontId="2"/>
  </si>
  <si>
    <t>S16-0813</t>
  </si>
  <si>
    <t>酒井病院_0813</t>
  </si>
  <si>
    <t>S16-0814</t>
  </si>
  <si>
    <t>信州大学医学部附属病院_0814</t>
  </si>
  <si>
    <t>S16-0815</t>
  </si>
  <si>
    <t>JA高知病院_0815</t>
  </si>
  <si>
    <t>S16-0816</t>
  </si>
  <si>
    <t>宇治徳洲会病院_0816</t>
  </si>
  <si>
    <t>S16-0817</t>
  </si>
  <si>
    <t>埼玉医科大学総合医療センター_0817</t>
  </si>
  <si>
    <t>S16-0818</t>
  </si>
  <si>
    <t>野中診療所_0818</t>
  </si>
  <si>
    <t>S16-0819</t>
  </si>
  <si>
    <t>生田病院_0819</t>
  </si>
  <si>
    <t>〒214-0038　神奈川県川崎市多摩区西生田5-24-1</t>
    <phoneticPr fontId="2"/>
  </si>
  <si>
    <t>044-966-2151</t>
    <phoneticPr fontId="2"/>
  </si>
  <si>
    <t>S16-0820</t>
  </si>
  <si>
    <t>岩見沢市立総合病院_0820</t>
  </si>
  <si>
    <t>〒068-0833　北海道岩見沢市志文町957-5</t>
    <rPh sb="10" eb="13">
      <t>ホッカイドウ</t>
    </rPh>
    <rPh sb="13" eb="17">
      <t>イワミザワシ</t>
    </rPh>
    <rPh sb="17" eb="18">
      <t>シ</t>
    </rPh>
    <rPh sb="18" eb="19">
      <t>ブン</t>
    </rPh>
    <rPh sb="19" eb="20">
      <t>マチ</t>
    </rPh>
    <phoneticPr fontId="2"/>
  </si>
  <si>
    <t>内科</t>
    <rPh sb="0" eb="1">
      <t>ナイカ</t>
    </rPh>
    <phoneticPr fontId="2"/>
  </si>
  <si>
    <t>0126-22-1650</t>
    <phoneticPr fontId="2"/>
  </si>
  <si>
    <t>〒068-8555　北海道岩見沢市9条西7丁目2</t>
    <rPh sb="10" eb="13">
      <t>ホッカイドウ</t>
    </rPh>
    <rPh sb="13" eb="17">
      <t>イワミザワシ</t>
    </rPh>
    <rPh sb="18" eb="19">
      <t>ジョウ</t>
    </rPh>
    <rPh sb="19" eb="20">
      <t>ニシ</t>
    </rPh>
    <rPh sb="21" eb="23">
      <t>チョウメ</t>
    </rPh>
    <phoneticPr fontId="2"/>
  </si>
  <si>
    <t>S16-0821</t>
  </si>
  <si>
    <t>ハートライフ病院_0821</t>
  </si>
  <si>
    <t>S16-0822</t>
  </si>
  <si>
    <t>市立札幌病院_0822</t>
  </si>
  <si>
    <t>S16-0823</t>
  </si>
  <si>
    <t>デモ機OGS24_0823</t>
  </si>
  <si>
    <t>S16-0824</t>
  </si>
  <si>
    <t>東京医療センター_0824</t>
  </si>
  <si>
    <t>S16-0825</t>
  </si>
  <si>
    <t>近森病院_0825</t>
  </si>
  <si>
    <t>S16-0826</t>
  </si>
  <si>
    <t>代替機NIM187_0826</t>
  </si>
  <si>
    <t>S16-0827</t>
  </si>
  <si>
    <t>豊岡病院_0827</t>
  </si>
  <si>
    <t>S16-0828</t>
  </si>
  <si>
    <t>昭南病院_0828</t>
  </si>
  <si>
    <t>S16-0829</t>
  </si>
  <si>
    <t>代替機NIM157_0829</t>
  </si>
  <si>
    <t>S16-0830</t>
  </si>
  <si>
    <t>千葉病院_0830</t>
  </si>
  <si>
    <t>S16-0831</t>
  </si>
  <si>
    <t>奈良県立医科大学附属病院_0831</t>
  </si>
  <si>
    <t>S16-0832</t>
  </si>
  <si>
    <t>済生会川口総合病院_0832</t>
  </si>
  <si>
    <t>S16-0833</t>
  </si>
  <si>
    <t>仙台医療センター_0833</t>
  </si>
  <si>
    <t>S16-0834</t>
  </si>
  <si>
    <t>みはま病院_0834</t>
  </si>
  <si>
    <t>S16-0835</t>
  </si>
  <si>
    <t>大阪市立大学病院_0835</t>
  </si>
  <si>
    <t>S16-0836</t>
  </si>
  <si>
    <t>中濃厚生病院_0836</t>
  </si>
  <si>
    <t>S16-0837</t>
  </si>
  <si>
    <t>桜橋渡辺病院_0837</t>
  </si>
  <si>
    <t>S16-0838</t>
  </si>
  <si>
    <t>足利赤十字病院_0838</t>
  </si>
  <si>
    <t>S16-0839</t>
  </si>
  <si>
    <t>群馬大学医学部附属病院_0839</t>
  </si>
  <si>
    <t>S16-0840</t>
  </si>
  <si>
    <t>亀有中央病院_0840</t>
  </si>
  <si>
    <t>S16-0841</t>
  </si>
  <si>
    <t>大垣市民病院_0841</t>
  </si>
  <si>
    <t>S16-0842</t>
  </si>
  <si>
    <t>堺近森病院_0842</t>
  </si>
  <si>
    <t>S16-0843</t>
  </si>
  <si>
    <t>中通総合病院_0843</t>
  </si>
  <si>
    <t>S16-0844</t>
  </si>
  <si>
    <t>倉敷中央病院_0844</t>
  </si>
  <si>
    <t>S16-0845</t>
  </si>
  <si>
    <t>ももたろう痛みのクリニック_0845</t>
  </si>
  <si>
    <t>S16-0846</t>
  </si>
  <si>
    <t>名古屋第一赤十字病院_0846</t>
  </si>
  <si>
    <t>S16-0847</t>
  </si>
  <si>
    <t>長浜赤十字病院_0847</t>
  </si>
  <si>
    <t>S16-0848</t>
  </si>
  <si>
    <t>上天草総合病院_0848</t>
  </si>
  <si>
    <t>S16-0849</t>
  </si>
  <si>
    <t>桑名西医療センター_0849</t>
  </si>
  <si>
    <t>S16-0850</t>
  </si>
  <si>
    <t>済生会宇都宮病院_0850</t>
  </si>
  <si>
    <t>S16-0851</t>
  </si>
  <si>
    <t>S16-0852</t>
  </si>
  <si>
    <t>S16-0853</t>
  </si>
  <si>
    <t>S16-0854</t>
  </si>
  <si>
    <t>S16-0855</t>
  </si>
  <si>
    <t>S16-0856</t>
  </si>
  <si>
    <t>S16-0857</t>
  </si>
  <si>
    <t>S16-0858</t>
  </si>
  <si>
    <t>S16-0859</t>
  </si>
  <si>
    <t>S16-0860</t>
  </si>
  <si>
    <t>S16-0861</t>
  </si>
  <si>
    <t>S16-0862</t>
  </si>
  <si>
    <t>S16-0863</t>
  </si>
  <si>
    <t>S16-0864</t>
  </si>
  <si>
    <t>大分赤十字病院_0019 (2)</t>
    <phoneticPr fontId="53"/>
  </si>
  <si>
    <t>資料作成</t>
    <rPh sb="0" eb="2">
      <t>シリョウ</t>
    </rPh>
    <rPh sb="2" eb="4">
      <t>サクセイ</t>
    </rPh>
    <phoneticPr fontId="53"/>
  </si>
  <si>
    <t>反映セル</t>
    <rPh sb="0" eb="2">
      <t>ハンエイ</t>
    </rPh>
    <phoneticPr fontId="53"/>
  </si>
  <si>
    <t>受付番号</t>
    <rPh sb="0" eb="4">
      <t>ウケツケバンゴウ</t>
    </rPh>
    <phoneticPr fontId="53"/>
  </si>
  <si>
    <t>O2</t>
    <phoneticPr fontId="53"/>
  </si>
  <si>
    <t>2016/04/08-01</t>
    <phoneticPr fontId="53"/>
  </si>
</sst>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6" formatCode="&quot;¥&quot;#,##0;[Red]&quot;¥&quot;\-#,##0"/>
    <numFmt numFmtId="176" formatCode="yyyy&quot;年&quot;m&quot;月&quot;d&quot;日&quot;;@"/>
    <numFmt numFmtId="177" formatCode="yyyy&quot;年&quot;m&quot;月&quot;;@"/>
    <numFmt numFmtId="178" formatCode="[$-F800]dddd\,\ mmmm\ dd\,\ yyyy"/>
    <numFmt numFmtId="179" formatCode="yyyy/m/d;@"/>
    <numFmt numFmtId="180" formatCode="yyyy&quot;年&quot;mm&quot;月&quot;"/>
  </numFmts>
  <fonts count="54" x14ac:knownFonts="1">
    <font>
      <sz val="11"/>
      <color theme="1"/>
      <name val="ＭＳ Ｐゴシック"/>
      <family val="2"/>
      <charset val="128"/>
      <scheme val="minor"/>
    </font>
    <font>
      <sz val="11"/>
      <name val="ＭＳ Ｐゴシック"/>
      <family val="3"/>
      <charset val="128"/>
    </font>
    <font>
      <sz val="6"/>
      <name val="ＭＳ Ｐゴシック"/>
      <family val="3"/>
      <charset val="128"/>
    </font>
    <font>
      <sz val="10"/>
      <name val="ＭＳ Ｐ明朝"/>
      <family val="1"/>
      <charset val="128"/>
    </font>
    <font>
      <sz val="11"/>
      <name val="ＭＳ Ｐ明朝"/>
      <family val="1"/>
      <charset val="128"/>
    </font>
    <font>
      <sz val="10.5"/>
      <name val="ＭＳ Ｐ明朝"/>
      <family val="1"/>
      <charset val="128"/>
    </font>
    <font>
      <b/>
      <sz val="11"/>
      <name val="ＭＳ Ｐ明朝"/>
      <family val="1"/>
      <charset val="128"/>
    </font>
    <font>
      <sz val="8"/>
      <name val="ＭＳ Ｐ明朝"/>
      <family val="1"/>
      <charset val="128"/>
    </font>
    <font>
      <u/>
      <sz val="11"/>
      <name val="ＭＳ Ｐ明朝"/>
      <family val="1"/>
      <charset val="128"/>
    </font>
    <font>
      <sz val="10"/>
      <name val="ＭＳ Ｐゴシック"/>
      <family val="3"/>
      <charset val="128"/>
    </font>
    <font>
      <sz val="14"/>
      <color indexed="9"/>
      <name val="ＭＳ Ｐゴシック"/>
      <family val="3"/>
      <charset val="128"/>
    </font>
    <font>
      <sz val="10"/>
      <color indexed="9"/>
      <name val="ＭＳ Ｐゴシック"/>
      <family val="3"/>
      <charset val="128"/>
    </font>
    <font>
      <b/>
      <sz val="14"/>
      <name val="ＭＳ Ｐゴシック"/>
      <family val="3"/>
      <charset val="128"/>
    </font>
    <font>
      <b/>
      <i/>
      <sz val="36"/>
      <name val="ＭＳ Ｐ明朝"/>
      <family val="1"/>
      <charset val="128"/>
    </font>
    <font>
      <i/>
      <sz val="20"/>
      <name val="ＭＳ Ｐ明朝"/>
      <family val="1"/>
      <charset val="128"/>
    </font>
    <font>
      <sz val="12"/>
      <name val="ＭＳ Ｐ明朝"/>
      <family val="1"/>
      <charset val="128"/>
    </font>
    <font>
      <sz val="12"/>
      <name val="ＭＳ Ｐゴシック"/>
      <family val="3"/>
      <charset val="128"/>
    </font>
    <font>
      <i/>
      <sz val="12"/>
      <name val="ＭＳ Ｐゴシック"/>
      <family val="3"/>
      <charset val="128"/>
    </font>
    <font>
      <b/>
      <i/>
      <sz val="35"/>
      <name val="ＭＳ Ｐ明朝"/>
      <family val="1"/>
      <charset val="128"/>
    </font>
    <font>
      <b/>
      <sz val="12"/>
      <name val="ＭＳ Ｐゴシック"/>
      <family val="3"/>
      <charset val="128"/>
    </font>
    <font>
      <u/>
      <sz val="10"/>
      <name val="ＭＳ Ｐ明朝"/>
      <family val="1"/>
      <charset val="128"/>
    </font>
    <font>
      <sz val="10"/>
      <name val="Arial"/>
      <family val="2"/>
    </font>
    <font>
      <sz val="16"/>
      <name val="ＭＳ Ｐ明朝"/>
      <family val="1"/>
      <charset val="128"/>
    </font>
    <font>
      <sz val="11"/>
      <color indexed="8"/>
      <name val="ＭＳ Ｐゴシック"/>
      <family val="3"/>
      <charset val="128"/>
    </font>
    <font>
      <sz val="9"/>
      <name val="ＭＳ 明朝"/>
      <family val="1"/>
      <charset val="128"/>
    </font>
    <font>
      <u/>
      <sz val="13"/>
      <name val="ＭＳ 明朝"/>
      <family val="1"/>
      <charset val="128"/>
    </font>
    <font>
      <u/>
      <sz val="12"/>
      <name val="ＭＳ 明朝"/>
      <family val="1"/>
      <charset val="128"/>
    </font>
    <font>
      <sz val="10.5"/>
      <name val="ＭＳ 明朝"/>
      <family val="1"/>
      <charset val="128"/>
    </font>
    <font>
      <sz val="10"/>
      <name val="ＭＳ 明朝"/>
      <family val="1"/>
      <charset val="128"/>
    </font>
    <font>
      <u/>
      <sz val="10.5"/>
      <name val="ＭＳ 明朝"/>
      <family val="1"/>
      <charset val="128"/>
    </font>
    <font>
      <b/>
      <sz val="10.5"/>
      <name val="ＭＳ 明朝"/>
      <family val="1"/>
      <charset val="128"/>
    </font>
    <font>
      <b/>
      <u/>
      <sz val="7"/>
      <name val="Century"/>
      <family val="1"/>
    </font>
    <font>
      <u/>
      <sz val="14"/>
      <name val="ＭＳ 明朝"/>
      <family val="1"/>
      <charset val="128"/>
    </font>
    <font>
      <sz val="11"/>
      <name val="ＭＳ 明朝"/>
      <family val="1"/>
      <charset val="128"/>
    </font>
    <font>
      <sz val="11"/>
      <color theme="1"/>
      <name val="ＭＳ Ｐゴシック"/>
      <family val="3"/>
      <charset val="128"/>
      <scheme val="minor"/>
    </font>
    <font>
      <sz val="11"/>
      <color theme="0"/>
      <name val="ＭＳ Ｐゴシック"/>
      <family val="3"/>
      <charset val="128"/>
      <scheme val="minor"/>
    </font>
    <font>
      <b/>
      <sz val="18"/>
      <color theme="3"/>
      <name val="ＭＳ Ｐゴシック"/>
      <family val="3"/>
      <charset val="128"/>
      <scheme val="major"/>
    </font>
    <font>
      <b/>
      <sz val="11"/>
      <color theme="0"/>
      <name val="ＭＳ Ｐゴシック"/>
      <family val="3"/>
      <charset val="128"/>
      <scheme val="minor"/>
    </font>
    <font>
      <sz val="11"/>
      <color rgb="FF9C6500"/>
      <name val="ＭＳ Ｐゴシック"/>
      <family val="3"/>
      <charset val="128"/>
      <scheme val="minor"/>
    </font>
    <font>
      <sz val="11"/>
      <color rgb="FFFA7D00"/>
      <name val="ＭＳ Ｐゴシック"/>
      <family val="3"/>
      <charset val="128"/>
      <scheme val="minor"/>
    </font>
    <font>
      <sz val="11"/>
      <color rgb="FF9C0006"/>
      <name val="ＭＳ Ｐゴシック"/>
      <family val="3"/>
      <charset val="128"/>
      <scheme val="minor"/>
    </font>
    <font>
      <b/>
      <sz val="11"/>
      <color rgb="FFFA7D00"/>
      <name val="ＭＳ Ｐゴシック"/>
      <family val="3"/>
      <charset val="128"/>
      <scheme val="minor"/>
    </font>
    <font>
      <sz val="11"/>
      <color rgb="FFFF0000"/>
      <name val="ＭＳ Ｐゴシック"/>
      <family val="3"/>
      <charset val="128"/>
      <scheme val="minor"/>
    </font>
    <font>
      <b/>
      <sz val="15"/>
      <color theme="3"/>
      <name val="ＭＳ Ｐゴシック"/>
      <family val="3"/>
      <charset val="128"/>
      <scheme val="minor"/>
    </font>
    <font>
      <b/>
      <sz val="13"/>
      <color theme="3"/>
      <name val="ＭＳ Ｐゴシック"/>
      <family val="3"/>
      <charset val="128"/>
      <scheme val="minor"/>
    </font>
    <font>
      <b/>
      <sz val="11"/>
      <color theme="3"/>
      <name val="ＭＳ Ｐゴシック"/>
      <family val="3"/>
      <charset val="128"/>
      <scheme val="minor"/>
    </font>
    <font>
      <b/>
      <sz val="11"/>
      <color theme="1"/>
      <name val="ＭＳ Ｐゴシック"/>
      <family val="3"/>
      <charset val="128"/>
      <scheme val="minor"/>
    </font>
    <font>
      <b/>
      <sz val="11"/>
      <color rgb="FF3F3F3F"/>
      <name val="ＭＳ Ｐゴシック"/>
      <family val="3"/>
      <charset val="128"/>
      <scheme val="minor"/>
    </font>
    <font>
      <i/>
      <sz val="11"/>
      <color rgb="FF7F7F7F"/>
      <name val="ＭＳ Ｐゴシック"/>
      <family val="3"/>
      <charset val="128"/>
      <scheme val="minor"/>
    </font>
    <font>
      <sz val="11"/>
      <color rgb="FF3F3F76"/>
      <name val="ＭＳ Ｐゴシック"/>
      <family val="3"/>
      <charset val="128"/>
      <scheme val="minor"/>
    </font>
    <font>
      <sz val="11"/>
      <color rgb="FF006100"/>
      <name val="ＭＳ Ｐゴシック"/>
      <family val="3"/>
      <charset val="128"/>
      <scheme val="minor"/>
    </font>
    <font>
      <sz val="9"/>
      <color rgb="FF000000"/>
      <name val="ＭＳ 明朝"/>
      <family val="1"/>
      <charset val="128"/>
    </font>
    <font>
      <sz val="10"/>
      <color rgb="FF000000"/>
      <name val="ＭＳ 明朝"/>
      <family val="1"/>
      <charset val="128"/>
    </font>
    <font>
      <sz val="6"/>
      <name val="ＭＳ Ｐゴシック"/>
      <family val="2"/>
      <charset val="128"/>
      <scheme val="minor"/>
    </font>
  </fonts>
  <fills count="5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9"/>
        <bgColor indexed="64"/>
      </patternFill>
    </fill>
    <fill>
      <patternFill patternType="solid">
        <fgColor indexed="48"/>
        <bgColor indexed="64"/>
      </patternFill>
    </fill>
    <fill>
      <patternFill patternType="solid">
        <fgColor indexed="42"/>
        <bgColor indexed="64"/>
      </patternFill>
    </fill>
    <fill>
      <patternFill patternType="solid">
        <fgColor indexed="45"/>
        <bgColor indexed="64"/>
      </patternFill>
    </fill>
    <fill>
      <patternFill patternType="solid">
        <fgColor theme="9" tint="0.39997558519241921"/>
        <bgColor indexed="64"/>
      </patternFill>
    </fill>
    <fill>
      <patternFill patternType="solid">
        <fgColor theme="8" tint="0.39997558519241921"/>
        <bgColor indexed="64"/>
      </patternFill>
    </fill>
    <fill>
      <patternFill patternType="solid">
        <fgColor rgb="FFFFFF00"/>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rgb="FFFFC000"/>
        <bgColor indexed="64"/>
      </patternFill>
    </fill>
    <fill>
      <patternFill patternType="solid">
        <fgColor theme="2" tint="-0.499984740745262"/>
        <bgColor indexed="64"/>
      </patternFill>
    </fill>
    <fill>
      <patternFill patternType="solid">
        <fgColor theme="9"/>
        <bgColor indexed="64"/>
      </patternFill>
    </fill>
    <fill>
      <patternFill patternType="solid">
        <fgColor theme="8"/>
        <bgColor indexed="64"/>
      </patternFill>
    </fill>
    <fill>
      <patternFill patternType="solid">
        <fgColor theme="7"/>
        <bgColor indexed="64"/>
      </patternFill>
    </fill>
    <fill>
      <patternFill patternType="solid">
        <fgColor theme="0"/>
        <bgColor indexed="64"/>
      </patternFill>
    </fill>
    <fill>
      <patternFill patternType="solid">
        <fgColor theme="6"/>
        <bgColor indexed="64"/>
      </patternFill>
    </fill>
    <fill>
      <patternFill patternType="solid">
        <fgColor rgb="FFFF0000"/>
        <bgColor indexed="64"/>
      </patternFill>
    </fill>
    <fill>
      <patternFill patternType="solid">
        <fgColor theme="5"/>
        <bgColor indexed="64"/>
      </patternFill>
    </fill>
    <fill>
      <patternFill patternType="solid">
        <fgColor rgb="FFFFFFFF"/>
        <bgColor rgb="FF000000"/>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thin">
        <color indexed="64"/>
      </top>
      <bottom style="thin">
        <color indexed="64"/>
      </bottom>
      <diagonal/>
    </border>
    <border>
      <left/>
      <right style="thin">
        <color indexed="8"/>
      </right>
      <top style="thin">
        <color indexed="8"/>
      </top>
      <bottom style="thin">
        <color indexed="8"/>
      </bottom>
      <diagonal/>
    </border>
    <border>
      <left style="thick">
        <color indexed="48"/>
      </left>
      <right style="thick">
        <color indexed="48"/>
      </right>
      <top style="thick">
        <color indexed="48"/>
      </top>
      <bottom style="thick">
        <color indexed="48"/>
      </bottom>
      <diagonal/>
    </border>
    <border>
      <left/>
      <right style="thin">
        <color indexed="8"/>
      </right>
      <top style="thin">
        <color indexed="8"/>
      </top>
      <bottom style="double">
        <color indexed="64"/>
      </bottom>
      <diagonal/>
    </border>
    <border>
      <left style="thin">
        <color indexed="8"/>
      </left>
      <right style="thin">
        <color indexed="8"/>
      </right>
      <top style="thin">
        <color indexed="8"/>
      </top>
      <bottom style="double">
        <color indexed="64"/>
      </bottom>
      <diagonal/>
    </border>
    <border>
      <left style="thin">
        <color indexed="8"/>
      </left>
      <right/>
      <top style="thin">
        <color indexed="8"/>
      </top>
      <bottom style="double">
        <color indexed="64"/>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rgb="FFFF0000"/>
      </left>
      <right style="medium">
        <color rgb="FFFF0000"/>
      </right>
      <top style="medium">
        <color rgb="FFFF0000"/>
      </top>
      <bottom style="medium">
        <color rgb="FFFF0000"/>
      </bottom>
      <diagonal/>
    </border>
    <border>
      <left style="thick">
        <color indexed="48"/>
      </left>
      <right/>
      <top style="thick">
        <color rgb="FF3366FF"/>
      </top>
      <bottom style="thick">
        <color rgb="FF3366FF"/>
      </bottom>
      <diagonal/>
    </border>
    <border>
      <left/>
      <right/>
      <top style="thick">
        <color rgb="FF3366FF"/>
      </top>
      <bottom style="thick">
        <color rgb="FF3366FF"/>
      </bottom>
      <diagonal/>
    </border>
    <border>
      <left/>
      <right style="thick">
        <color indexed="48"/>
      </right>
      <top style="thick">
        <color rgb="FF3366FF"/>
      </top>
      <bottom style="thick">
        <color rgb="FF3366FF"/>
      </bottom>
      <diagonal/>
    </border>
  </borders>
  <cellStyleXfs count="142">
    <xf numFmtId="0" fontId="0" fillId="0" borderId="0">
      <alignment vertical="center"/>
    </xf>
    <xf numFmtId="0" fontId="1" fillId="0" borderId="0">
      <alignment vertical="center"/>
    </xf>
    <xf numFmtId="0" fontId="34" fillId="10" borderId="0" applyNumberFormat="0" applyBorder="0" applyAlignment="0" applyProtection="0">
      <alignment vertical="center"/>
    </xf>
    <xf numFmtId="0" fontId="34" fillId="14" borderId="0" applyNumberFormat="0" applyBorder="0" applyAlignment="0" applyProtection="0">
      <alignment vertical="center"/>
    </xf>
    <xf numFmtId="0" fontId="34" fillId="18" borderId="0" applyNumberFormat="0" applyBorder="0" applyAlignment="0" applyProtection="0">
      <alignment vertical="center"/>
    </xf>
    <xf numFmtId="0" fontId="34" fillId="22" borderId="0" applyNumberFormat="0" applyBorder="0" applyAlignment="0" applyProtection="0">
      <alignment vertical="center"/>
    </xf>
    <xf numFmtId="0" fontId="34" fillId="26" borderId="0" applyNumberFormat="0" applyBorder="0" applyAlignment="0" applyProtection="0">
      <alignment vertical="center"/>
    </xf>
    <xf numFmtId="0" fontId="34" fillId="30" borderId="0" applyNumberFormat="0" applyBorder="0" applyAlignment="0" applyProtection="0">
      <alignment vertical="center"/>
    </xf>
    <xf numFmtId="0" fontId="34" fillId="11" borderId="0" applyNumberFormat="0" applyBorder="0" applyAlignment="0" applyProtection="0">
      <alignment vertical="center"/>
    </xf>
    <xf numFmtId="0" fontId="34" fillId="15" borderId="0" applyNumberFormat="0" applyBorder="0" applyAlignment="0" applyProtection="0">
      <alignment vertical="center"/>
    </xf>
    <xf numFmtId="0" fontId="34" fillId="19" borderId="0" applyNumberFormat="0" applyBorder="0" applyAlignment="0" applyProtection="0">
      <alignment vertical="center"/>
    </xf>
    <xf numFmtId="0" fontId="34" fillId="23" borderId="0" applyNumberFormat="0" applyBorder="0" applyAlignment="0" applyProtection="0">
      <alignment vertical="center"/>
    </xf>
    <xf numFmtId="0" fontId="34" fillId="27" borderId="0" applyNumberFormat="0" applyBorder="0" applyAlignment="0" applyProtection="0">
      <alignment vertical="center"/>
    </xf>
    <xf numFmtId="0" fontId="34" fillId="31" borderId="0" applyNumberFormat="0" applyBorder="0" applyAlignment="0" applyProtection="0">
      <alignment vertical="center"/>
    </xf>
    <xf numFmtId="0" fontId="35" fillId="12" borderId="0" applyNumberFormat="0" applyBorder="0" applyAlignment="0" applyProtection="0">
      <alignment vertical="center"/>
    </xf>
    <xf numFmtId="0" fontId="35" fillId="16" borderId="0" applyNumberFormat="0" applyBorder="0" applyAlignment="0" applyProtection="0">
      <alignment vertical="center"/>
    </xf>
    <xf numFmtId="0" fontId="35" fillId="20" borderId="0" applyNumberFormat="0" applyBorder="0" applyAlignment="0" applyProtection="0">
      <alignment vertical="center"/>
    </xf>
    <xf numFmtId="0" fontId="35" fillId="24" borderId="0" applyNumberFormat="0" applyBorder="0" applyAlignment="0" applyProtection="0">
      <alignment vertical="center"/>
    </xf>
    <xf numFmtId="0" fontId="35" fillId="28" borderId="0" applyNumberFormat="0" applyBorder="0" applyAlignment="0" applyProtection="0">
      <alignment vertical="center"/>
    </xf>
    <xf numFmtId="0" fontId="35" fillId="32" borderId="0" applyNumberFormat="0" applyBorder="0" applyAlignment="0" applyProtection="0">
      <alignment vertical="center"/>
    </xf>
    <xf numFmtId="0" fontId="21" fillId="0" borderId="0"/>
    <xf numFmtId="0" fontId="21" fillId="0" borderId="0"/>
    <xf numFmtId="0" fontId="35" fillId="9" borderId="0" applyNumberFormat="0" applyBorder="0" applyAlignment="0" applyProtection="0">
      <alignment vertical="center"/>
    </xf>
    <xf numFmtId="0" fontId="35" fillId="13" borderId="0" applyNumberFormat="0" applyBorder="0" applyAlignment="0" applyProtection="0">
      <alignment vertical="center"/>
    </xf>
    <xf numFmtId="0" fontId="35" fillId="17" borderId="0" applyNumberFormat="0" applyBorder="0" applyAlignment="0" applyProtection="0">
      <alignment vertical="center"/>
    </xf>
    <xf numFmtId="0" fontId="35" fillId="21" borderId="0" applyNumberFormat="0" applyBorder="0" applyAlignment="0" applyProtection="0">
      <alignment vertical="center"/>
    </xf>
    <xf numFmtId="0" fontId="35" fillId="25" borderId="0" applyNumberFormat="0" applyBorder="0" applyAlignment="0" applyProtection="0">
      <alignment vertical="center"/>
    </xf>
    <xf numFmtId="0" fontId="35" fillId="29" borderId="0" applyNumberFormat="0" applyBorder="0" applyAlignment="0" applyProtection="0">
      <alignment vertical="center"/>
    </xf>
    <xf numFmtId="0" fontId="36" fillId="0" borderId="0" applyNumberFormat="0" applyFill="0" applyBorder="0" applyAlignment="0" applyProtection="0">
      <alignment vertical="center"/>
    </xf>
    <xf numFmtId="0" fontId="37" fillId="7" borderId="7" applyNumberFormat="0" applyAlignment="0" applyProtection="0">
      <alignment vertical="center"/>
    </xf>
    <xf numFmtId="0" fontId="38" fillId="4" borderId="0" applyNumberFormat="0" applyBorder="0" applyAlignment="0" applyProtection="0">
      <alignment vertical="center"/>
    </xf>
    <xf numFmtId="9" fontId="23" fillId="0" borderId="0" applyFont="0" applyFill="0" applyBorder="0" applyAlignment="0" applyProtection="0">
      <alignment vertical="center"/>
    </xf>
    <xf numFmtId="0" fontId="34" fillId="8" borderId="8" applyNumberFormat="0" applyFont="0" applyAlignment="0" applyProtection="0">
      <alignment vertical="center"/>
    </xf>
    <xf numFmtId="0" fontId="39" fillId="0" borderId="6" applyNumberFormat="0" applyFill="0" applyAlignment="0" applyProtection="0">
      <alignment vertical="center"/>
    </xf>
    <xf numFmtId="0" fontId="40" fillId="3" borderId="0" applyNumberFormat="0" applyBorder="0" applyAlignment="0" applyProtection="0">
      <alignment vertical="center"/>
    </xf>
    <xf numFmtId="0" fontId="41" fillId="6" borderId="4" applyNumberFormat="0" applyAlignment="0" applyProtection="0">
      <alignment vertical="center"/>
    </xf>
    <xf numFmtId="0" fontId="42" fillId="0" borderId="0" applyNumberFormat="0" applyFill="0" applyBorder="0" applyAlignment="0" applyProtection="0">
      <alignment vertical="center"/>
    </xf>
    <xf numFmtId="38" fontId="23" fillId="0" borderId="0" applyFont="0" applyFill="0" applyBorder="0" applyAlignment="0" applyProtection="0">
      <alignment vertical="center"/>
    </xf>
    <xf numFmtId="0" fontId="43" fillId="0" borderId="1" applyNumberFormat="0" applyFill="0" applyAlignment="0" applyProtection="0">
      <alignment vertical="center"/>
    </xf>
    <xf numFmtId="0" fontId="44" fillId="0" borderId="2" applyNumberFormat="0" applyFill="0" applyAlignment="0" applyProtection="0">
      <alignment vertical="center"/>
    </xf>
    <xf numFmtId="0" fontId="45" fillId="0" borderId="3" applyNumberFormat="0" applyFill="0" applyAlignment="0" applyProtection="0">
      <alignment vertical="center"/>
    </xf>
    <xf numFmtId="0" fontId="45" fillId="0" borderId="0" applyNumberFormat="0" applyFill="0" applyBorder="0" applyAlignment="0" applyProtection="0">
      <alignment vertical="center"/>
    </xf>
    <xf numFmtId="0" fontId="46" fillId="0" borderId="9" applyNumberFormat="0" applyFill="0" applyAlignment="0" applyProtection="0">
      <alignment vertical="center"/>
    </xf>
    <xf numFmtId="0" fontId="47" fillId="6" borderId="5" applyNumberFormat="0" applyAlignment="0" applyProtection="0">
      <alignment vertical="center"/>
    </xf>
    <xf numFmtId="0" fontId="48" fillId="0" borderId="0" applyNumberFormat="0" applyFill="0" applyBorder="0" applyAlignment="0" applyProtection="0">
      <alignment vertical="center"/>
    </xf>
    <xf numFmtId="6" fontId="23" fillId="0" borderId="0" applyFont="0" applyFill="0" applyBorder="0" applyAlignment="0" applyProtection="0">
      <alignment vertical="center"/>
    </xf>
    <xf numFmtId="0" fontId="49" fillId="5" borderId="4" applyNumberFormat="0" applyAlignment="0" applyProtection="0">
      <alignment vertical="center"/>
    </xf>
    <xf numFmtId="0" fontId="34" fillId="0" borderId="0">
      <alignment vertical="center"/>
    </xf>
    <xf numFmtId="0" fontId="34" fillId="0" borderId="0">
      <alignment vertical="center"/>
    </xf>
    <xf numFmtId="0" fontId="23" fillId="0" borderId="0">
      <alignment vertical="center"/>
    </xf>
    <xf numFmtId="0" fontId="1" fillId="0" borderId="0"/>
    <xf numFmtId="0" fontId="34" fillId="0" borderId="0">
      <alignment vertical="center"/>
    </xf>
    <xf numFmtId="0" fontId="1" fillId="0" borderId="0">
      <alignment vertical="center"/>
    </xf>
    <xf numFmtId="0" fontId="34" fillId="0" borderId="0">
      <alignment vertical="center"/>
    </xf>
    <xf numFmtId="0" fontId="34" fillId="0" borderId="0">
      <alignment vertical="center"/>
    </xf>
    <xf numFmtId="0" fontId="34" fillId="0" borderId="0">
      <alignment vertical="center"/>
    </xf>
    <xf numFmtId="0" fontId="34" fillId="0" borderId="0">
      <alignment vertical="center"/>
    </xf>
    <xf numFmtId="0" fontId="34" fillId="0" borderId="0">
      <alignment vertical="center"/>
    </xf>
    <xf numFmtId="0" fontId="1" fillId="0" borderId="0">
      <alignment vertical="center"/>
    </xf>
    <xf numFmtId="0" fontId="34" fillId="0" borderId="0">
      <alignment vertical="center"/>
    </xf>
    <xf numFmtId="0" fontId="34" fillId="0" borderId="0">
      <alignment vertical="center"/>
    </xf>
    <xf numFmtId="0" fontId="23" fillId="0" borderId="0">
      <alignment vertical="center"/>
    </xf>
    <xf numFmtId="0" fontId="34"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4" fillId="0" borderId="0">
      <alignment vertical="center"/>
    </xf>
    <xf numFmtId="0" fontId="34"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23" fillId="0" borderId="0">
      <alignment vertical="center"/>
    </xf>
    <xf numFmtId="0" fontId="34" fillId="0" borderId="0">
      <alignment vertical="center"/>
    </xf>
    <xf numFmtId="0" fontId="34" fillId="0" borderId="0">
      <alignment vertical="center"/>
    </xf>
    <xf numFmtId="0" fontId="23" fillId="0" borderId="0">
      <alignment vertical="center"/>
    </xf>
    <xf numFmtId="0" fontId="34" fillId="0" borderId="0">
      <alignment vertical="center"/>
    </xf>
    <xf numFmtId="0" fontId="34" fillId="0" borderId="0">
      <alignment vertical="center"/>
    </xf>
    <xf numFmtId="0" fontId="23" fillId="0" borderId="0">
      <alignment vertical="center"/>
    </xf>
    <xf numFmtId="0" fontId="34" fillId="0" borderId="0">
      <alignment vertical="center"/>
    </xf>
    <xf numFmtId="0" fontId="34" fillId="0" borderId="0">
      <alignment vertical="center"/>
    </xf>
    <xf numFmtId="0" fontId="23" fillId="0" borderId="0">
      <alignment vertical="center"/>
    </xf>
    <xf numFmtId="0" fontId="34" fillId="0" borderId="0">
      <alignment vertical="center"/>
    </xf>
    <xf numFmtId="0" fontId="34" fillId="0" borderId="0">
      <alignment vertical="center"/>
    </xf>
    <xf numFmtId="0" fontId="23" fillId="0" borderId="0">
      <alignment vertical="center"/>
    </xf>
    <xf numFmtId="0" fontId="34" fillId="0" borderId="0">
      <alignment vertical="center"/>
    </xf>
    <xf numFmtId="0" fontId="34" fillId="0" borderId="0">
      <alignment vertical="center"/>
    </xf>
    <xf numFmtId="0" fontId="23" fillId="0" borderId="0">
      <alignment vertical="center"/>
    </xf>
    <xf numFmtId="0" fontId="34" fillId="0" borderId="0">
      <alignment vertical="center"/>
    </xf>
    <xf numFmtId="0" fontId="34" fillId="0" borderId="0">
      <alignment vertical="center"/>
    </xf>
    <xf numFmtId="0" fontId="23" fillId="0" borderId="0">
      <alignment vertical="center"/>
    </xf>
    <xf numFmtId="0" fontId="34" fillId="0" borderId="0">
      <alignment vertical="center"/>
    </xf>
    <xf numFmtId="0" fontId="34" fillId="0" borderId="0">
      <alignment vertical="center"/>
    </xf>
    <xf numFmtId="0" fontId="23" fillId="0" borderId="0">
      <alignment vertical="center"/>
    </xf>
    <xf numFmtId="0" fontId="34" fillId="0" borderId="0">
      <alignment vertical="center"/>
    </xf>
    <xf numFmtId="0" fontId="34" fillId="0" borderId="0">
      <alignment vertical="center"/>
    </xf>
    <xf numFmtId="0" fontId="23" fillId="0" borderId="0">
      <alignment vertical="center"/>
    </xf>
    <xf numFmtId="0" fontId="34" fillId="0" borderId="0">
      <alignment vertical="center"/>
    </xf>
    <xf numFmtId="0" fontId="34" fillId="0" borderId="0">
      <alignment vertical="center"/>
    </xf>
    <xf numFmtId="0" fontId="23" fillId="0" borderId="0">
      <alignment vertical="center"/>
    </xf>
    <xf numFmtId="0" fontId="34" fillId="0" borderId="0">
      <alignment vertical="center"/>
    </xf>
    <xf numFmtId="0" fontId="34" fillId="0" borderId="0">
      <alignment vertical="center"/>
    </xf>
    <xf numFmtId="0" fontId="23" fillId="0" borderId="0">
      <alignment vertical="center"/>
    </xf>
    <xf numFmtId="0" fontId="34" fillId="0" borderId="0">
      <alignment vertical="center"/>
    </xf>
    <xf numFmtId="0" fontId="34" fillId="0" borderId="0">
      <alignment vertical="center"/>
    </xf>
    <xf numFmtId="0" fontId="23" fillId="0" borderId="0">
      <alignment vertical="center"/>
    </xf>
    <xf numFmtId="0" fontId="34" fillId="0" borderId="0">
      <alignment vertical="center"/>
    </xf>
    <xf numFmtId="0" fontId="34" fillId="0" borderId="0">
      <alignment vertical="center"/>
    </xf>
    <xf numFmtId="0" fontId="23" fillId="0" borderId="0">
      <alignment vertical="center"/>
    </xf>
    <xf numFmtId="0" fontId="34" fillId="0" borderId="0">
      <alignment vertical="center"/>
    </xf>
    <xf numFmtId="0" fontId="34" fillId="0" borderId="0">
      <alignment vertical="center"/>
    </xf>
    <xf numFmtId="0" fontId="23" fillId="0" borderId="0">
      <alignment vertical="center"/>
    </xf>
    <xf numFmtId="0" fontId="34" fillId="0" borderId="0">
      <alignment vertical="center"/>
    </xf>
    <xf numFmtId="0" fontId="34" fillId="0" borderId="0">
      <alignment vertical="center"/>
    </xf>
    <xf numFmtId="0" fontId="23" fillId="0" borderId="0">
      <alignment vertical="center"/>
    </xf>
    <xf numFmtId="0" fontId="34" fillId="0" borderId="0">
      <alignment vertical="center"/>
    </xf>
    <xf numFmtId="0" fontId="34"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4" fillId="0" borderId="0">
      <alignment vertical="center"/>
    </xf>
    <xf numFmtId="0" fontId="34" fillId="0" borderId="0">
      <alignment vertical="center"/>
    </xf>
    <xf numFmtId="0" fontId="34" fillId="0" borderId="0">
      <alignment vertical="center"/>
    </xf>
    <xf numFmtId="0" fontId="34" fillId="0" borderId="0">
      <alignment vertical="center"/>
    </xf>
    <xf numFmtId="0" fontId="34" fillId="0" borderId="0">
      <alignment vertical="center"/>
    </xf>
    <xf numFmtId="0" fontId="34" fillId="0" borderId="0">
      <alignment vertical="center"/>
    </xf>
    <xf numFmtId="0" fontId="1" fillId="0" borderId="0"/>
    <xf numFmtId="0" fontId="50" fillId="2" borderId="0" applyNumberFormat="0" applyBorder="0" applyAlignment="0" applyProtection="0">
      <alignment vertical="center"/>
    </xf>
  </cellStyleXfs>
  <cellXfs count="243">
    <xf numFmtId="0" fontId="0" fillId="0" borderId="0" xfId="0">
      <alignment vertical="center"/>
    </xf>
    <xf numFmtId="0" fontId="1" fillId="0" borderId="0" xfId="58" applyFont="1" applyAlignment="1" applyProtection="1">
      <alignment horizontal="left" vertical="center"/>
      <protection locked="0"/>
    </xf>
    <xf numFmtId="0" fontId="4" fillId="0" borderId="0" xfId="0" applyFont="1" applyProtection="1">
      <alignment vertical="center"/>
      <protection locked="0"/>
    </xf>
    <xf numFmtId="0" fontId="18" fillId="0" borderId="0" xfId="0" applyFont="1" applyAlignment="1" applyProtection="1">
      <alignment horizontal="center" vertical="center"/>
      <protection locked="0"/>
    </xf>
    <xf numFmtId="0" fontId="13" fillId="0" borderId="0" xfId="0" applyFont="1" applyProtection="1">
      <alignment vertical="center"/>
      <protection locked="0"/>
    </xf>
    <xf numFmtId="0" fontId="14" fillId="0" borderId="0" xfId="0" applyFont="1" applyAlignment="1" applyProtection="1">
      <alignment horizontal="right" vertical="center"/>
      <protection locked="0"/>
    </xf>
    <xf numFmtId="0" fontId="1" fillId="0" borderId="0" xfId="0" applyFont="1" applyAlignment="1" applyProtection="1">
      <alignment horizontal="right" vertical="center"/>
      <protection locked="0"/>
    </xf>
    <xf numFmtId="0" fontId="0" fillId="0" borderId="0" xfId="0" applyFont="1" applyAlignment="1" applyProtection="1">
      <alignment horizontal="right" vertical="center"/>
      <protection locked="0"/>
    </xf>
    <xf numFmtId="0" fontId="4" fillId="0" borderId="16" xfId="0" applyFont="1" applyBorder="1" applyProtection="1">
      <alignment vertical="center"/>
      <protection locked="0"/>
    </xf>
    <xf numFmtId="0" fontId="4" fillId="0" borderId="0" xfId="0" applyFont="1" applyBorder="1" applyProtection="1">
      <alignment vertical="center"/>
      <protection locked="0"/>
    </xf>
    <xf numFmtId="0" fontId="16" fillId="0" borderId="0" xfId="0" applyFont="1" applyProtection="1">
      <alignment vertical="center"/>
      <protection locked="0"/>
    </xf>
    <xf numFmtId="14" fontId="17" fillId="0" borderId="0" xfId="0" applyNumberFormat="1" applyFont="1" applyBorder="1" applyAlignment="1" applyProtection="1">
      <alignment horizontal="center" vertical="center"/>
    </xf>
    <xf numFmtId="14" fontId="17" fillId="0" borderId="0" xfId="0" applyNumberFormat="1" applyFont="1" applyBorder="1" applyAlignment="1" applyProtection="1">
      <alignment vertical="center"/>
    </xf>
    <xf numFmtId="14" fontId="15" fillId="0" borderId="0" xfId="0" applyNumberFormat="1" applyFont="1" applyBorder="1" applyAlignment="1" applyProtection="1">
      <alignment horizontal="center" vertical="center"/>
      <protection locked="0"/>
    </xf>
    <xf numFmtId="0" fontId="15" fillId="0" borderId="0" xfId="0" applyFont="1" applyBorder="1" applyAlignment="1" applyProtection="1">
      <alignment horizontal="center" vertical="center"/>
      <protection locked="0"/>
    </xf>
    <xf numFmtId="0" fontId="17" fillId="0" borderId="0" xfId="0" applyFont="1" applyBorder="1" applyAlignment="1" applyProtection="1">
      <alignment horizontal="right" vertical="center"/>
    </xf>
    <xf numFmtId="0" fontId="16" fillId="0" borderId="0" xfId="0" applyFont="1" applyAlignment="1" applyProtection="1">
      <alignment horizontal="center" vertical="center"/>
    </xf>
    <xf numFmtId="0" fontId="17" fillId="0" borderId="0" xfId="0" applyFont="1" applyAlignment="1" applyProtection="1">
      <alignment horizontal="right" vertical="center"/>
    </xf>
    <xf numFmtId="0" fontId="16" fillId="0" borderId="0" xfId="0" applyFont="1" applyAlignment="1" applyProtection="1">
      <alignment horizontal="center" vertical="center"/>
      <protection locked="0"/>
    </xf>
    <xf numFmtId="0" fontId="1" fillId="0" borderId="0" xfId="0" applyFont="1" applyProtection="1">
      <alignment vertical="center"/>
      <protection locked="0"/>
    </xf>
    <xf numFmtId="0" fontId="16" fillId="0" borderId="0" xfId="0" applyFont="1" applyAlignment="1" applyProtection="1">
      <alignment vertical="center"/>
    </xf>
    <xf numFmtId="0" fontId="16" fillId="0" borderId="0" xfId="0" applyFont="1" applyAlignment="1" applyProtection="1">
      <alignment horizontal="right" vertical="center"/>
    </xf>
    <xf numFmtId="0" fontId="16" fillId="0" borderId="0" xfId="0" applyFont="1" applyAlignment="1" applyProtection="1">
      <alignment horizontal="left" vertical="center"/>
    </xf>
    <xf numFmtId="0" fontId="16" fillId="0" borderId="0" xfId="0" applyFont="1" applyAlignment="1" applyProtection="1">
      <alignment horizontal="right" vertical="center"/>
    </xf>
    <xf numFmtId="0" fontId="0" fillId="0" borderId="0" xfId="0" applyFont="1" applyProtection="1">
      <alignment vertical="center"/>
      <protection locked="0"/>
    </xf>
    <xf numFmtId="0" fontId="0" fillId="0" borderId="0" xfId="0" applyFont="1" applyAlignment="1" applyProtection="1">
      <alignment horizontal="left" vertical="center"/>
      <protection locked="0"/>
    </xf>
    <xf numFmtId="0" fontId="1" fillId="0" borderId="0" xfId="0" applyFont="1" applyAlignment="1" applyProtection="1">
      <alignment horizontal="left" vertical="center"/>
    </xf>
    <xf numFmtId="0" fontId="0" fillId="0" borderId="0" xfId="58" applyFont="1" applyAlignment="1" applyProtection="1">
      <alignment horizontal="left" vertical="center"/>
      <protection locked="0"/>
    </xf>
    <xf numFmtId="0" fontId="25" fillId="0" borderId="0" xfId="1" applyFont="1" applyAlignment="1">
      <alignment horizontal="left" vertical="center"/>
    </xf>
    <xf numFmtId="0" fontId="26" fillId="0" borderId="0" xfId="1" applyFont="1" applyAlignment="1">
      <alignment horizontal="center" vertical="center" wrapText="1"/>
    </xf>
    <xf numFmtId="0" fontId="29" fillId="0" borderId="0" xfId="1" applyFont="1" applyAlignment="1">
      <alignment horizontal="center" vertical="center" wrapText="1"/>
    </xf>
    <xf numFmtId="0" fontId="27" fillId="0" borderId="0" xfId="1" applyFont="1" applyAlignment="1">
      <alignment horizontal="left" vertical="top" wrapText="1"/>
    </xf>
    <xf numFmtId="0" fontId="27" fillId="0" borderId="0" xfId="1" applyFont="1" applyAlignment="1">
      <alignment horizontal="center" vertical="center"/>
    </xf>
    <xf numFmtId="0" fontId="27" fillId="0" borderId="33" xfId="1" applyFont="1" applyBorder="1" applyAlignment="1">
      <alignment horizontal="center" vertical="center"/>
    </xf>
    <xf numFmtId="0" fontId="27" fillId="0" borderId="34" xfId="1" applyFont="1" applyBorder="1" applyAlignment="1">
      <alignment horizontal="center" vertical="center"/>
    </xf>
    <xf numFmtId="0" fontId="27" fillId="0" borderId="35" xfId="1" applyFont="1" applyBorder="1" applyAlignment="1">
      <alignment horizontal="center" vertical="center"/>
    </xf>
    <xf numFmtId="180" fontId="27" fillId="0" borderId="33" xfId="1" applyNumberFormat="1" applyFont="1" applyBorder="1" applyAlignment="1">
      <alignment horizontal="center" vertical="center"/>
    </xf>
    <xf numFmtId="180" fontId="27" fillId="0" borderId="35" xfId="1" applyNumberFormat="1" applyFont="1" applyBorder="1" applyAlignment="1">
      <alignment horizontal="center" vertical="center"/>
    </xf>
    <xf numFmtId="180" fontId="27" fillId="0" borderId="34" xfId="1" applyNumberFormat="1" applyFont="1" applyBorder="1" applyAlignment="1">
      <alignment horizontal="center" vertical="center"/>
    </xf>
    <xf numFmtId="0" fontId="27" fillId="0" borderId="0" xfId="1" applyFont="1" applyAlignment="1">
      <alignment horizontal="left" vertical="top"/>
    </xf>
    <xf numFmtId="0" fontId="27" fillId="0" borderId="0" xfId="1" applyFont="1" applyAlignment="1">
      <alignment horizontal="left" vertical="center" wrapText="1"/>
    </xf>
    <xf numFmtId="49" fontId="3" fillId="0" borderId="0" xfId="58" applyNumberFormat="1" applyFont="1" applyBorder="1" applyAlignment="1" applyProtection="1">
      <alignment horizontal="left" vertical="center"/>
      <protection locked="0"/>
    </xf>
    <xf numFmtId="49" fontId="3" fillId="0" borderId="14" xfId="58" applyNumberFormat="1" applyFont="1" applyBorder="1" applyAlignment="1" applyProtection="1">
      <alignment horizontal="left" vertical="center"/>
      <protection locked="0"/>
    </xf>
    <xf numFmtId="0" fontId="3" fillId="0" borderId="0" xfId="58" applyFont="1" applyBorder="1" applyAlignment="1" applyProtection="1">
      <alignment horizontal="left" vertical="center" wrapText="1"/>
      <protection locked="0"/>
    </xf>
    <xf numFmtId="0" fontId="3" fillId="0" borderId="14" xfId="58" applyFont="1" applyBorder="1" applyAlignment="1" applyProtection="1">
      <alignment horizontal="left" vertical="center" wrapText="1"/>
      <protection locked="0"/>
    </xf>
    <xf numFmtId="0" fontId="8" fillId="0" borderId="0" xfId="1" applyFont="1" applyAlignment="1" applyProtection="1">
      <alignment horizontal="left" vertical="center"/>
      <protection locked="0"/>
    </xf>
    <xf numFmtId="0" fontId="1" fillId="0" borderId="0" xfId="1" applyBorder="1">
      <alignment vertical="center"/>
    </xf>
    <xf numFmtId="0" fontId="9" fillId="33" borderId="19" xfId="140" applyFont="1" applyFill="1" applyBorder="1"/>
    <xf numFmtId="0" fontId="9" fillId="33" borderId="20" xfId="140" applyFont="1" applyFill="1" applyBorder="1" applyAlignment="1">
      <alignment horizontal="left"/>
    </xf>
    <xf numFmtId="0" fontId="9" fillId="33" borderId="0" xfId="140" applyFont="1" applyFill="1"/>
    <xf numFmtId="0" fontId="9" fillId="33" borderId="0" xfId="140" applyFont="1" applyFill="1" applyAlignment="1">
      <alignment horizontal="left"/>
    </xf>
    <xf numFmtId="0" fontId="9" fillId="33" borderId="0" xfId="140" applyFont="1" applyFill="1" applyAlignment="1">
      <alignment horizontal="center"/>
    </xf>
    <xf numFmtId="14" fontId="9" fillId="33" borderId="0" xfId="140" applyNumberFormat="1" applyFont="1" applyFill="1"/>
    <xf numFmtId="0" fontId="9" fillId="33" borderId="0" xfId="140" applyFont="1" applyFill="1" applyBorder="1" applyAlignment="1">
      <alignment vertical="center"/>
    </xf>
    <xf numFmtId="0" fontId="10" fillId="34" borderId="21" xfId="140" applyFont="1" applyFill="1" applyBorder="1" applyAlignment="1">
      <alignment vertical="center"/>
    </xf>
    <xf numFmtId="0" fontId="11" fillId="34" borderId="21" xfId="140" applyFont="1" applyFill="1" applyBorder="1"/>
    <xf numFmtId="0" fontId="9" fillId="35" borderId="18" xfId="140" applyFont="1" applyFill="1" applyBorder="1" applyAlignment="1">
      <alignment horizontal="center" vertical="center"/>
    </xf>
    <xf numFmtId="14" fontId="9" fillId="35" borderId="18" xfId="140" applyNumberFormat="1" applyFont="1" applyFill="1" applyBorder="1" applyAlignment="1">
      <alignment horizontal="center" vertical="center"/>
    </xf>
    <xf numFmtId="0" fontId="9" fillId="35" borderId="22" xfId="140" applyFont="1" applyFill="1" applyBorder="1" applyAlignment="1">
      <alignment horizontal="center" vertical="center"/>
    </xf>
    <xf numFmtId="0" fontId="9" fillId="35" borderId="23" xfId="140" applyFont="1" applyFill="1" applyBorder="1" applyAlignment="1">
      <alignment horizontal="center" vertical="center"/>
    </xf>
    <xf numFmtId="0" fontId="9" fillId="0" borderId="0" xfId="140" applyFont="1" applyFill="1" applyAlignment="1">
      <alignment horizontal="center" vertical="center"/>
    </xf>
    <xf numFmtId="14" fontId="9" fillId="33" borderId="20" xfId="140" applyNumberFormat="1" applyFont="1" applyFill="1" applyBorder="1" applyAlignment="1">
      <alignment horizontal="left"/>
    </xf>
    <xf numFmtId="0" fontId="9" fillId="33" borderId="20" xfId="140" applyFont="1" applyFill="1" applyBorder="1" applyAlignment="1">
      <alignment horizontal="center"/>
    </xf>
    <xf numFmtId="0" fontId="9" fillId="35" borderId="23" xfId="140" applyFont="1" applyFill="1" applyBorder="1" applyAlignment="1">
      <alignment horizontal="center" vertical="center" wrapText="1"/>
    </xf>
    <xf numFmtId="0" fontId="9" fillId="35" borderId="24" xfId="140" applyFont="1" applyFill="1" applyBorder="1" applyAlignment="1">
      <alignment horizontal="center" vertical="center" wrapText="1"/>
    </xf>
    <xf numFmtId="0" fontId="9" fillId="35" borderId="18" xfId="140" applyFont="1" applyFill="1" applyBorder="1" applyAlignment="1">
      <alignment horizontal="center" vertical="center" wrapText="1"/>
    </xf>
    <xf numFmtId="0" fontId="4" fillId="0" borderId="0" xfId="1" applyFont="1" applyProtection="1">
      <alignment vertical="center"/>
      <protection locked="0"/>
    </xf>
    <xf numFmtId="0" fontId="4" fillId="0" borderId="16" xfId="1" applyFont="1" applyBorder="1" applyProtection="1">
      <alignment vertical="center"/>
      <protection locked="0"/>
    </xf>
    <xf numFmtId="0" fontId="4" fillId="0" borderId="0" xfId="1" applyFont="1" applyBorder="1" applyProtection="1">
      <alignment vertical="center"/>
      <protection locked="0"/>
    </xf>
    <xf numFmtId="0" fontId="4" fillId="0" borderId="0" xfId="1" applyFont="1" applyProtection="1">
      <alignment vertical="center"/>
    </xf>
    <xf numFmtId="0" fontId="3" fillId="0" borderId="0" xfId="1" applyFont="1" applyProtection="1">
      <alignment vertical="center"/>
      <protection locked="0"/>
    </xf>
    <xf numFmtId="0" fontId="3" fillId="0" borderId="0" xfId="1" applyFont="1" applyAlignment="1" applyProtection="1">
      <alignment horizontal="right" vertical="center"/>
      <protection locked="0"/>
    </xf>
    <xf numFmtId="0" fontId="8" fillId="0" borderId="0" xfId="1" applyFont="1" applyBorder="1" applyProtection="1">
      <alignment vertical="center"/>
      <protection locked="0"/>
    </xf>
    <xf numFmtId="0" fontId="3" fillId="0" borderId="0" xfId="1" applyFont="1" applyAlignment="1" applyProtection="1">
      <alignment vertical="center"/>
      <protection locked="0"/>
    </xf>
    <xf numFmtId="0" fontId="5" fillId="0" borderId="0" xfId="1" applyFont="1" applyAlignment="1" applyProtection="1">
      <alignment horizontal="right" vertical="center"/>
      <protection locked="0"/>
    </xf>
    <xf numFmtId="0" fontId="5" fillId="0" borderId="0" xfId="1" applyFont="1" applyAlignment="1" applyProtection="1">
      <alignment vertical="center"/>
      <protection locked="0"/>
    </xf>
    <xf numFmtId="0" fontId="4" fillId="0" borderId="0" xfId="1" applyFont="1" applyAlignment="1" applyProtection="1">
      <alignment horizontal="center" vertical="center"/>
      <protection locked="0"/>
    </xf>
    <xf numFmtId="0" fontId="4" fillId="0" borderId="11" xfId="1" applyFont="1" applyBorder="1" applyProtection="1">
      <alignment vertical="center"/>
      <protection locked="0"/>
    </xf>
    <xf numFmtId="0" fontId="4" fillId="0" borderId="12" xfId="1" applyFont="1" applyBorder="1" applyProtection="1">
      <alignment vertical="center"/>
      <protection locked="0"/>
    </xf>
    <xf numFmtId="0" fontId="3" fillId="0" borderId="16" xfId="1" applyFont="1" applyBorder="1" applyAlignment="1" applyProtection="1">
      <alignment horizontal="left" vertical="center" wrapText="1"/>
      <protection locked="0"/>
    </xf>
    <xf numFmtId="0" fontId="4" fillId="0" borderId="17" xfId="1" applyFont="1" applyBorder="1" applyProtection="1">
      <alignment vertical="center"/>
      <protection locked="0"/>
    </xf>
    <xf numFmtId="0" fontId="3" fillId="0" borderId="11" xfId="1" applyFont="1" applyBorder="1" applyAlignment="1" applyProtection="1">
      <alignment horizontal="left" vertical="center" wrapText="1"/>
      <protection locked="0"/>
    </xf>
    <xf numFmtId="0" fontId="4" fillId="0" borderId="0" xfId="1" applyFont="1" applyBorder="1" applyAlignment="1" applyProtection="1">
      <alignment horizontal="left" vertical="center" wrapText="1"/>
      <protection locked="0"/>
    </xf>
    <xf numFmtId="0" fontId="4" fillId="0" borderId="14" xfId="1" applyFont="1" applyBorder="1" applyProtection="1">
      <alignment vertical="center"/>
      <protection locked="0"/>
    </xf>
    <xf numFmtId="0" fontId="4" fillId="0" borderId="16" xfId="1" applyFont="1" applyBorder="1" applyAlignment="1" applyProtection="1">
      <alignment horizontal="left" vertical="center"/>
      <protection locked="0"/>
    </xf>
    <xf numFmtId="0" fontId="4" fillId="0" borderId="11" xfId="1" applyFont="1" applyBorder="1" applyAlignment="1" applyProtection="1">
      <alignment horizontal="left" vertical="center"/>
      <protection locked="0"/>
    </xf>
    <xf numFmtId="0" fontId="4" fillId="0" borderId="0" xfId="1" applyFont="1" applyAlignment="1" applyProtection="1">
      <alignment horizontal="right" vertical="center"/>
      <protection locked="0"/>
    </xf>
    <xf numFmtId="14" fontId="9" fillId="33" borderId="20" xfId="140" applyNumberFormat="1" applyFont="1" applyFill="1" applyBorder="1" applyAlignment="1">
      <alignment horizontal="center"/>
    </xf>
    <xf numFmtId="14" fontId="9" fillId="36" borderId="20" xfId="140" applyNumberFormat="1" applyFont="1" applyFill="1" applyBorder="1" applyAlignment="1">
      <alignment horizontal="left"/>
    </xf>
    <xf numFmtId="0" fontId="9" fillId="0" borderId="0" xfId="140" applyFont="1" applyFill="1" applyBorder="1" applyAlignment="1">
      <alignment vertical="center"/>
    </xf>
    <xf numFmtId="0" fontId="19" fillId="33" borderId="21" xfId="140" applyFont="1" applyFill="1" applyBorder="1" applyAlignment="1">
      <alignment horizontal="center" vertical="center"/>
    </xf>
    <xf numFmtId="0" fontId="4" fillId="0" borderId="0" xfId="58" applyFont="1" applyBorder="1" applyAlignment="1" applyProtection="1">
      <alignment horizontal="left" vertical="center" wrapText="1"/>
      <protection locked="0"/>
    </xf>
    <xf numFmtId="0" fontId="4" fillId="0" borderId="14" xfId="58" applyFont="1" applyBorder="1" applyProtection="1">
      <alignment vertical="center"/>
      <protection locked="0"/>
    </xf>
    <xf numFmtId="177" fontId="9" fillId="33" borderId="20" xfId="140" applyNumberFormat="1" applyFont="1" applyFill="1" applyBorder="1" applyAlignment="1">
      <alignment horizontal="left"/>
    </xf>
    <xf numFmtId="0" fontId="1" fillId="0" borderId="19" xfId="1" applyBorder="1" applyAlignment="1">
      <alignment horizontal="center" vertical="center"/>
    </xf>
    <xf numFmtId="180" fontId="1" fillId="0" borderId="19" xfId="1" applyNumberFormat="1" applyBorder="1" applyAlignment="1">
      <alignment horizontal="center" vertical="center"/>
    </xf>
    <xf numFmtId="0" fontId="1" fillId="0" borderId="0" xfId="58" applyFont="1" applyAlignment="1" applyProtection="1">
      <alignment vertical="center"/>
      <protection locked="0"/>
    </xf>
    <xf numFmtId="0" fontId="6" fillId="0" borderId="10" xfId="1" applyFont="1" applyBorder="1" applyAlignment="1" applyProtection="1">
      <alignment horizontal="center" vertical="center"/>
      <protection locked="0"/>
    </xf>
    <xf numFmtId="0" fontId="6" fillId="0" borderId="13" xfId="1" applyFont="1" applyBorder="1" applyAlignment="1" applyProtection="1">
      <alignment horizontal="center" vertical="center"/>
      <protection locked="0"/>
    </xf>
    <xf numFmtId="0" fontId="6" fillId="0" borderId="15" xfId="1" applyFont="1" applyBorder="1" applyAlignment="1" applyProtection="1">
      <alignment horizontal="center" vertical="center"/>
      <protection locked="0"/>
    </xf>
    <xf numFmtId="0" fontId="3" fillId="0" borderId="16" xfId="1" applyFont="1" applyBorder="1" applyAlignment="1" applyProtection="1">
      <alignment horizontal="left" vertical="center"/>
      <protection locked="0"/>
    </xf>
    <xf numFmtId="0" fontId="3" fillId="0" borderId="17" xfId="1" applyFont="1" applyBorder="1" applyAlignment="1" applyProtection="1">
      <alignment horizontal="left" vertical="center" wrapText="1"/>
      <protection locked="0"/>
    </xf>
    <xf numFmtId="0" fontId="3" fillId="0" borderId="12" xfId="1" applyFont="1" applyBorder="1" applyAlignment="1" applyProtection="1">
      <alignment horizontal="left" vertical="center" wrapText="1"/>
      <protection locked="0"/>
    </xf>
    <xf numFmtId="0" fontId="4" fillId="0" borderId="17" xfId="1" applyFont="1" applyBorder="1" applyAlignment="1" applyProtection="1">
      <alignment horizontal="left" vertical="center"/>
      <protection locked="0"/>
    </xf>
    <xf numFmtId="0" fontId="1" fillId="0" borderId="19" xfId="1" applyBorder="1" applyAlignment="1">
      <alignment horizontal="left" vertical="center"/>
    </xf>
    <xf numFmtId="0" fontId="6" fillId="0" borderId="11" xfId="1" applyFont="1" applyBorder="1" applyAlignment="1" applyProtection="1">
      <alignment horizontal="center" vertical="center"/>
      <protection locked="0"/>
    </xf>
    <xf numFmtId="0" fontId="6" fillId="0" borderId="16" xfId="1" applyFont="1" applyBorder="1" applyAlignment="1" applyProtection="1">
      <alignment horizontal="center" vertical="center"/>
      <protection locked="0"/>
    </xf>
    <xf numFmtId="0" fontId="4" fillId="0" borderId="0" xfId="1" applyFont="1" applyAlignment="1" applyProtection="1">
      <alignment vertical="center"/>
    </xf>
    <xf numFmtId="0" fontId="4" fillId="0" borderId="0" xfId="1" applyFont="1" applyAlignment="1" applyProtection="1">
      <alignment horizontal="right" vertical="center"/>
    </xf>
    <xf numFmtId="0" fontId="3" fillId="0" borderId="0" xfId="58" applyFont="1" applyBorder="1" applyAlignment="1" applyProtection="1">
      <alignment horizontal="left" vertical="center" wrapText="1"/>
      <protection locked="0"/>
    </xf>
    <xf numFmtId="0" fontId="3" fillId="0" borderId="0" xfId="1" applyFont="1" applyBorder="1" applyAlignment="1" applyProtection="1">
      <alignment horizontal="left" vertical="center" wrapText="1"/>
      <protection locked="0"/>
    </xf>
    <xf numFmtId="0" fontId="6" fillId="0" borderId="10" xfId="1" applyFont="1" applyBorder="1" applyAlignment="1" applyProtection="1">
      <alignment horizontal="center" vertical="center" wrapText="1"/>
      <protection locked="0"/>
    </xf>
    <xf numFmtId="0" fontId="6" fillId="0" borderId="13" xfId="1" applyFont="1" applyBorder="1" applyAlignment="1" applyProtection="1">
      <alignment horizontal="center" vertical="center" wrapText="1"/>
      <protection locked="0"/>
    </xf>
    <xf numFmtId="0" fontId="6" fillId="0" borderId="15" xfId="1" applyFont="1" applyBorder="1" applyAlignment="1" applyProtection="1">
      <alignment horizontal="center" vertical="center" wrapText="1"/>
      <protection locked="0"/>
    </xf>
    <xf numFmtId="0" fontId="7" fillId="0" borderId="0" xfId="58" applyFont="1" applyBorder="1" applyAlignment="1" applyProtection="1">
      <alignment horizontal="left" vertical="center" wrapText="1"/>
      <protection locked="0"/>
    </xf>
    <xf numFmtId="0" fontId="7" fillId="0" borderId="0" xfId="1" applyFont="1" applyBorder="1" applyAlignment="1" applyProtection="1">
      <alignment horizontal="left" vertical="center" wrapText="1"/>
      <protection locked="0"/>
    </xf>
    <xf numFmtId="0" fontId="3" fillId="0" borderId="11" xfId="1" applyFont="1" applyBorder="1" applyAlignment="1" applyProtection="1">
      <alignment horizontal="left" vertical="center"/>
      <protection locked="0"/>
    </xf>
    <xf numFmtId="0" fontId="4" fillId="0" borderId="11" xfId="1" applyFont="1" applyBorder="1" applyAlignment="1" applyProtection="1">
      <alignment horizontal="center" vertical="center"/>
      <protection locked="0"/>
    </xf>
    <xf numFmtId="0" fontId="4" fillId="0" borderId="16" xfId="1" applyFont="1" applyBorder="1" applyAlignment="1" applyProtection="1">
      <alignment horizontal="center" vertical="center"/>
      <protection locked="0"/>
    </xf>
    <xf numFmtId="0" fontId="4" fillId="0" borderId="0" xfId="1" applyFont="1" applyBorder="1" applyProtection="1">
      <alignment vertical="center"/>
    </xf>
    <xf numFmtId="0" fontId="4" fillId="0" borderId="0" xfId="1" applyFont="1" applyBorder="1" applyAlignment="1" applyProtection="1">
      <alignment horizontal="right" vertical="center"/>
      <protection locked="0"/>
    </xf>
    <xf numFmtId="0" fontId="9" fillId="0" borderId="15" xfId="140" applyFont="1" applyFill="1" applyBorder="1"/>
    <xf numFmtId="0" fontId="9" fillId="33" borderId="20" xfId="140" quotePrefix="1" applyFont="1" applyFill="1" applyBorder="1" applyAlignment="1">
      <alignment horizontal="left"/>
    </xf>
    <xf numFmtId="0" fontId="9" fillId="37" borderId="15" xfId="140" applyFont="1" applyFill="1" applyBorder="1"/>
    <xf numFmtId="0" fontId="9" fillId="33" borderId="20" xfId="140" quotePrefix="1" applyFont="1" applyFill="1" applyBorder="1" applyAlignment="1">
      <alignment horizontal="center"/>
    </xf>
    <xf numFmtId="14" fontId="9" fillId="0" borderId="20" xfId="140" applyNumberFormat="1" applyFont="1" applyFill="1" applyBorder="1" applyAlignment="1">
      <alignment horizontal="left"/>
    </xf>
    <xf numFmtId="0" fontId="9" fillId="33" borderId="0" xfId="140" applyFont="1" applyFill="1" applyAlignment="1"/>
    <xf numFmtId="0" fontId="9" fillId="37" borderId="19" xfId="140" applyFont="1" applyFill="1" applyBorder="1"/>
    <xf numFmtId="0" fontId="9" fillId="38" borderId="15" xfId="140" applyFont="1" applyFill="1" applyBorder="1"/>
    <xf numFmtId="0" fontId="9" fillId="39" borderId="20" xfId="140" applyFont="1" applyFill="1" applyBorder="1" applyAlignment="1">
      <alignment horizontal="left"/>
    </xf>
    <xf numFmtId="0" fontId="9" fillId="0" borderId="20" xfId="140" applyFont="1" applyFill="1" applyBorder="1" applyAlignment="1">
      <alignment horizontal="left"/>
    </xf>
    <xf numFmtId="0" fontId="9" fillId="40" borderId="15" xfId="140" applyFont="1" applyFill="1" applyBorder="1"/>
    <xf numFmtId="0" fontId="9" fillId="0" borderId="20" xfId="140" quotePrefix="1" applyFont="1" applyFill="1" applyBorder="1" applyAlignment="1">
      <alignment horizontal="left"/>
    </xf>
    <xf numFmtId="0" fontId="9" fillId="38" borderId="19" xfId="140" applyFont="1" applyFill="1" applyBorder="1"/>
    <xf numFmtId="0" fontId="9" fillId="41" borderId="15" xfId="140" applyFont="1" applyFill="1" applyBorder="1"/>
    <xf numFmtId="0" fontId="9" fillId="33" borderId="19" xfId="140" applyFont="1" applyFill="1" applyBorder="1" applyAlignment="1"/>
    <xf numFmtId="0" fontId="9" fillId="41" borderId="19" xfId="140" applyFont="1" applyFill="1" applyBorder="1"/>
    <xf numFmtId="0" fontId="9" fillId="0" borderId="19" xfId="140" applyFont="1" applyFill="1" applyBorder="1"/>
    <xf numFmtId="0" fontId="9" fillId="42" borderId="15" xfId="140" applyFont="1" applyFill="1" applyBorder="1"/>
    <xf numFmtId="14" fontId="9" fillId="33" borderId="20" xfId="140" quotePrefix="1" applyNumberFormat="1" applyFont="1" applyFill="1" applyBorder="1" applyAlignment="1">
      <alignment horizontal="left"/>
    </xf>
    <xf numFmtId="0" fontId="9" fillId="42" borderId="19" xfId="140" applyFont="1" applyFill="1" applyBorder="1"/>
    <xf numFmtId="0" fontId="9" fillId="33" borderId="20" xfId="140" applyFont="1" applyFill="1" applyBorder="1" applyAlignment="1">
      <alignment horizontal="left" wrapText="1"/>
    </xf>
    <xf numFmtId="0" fontId="9" fillId="41" borderId="19" xfId="140" applyFont="1" applyFill="1" applyBorder="1" applyAlignment="1"/>
    <xf numFmtId="0" fontId="9" fillId="42" borderId="19" xfId="140" applyFont="1" applyFill="1" applyBorder="1" applyAlignment="1"/>
    <xf numFmtId="0" fontId="9" fillId="43" borderId="15" xfId="140" applyFont="1" applyFill="1" applyBorder="1"/>
    <xf numFmtId="0" fontId="9" fillId="43" borderId="19" xfId="140" applyFont="1" applyFill="1" applyBorder="1"/>
    <xf numFmtId="0" fontId="9" fillId="44" borderId="15" xfId="140" applyFont="1" applyFill="1" applyBorder="1"/>
    <xf numFmtId="0" fontId="9" fillId="44" borderId="19" xfId="140" applyFont="1" applyFill="1" applyBorder="1"/>
    <xf numFmtId="0" fontId="9" fillId="45" borderId="20" xfId="140" applyFont="1" applyFill="1" applyBorder="1" applyAlignment="1">
      <alignment horizontal="left"/>
    </xf>
    <xf numFmtId="179" fontId="9" fillId="33" borderId="20" xfId="140" applyNumberFormat="1" applyFont="1" applyFill="1" applyBorder="1" applyAlignment="1">
      <alignment horizontal="left"/>
    </xf>
    <xf numFmtId="0" fontId="9" fillId="0" borderId="20" xfId="140" applyFont="1" applyFill="1" applyBorder="1" applyAlignment="1">
      <alignment horizontal="center"/>
    </xf>
    <xf numFmtId="0" fontId="9" fillId="46" borderId="15" xfId="140" applyFont="1" applyFill="1" applyBorder="1"/>
    <xf numFmtId="0" fontId="9" fillId="46" borderId="19" xfId="140" applyFont="1" applyFill="1" applyBorder="1"/>
    <xf numFmtId="0" fontId="9" fillId="47" borderId="15" xfId="140" applyFont="1" applyFill="1" applyBorder="1"/>
    <xf numFmtId="0" fontId="9" fillId="47" borderId="19" xfId="140" applyFont="1" applyFill="1" applyBorder="1"/>
    <xf numFmtId="0" fontId="9" fillId="47" borderId="19" xfId="140" applyFont="1" applyFill="1" applyBorder="1" applyAlignment="1"/>
    <xf numFmtId="0" fontId="9" fillId="48" borderId="15" xfId="140" applyFont="1" applyFill="1" applyBorder="1"/>
    <xf numFmtId="0" fontId="9" fillId="48" borderId="19" xfId="140" applyFont="1" applyFill="1" applyBorder="1"/>
    <xf numFmtId="0" fontId="24" fillId="0" borderId="0" xfId="1" applyFont="1" applyAlignment="1">
      <alignment horizontal="right" vertical="center"/>
    </xf>
    <xf numFmtId="0" fontId="51" fillId="0" borderId="0" xfId="1" applyFont="1" applyAlignment="1">
      <alignment horizontal="right" vertical="center"/>
    </xf>
    <xf numFmtId="0" fontId="27" fillId="0" borderId="0" xfId="1" applyFont="1" applyAlignment="1">
      <alignment horizontal="right" vertical="center"/>
    </xf>
    <xf numFmtId="0" fontId="28" fillId="0" borderId="0" xfId="1" applyFont="1">
      <alignment vertical="center"/>
    </xf>
    <xf numFmtId="0" fontId="27" fillId="0" borderId="0" xfId="1" applyFont="1" applyAlignment="1">
      <alignment horizontal="left" vertical="center" wrapText="1"/>
    </xf>
    <xf numFmtId="0" fontId="27" fillId="0" borderId="0" xfId="1" applyFont="1" applyAlignment="1">
      <alignment vertical="top" wrapText="1"/>
    </xf>
    <xf numFmtId="0" fontId="27" fillId="0" borderId="0" xfId="1" applyFont="1" applyAlignment="1">
      <alignment horizontal="left" vertical="top" wrapText="1"/>
    </xf>
    <xf numFmtId="0" fontId="27" fillId="0" borderId="14" xfId="1" applyFont="1" applyBorder="1" applyAlignment="1">
      <alignment vertical="center"/>
    </xf>
    <xf numFmtId="0" fontId="27" fillId="0" borderId="0" xfId="1" applyFont="1" applyAlignment="1">
      <alignment vertical="center" wrapText="1"/>
    </xf>
    <xf numFmtId="0" fontId="27" fillId="0" borderId="0" xfId="1" applyFont="1" applyAlignment="1">
      <alignment vertical="center"/>
    </xf>
    <xf numFmtId="0" fontId="27" fillId="0" borderId="0" xfId="1" applyFont="1" applyAlignment="1">
      <alignment horizontal="left" vertical="top"/>
    </xf>
    <xf numFmtId="0" fontId="27" fillId="0" borderId="0" xfId="1" applyFont="1">
      <alignment vertical="center"/>
    </xf>
    <xf numFmtId="0" fontId="27" fillId="0" borderId="26" xfId="1" applyFont="1" applyBorder="1" applyAlignment="1">
      <alignment horizontal="center" vertical="center"/>
    </xf>
    <xf numFmtId="0" fontId="27" fillId="0" borderId="27" xfId="1" applyFont="1" applyBorder="1" applyAlignment="1">
      <alignment horizontal="center" vertical="center"/>
    </xf>
    <xf numFmtId="0" fontId="27" fillId="0" borderId="19" xfId="1" applyFont="1" applyBorder="1" applyAlignment="1">
      <alignment horizontal="center" vertical="center"/>
    </xf>
    <xf numFmtId="0" fontId="30" fillId="0" borderId="0" xfId="1" applyFont="1">
      <alignment vertical="center"/>
    </xf>
    <xf numFmtId="0" fontId="27" fillId="0" borderId="0" xfId="1" applyFont="1" applyAlignment="1">
      <alignment horizontal="left" vertical="center"/>
    </xf>
    <xf numFmtId="178" fontId="27" fillId="0" borderId="0" xfId="1" applyNumberFormat="1" applyFont="1">
      <alignment vertical="center"/>
    </xf>
    <xf numFmtId="0" fontId="27" fillId="0" borderId="28" xfId="1" applyFont="1" applyBorder="1" applyAlignment="1">
      <alignment horizontal="center" vertical="center"/>
    </xf>
    <xf numFmtId="0" fontId="27" fillId="0" borderId="29" xfId="1" applyFont="1" applyBorder="1" applyAlignment="1">
      <alignment horizontal="center" vertical="center"/>
    </xf>
    <xf numFmtId="0" fontId="27" fillId="0" borderId="30" xfId="1" applyFont="1" applyBorder="1" applyAlignment="1">
      <alignment horizontal="center" vertical="center"/>
    </xf>
    <xf numFmtId="0" fontId="27" fillId="0" borderId="25" xfId="1" applyFont="1" applyBorder="1" applyAlignment="1">
      <alignment horizontal="center" vertical="center"/>
    </xf>
    <xf numFmtId="0" fontId="27" fillId="0" borderId="31" xfId="1" applyFont="1" applyBorder="1" applyAlignment="1">
      <alignment horizontal="center" vertical="center"/>
    </xf>
    <xf numFmtId="0" fontId="27" fillId="0" borderId="32" xfId="1" applyFont="1" applyBorder="1" applyAlignment="1">
      <alignment horizontal="center" vertical="center"/>
    </xf>
    <xf numFmtId="0" fontId="9" fillId="49" borderId="15" xfId="140" applyFont="1" applyFill="1" applyBorder="1"/>
    <xf numFmtId="0" fontId="9" fillId="49" borderId="19" xfId="140" applyFont="1" applyFill="1" applyBorder="1"/>
    <xf numFmtId="0" fontId="1" fillId="0" borderId="0" xfId="1" applyFill="1" applyBorder="1">
      <alignment vertical="center"/>
    </xf>
    <xf numFmtId="0" fontId="27" fillId="0" borderId="0" xfId="1" applyFont="1" applyBorder="1">
      <alignment vertical="center"/>
    </xf>
    <xf numFmtId="0" fontId="27" fillId="50" borderId="0" xfId="1" applyFont="1" applyFill="1">
      <alignment vertical="center"/>
    </xf>
    <xf numFmtId="0" fontId="27" fillId="0" borderId="0" xfId="1" applyFont="1" applyFill="1" applyBorder="1">
      <alignment vertical="center"/>
    </xf>
    <xf numFmtId="0" fontId="27" fillId="50" borderId="0" xfId="1" applyFont="1" applyFill="1" applyBorder="1">
      <alignment vertical="center"/>
    </xf>
    <xf numFmtId="0" fontId="27" fillId="0" borderId="36" xfId="1" applyFont="1" applyFill="1" applyBorder="1">
      <alignment vertical="center"/>
    </xf>
    <xf numFmtId="0" fontId="33" fillId="0" borderId="0" xfId="1" applyFont="1" applyAlignment="1">
      <alignment vertical="top" wrapText="1"/>
    </xf>
    <xf numFmtId="0" fontId="33" fillId="0" borderId="0" xfId="1" applyFont="1">
      <alignment vertical="center"/>
    </xf>
    <xf numFmtId="0" fontId="33" fillId="0" borderId="0" xfId="1" applyFont="1" applyAlignment="1">
      <alignment horizontal="right" vertical="top" wrapText="1"/>
    </xf>
    <xf numFmtId="0" fontId="33" fillId="0" borderId="0" xfId="1" applyFont="1" applyAlignment="1">
      <alignment horizontal="left" vertical="center"/>
    </xf>
    <xf numFmtId="0" fontId="33" fillId="0" borderId="0" xfId="1" applyFont="1" applyAlignment="1">
      <alignment horizontal="right" vertical="center"/>
    </xf>
    <xf numFmtId="0" fontId="33" fillId="0" borderId="0" xfId="1" applyFont="1" applyAlignment="1">
      <alignment vertical="center"/>
    </xf>
    <xf numFmtId="0" fontId="33" fillId="0" borderId="0" xfId="1" applyFont="1" applyAlignment="1">
      <alignment horizontal="left" vertical="top"/>
    </xf>
    <xf numFmtId="0" fontId="52" fillId="0" borderId="0" xfId="1" applyFont="1" applyAlignment="1">
      <alignment horizontal="right" vertical="center"/>
    </xf>
    <xf numFmtId="0" fontId="28" fillId="0" borderId="0" xfId="1" applyFont="1" applyAlignment="1">
      <alignment horizontal="right" vertical="center"/>
    </xf>
    <xf numFmtId="0" fontId="9" fillId="51" borderId="15" xfId="140" applyFont="1" applyFill="1" applyBorder="1"/>
    <xf numFmtId="0" fontId="9" fillId="52" borderId="15" xfId="140" applyFont="1" applyFill="1" applyBorder="1"/>
    <xf numFmtId="0" fontId="9" fillId="52" borderId="19" xfId="140" applyFont="1" applyFill="1" applyBorder="1"/>
    <xf numFmtId="0" fontId="9" fillId="52" borderId="20" xfId="140" applyFont="1" applyFill="1" applyBorder="1" applyAlignment="1">
      <alignment horizontal="left"/>
    </xf>
    <xf numFmtId="0" fontId="9" fillId="52" borderId="20" xfId="140" applyFont="1" applyFill="1" applyBorder="1" applyAlignment="1">
      <alignment horizontal="center"/>
    </xf>
    <xf numFmtId="14" fontId="9" fillId="52" borderId="20" xfId="140" applyNumberFormat="1" applyFont="1" applyFill="1" applyBorder="1" applyAlignment="1">
      <alignment horizontal="left"/>
    </xf>
    <xf numFmtId="14" fontId="9" fillId="52" borderId="20" xfId="140" applyNumberFormat="1" applyFont="1" applyFill="1" applyBorder="1" applyAlignment="1">
      <alignment horizontal="center"/>
    </xf>
    <xf numFmtId="0" fontId="9" fillId="52" borderId="20" xfId="140" quotePrefix="1" applyFont="1" applyFill="1" applyBorder="1" applyAlignment="1">
      <alignment horizontal="center"/>
    </xf>
    <xf numFmtId="0" fontId="9" fillId="52" borderId="20" xfId="140" quotePrefix="1" applyFont="1" applyFill="1" applyBorder="1" applyAlignment="1">
      <alignment horizontal="left"/>
    </xf>
    <xf numFmtId="177" fontId="9" fillId="52" borderId="20" xfId="140" applyNumberFormat="1" applyFont="1" applyFill="1" applyBorder="1" applyAlignment="1">
      <alignment horizontal="left"/>
    </xf>
    <xf numFmtId="0" fontId="9" fillId="51" borderId="19" xfId="140" applyFont="1" applyFill="1" applyBorder="1"/>
    <xf numFmtId="177" fontId="9" fillId="33" borderId="20" xfId="140" quotePrefix="1" applyNumberFormat="1" applyFont="1" applyFill="1" applyBorder="1" applyAlignment="1">
      <alignment horizontal="left"/>
    </xf>
    <xf numFmtId="0" fontId="9" fillId="53" borderId="15" xfId="140" applyFont="1" applyFill="1" applyBorder="1"/>
    <xf numFmtId="0" fontId="9" fillId="53" borderId="19" xfId="140" applyFont="1" applyFill="1" applyBorder="1"/>
    <xf numFmtId="176" fontId="3" fillId="0" borderId="0" xfId="1" applyNumberFormat="1" applyFont="1" applyAlignment="1" applyProtection="1">
      <alignment horizontal="right" vertical="center"/>
      <protection locked="0"/>
    </xf>
    <xf numFmtId="0" fontId="8" fillId="0" borderId="0" xfId="1" applyFont="1" applyBorder="1" applyAlignment="1" applyProtection="1">
      <alignment horizontal="left" vertical="center"/>
    </xf>
    <xf numFmtId="0" fontId="4" fillId="0" borderId="0" xfId="1" applyFont="1" applyBorder="1" applyAlignment="1" applyProtection="1">
      <alignment horizontal="left" vertical="center"/>
      <protection locked="0"/>
    </xf>
    <xf numFmtId="0" fontId="22" fillId="0" borderId="0" xfId="1" applyFont="1" applyAlignment="1" applyProtection="1">
      <alignment horizontal="center" vertical="center"/>
      <protection locked="0"/>
    </xf>
    <xf numFmtId="0" fontId="4" fillId="0" borderId="0" xfId="1" applyFont="1" applyAlignment="1" applyProtection="1">
      <alignment horizontal="center" vertical="center"/>
      <protection locked="0"/>
    </xf>
    <xf numFmtId="0" fontId="4" fillId="0" borderId="0" xfId="1" applyFont="1" applyAlignment="1" applyProtection="1">
      <alignment horizontal="left" vertical="center"/>
      <protection locked="0"/>
    </xf>
    <xf numFmtId="0" fontId="6" fillId="0" borderId="19" xfId="1" applyFont="1" applyBorder="1" applyAlignment="1" applyProtection="1">
      <alignment horizontal="center" vertical="center"/>
      <protection locked="0"/>
    </xf>
    <xf numFmtId="0" fontId="6" fillId="0" borderId="33" xfId="1" applyFont="1" applyBorder="1" applyAlignment="1" applyProtection="1">
      <alignment horizontal="center" vertical="center"/>
      <protection locked="0"/>
    </xf>
    <xf numFmtId="0" fontId="20" fillId="0" borderId="0" xfId="1" applyFont="1" applyBorder="1" applyAlignment="1" applyProtection="1">
      <alignment horizontal="left" vertical="center"/>
      <protection locked="0"/>
    </xf>
    <xf numFmtId="0" fontId="20" fillId="0" borderId="14" xfId="1" applyFont="1" applyBorder="1" applyAlignment="1" applyProtection="1">
      <alignment horizontal="left" vertical="center"/>
      <protection locked="0"/>
    </xf>
    <xf numFmtId="0" fontId="3" fillId="0" borderId="0" xfId="1" applyFont="1" applyBorder="1" applyAlignment="1" applyProtection="1">
      <alignment vertical="center" wrapText="1"/>
      <protection locked="0"/>
    </xf>
    <xf numFmtId="0" fontId="3" fillId="0" borderId="14" xfId="1" applyFont="1" applyBorder="1" applyAlignment="1" applyProtection="1">
      <alignment vertical="center" wrapText="1"/>
      <protection locked="0"/>
    </xf>
    <xf numFmtId="0" fontId="3" fillId="0" borderId="0" xfId="1" applyFont="1" applyBorder="1" applyAlignment="1" applyProtection="1">
      <alignment horizontal="left" vertical="center" wrapText="1"/>
      <protection locked="0"/>
    </xf>
    <xf numFmtId="0" fontId="3" fillId="0" borderId="14" xfId="1" applyFont="1" applyBorder="1" applyAlignment="1" applyProtection="1">
      <alignment horizontal="left" vertical="center" wrapText="1"/>
      <protection locked="0"/>
    </xf>
    <xf numFmtId="0" fontId="3" fillId="0" borderId="0" xfId="1" applyFont="1" applyBorder="1" applyAlignment="1" applyProtection="1">
      <alignment horizontal="left" vertical="center"/>
      <protection locked="0"/>
    </xf>
    <xf numFmtId="0" fontId="3" fillId="0" borderId="14" xfId="1" applyFont="1" applyBorder="1" applyAlignment="1" applyProtection="1">
      <alignment horizontal="left" vertical="center"/>
      <protection locked="0"/>
    </xf>
    <xf numFmtId="0" fontId="6" fillId="0" borderId="19" xfId="1" applyFont="1" applyBorder="1" applyAlignment="1" applyProtection="1">
      <alignment horizontal="center" vertical="center" wrapText="1"/>
      <protection locked="0"/>
    </xf>
    <xf numFmtId="0" fontId="6" fillId="0" borderId="33" xfId="1" applyFont="1" applyBorder="1" applyAlignment="1" applyProtection="1">
      <alignment horizontal="center" vertical="center" wrapText="1"/>
      <protection locked="0"/>
    </xf>
    <xf numFmtId="0" fontId="6" fillId="0" borderId="0" xfId="1" applyFont="1" applyBorder="1" applyAlignment="1" applyProtection="1">
      <alignment horizontal="right" vertical="center"/>
      <protection locked="0"/>
    </xf>
    <xf numFmtId="0" fontId="6" fillId="0" borderId="14" xfId="1" applyFont="1" applyBorder="1" applyAlignment="1" applyProtection="1">
      <alignment horizontal="right" vertical="center"/>
      <protection locked="0"/>
    </xf>
    <xf numFmtId="0" fontId="3" fillId="0" borderId="0" xfId="1" applyFont="1" applyAlignment="1" applyProtection="1">
      <alignment horizontal="left" vertical="center"/>
      <protection locked="0"/>
    </xf>
    <xf numFmtId="178" fontId="27" fillId="0" borderId="0" xfId="1" applyNumberFormat="1" applyFont="1" applyAlignment="1">
      <alignment horizontal="right" vertical="center"/>
    </xf>
    <xf numFmtId="0" fontId="32" fillId="0" borderId="0" xfId="1" applyFont="1" applyAlignment="1">
      <alignment horizontal="center" vertical="center" wrapText="1"/>
    </xf>
    <xf numFmtId="0" fontId="33" fillId="0" borderId="0" xfId="1" applyFont="1" applyAlignment="1">
      <alignment horizontal="left" vertical="top" wrapText="1"/>
    </xf>
    <xf numFmtId="0" fontId="33" fillId="0" borderId="0" xfId="1" applyFont="1" applyAlignment="1">
      <alignment horizontal="center" vertical="center"/>
    </xf>
    <xf numFmtId="0" fontId="33" fillId="0" borderId="0" xfId="1" applyFont="1" applyAlignment="1">
      <alignment horizontal="right" vertical="center"/>
    </xf>
    <xf numFmtId="0" fontId="33" fillId="0" borderId="0" xfId="1" applyFont="1" applyAlignment="1">
      <alignment horizontal="left" vertical="center"/>
    </xf>
    <xf numFmtId="0" fontId="12" fillId="54" borderId="37" xfId="0" applyFont="1" applyFill="1" applyBorder="1" applyAlignment="1">
      <alignment horizontal="left" vertical="center"/>
    </xf>
    <xf numFmtId="0" fontId="12" fillId="54" borderId="38" xfId="0" applyFont="1" applyFill="1" applyBorder="1" applyAlignment="1">
      <alignment horizontal="left" vertical="center"/>
    </xf>
    <xf numFmtId="0" fontId="12" fillId="54" borderId="39" xfId="0" applyFont="1" applyFill="1" applyBorder="1" applyAlignment="1">
      <alignment horizontal="left" vertical="center"/>
    </xf>
  </cellXfs>
  <cellStyles count="142">
    <cellStyle name="20% - アクセント 1 2" xfId="2"/>
    <cellStyle name="20% - アクセント 2 2" xfId="3"/>
    <cellStyle name="20% - アクセント 3 2" xfId="4"/>
    <cellStyle name="20% - アクセント 4 2" xfId="5"/>
    <cellStyle name="20% - アクセント 5 2" xfId="6"/>
    <cellStyle name="20% - アクセント 6 2" xfId="7"/>
    <cellStyle name="40% - アクセント 1 2" xfId="8"/>
    <cellStyle name="40% - アクセント 2 2" xfId="9"/>
    <cellStyle name="40% - アクセント 3 2" xfId="10"/>
    <cellStyle name="40% - アクセント 4 2" xfId="11"/>
    <cellStyle name="40% - アクセント 5 2" xfId="12"/>
    <cellStyle name="40% - アクセント 6 2" xfId="13"/>
    <cellStyle name="60% - アクセント 1 2" xfId="14"/>
    <cellStyle name="60% - アクセント 2 2" xfId="15"/>
    <cellStyle name="60% - アクセント 3 2" xfId="16"/>
    <cellStyle name="60% - アクセント 4 2" xfId="17"/>
    <cellStyle name="60% - アクセント 5 2" xfId="18"/>
    <cellStyle name="60% - アクセント 6 2" xfId="19"/>
    <cellStyle name="Normal 2" xfId="20"/>
    <cellStyle name="Normal_Demo.SeedInventory.Mar.08.2004" xfId="21"/>
    <cellStyle name="アクセント 1 2" xfId="22"/>
    <cellStyle name="アクセント 2 2" xfId="23"/>
    <cellStyle name="アクセント 3 2" xfId="24"/>
    <cellStyle name="アクセント 4 2" xfId="25"/>
    <cellStyle name="アクセント 5 2" xfId="26"/>
    <cellStyle name="アクセント 6 2" xfId="27"/>
    <cellStyle name="タイトル 2" xfId="28"/>
    <cellStyle name="チェック セル 2" xfId="29"/>
    <cellStyle name="どちらでもない 2" xfId="30"/>
    <cellStyle name="パーセント 2" xfId="31"/>
    <cellStyle name="メモ 2" xfId="32"/>
    <cellStyle name="リンク セル 2" xfId="33"/>
    <cellStyle name="悪い 2" xfId="34"/>
    <cellStyle name="計算 2" xfId="35"/>
    <cellStyle name="警告文 2" xfId="36"/>
    <cellStyle name="桁区切り 2" xfId="37"/>
    <cellStyle name="見出し 1 2" xfId="38"/>
    <cellStyle name="見出し 2 2" xfId="39"/>
    <cellStyle name="見出し 3 2" xfId="40"/>
    <cellStyle name="見出し 4 2" xfId="41"/>
    <cellStyle name="集計 2" xfId="42"/>
    <cellStyle name="出力 2" xfId="43"/>
    <cellStyle name="説明文 2" xfId="44"/>
    <cellStyle name="通貨 2" xfId="45"/>
    <cellStyle name="入力 2" xfId="46"/>
    <cellStyle name="標準" xfId="0" builtinId="0"/>
    <cellStyle name="標準 10" xfId="1"/>
    <cellStyle name="標準 11" xfId="47"/>
    <cellStyle name="標準 11 2" xfId="48"/>
    <cellStyle name="標準 11_141021ポート（新契約修理)" xfId="49"/>
    <cellStyle name="標準 12" xfId="50"/>
    <cellStyle name="標準 13" xfId="51"/>
    <cellStyle name="標準 14" xfId="52"/>
    <cellStyle name="標準 15" xfId="53"/>
    <cellStyle name="標準 16" xfId="54"/>
    <cellStyle name="標準 17" xfId="55"/>
    <cellStyle name="標準 18" xfId="56"/>
    <cellStyle name="標準 19" xfId="57"/>
    <cellStyle name="標準 2" xfId="58"/>
    <cellStyle name="標準 2 10" xfId="59"/>
    <cellStyle name="標準 2 10 2" xfId="60"/>
    <cellStyle name="標準 2 10_141021ポート（新契約修理)" xfId="61"/>
    <cellStyle name="標準 2 11" xfId="62"/>
    <cellStyle name="標準 2 12" xfId="63"/>
    <cellStyle name="標準 2 13" xfId="64"/>
    <cellStyle name="標準 2 14" xfId="65"/>
    <cellStyle name="標準 2 15" xfId="66"/>
    <cellStyle name="標準 2 16" xfId="67"/>
    <cellStyle name="標準 2 17" xfId="68"/>
    <cellStyle name="標準 2 18" xfId="69"/>
    <cellStyle name="標準 2 2" xfId="70"/>
    <cellStyle name="標準 2 2 2" xfId="71"/>
    <cellStyle name="標準 2 2 2 10" xfId="72"/>
    <cellStyle name="標準 2 2 2 2" xfId="73"/>
    <cellStyle name="標準 2 2 2 3" xfId="74"/>
    <cellStyle name="標準 2 2 2 4" xfId="75"/>
    <cellStyle name="標準 2 2 2 5" xfId="76"/>
    <cellStyle name="標準 2 2 2 6" xfId="77"/>
    <cellStyle name="標準 2 2 2 7" xfId="78"/>
    <cellStyle name="標準 2 2 2 8" xfId="79"/>
    <cellStyle name="標準 2 2 2 9" xfId="80"/>
    <cellStyle name="標準 2 2 2_【受付台帳】～ 修理品 ～" xfId="81"/>
    <cellStyle name="標準 2 2 3" xfId="82"/>
    <cellStyle name="標準 2 2 3 2" xfId="83"/>
    <cellStyle name="標準 2 2 3_141021ポート（新契約修理)" xfId="84"/>
    <cellStyle name="標準 2 2 4" xfId="85"/>
    <cellStyle name="標準 2 2 4 2" xfId="86"/>
    <cellStyle name="標準 2 2 4_141021ポート（新契約修理)" xfId="87"/>
    <cellStyle name="標準 2 2 5" xfId="88"/>
    <cellStyle name="標準 2 2 5 2" xfId="89"/>
    <cellStyle name="標準 2 2 5_141021ポート（新契約修理)" xfId="90"/>
    <cellStyle name="標準 2 2 6" xfId="91"/>
    <cellStyle name="標準 2 2 6 2" xfId="92"/>
    <cellStyle name="標準 2 2 6_141021ポート（新契約修理)" xfId="93"/>
    <cellStyle name="標準 2 2 7" xfId="94"/>
    <cellStyle name="標準 2 2 7 2" xfId="95"/>
    <cellStyle name="標準 2 2 7_141021ポート（新契約修理)" xfId="96"/>
    <cellStyle name="標準 2 2 8" xfId="97"/>
    <cellStyle name="標準 2 2 8 2" xfId="98"/>
    <cellStyle name="標準 2 2 8_141021ポート（新契約修理)" xfId="99"/>
    <cellStyle name="標準 2 2 9" xfId="100"/>
    <cellStyle name="標準 2 2 9 2" xfId="101"/>
    <cellStyle name="標準 2 2 9_141021ポート（新契約修理)" xfId="102"/>
    <cellStyle name="標準 2 3" xfId="103"/>
    <cellStyle name="標準 2 3 2" xfId="104"/>
    <cellStyle name="標準 2 3_141021ポート（新契約修理)" xfId="105"/>
    <cellStyle name="標準 2 4" xfId="106"/>
    <cellStyle name="標準 2 4 2" xfId="107"/>
    <cellStyle name="標準 2 4_141021ポート（新契約修理)" xfId="108"/>
    <cellStyle name="標準 2 5" xfId="109"/>
    <cellStyle name="標準 2 5 2" xfId="110"/>
    <cellStyle name="標準 2 5_141021ポート（新契約修理)" xfId="111"/>
    <cellStyle name="標準 2 6" xfId="112"/>
    <cellStyle name="標準 2 6 2" xfId="113"/>
    <cellStyle name="標準 2 6_141021ポート（新契約修理)" xfId="114"/>
    <cellStyle name="標準 2 7" xfId="115"/>
    <cellStyle name="標準 2 7 2" xfId="116"/>
    <cellStyle name="標準 2 7_141021ポート（新契約修理)" xfId="117"/>
    <cellStyle name="標準 2 8" xfId="118"/>
    <cellStyle name="標準 2 8 2" xfId="119"/>
    <cellStyle name="標準 2 8_141021ポート（新契約修理)" xfId="120"/>
    <cellStyle name="標準 2 9" xfId="121"/>
    <cellStyle name="標準 2 9 2" xfId="122"/>
    <cellStyle name="標準 2 9_141021ポート（新契約修理)" xfId="123"/>
    <cellStyle name="標準 20" xfId="124"/>
    <cellStyle name="標準 3" xfId="125"/>
    <cellStyle name="標準 3 2" xfId="126"/>
    <cellStyle name="標準 3 3" xfId="127"/>
    <cellStyle name="標準 3 4" xfId="128"/>
    <cellStyle name="標準 3 5" xfId="129"/>
    <cellStyle name="標準 3 6" xfId="130"/>
    <cellStyle name="標準 3 7" xfId="131"/>
    <cellStyle name="標準 3 8" xfId="132"/>
    <cellStyle name="標準 3 9" xfId="133"/>
    <cellStyle name="標準 4" xfId="134"/>
    <cellStyle name="標準 5" xfId="135"/>
    <cellStyle name="標準 6" xfId="136"/>
    <cellStyle name="標準 7" xfId="137"/>
    <cellStyle name="標準 8" xfId="138"/>
    <cellStyle name="標準 9" xfId="139"/>
    <cellStyle name="標準_【受入】 修理受付台帳～修理品～" xfId="140"/>
    <cellStyle name="良い 2" xfId="141"/>
  </cellStyles>
  <dxfs count="3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1" defaultTableStyle="TableStyleMedium2" defaultPivotStyle="PivotStyleLight16">
    <tableStyle name="MySqlDefault" pivot="0" table="0" count="0"/>
  </tableStyle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vmlDrawing4.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476250</xdr:colOff>
          <xdr:row>0</xdr:row>
          <xdr:rowOff>95250</xdr:rowOff>
        </xdr:from>
        <xdr:to>
          <xdr:col>15</xdr:col>
          <xdr:colOff>781050</xdr:colOff>
          <xdr:row>1</xdr:row>
          <xdr:rowOff>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VisibleNames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142875</xdr:colOff>
          <xdr:row>1</xdr:row>
          <xdr:rowOff>66676</xdr:rowOff>
        </xdr:from>
        <xdr:to>
          <xdr:col>1</xdr:col>
          <xdr:colOff>219075</xdr:colOff>
          <xdr:row>2</xdr:row>
          <xdr:rowOff>180975</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再計算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552450</xdr:colOff>
          <xdr:row>1</xdr:row>
          <xdr:rowOff>95250</xdr:rowOff>
        </xdr:from>
        <xdr:to>
          <xdr:col>1</xdr:col>
          <xdr:colOff>1343025</xdr:colOff>
          <xdr:row>2</xdr:row>
          <xdr:rowOff>171450</xdr:rowOff>
        </xdr:to>
        <xdr:sp macro="" textlink="">
          <xdr:nvSpPr>
            <xdr:cNvPr id="8195" name="Button 3" hidden="1">
              <a:extLst>
                <a:ext uri="{63B3BB69-23CF-44E3-9099-C40C66FF867C}">
                  <a14:compatExt spid="_x0000_s819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ボタン 3</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447675</xdr:colOff>
          <xdr:row>1</xdr:row>
          <xdr:rowOff>119592</xdr:rowOff>
        </xdr:from>
        <xdr:to>
          <xdr:col>4</xdr:col>
          <xdr:colOff>95250</xdr:colOff>
          <xdr:row>2</xdr:row>
          <xdr:rowOff>167217</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ボタン 2</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771525</xdr:colOff>
          <xdr:row>14</xdr:row>
          <xdr:rowOff>0</xdr:rowOff>
        </xdr:from>
        <xdr:to>
          <xdr:col>6</xdr:col>
          <xdr:colOff>0</xdr:colOff>
          <xdr:row>17</xdr:row>
          <xdr:rowOff>0</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案内作成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xdr:colOff>
          <xdr:row>13</xdr:row>
          <xdr:rowOff>166686</xdr:rowOff>
        </xdr:from>
        <xdr:to>
          <xdr:col>9</xdr:col>
          <xdr:colOff>1</xdr:colOff>
          <xdr:row>17</xdr:row>
          <xdr:rowOff>-1</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保存</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19</xdr:col>
      <xdr:colOff>789215</xdr:colOff>
      <xdr:row>34</xdr:row>
      <xdr:rowOff>13607</xdr:rowOff>
    </xdr:from>
    <xdr:to>
      <xdr:col>21</xdr:col>
      <xdr:colOff>653143</xdr:colOff>
      <xdr:row>38</xdr:row>
      <xdr:rowOff>122464</xdr:rowOff>
    </xdr:to>
    <xdr:sp macro="" textlink="">
      <xdr:nvSpPr>
        <xdr:cNvPr id="2" name="正方形/長方形 1"/>
        <xdr:cNvSpPr/>
      </xdr:nvSpPr>
      <xdr:spPr>
        <a:xfrm>
          <a:off x="9609365" y="3928382"/>
          <a:ext cx="3931103" cy="785132"/>
        </a:xfrm>
        <a:prstGeom prst="rect">
          <a:avLst/>
        </a:prstGeom>
      </xdr:spPr>
      <xdr:style>
        <a:lnRef idx="2">
          <a:schemeClr val="accent1"/>
        </a:lnRef>
        <a:fillRef idx="1">
          <a:schemeClr val="lt1"/>
        </a:fillRef>
        <a:effectRef idx="0">
          <a:schemeClr val="accent1"/>
        </a:effectRef>
        <a:fontRef idx="minor">
          <a:schemeClr val="dk1"/>
        </a:fontRef>
      </xdr:style>
      <xdr:txBody>
        <a:bodyPr vertOverflow="clip" rtlCol="0" anchor="ctr"/>
        <a:lstStyle/>
        <a:p>
          <a:pPr algn="ctr"/>
          <a:r>
            <a:rPr kumimoji="1" lang="ja-JP" altLang="en-US" sz="1800"/>
            <a:t>保存後、赤枠のセルを編集して使用</a:t>
          </a:r>
        </a:p>
      </xdr:txBody>
    </xdr:sp>
    <xdr:clientData/>
  </xdr:twoCellAnchor>
  <xdr:oneCellAnchor>
    <xdr:from>
      <xdr:col>10</xdr:col>
      <xdr:colOff>409575</xdr:colOff>
      <xdr:row>1</xdr:row>
      <xdr:rowOff>57150</xdr:rowOff>
    </xdr:from>
    <xdr:ext cx="184731" cy="264560"/>
    <xdr:sp macro="" textlink="">
      <xdr:nvSpPr>
        <xdr:cNvPr id="3" name="テキスト ボックス 2"/>
        <xdr:cNvSpPr txBox="1"/>
      </xdr:nvSpPr>
      <xdr:spPr>
        <a:xfrm>
          <a:off x="6315075" y="2286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ja-JP" altLang="en-US"/>
        </a:p>
      </xdr:txBody>
    </xdr:sp>
    <xdr:clientData/>
  </xdr:oneCellAnchor>
  <mc:AlternateContent xmlns:mc="http://schemas.openxmlformats.org/markup-compatibility/2006">
    <mc:Choice xmlns:a14="http://schemas.microsoft.com/office/drawing/2010/main" Requires="a14">
      <xdr:twoCellAnchor>
        <xdr:from>
          <xdr:col>2</xdr:col>
          <xdr:colOff>244848</xdr:colOff>
          <xdr:row>14</xdr:row>
          <xdr:rowOff>145677</xdr:rowOff>
        </xdr:from>
        <xdr:to>
          <xdr:col>5</xdr:col>
          <xdr:colOff>702048</xdr:colOff>
          <xdr:row>18</xdr:row>
          <xdr:rowOff>38101</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案内作成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67235</xdr:colOff>
          <xdr:row>15</xdr:row>
          <xdr:rowOff>67236</xdr:rowOff>
        </xdr:from>
        <xdr:to>
          <xdr:col>9</xdr:col>
          <xdr:colOff>286310</xdr:colOff>
          <xdr:row>18</xdr:row>
          <xdr:rowOff>87967</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保存</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2016&#21463;&#20184;&#21488;&#24115;Ver2.5.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受付台帳"/>
      <sheetName val="FAX（耐用年数切れ）"/>
      <sheetName val="FAX（通常版）"/>
      <sheetName val="耐用期間終了後のご案内"/>
      <sheetName val="修理前報告書"/>
      <sheetName val="修理不能書"/>
      <sheetName val="作業報告書"/>
      <sheetName val="処置"/>
      <sheetName val="修理内容"/>
      <sheetName val="対応期間ご案内"/>
    </sheetNames>
    <definedNames>
      <definedName name="LedgerRecalculation"/>
      <definedName name="VisibleNames"/>
      <definedName name="修理不能書作成"/>
      <definedName name="修理不能書保存"/>
      <definedName name="耐用期間終了後のご案内作成"/>
      <definedName name="耐用期間終了後のご案内保存"/>
    </definedNames>
    <sheetDataSet>
      <sheetData sheetId="0">
        <row r="3">
          <cell r="A3" t="str">
            <v>受付番号</v>
          </cell>
          <cell r="B3" t="str">
            <v>作業シート名</v>
          </cell>
          <cell r="C3" t="str">
            <v>SSR</v>
          </cell>
          <cell r="D3" t="str">
            <v>Notes No</v>
          </cell>
          <cell r="E3" t="str">
            <v>請求処理</v>
          </cell>
          <cell r="F3" t="str">
            <v>受付日</v>
          </cell>
          <cell r="G3" t="str">
            <v>修理開始日</v>
          </cell>
          <cell r="H3" t="str">
            <v>修理完了日</v>
          </cell>
          <cell r="I3" t="str">
            <v>納入日</v>
          </cell>
          <cell r="J3" t="str">
            <v>故障発生日</v>
          </cell>
          <cell r="K3" t="str">
            <v>修理担当者</v>
          </cell>
          <cell r="L3" t="str">
            <v>作業
時間</v>
          </cell>
          <cell r="M3" t="str">
            <v>機種</v>
          </cell>
          <cell r="N3" t="str">
            <v>装置S/N</v>
          </cell>
          <cell r="O3" t="str">
            <v>製品型式</v>
          </cell>
          <cell r="P3" t="str">
            <v>依頼元</v>
          </cell>
          <cell r="Q3" t="str">
            <v>依頼元
（担当者）</v>
          </cell>
          <cell r="R3" t="str">
            <v>依頼元（住所）</v>
          </cell>
          <cell r="S3" t="str">
            <v>依頼元
（電話番号）</v>
          </cell>
          <cell r="T3" t="str">
            <v>依頼元
（FAX番号）</v>
          </cell>
          <cell r="U3" t="str">
            <v>設置場所</v>
          </cell>
          <cell r="V3" t="str">
            <v>設置場所
（担当者）</v>
          </cell>
          <cell r="W3" t="str">
            <v>設置場所
（所属部科）</v>
          </cell>
          <cell r="X3" t="str">
            <v>設置場所
(電話番号）</v>
          </cell>
          <cell r="Y3" t="str">
            <v>設置場所（住所）</v>
          </cell>
          <cell r="Z3" t="str">
            <v>発注部品
入荷日</v>
          </cell>
          <cell r="AA3" t="str">
            <v>パーツ1</v>
          </cell>
          <cell r="AB3" t="str">
            <v>パーツ2</v>
          </cell>
          <cell r="AC3" t="str">
            <v>パーツ3</v>
          </cell>
          <cell r="AD3" t="str">
            <v>パーツ4</v>
          </cell>
          <cell r="AE3" t="str">
            <v>パーツ5</v>
          </cell>
          <cell r="AF3" t="str">
            <v>パーツ6</v>
          </cell>
          <cell r="AG3" t="str">
            <v>パーツ7</v>
          </cell>
          <cell r="AH3" t="str">
            <v>パーツ8</v>
          </cell>
          <cell r="AI3" t="str">
            <v>パーツ9</v>
          </cell>
          <cell r="AJ3" t="str">
            <v>パーツ10</v>
          </cell>
          <cell r="AK3" t="str">
            <v>パーツ
品名１</v>
          </cell>
          <cell r="AL3" t="str">
            <v>パーツ
品名２</v>
          </cell>
          <cell r="AM3" t="str">
            <v>パーツ
品名３</v>
          </cell>
          <cell r="AN3" t="str">
            <v>パーツ
品名４</v>
          </cell>
          <cell r="AO3" t="str">
            <v>パーツ
品名５</v>
          </cell>
          <cell r="AP3" t="str">
            <v>パーツ
品名６</v>
          </cell>
          <cell r="AQ3" t="str">
            <v>パーツ
品名７</v>
          </cell>
          <cell r="AR3" t="str">
            <v>パーツ
品名８</v>
          </cell>
          <cell r="AS3" t="str">
            <v>パーツ
品名９</v>
          </cell>
          <cell r="AT3" t="str">
            <v>パーツ
品名１０</v>
          </cell>
        </row>
        <row r="4">
          <cell r="A4" t="str">
            <v>S16-0001</v>
          </cell>
          <cell r="B4" t="str">
            <v>デモ機MAK38_0001 (2)</v>
          </cell>
          <cell r="C4" t="str">
            <v>SR#4178655</v>
          </cell>
          <cell r="D4" t="str">
            <v>-</v>
          </cell>
          <cell r="E4" t="str">
            <v>無償</v>
          </cell>
          <cell r="F4">
            <v>42373</v>
          </cell>
          <cell r="G4">
            <v>42373</v>
          </cell>
          <cell r="H4">
            <v>42383</v>
          </cell>
          <cell r="I4" t="str">
            <v>-</v>
          </cell>
          <cell r="K4" t="str">
            <v>梶田</v>
          </cell>
          <cell r="L4">
            <v>3</v>
          </cell>
          <cell r="M4" t="str">
            <v>M-Turbo</v>
          </cell>
          <cell r="N4" t="str">
            <v>03BL86</v>
          </cell>
          <cell r="O4" t="str">
            <v>P09141-02</v>
          </cell>
          <cell r="P4" t="str">
            <v>富士フイルムメディカル株式会社</v>
          </cell>
          <cell r="Q4" t="str">
            <v>マーケティング</v>
          </cell>
          <cell r="R4" t="str">
            <v>-</v>
          </cell>
          <cell r="S4" t="str">
            <v>03-6418-7190</v>
          </cell>
          <cell r="T4" t="str">
            <v>03-6418-7162</v>
          </cell>
          <cell r="U4" t="str">
            <v>デモ機　MAK38</v>
          </cell>
          <cell r="V4" t="str">
            <v>-</v>
          </cell>
          <cell r="W4" t="str">
            <v>-</v>
          </cell>
          <cell r="X4" t="str">
            <v>-</v>
          </cell>
          <cell r="Y4" t="str">
            <v>-</v>
          </cell>
          <cell r="AA4" t="str">
            <v>P19060-02</v>
          </cell>
          <cell r="AB4" t="str">
            <v/>
          </cell>
          <cell r="AC4" t="str">
            <v/>
          </cell>
          <cell r="AD4" t="str">
            <v/>
          </cell>
          <cell r="AE4" t="str">
            <v/>
          </cell>
          <cell r="AF4" t="str">
            <v/>
          </cell>
          <cell r="AG4" t="str">
            <v/>
          </cell>
          <cell r="AH4" t="str">
            <v/>
          </cell>
          <cell r="AI4" t="str">
            <v/>
          </cell>
          <cell r="AJ4" t="str">
            <v/>
          </cell>
          <cell r="AK4" t="str">
            <v>MAIN PCBA, M-Turbo</v>
          </cell>
          <cell r="AL4" t="str">
            <v/>
          </cell>
          <cell r="AM4" t="str">
            <v/>
          </cell>
          <cell r="AN4" t="str">
            <v/>
          </cell>
          <cell r="AO4" t="str">
            <v/>
          </cell>
          <cell r="AP4" t="str">
            <v/>
          </cell>
          <cell r="AQ4" t="str">
            <v/>
          </cell>
          <cell r="AR4" t="str">
            <v/>
          </cell>
          <cell r="AS4" t="str">
            <v/>
          </cell>
          <cell r="AT4" t="str">
            <v/>
          </cell>
          <cell r="AU4">
            <v>39479</v>
          </cell>
        </row>
        <row r="5">
          <cell r="A5" t="str">
            <v>S16-0002</v>
          </cell>
          <cell r="B5" t="str">
            <v>大阪市立総合医療センター_0002(2)</v>
          </cell>
          <cell r="C5" t="str">
            <v>SR#4184159</v>
          </cell>
          <cell r="D5" t="str">
            <v>2015/12/24-07</v>
          </cell>
          <cell r="E5" t="str">
            <v>無償</v>
          </cell>
          <cell r="F5">
            <v>42373</v>
          </cell>
          <cell r="G5">
            <v>42373</v>
          </cell>
          <cell r="H5">
            <v>42439</v>
          </cell>
          <cell r="I5" t="str">
            <v>不明</v>
          </cell>
          <cell r="K5" t="str">
            <v>梶田</v>
          </cell>
          <cell r="L5">
            <v>3</v>
          </cell>
          <cell r="M5" t="str">
            <v>M-Turbo</v>
          </cell>
          <cell r="N5" t="str">
            <v>WK0Y72</v>
          </cell>
          <cell r="O5" t="str">
            <v>P09141-23</v>
          </cell>
          <cell r="P5" t="str">
            <v>株式会社MMコーポレーション　北大阪支店</v>
          </cell>
          <cell r="Q5" t="str">
            <v>手塚様</v>
          </cell>
          <cell r="R5" t="str">
            <v>〒564-0043　大阪府吹田市南吹田5-19-26</v>
          </cell>
          <cell r="S5" t="str">
            <v>06-6384-5700</v>
          </cell>
          <cell r="T5" t="str">
            <v>06-6384-5705</v>
          </cell>
          <cell r="U5" t="str">
            <v>大阪市立総合医療センター</v>
          </cell>
          <cell r="V5" t="str">
            <v>山上様</v>
          </cell>
          <cell r="W5" t="str">
            <v>-</v>
          </cell>
          <cell r="X5" t="str">
            <v>06-6929-1221</v>
          </cell>
          <cell r="Y5" t="str">
            <v>〒534-0021　大阪府大阪市都島区都島本通2-13-22</v>
          </cell>
          <cell r="AA5" t="str">
            <v>P19060-02</v>
          </cell>
          <cell r="AB5" t="str">
            <v>P07168-20</v>
          </cell>
          <cell r="AC5" t="str">
            <v>P10401-30</v>
          </cell>
          <cell r="AD5" t="str">
            <v/>
          </cell>
          <cell r="AE5" t="str">
            <v/>
          </cell>
          <cell r="AF5" t="str">
            <v/>
          </cell>
          <cell r="AG5" t="str">
            <v/>
          </cell>
          <cell r="AH5" t="str">
            <v/>
          </cell>
          <cell r="AI5" t="str">
            <v/>
          </cell>
          <cell r="AJ5" t="str">
            <v/>
          </cell>
          <cell r="AK5" t="str">
            <v>MAIN PCBA, M-Turbo</v>
          </cell>
          <cell r="AL5" t="str">
            <v>BATTERY PACK, 6 CELL, 11.25V, 5.2AMP-HOUR, LITHIUM-ION</v>
          </cell>
          <cell r="AM5" t="str">
            <v>MINIDOCK DVI, DESKTOP VERSION, M-SERIES</v>
          </cell>
          <cell r="AN5" t="str">
            <v/>
          </cell>
          <cell r="AO5" t="str">
            <v/>
          </cell>
          <cell r="AP5" t="str">
            <v/>
          </cell>
          <cell r="AQ5" t="str">
            <v/>
          </cell>
          <cell r="AR5" t="str">
            <v/>
          </cell>
          <cell r="AS5" t="str">
            <v/>
          </cell>
          <cell r="AT5" t="str">
            <v/>
          </cell>
          <cell r="AU5">
            <v>40969</v>
          </cell>
        </row>
        <row r="6">
          <cell r="A6" t="str">
            <v>S16-0003</v>
          </cell>
          <cell r="B6" t="str">
            <v>飯塚病院_0003 (2)</v>
          </cell>
          <cell r="C6" t="str">
            <v>SR#</v>
          </cell>
          <cell r="D6" t="str">
            <v>2015/12/04-01</v>
          </cell>
          <cell r="E6" t="str">
            <v>有償</v>
          </cell>
          <cell r="F6">
            <v>42373</v>
          </cell>
          <cell r="G6">
            <v>42373</v>
          </cell>
          <cell r="H6">
            <v>42416</v>
          </cell>
          <cell r="I6" t="str">
            <v>不明</v>
          </cell>
          <cell r="K6" t="str">
            <v>梶田</v>
          </cell>
          <cell r="L6" t="str">
            <v>-</v>
          </cell>
          <cell r="M6" t="str">
            <v>P10x/8-4</v>
          </cell>
          <cell r="N6" t="str">
            <v>03RGP8</v>
          </cell>
          <cell r="O6" t="str">
            <v>P12641-02</v>
          </cell>
          <cell r="P6" t="str">
            <v>富士フイルムメディカル株式会社　北九州営業所</v>
          </cell>
          <cell r="Q6" t="str">
            <v>柳原様</v>
          </cell>
          <cell r="R6" t="str">
            <v>-</v>
          </cell>
          <cell r="S6" t="str">
            <v>03-6418-7190</v>
          </cell>
          <cell r="T6" t="str">
            <v>03-6418-7162</v>
          </cell>
          <cell r="U6" t="str">
            <v>飯塚病院</v>
          </cell>
          <cell r="V6" t="str">
            <v>-</v>
          </cell>
          <cell r="W6" t="str">
            <v>-</v>
          </cell>
          <cell r="X6" t="str">
            <v>0948-22-3800</v>
          </cell>
          <cell r="Y6" t="str">
            <v>〒820-8505　福岡県飯塚市芳雄3-83</v>
          </cell>
          <cell r="AA6" t="str">
            <v>P12641-51</v>
          </cell>
          <cell r="AB6" t="str">
            <v/>
          </cell>
          <cell r="AC6" t="str">
            <v/>
          </cell>
          <cell r="AD6" t="str">
            <v/>
          </cell>
          <cell r="AE6" t="str">
            <v/>
          </cell>
          <cell r="AF6" t="str">
            <v/>
          </cell>
          <cell r="AG6" t="str">
            <v/>
          </cell>
          <cell r="AH6" t="str">
            <v/>
          </cell>
          <cell r="AI6" t="str">
            <v/>
          </cell>
          <cell r="AJ6" t="str">
            <v/>
          </cell>
          <cell r="AK6" t="str">
            <v>P10x/8-4　セクタープローブ</v>
          </cell>
          <cell r="AL6" t="str">
            <v/>
          </cell>
          <cell r="AM6" t="str">
            <v/>
          </cell>
          <cell r="AN6" t="str">
            <v/>
          </cell>
          <cell r="AO6" t="str">
            <v/>
          </cell>
          <cell r="AP6" t="str">
            <v/>
          </cell>
          <cell r="AQ6" t="str">
            <v/>
          </cell>
          <cell r="AR6" t="str">
            <v/>
          </cell>
          <cell r="AS6" t="str">
            <v/>
          </cell>
          <cell r="AT6" t="str">
            <v/>
          </cell>
          <cell r="AU6">
            <v>41153</v>
          </cell>
        </row>
        <row r="7">
          <cell r="A7" t="str">
            <v>S16-0004</v>
          </cell>
          <cell r="B7" t="str">
            <v>東京大学医学部附属病院_0004 (2)</v>
          </cell>
          <cell r="C7" t="str">
            <v>SR#</v>
          </cell>
          <cell r="D7" t="str">
            <v>2015/12/24-03</v>
          </cell>
          <cell r="E7" t="str">
            <v>有償</v>
          </cell>
          <cell r="F7">
            <v>42373</v>
          </cell>
          <cell r="G7">
            <v>42373</v>
          </cell>
          <cell r="H7">
            <v>42451</v>
          </cell>
          <cell r="I7" t="str">
            <v>不明</v>
          </cell>
          <cell r="K7" t="str">
            <v>梶田</v>
          </cell>
          <cell r="L7">
            <v>3</v>
          </cell>
          <cell r="M7" t="str">
            <v>M-Turbo</v>
          </cell>
          <cell r="N7" t="str">
            <v>03JGT2</v>
          </cell>
          <cell r="O7" t="str">
            <v>P09141-15</v>
          </cell>
          <cell r="P7" t="str">
            <v>株式会社イノメディックス　本郷営業所</v>
          </cell>
          <cell r="Q7" t="str">
            <v>鈴木様</v>
          </cell>
          <cell r="R7" t="str">
            <v>〒113-0034　東京都文京区湯島2-16-11</v>
          </cell>
          <cell r="S7" t="str">
            <v>03-3815-8921</v>
          </cell>
          <cell r="T7" t="str">
            <v>03-3815-8638</v>
          </cell>
          <cell r="U7" t="str">
            <v>東京大学医学部附属病院</v>
          </cell>
          <cell r="V7" t="str">
            <v>長江様</v>
          </cell>
          <cell r="W7" t="str">
            <v>ME</v>
          </cell>
          <cell r="X7" t="str">
            <v>03-3815-5411</v>
          </cell>
          <cell r="Y7" t="str">
            <v>〒113-0033　東京都文京区本郷7-3-1</v>
          </cell>
          <cell r="AA7" t="str">
            <v>P19087-02</v>
          </cell>
          <cell r="AB7" t="str">
            <v/>
          </cell>
          <cell r="AC7" t="str">
            <v/>
          </cell>
          <cell r="AD7" t="str">
            <v/>
          </cell>
          <cell r="AE7" t="str">
            <v/>
          </cell>
          <cell r="AF7" t="str">
            <v/>
          </cell>
          <cell r="AG7" t="str">
            <v/>
          </cell>
          <cell r="AH7" t="str">
            <v/>
          </cell>
          <cell r="AI7" t="str">
            <v/>
          </cell>
          <cell r="AJ7" t="str">
            <v/>
          </cell>
          <cell r="AK7" t="str">
            <v>MAIN PCBA, M-Turbo</v>
          </cell>
          <cell r="AL7" t="str">
            <v/>
          </cell>
          <cell r="AM7" t="str">
            <v/>
          </cell>
          <cell r="AN7" t="str">
            <v/>
          </cell>
          <cell r="AO7" t="str">
            <v/>
          </cell>
          <cell r="AP7" t="str">
            <v/>
          </cell>
          <cell r="AQ7" t="str">
            <v/>
          </cell>
          <cell r="AR7" t="str">
            <v/>
          </cell>
          <cell r="AS7" t="str">
            <v/>
          </cell>
          <cell r="AT7" t="str">
            <v/>
          </cell>
          <cell r="AU7">
            <v>40299</v>
          </cell>
        </row>
        <row r="8">
          <cell r="A8" t="str">
            <v>S16-0005</v>
          </cell>
          <cell r="B8" t="str">
            <v>中頭病院_0005 (2)</v>
          </cell>
          <cell r="C8" t="str">
            <v>SR#不要</v>
          </cell>
          <cell r="D8" t="str">
            <v>2015/12/21-02</v>
          </cell>
          <cell r="E8" t="str">
            <v>有償</v>
          </cell>
          <cell r="F8">
            <v>42373</v>
          </cell>
          <cell r="G8">
            <v>42373</v>
          </cell>
          <cell r="H8">
            <v>42669</v>
          </cell>
          <cell r="I8" t="str">
            <v>不明</v>
          </cell>
          <cell r="K8" t="str">
            <v>-</v>
          </cell>
          <cell r="L8" t="str">
            <v>-</v>
          </cell>
          <cell r="M8" t="str">
            <v>HFL38x/13-6</v>
          </cell>
          <cell r="N8" t="str">
            <v>03GG55</v>
          </cell>
          <cell r="O8" t="str">
            <v>P09168-04</v>
          </cell>
          <cell r="P8" t="str">
            <v>株式会社中央医療器</v>
          </cell>
          <cell r="Q8" t="str">
            <v>照屋様</v>
          </cell>
          <cell r="R8" t="str">
            <v>〒901-1114　沖縄県島尻郡南風原町字神里409-5</v>
          </cell>
          <cell r="S8" t="str">
            <v>098-888-0070</v>
          </cell>
          <cell r="T8" t="str">
            <v>098-888-3919</v>
          </cell>
          <cell r="U8" t="str">
            <v>中頭病院</v>
          </cell>
          <cell r="V8" t="str">
            <v>-</v>
          </cell>
          <cell r="W8" t="str">
            <v>-</v>
          </cell>
          <cell r="X8" t="str">
            <v>098-939-1300</v>
          </cell>
          <cell r="Y8" t="str">
            <v>〒904-2195 沖縄県沖縄市知花6-25-5</v>
          </cell>
          <cell r="AA8" t="str">
            <v/>
          </cell>
          <cell r="AB8" t="str">
            <v/>
          </cell>
          <cell r="AC8" t="str">
            <v/>
          </cell>
          <cell r="AD8" t="str">
            <v/>
          </cell>
          <cell r="AE8" t="str">
            <v/>
          </cell>
          <cell r="AF8" t="str">
            <v/>
          </cell>
          <cell r="AG8" t="str">
            <v/>
          </cell>
          <cell r="AH8" t="str">
            <v/>
          </cell>
          <cell r="AI8" t="str">
            <v/>
          </cell>
          <cell r="AJ8" t="str">
            <v/>
          </cell>
          <cell r="AK8" t="str">
            <v/>
          </cell>
          <cell r="AL8" t="str">
            <v/>
          </cell>
          <cell r="AM8" t="str">
            <v/>
          </cell>
          <cell r="AN8" t="str">
            <v/>
          </cell>
          <cell r="AO8" t="str">
            <v/>
          </cell>
          <cell r="AP8" t="str">
            <v/>
          </cell>
          <cell r="AQ8" t="str">
            <v/>
          </cell>
          <cell r="AR8" t="str">
            <v/>
          </cell>
          <cell r="AS8" t="str">
            <v/>
          </cell>
          <cell r="AT8" t="str">
            <v/>
          </cell>
          <cell r="AU8">
            <v>40026</v>
          </cell>
        </row>
        <row r="9">
          <cell r="A9" t="str">
            <v>S16-0006</v>
          </cell>
          <cell r="B9" t="str">
            <v>鹿児島市立病院_0006 (2)</v>
          </cell>
          <cell r="C9" t="str">
            <v>SR#</v>
          </cell>
          <cell r="D9" t="str">
            <v>2015/09/15-05</v>
          </cell>
          <cell r="E9" t="str">
            <v>有償</v>
          </cell>
          <cell r="F9">
            <v>42373</v>
          </cell>
          <cell r="G9">
            <v>42373</v>
          </cell>
          <cell r="H9">
            <v>42390</v>
          </cell>
          <cell r="I9" t="str">
            <v>不明</v>
          </cell>
          <cell r="K9" t="str">
            <v>梶田</v>
          </cell>
          <cell r="L9">
            <v>3</v>
          </cell>
          <cell r="M9" t="str">
            <v>P17/5-1</v>
          </cell>
          <cell r="N9" t="str">
            <v>03M703</v>
          </cell>
          <cell r="O9" t="str">
            <v>P06528-05</v>
          </cell>
          <cell r="P9" t="str">
            <v>大同医科器械株式会社</v>
          </cell>
          <cell r="Q9" t="str">
            <v>新島様</v>
          </cell>
          <cell r="R9" t="str">
            <v>〒892-0847　鹿児島県鹿児島市西千石町12-11</v>
          </cell>
          <cell r="S9" t="str">
            <v>099-813-0303</v>
          </cell>
          <cell r="T9" t="str">
            <v>099-813-03177</v>
          </cell>
          <cell r="U9" t="str">
            <v>鹿児島市立病院</v>
          </cell>
          <cell r="X9" t="str">
            <v>099-230-7000</v>
          </cell>
          <cell r="Y9" t="str">
            <v>〒890-8760　鹿児島県鹿児島市上荒田37-1</v>
          </cell>
          <cell r="AA9" t="str">
            <v>P05675-50</v>
          </cell>
          <cell r="AB9" t="str">
            <v/>
          </cell>
          <cell r="AC9" t="str">
            <v/>
          </cell>
          <cell r="AD9" t="str">
            <v/>
          </cell>
          <cell r="AE9" t="str">
            <v/>
          </cell>
          <cell r="AF9" t="str">
            <v/>
          </cell>
          <cell r="AG9" t="str">
            <v/>
          </cell>
          <cell r="AH9" t="str">
            <v/>
          </cell>
          <cell r="AI9" t="str">
            <v/>
          </cell>
          <cell r="AJ9" t="str">
            <v/>
          </cell>
          <cell r="AK9" t="str">
            <v>C60e/5-2 Convex Transducer (MicroMaxx)</v>
          </cell>
          <cell r="AL9" t="str">
            <v/>
          </cell>
          <cell r="AM9" t="str">
            <v/>
          </cell>
          <cell r="AN9" t="str">
            <v/>
          </cell>
          <cell r="AO9" t="str">
            <v/>
          </cell>
          <cell r="AP9" t="str">
            <v/>
          </cell>
          <cell r="AQ9" t="str">
            <v/>
          </cell>
          <cell r="AR9" t="str">
            <v/>
          </cell>
          <cell r="AS9" t="str">
            <v/>
          </cell>
          <cell r="AT9" t="str">
            <v/>
          </cell>
          <cell r="AU9">
            <v>40725</v>
          </cell>
        </row>
        <row r="10">
          <cell r="A10" t="str">
            <v>S16-0007</v>
          </cell>
          <cell r="B10" t="str">
            <v>北海道市江差病院_0007 (2)</v>
          </cell>
          <cell r="C10" t="str">
            <v>SR#</v>
          </cell>
          <cell r="D10" t="str">
            <v>2015/12/22-03</v>
          </cell>
          <cell r="E10" t="str">
            <v>有償</v>
          </cell>
          <cell r="F10">
            <v>42373</v>
          </cell>
          <cell r="G10">
            <v>42373</v>
          </cell>
          <cell r="H10">
            <v>42405</v>
          </cell>
          <cell r="I10" t="str">
            <v>不明</v>
          </cell>
          <cell r="K10" t="str">
            <v>梶田</v>
          </cell>
          <cell r="L10" t="str">
            <v>-</v>
          </cell>
          <cell r="M10" t="str">
            <v>UP-897MD</v>
          </cell>
          <cell r="N10" t="str">
            <v>35277</v>
          </cell>
          <cell r="O10" t="str">
            <v>-</v>
          </cell>
          <cell r="P10" t="str">
            <v>株式会社竹山　函館支店</v>
          </cell>
          <cell r="Q10" t="str">
            <v>三宅様</v>
          </cell>
          <cell r="R10" t="str">
            <v xml:space="preserve">〒040-0077　北海道函館市吉川町5-41 </v>
          </cell>
          <cell r="S10" t="str">
            <v>0138-83-5000</v>
          </cell>
          <cell r="T10" t="str">
            <v>0138-40-8555</v>
          </cell>
          <cell r="U10" t="str">
            <v>北海道市江差病院</v>
          </cell>
          <cell r="X10" t="str">
            <v>0139-52-0036</v>
          </cell>
          <cell r="Y10" t="str">
            <v>〒043-0022　北海道桧山郡江差町字伏木戸町484</v>
          </cell>
          <cell r="AA10" t="str">
            <v/>
          </cell>
          <cell r="AB10" t="str">
            <v/>
          </cell>
          <cell r="AC10" t="str">
            <v/>
          </cell>
          <cell r="AD10" t="str">
            <v/>
          </cell>
          <cell r="AE10" t="str">
            <v/>
          </cell>
          <cell r="AF10" t="str">
            <v/>
          </cell>
          <cell r="AG10" t="str">
            <v/>
          </cell>
          <cell r="AH10" t="str">
            <v/>
          </cell>
          <cell r="AI10" t="str">
            <v/>
          </cell>
          <cell r="AJ10" t="str">
            <v/>
          </cell>
          <cell r="AK10" t="str">
            <v/>
          </cell>
          <cell r="AL10" t="str">
            <v/>
          </cell>
          <cell r="AM10" t="str">
            <v/>
          </cell>
          <cell r="AN10" t="str">
            <v/>
          </cell>
          <cell r="AO10" t="str">
            <v/>
          </cell>
          <cell r="AP10" t="str">
            <v/>
          </cell>
          <cell r="AQ10" t="str">
            <v/>
          </cell>
          <cell r="AR10" t="str">
            <v/>
          </cell>
          <cell r="AS10" t="str">
            <v/>
          </cell>
          <cell r="AT10" t="str">
            <v/>
          </cell>
          <cell r="AU10" t="str">
            <v>-</v>
          </cell>
        </row>
        <row r="11">
          <cell r="A11" t="str">
            <v>S16-0008</v>
          </cell>
          <cell r="B11" t="str">
            <v>呉医療センター_0008 (2)</v>
          </cell>
          <cell r="C11" t="str">
            <v>SR#</v>
          </cell>
          <cell r="D11" t="str">
            <v>2015/12/24-02</v>
          </cell>
          <cell r="E11" t="str">
            <v>有償</v>
          </cell>
          <cell r="F11">
            <v>42373</v>
          </cell>
          <cell r="G11">
            <v>42373</v>
          </cell>
          <cell r="H11">
            <v>42390</v>
          </cell>
          <cell r="I11" t="str">
            <v>不明</v>
          </cell>
          <cell r="K11" t="str">
            <v>梶田</v>
          </cell>
          <cell r="L11">
            <v>3</v>
          </cell>
          <cell r="M11">
            <v>180</v>
          </cell>
          <cell r="N11" t="str">
            <v>01LBPT</v>
          </cell>
          <cell r="O11" t="str">
            <v>P01102-03</v>
          </cell>
          <cell r="P11" t="str">
            <v>ティーエスアルフレッサ株式会社　呉支店</v>
          </cell>
          <cell r="Q11" t="str">
            <v>岡崎様</v>
          </cell>
          <cell r="R11" t="str">
            <v>〒737-0822　広島県呉市築地町5-16</v>
          </cell>
          <cell r="S11" t="str">
            <v>0823-22-2313</v>
          </cell>
          <cell r="T11" t="str">
            <v xml:space="preserve"> 0823-22-3249</v>
          </cell>
          <cell r="U11" t="str">
            <v>呉医療センター　7B病棟</v>
          </cell>
          <cell r="V11" t="str">
            <v>藤田様</v>
          </cell>
          <cell r="W11" t="str">
            <v>7B病棟</v>
          </cell>
          <cell r="X11" t="str">
            <v>0823-22-3111</v>
          </cell>
          <cell r="Y11" t="str">
            <v xml:space="preserve">〒736-0023 広島県呉市青山町3-1
</v>
          </cell>
          <cell r="AA11" t="str">
            <v>P00049-04</v>
          </cell>
          <cell r="AB11" t="str">
            <v>P00340-02</v>
          </cell>
          <cell r="AC11" t="str">
            <v/>
          </cell>
          <cell r="AD11" t="str">
            <v/>
          </cell>
          <cell r="AE11" t="str">
            <v/>
          </cell>
          <cell r="AF11" t="str">
            <v/>
          </cell>
          <cell r="AG11" t="str">
            <v/>
          </cell>
          <cell r="AH11" t="str">
            <v/>
          </cell>
          <cell r="AI11" t="str">
            <v/>
          </cell>
          <cell r="AJ11" t="str">
            <v/>
          </cell>
          <cell r="AK11" t="str">
            <v>BATTERY PACK, 6 CELL LITHIUM-ION, 180</v>
          </cell>
          <cell r="AL11" t="str">
            <v>LENS, DISPLAY</v>
          </cell>
          <cell r="AM11" t="str">
            <v/>
          </cell>
          <cell r="AN11" t="str">
            <v/>
          </cell>
          <cell r="AO11" t="str">
            <v/>
          </cell>
          <cell r="AP11" t="str">
            <v/>
          </cell>
          <cell r="AQ11" t="str">
            <v/>
          </cell>
          <cell r="AR11" t="str">
            <v/>
          </cell>
          <cell r="AS11" t="str">
            <v/>
          </cell>
          <cell r="AT11" t="str">
            <v/>
          </cell>
          <cell r="AU11">
            <v>36678</v>
          </cell>
        </row>
        <row r="12">
          <cell r="A12" t="str">
            <v>S16-0009</v>
          </cell>
          <cell r="B12" t="str">
            <v>丘ノ規病院_0009 (2)</v>
          </cell>
          <cell r="C12" t="str">
            <v>SR#不要</v>
          </cell>
          <cell r="D12" t="str">
            <v>-</v>
          </cell>
          <cell r="E12" t="str">
            <v/>
          </cell>
          <cell r="F12">
            <v>42373</v>
          </cell>
          <cell r="G12">
            <v>42373</v>
          </cell>
          <cell r="H12">
            <v>42501</v>
          </cell>
          <cell r="I12" t="str">
            <v>不明</v>
          </cell>
          <cell r="K12" t="str">
            <v>-</v>
          </cell>
          <cell r="L12" t="str">
            <v>-</v>
          </cell>
          <cell r="M12" t="str">
            <v>iLook25</v>
          </cell>
          <cell r="N12" t="str">
            <v>036Q3G</v>
          </cell>
          <cell r="O12" t="str">
            <v>P04303-02</v>
          </cell>
          <cell r="P12" t="str">
            <v>日本コヴィディエン株式会社 九州第一営業所</v>
          </cell>
          <cell r="Q12" t="str">
            <v>毛利様</v>
          </cell>
          <cell r="R12" t="str">
            <v>〒108-0075  東京都港区港南一丁目2番70号　品川シーズンテラス　22F</v>
          </cell>
          <cell r="S12" t="str">
            <v>03-6774-4629</v>
          </cell>
          <cell r="T12" t="str">
            <v>03-6774-4740</v>
          </cell>
          <cell r="U12" t="str">
            <v>丘ノ規病院</v>
          </cell>
          <cell r="V12" t="str">
            <v>-</v>
          </cell>
          <cell r="W12" t="str">
            <v>-</v>
          </cell>
          <cell r="X12" t="str">
            <v xml:space="preserve">093-602-6631 </v>
          </cell>
          <cell r="Y12" t="str">
            <v>〒807-0831 福岡県北九州市八幡西区大字則松104-1</v>
          </cell>
          <cell r="AA12" t="str">
            <v/>
          </cell>
          <cell r="AB12" t="str">
            <v/>
          </cell>
          <cell r="AC12" t="str">
            <v/>
          </cell>
          <cell r="AD12" t="str">
            <v/>
          </cell>
          <cell r="AE12" t="str">
            <v/>
          </cell>
          <cell r="AF12" t="str">
            <v/>
          </cell>
          <cell r="AG12" t="str">
            <v/>
          </cell>
          <cell r="AH12" t="str">
            <v/>
          </cell>
          <cell r="AI12" t="str">
            <v/>
          </cell>
          <cell r="AJ12" t="str">
            <v/>
          </cell>
          <cell r="AK12" t="str">
            <v/>
          </cell>
          <cell r="AL12" t="str">
            <v/>
          </cell>
          <cell r="AM12" t="str">
            <v/>
          </cell>
          <cell r="AN12" t="str">
            <v/>
          </cell>
          <cell r="AO12" t="str">
            <v/>
          </cell>
          <cell r="AP12" t="str">
            <v/>
          </cell>
          <cell r="AQ12" t="str">
            <v/>
          </cell>
          <cell r="AR12" t="str">
            <v/>
          </cell>
          <cell r="AS12" t="str">
            <v/>
          </cell>
          <cell r="AT12" t="str">
            <v/>
          </cell>
          <cell r="AU12">
            <v>38930</v>
          </cell>
        </row>
        <row r="13">
          <cell r="A13" t="str">
            <v>S16-0010</v>
          </cell>
          <cell r="B13" t="str">
            <v>秋岡医院_0010(2)</v>
          </cell>
          <cell r="C13" t="str">
            <v>SR#</v>
          </cell>
          <cell r="D13" t="str">
            <v>2015/11/25-06</v>
          </cell>
          <cell r="E13" t="str">
            <v>有償</v>
          </cell>
          <cell r="F13">
            <v>42373</v>
          </cell>
          <cell r="G13">
            <v>42373</v>
          </cell>
          <cell r="H13">
            <v>42436</v>
          </cell>
          <cell r="I13" t="str">
            <v>不明</v>
          </cell>
          <cell r="K13" t="str">
            <v>-</v>
          </cell>
          <cell r="L13" t="str">
            <v>-</v>
          </cell>
          <cell r="M13" t="str">
            <v>MicroMaxx</v>
          </cell>
          <cell r="N13" t="str">
            <v>034K7Z</v>
          </cell>
          <cell r="O13" t="str">
            <v>P05670-01</v>
          </cell>
          <cell r="P13" t="str">
            <v>株式会社アステム 大分東支店</v>
          </cell>
          <cell r="Q13" t="str">
            <v>河野様</v>
          </cell>
          <cell r="R13" t="str">
            <v>〒870-0252　大分県大分市大在浜1-7-16</v>
          </cell>
          <cell r="S13" t="str">
            <v>097-524-2211</v>
          </cell>
          <cell r="T13" t="str">
            <v>097-524-2525</v>
          </cell>
          <cell r="U13" t="str">
            <v>秋岡医院</v>
          </cell>
          <cell r="V13" t="str">
            <v>-</v>
          </cell>
          <cell r="W13" t="str">
            <v>-</v>
          </cell>
          <cell r="X13" t="str">
            <v>0972-82-2617</v>
          </cell>
          <cell r="Y13" t="str">
            <v>〒879-2472　大分県津久見市徳浦本町7-3</v>
          </cell>
          <cell r="AA13" t="str">
            <v/>
          </cell>
          <cell r="AB13" t="str">
            <v/>
          </cell>
          <cell r="AC13" t="str">
            <v/>
          </cell>
          <cell r="AD13" t="str">
            <v/>
          </cell>
          <cell r="AE13" t="str">
            <v/>
          </cell>
          <cell r="AF13" t="str">
            <v/>
          </cell>
          <cell r="AG13" t="str">
            <v/>
          </cell>
          <cell r="AH13" t="str">
            <v/>
          </cell>
          <cell r="AI13" t="str">
            <v/>
          </cell>
          <cell r="AJ13" t="str">
            <v/>
          </cell>
          <cell r="AK13" t="str">
            <v/>
          </cell>
          <cell r="AL13" t="str">
            <v/>
          </cell>
          <cell r="AM13" t="str">
            <v/>
          </cell>
          <cell r="AN13" t="str">
            <v/>
          </cell>
          <cell r="AO13" t="str">
            <v/>
          </cell>
          <cell r="AP13" t="str">
            <v/>
          </cell>
          <cell r="AQ13" t="str">
            <v/>
          </cell>
          <cell r="AR13" t="str">
            <v/>
          </cell>
          <cell r="AS13" t="str">
            <v/>
          </cell>
          <cell r="AT13" t="str">
            <v/>
          </cell>
          <cell r="AU13">
            <v>38565</v>
          </cell>
        </row>
        <row r="14">
          <cell r="A14" t="str">
            <v>S16-0011</v>
          </cell>
          <cell r="B14" t="str">
            <v>新潟市民病院_0011 (2)</v>
          </cell>
          <cell r="C14" t="str">
            <v>SR#4200411</v>
          </cell>
          <cell r="D14" t="str">
            <v>－</v>
          </cell>
          <cell r="E14" t="str">
            <v>有償</v>
          </cell>
          <cell r="F14">
            <v>42374</v>
          </cell>
          <cell r="G14">
            <v>42374</v>
          </cell>
          <cell r="H14">
            <v>42453</v>
          </cell>
          <cell r="I14" t="str">
            <v>不明</v>
          </cell>
          <cell r="K14" t="str">
            <v>梶田</v>
          </cell>
          <cell r="L14">
            <v>3</v>
          </cell>
          <cell r="M14" t="str">
            <v>Triple Transducer Connect</v>
          </cell>
          <cell r="N14" t="str">
            <v>WK00RL</v>
          </cell>
          <cell r="O14" t="str">
            <v>P05680-03</v>
          </cell>
          <cell r="P14" t="str">
            <v>源川医科器械株式会社</v>
          </cell>
          <cell r="Q14" t="str">
            <v>杉本様</v>
          </cell>
          <cell r="R14" t="str">
            <v>〒950-0141　新潟県新潟市江南区亀田工業団地2-2528-38</v>
          </cell>
          <cell r="S14" t="str">
            <v>025-385-8303</v>
          </cell>
          <cell r="T14" t="str">
            <v>025-385-8305</v>
          </cell>
          <cell r="U14" t="str">
            <v>新潟市民病院</v>
          </cell>
          <cell r="X14" t="str">
            <v>025-281-5151</v>
          </cell>
          <cell r="Y14" t="str">
            <v>〒950−1197　新潟県新潟市中央区鐘木463-7</v>
          </cell>
          <cell r="AA14" t="str">
            <v>P15470-02</v>
          </cell>
          <cell r="AB14" t="str">
            <v/>
          </cell>
          <cell r="AC14" t="str">
            <v/>
          </cell>
          <cell r="AD14" t="str">
            <v/>
          </cell>
          <cell r="AE14" t="str">
            <v/>
          </cell>
          <cell r="AF14" t="str">
            <v/>
          </cell>
          <cell r="AG14" t="str">
            <v/>
          </cell>
          <cell r="AH14" t="str">
            <v/>
          </cell>
          <cell r="AI14" t="str">
            <v/>
          </cell>
          <cell r="AJ14" t="str">
            <v/>
          </cell>
          <cell r="AK14" t="str">
            <v>SERVICE ASSEMBLY, TRANSDUCER CABLE, TTC</v>
          </cell>
          <cell r="AL14" t="str">
            <v/>
          </cell>
          <cell r="AM14" t="str">
            <v/>
          </cell>
          <cell r="AN14" t="str">
            <v/>
          </cell>
          <cell r="AO14" t="str">
            <v/>
          </cell>
          <cell r="AP14" t="str">
            <v/>
          </cell>
          <cell r="AQ14" t="str">
            <v/>
          </cell>
          <cell r="AR14" t="str">
            <v/>
          </cell>
          <cell r="AS14" t="str">
            <v/>
          </cell>
          <cell r="AT14" t="str">
            <v/>
          </cell>
          <cell r="AU14">
            <v>39934</v>
          </cell>
        </row>
        <row r="15">
          <cell r="A15" t="str">
            <v>S16-0012</v>
          </cell>
          <cell r="B15" t="str">
            <v>天理よろづ相談所病院_0012 (2)</v>
          </cell>
          <cell r="C15" t="str">
            <v>SR#</v>
          </cell>
          <cell r="D15" t="str">
            <v>2015/12/24-04</v>
          </cell>
          <cell r="E15" t="str">
            <v>有償</v>
          </cell>
          <cell r="F15">
            <v>42374</v>
          </cell>
          <cell r="G15">
            <v>42374</v>
          </cell>
          <cell r="H15">
            <v>42394</v>
          </cell>
          <cell r="I15" t="str">
            <v>不明</v>
          </cell>
          <cell r="K15" t="str">
            <v>梶田</v>
          </cell>
          <cell r="L15">
            <v>3</v>
          </cell>
          <cell r="M15" t="str">
            <v>180Plus</v>
          </cell>
          <cell r="N15" t="str">
            <v>031WML</v>
          </cell>
          <cell r="O15" t="str">
            <v>P02998-02</v>
          </cell>
          <cell r="P15" t="str">
            <v>株式会社 三笑堂　奈良中央支店</v>
          </cell>
          <cell r="Q15" t="str">
            <v>岡様</v>
          </cell>
          <cell r="R15" t="str">
            <v>〒630-8146　奈良県奈良市八条町356</v>
          </cell>
          <cell r="S15" t="str">
            <v>0742-32-3410</v>
          </cell>
          <cell r="T15" t="str">
            <v>0742-32-3411</v>
          </cell>
          <cell r="U15" t="str">
            <v>天理よろづ相談所病院</v>
          </cell>
          <cell r="V15" t="str">
            <v>-</v>
          </cell>
          <cell r="W15" t="str">
            <v>-</v>
          </cell>
          <cell r="X15" t="str">
            <v>0743-63-5611</v>
          </cell>
          <cell r="Y15" t="str">
            <v>〒632-8552　奈良県天理市三島町200</v>
          </cell>
          <cell r="AA15" t="str">
            <v>P00104-02</v>
          </cell>
          <cell r="AB15" t="str">
            <v>P00340-02</v>
          </cell>
          <cell r="AC15" t="str">
            <v>P00049-04</v>
          </cell>
          <cell r="AD15" t="str">
            <v/>
          </cell>
          <cell r="AE15" t="str">
            <v/>
          </cell>
          <cell r="AF15" t="str">
            <v/>
          </cell>
          <cell r="AG15" t="str">
            <v/>
          </cell>
          <cell r="AH15" t="str">
            <v/>
          </cell>
          <cell r="AI15" t="str">
            <v/>
          </cell>
          <cell r="AJ15" t="str">
            <v/>
          </cell>
          <cell r="AK15" t="str">
            <v>KEY, ON/OFF</v>
          </cell>
          <cell r="AL15" t="str">
            <v>LENS, DISPLAY</v>
          </cell>
          <cell r="AM15" t="str">
            <v>BATTERY PACK, 6 CELL LITHIUM-ION, 180</v>
          </cell>
          <cell r="AN15" t="str">
            <v/>
          </cell>
          <cell r="AO15" t="str">
            <v/>
          </cell>
          <cell r="AP15" t="str">
            <v/>
          </cell>
          <cell r="AQ15" t="str">
            <v/>
          </cell>
          <cell r="AR15" t="str">
            <v/>
          </cell>
          <cell r="AS15" t="str">
            <v/>
          </cell>
          <cell r="AT15" t="str">
            <v/>
          </cell>
          <cell r="AU15">
            <v>37926</v>
          </cell>
        </row>
        <row r="16">
          <cell r="A16" t="str">
            <v>S16-0013</v>
          </cell>
          <cell r="B16" t="str">
            <v>市立砺波総合病院_0013 (2)</v>
          </cell>
          <cell r="C16" t="str">
            <v>SR#4179649</v>
          </cell>
          <cell r="D16" t="str">
            <v>2015/12/25-02</v>
          </cell>
          <cell r="E16" t="str">
            <v>無償</v>
          </cell>
          <cell r="F16">
            <v>42375</v>
          </cell>
          <cell r="G16">
            <v>42375</v>
          </cell>
          <cell r="H16">
            <v>42377</v>
          </cell>
          <cell r="I16" t="str">
            <v>不明</v>
          </cell>
          <cell r="K16" t="str">
            <v>梶田</v>
          </cell>
          <cell r="L16">
            <v>3</v>
          </cell>
          <cell r="M16" t="str">
            <v>M-Turbo</v>
          </cell>
          <cell r="N16" t="str">
            <v>WK0XWD</v>
          </cell>
          <cell r="O16" t="str">
            <v>P09141-23</v>
          </cell>
          <cell r="P16" t="str">
            <v>株式会社ハイメック</v>
          </cell>
          <cell r="Q16" t="str">
            <v>篠田様</v>
          </cell>
          <cell r="R16" t="str">
            <v>〒930-0955　富山県富山市天正寺384-2</v>
          </cell>
          <cell r="S16" t="str">
            <v>076-424-3880</v>
          </cell>
          <cell r="T16" t="str">
            <v>076-492-3271</v>
          </cell>
          <cell r="U16" t="str">
            <v>市立砺波総合病院</v>
          </cell>
          <cell r="V16" t="str">
            <v>-</v>
          </cell>
          <cell r="W16" t="str">
            <v>-</v>
          </cell>
          <cell r="X16" t="str">
            <v>0763-32-3320</v>
          </cell>
          <cell r="Y16" t="str">
            <v>〒939-1395　富山県砺波市新富町1-61</v>
          </cell>
          <cell r="AA16" t="str">
            <v>P19087-02</v>
          </cell>
          <cell r="AB16" t="str">
            <v/>
          </cell>
          <cell r="AC16" t="str">
            <v/>
          </cell>
          <cell r="AD16" t="str">
            <v/>
          </cell>
          <cell r="AE16" t="str">
            <v/>
          </cell>
          <cell r="AF16" t="str">
            <v/>
          </cell>
          <cell r="AG16" t="str">
            <v/>
          </cell>
          <cell r="AH16" t="str">
            <v/>
          </cell>
          <cell r="AI16" t="str">
            <v/>
          </cell>
          <cell r="AJ16" t="str">
            <v/>
          </cell>
          <cell r="AK16" t="str">
            <v>MAIN PCBA, M-Turbo</v>
          </cell>
          <cell r="AL16" t="str">
            <v/>
          </cell>
          <cell r="AM16" t="str">
            <v/>
          </cell>
          <cell r="AN16" t="str">
            <v/>
          </cell>
          <cell r="AO16" t="str">
            <v/>
          </cell>
          <cell r="AP16" t="str">
            <v/>
          </cell>
          <cell r="AQ16" t="str">
            <v/>
          </cell>
          <cell r="AR16" t="str">
            <v/>
          </cell>
          <cell r="AS16" t="str">
            <v/>
          </cell>
          <cell r="AT16" t="str">
            <v/>
          </cell>
          <cell r="AU16">
            <v>40969</v>
          </cell>
        </row>
        <row r="17">
          <cell r="A17" t="str">
            <v>S16-0014</v>
          </cell>
          <cell r="B17" t="str">
            <v>東京大学医学部附属病院_0014 (2)</v>
          </cell>
          <cell r="C17" t="str">
            <v>SR#4179647</v>
          </cell>
          <cell r="D17" t="str">
            <v>-</v>
          </cell>
          <cell r="E17" t="str">
            <v>無償</v>
          </cell>
          <cell r="F17">
            <v>42375</v>
          </cell>
          <cell r="G17">
            <v>42375</v>
          </cell>
          <cell r="H17">
            <v>42384</v>
          </cell>
          <cell r="I17" t="str">
            <v>不明</v>
          </cell>
          <cell r="K17" t="str">
            <v>梶田</v>
          </cell>
          <cell r="L17">
            <v>3</v>
          </cell>
          <cell r="M17" t="str">
            <v>NanoMaxx</v>
          </cell>
          <cell r="N17" t="str">
            <v>03N180</v>
          </cell>
          <cell r="O17" t="str">
            <v>P12700-05</v>
          </cell>
          <cell r="P17" t="str">
            <v>日本コヴィディエン株式会社　首都圏透析営業所</v>
          </cell>
          <cell r="Q17" t="str">
            <v>藤原様</v>
          </cell>
          <cell r="R17" t="str">
            <v>〒158-8615  東京都世田谷区用賀 4-10-5  世田谷ﾋﾞｼﾞﾈｽｽｸｴｱﾋﾙｽﾞⅣ 2F</v>
          </cell>
          <cell r="S17" t="str">
            <v>03-5717-0517</v>
          </cell>
          <cell r="T17" t="str">
            <v>03-5717-0507</v>
          </cell>
          <cell r="U17" t="str">
            <v>東京大学医学部附属病院</v>
          </cell>
          <cell r="V17" t="str">
            <v>-</v>
          </cell>
          <cell r="W17" t="str">
            <v>-</v>
          </cell>
          <cell r="X17" t="str">
            <v>03-3815-5411</v>
          </cell>
          <cell r="Y17" t="str">
            <v>〒113-8655　東京都文京区本郷7-3-1</v>
          </cell>
          <cell r="AA17" t="str">
            <v>P10168-01</v>
          </cell>
          <cell r="AB17" t="str">
            <v/>
          </cell>
          <cell r="AC17" t="str">
            <v/>
          </cell>
          <cell r="AD17" t="str">
            <v/>
          </cell>
          <cell r="AE17" t="str">
            <v/>
          </cell>
          <cell r="AF17" t="str">
            <v/>
          </cell>
          <cell r="AG17" t="str">
            <v/>
          </cell>
          <cell r="AH17" t="str">
            <v/>
          </cell>
          <cell r="AI17" t="str">
            <v/>
          </cell>
          <cell r="AJ17" t="str">
            <v/>
          </cell>
          <cell r="AK17" t="str">
            <v>MEMORY, SD CARD, 2G, NETLIST</v>
          </cell>
          <cell r="AL17" t="str">
            <v/>
          </cell>
          <cell r="AM17" t="str">
            <v/>
          </cell>
          <cell r="AN17" t="str">
            <v/>
          </cell>
          <cell r="AO17" t="str">
            <v/>
          </cell>
          <cell r="AP17" t="str">
            <v/>
          </cell>
          <cell r="AQ17" t="str">
            <v/>
          </cell>
          <cell r="AR17" t="str">
            <v/>
          </cell>
          <cell r="AS17" t="str">
            <v/>
          </cell>
          <cell r="AT17" t="str">
            <v/>
          </cell>
          <cell r="AU17">
            <v>40940</v>
          </cell>
        </row>
        <row r="18">
          <cell r="A18" t="str">
            <v>S16-0015</v>
          </cell>
          <cell r="B18" t="str">
            <v>佐野厚生総合病院_0015 (2)</v>
          </cell>
          <cell r="C18" t="str">
            <v>SR#</v>
          </cell>
          <cell r="D18" t="str">
            <v>2015/12/28-02</v>
          </cell>
          <cell r="E18" t="str">
            <v>無償</v>
          </cell>
          <cell r="F18">
            <v>42375</v>
          </cell>
          <cell r="G18">
            <v>42375</v>
          </cell>
          <cell r="H18">
            <v>42384</v>
          </cell>
          <cell r="I18" t="str">
            <v>不明</v>
          </cell>
          <cell r="K18" t="str">
            <v>梶田</v>
          </cell>
          <cell r="L18" t="str">
            <v>-</v>
          </cell>
          <cell r="M18" t="str">
            <v>NanoMaxx</v>
          </cell>
          <cell r="N18" t="str">
            <v>040DVQ</v>
          </cell>
          <cell r="O18" t="str">
            <v>P12700-60</v>
          </cell>
          <cell r="P18" t="str">
            <v>株式会社日成メディカル</v>
          </cell>
          <cell r="Q18" t="str">
            <v>稲葉様</v>
          </cell>
          <cell r="R18" t="str">
            <v>〒321-0911　栃木県宇都宮市問屋町3426-42</v>
          </cell>
          <cell r="S18" t="str">
            <v>028-656-1446</v>
          </cell>
          <cell r="T18" t="str">
            <v>028-656-5275</v>
          </cell>
          <cell r="U18" t="str">
            <v>佐野厚生総合病院　循環器内科</v>
          </cell>
          <cell r="V18" t="str">
            <v>渡辺先生</v>
          </cell>
          <cell r="W18" t="str">
            <v>循環器内科</v>
          </cell>
          <cell r="X18" t="str">
            <v>0283-22-5222</v>
          </cell>
          <cell r="Y18" t="str">
            <v>〒327-0843　栃木県宇都宮市堀米町1728</v>
          </cell>
          <cell r="AA18" t="str">
            <v/>
          </cell>
          <cell r="AB18" t="str">
            <v/>
          </cell>
          <cell r="AC18" t="str">
            <v/>
          </cell>
          <cell r="AD18" t="str">
            <v/>
          </cell>
          <cell r="AE18" t="str">
            <v/>
          </cell>
          <cell r="AF18" t="str">
            <v/>
          </cell>
          <cell r="AG18" t="str">
            <v/>
          </cell>
          <cell r="AH18" t="str">
            <v/>
          </cell>
          <cell r="AI18" t="str">
            <v/>
          </cell>
          <cell r="AJ18" t="str">
            <v/>
          </cell>
          <cell r="AK18" t="str">
            <v/>
          </cell>
          <cell r="AL18" t="str">
            <v/>
          </cell>
          <cell r="AM18" t="str">
            <v/>
          </cell>
          <cell r="AN18" t="str">
            <v/>
          </cell>
          <cell r="AO18" t="str">
            <v/>
          </cell>
          <cell r="AP18" t="str">
            <v/>
          </cell>
          <cell r="AQ18" t="str">
            <v/>
          </cell>
          <cell r="AR18" t="str">
            <v/>
          </cell>
          <cell r="AS18" t="str">
            <v/>
          </cell>
          <cell r="AT18" t="str">
            <v/>
          </cell>
          <cell r="AU18">
            <v>42064</v>
          </cell>
        </row>
        <row r="19">
          <cell r="A19" t="str">
            <v>S16-0016</v>
          </cell>
          <cell r="B19" t="str">
            <v>鹿島病院_0016 (2)</v>
          </cell>
          <cell r="C19" t="str">
            <v>SR#4180033</v>
          </cell>
          <cell r="D19" t="str">
            <v>-</v>
          </cell>
          <cell r="E19" t="str">
            <v>無償</v>
          </cell>
          <cell r="F19">
            <v>42375</v>
          </cell>
          <cell r="G19">
            <v>42375</v>
          </cell>
          <cell r="H19">
            <v>42395</v>
          </cell>
          <cell r="I19" t="str">
            <v>不明</v>
          </cell>
          <cell r="K19" t="str">
            <v>梶田</v>
          </cell>
          <cell r="L19">
            <v>3</v>
          </cell>
          <cell r="M19" t="str">
            <v>NanoMaxx</v>
          </cell>
          <cell r="N19" t="str">
            <v>03WRPF</v>
          </cell>
          <cell r="O19" t="str">
            <v>P12700-06</v>
          </cell>
          <cell r="P19" t="str">
            <v>日本コヴィディエン株式会社　メディカル事業部</v>
          </cell>
          <cell r="Q19" t="str">
            <v>柴原様</v>
          </cell>
          <cell r="R19" t="str">
            <v>〒158-8615  東京都世田谷区用賀 4-10-5  世田谷ﾋﾞｼﾞﾈｽｽｸｴｱﾋﾙｽﾞⅣ 2F</v>
          </cell>
          <cell r="S19" t="str">
            <v>03-5717-0517</v>
          </cell>
          <cell r="T19" t="str">
            <v>03-5717-0507</v>
          </cell>
          <cell r="U19" t="str">
            <v>鹿島病院</v>
          </cell>
          <cell r="V19" t="str">
            <v>-</v>
          </cell>
          <cell r="W19" t="str">
            <v>-</v>
          </cell>
          <cell r="X19" t="str">
            <v>0299-82-1271</v>
          </cell>
          <cell r="Y19" t="str">
            <v>〒314-0012　茨城県鹿嶋市平井1129-2</v>
          </cell>
          <cell r="AA19" t="str">
            <v>P12718-02</v>
          </cell>
          <cell r="AB19" t="str">
            <v/>
          </cell>
          <cell r="AC19" t="str">
            <v/>
          </cell>
          <cell r="AD19" t="str">
            <v/>
          </cell>
          <cell r="AE19" t="str">
            <v/>
          </cell>
          <cell r="AF19" t="str">
            <v/>
          </cell>
          <cell r="AG19" t="str">
            <v/>
          </cell>
          <cell r="AH19" t="str">
            <v/>
          </cell>
          <cell r="AI19" t="str">
            <v/>
          </cell>
          <cell r="AJ19" t="str">
            <v/>
          </cell>
          <cell r="AK19" t="str">
            <v>SERVICE ASSEMBLY, BACK END PCB, NANOMAXX</v>
          </cell>
          <cell r="AL19" t="str">
            <v/>
          </cell>
          <cell r="AM19" t="str">
            <v/>
          </cell>
          <cell r="AN19" t="str">
            <v/>
          </cell>
          <cell r="AO19" t="str">
            <v/>
          </cell>
          <cell r="AP19" t="str">
            <v/>
          </cell>
          <cell r="AQ19" t="str">
            <v/>
          </cell>
          <cell r="AR19" t="str">
            <v/>
          </cell>
          <cell r="AS19" t="str">
            <v/>
          </cell>
          <cell r="AT19" t="str">
            <v/>
          </cell>
          <cell r="AU19">
            <v>41671</v>
          </cell>
        </row>
        <row r="20">
          <cell r="A20" t="str">
            <v>S16-0017</v>
          </cell>
          <cell r="B20" t="str">
            <v>中部徳洲会病院_0017 (2)</v>
          </cell>
          <cell r="C20" t="str">
            <v>SR#</v>
          </cell>
          <cell r="D20" t="str">
            <v>-</v>
          </cell>
          <cell r="E20" t="str">
            <v/>
          </cell>
          <cell r="F20">
            <v>42376</v>
          </cell>
          <cell r="G20">
            <v>42376</v>
          </cell>
          <cell r="H20">
            <v>42425</v>
          </cell>
          <cell r="I20" t="str">
            <v>不明</v>
          </cell>
          <cell r="K20" t="str">
            <v>梶田</v>
          </cell>
          <cell r="L20">
            <v>3</v>
          </cell>
          <cell r="M20" t="str">
            <v>iLook25</v>
          </cell>
          <cell r="N20" t="str">
            <v>039D17</v>
          </cell>
          <cell r="O20" t="str">
            <v>P04303-02</v>
          </cell>
          <cell r="P20" t="str">
            <v>日本コヴィディエン株式会社　沖縄担当</v>
          </cell>
          <cell r="Q20" t="str">
            <v>宮城様</v>
          </cell>
          <cell r="R20" t="str">
            <v>〒158-8615  東京都世田谷区用賀 4-10-5  世田谷ﾋﾞｼﾞﾈｽｽｸｴｱﾋﾙｽﾞⅣ 2F</v>
          </cell>
          <cell r="S20" t="str">
            <v>03-5717-0517</v>
          </cell>
          <cell r="T20" t="str">
            <v>03-5717-0507</v>
          </cell>
          <cell r="U20" t="str">
            <v>医療法人　沖縄徳洲会　中部徳洲会病院</v>
          </cell>
          <cell r="V20" t="str">
            <v>-</v>
          </cell>
          <cell r="W20" t="str">
            <v>-</v>
          </cell>
          <cell r="X20" t="str">
            <v>098-937-1110</v>
          </cell>
          <cell r="Y20" t="str">
            <v>〒904-8585　沖縄県沖縄市照屋3-20-1</v>
          </cell>
          <cell r="AA20" t="str">
            <v>P03157-02</v>
          </cell>
          <cell r="AB20" t="str">
            <v/>
          </cell>
          <cell r="AC20" t="str">
            <v/>
          </cell>
          <cell r="AD20" t="str">
            <v/>
          </cell>
          <cell r="AE20" t="str">
            <v/>
          </cell>
          <cell r="AF20" t="str">
            <v/>
          </cell>
          <cell r="AG20" t="str">
            <v/>
          </cell>
          <cell r="AH20" t="str">
            <v/>
          </cell>
          <cell r="AI20" t="str">
            <v/>
          </cell>
          <cell r="AJ20" t="str">
            <v/>
          </cell>
          <cell r="AK20" t="str">
            <v>SERVICE ASSEMBLY, L25 TRANSDUCER, ILOOK</v>
          </cell>
          <cell r="AL20" t="str">
            <v/>
          </cell>
          <cell r="AM20" t="str">
            <v/>
          </cell>
          <cell r="AN20" t="str">
            <v/>
          </cell>
          <cell r="AO20" t="str">
            <v/>
          </cell>
          <cell r="AP20" t="str">
            <v/>
          </cell>
          <cell r="AQ20" t="str">
            <v/>
          </cell>
          <cell r="AR20" t="str">
            <v/>
          </cell>
          <cell r="AS20" t="str">
            <v/>
          </cell>
          <cell r="AT20" t="str">
            <v/>
          </cell>
          <cell r="AU20">
            <v>39356</v>
          </cell>
        </row>
        <row r="21">
          <cell r="A21" t="str">
            <v>S16-0018</v>
          </cell>
          <cell r="B21" t="str">
            <v>群馬大学病院_0018 (2)</v>
          </cell>
          <cell r="C21" t="str">
            <v>SR#4179645</v>
          </cell>
          <cell r="D21" t="str">
            <v>-</v>
          </cell>
          <cell r="E21" t="str">
            <v>無償</v>
          </cell>
          <cell r="F21">
            <v>42376</v>
          </cell>
          <cell r="G21">
            <v>42376</v>
          </cell>
          <cell r="H21">
            <v>42384</v>
          </cell>
          <cell r="I21" t="str">
            <v>-</v>
          </cell>
          <cell r="K21" t="str">
            <v>梶田</v>
          </cell>
          <cell r="L21">
            <v>3</v>
          </cell>
          <cell r="M21" t="str">
            <v>NanoMaxx</v>
          </cell>
          <cell r="N21" t="str">
            <v>03VHHM</v>
          </cell>
          <cell r="O21" t="str">
            <v>P12700-06</v>
          </cell>
          <cell r="P21" t="str">
            <v>日本コヴィディエン株式会社　北関東営業所</v>
          </cell>
          <cell r="Q21" t="str">
            <v>三田様</v>
          </cell>
          <cell r="R21" t="str">
            <v>〒158-8615  東京都世田谷区用賀 4-10-5  世田谷ﾋﾞｼﾞﾈｽｽｸｴｱﾋﾙｽﾞⅣ 2F</v>
          </cell>
          <cell r="S21" t="str">
            <v>03-5717-0517</v>
          </cell>
          <cell r="T21" t="str">
            <v>03-5717-0507</v>
          </cell>
          <cell r="U21" t="str">
            <v>群馬大学医学部附属病院</v>
          </cell>
          <cell r="V21" t="str">
            <v>-</v>
          </cell>
          <cell r="W21" t="str">
            <v>-</v>
          </cell>
          <cell r="X21" t="str">
            <v>027-220-7111</v>
          </cell>
          <cell r="Y21" t="str">
            <v>〒371-8511 群馬県前橋市昭和町3-39-5</v>
          </cell>
          <cell r="AA21" t="str">
            <v>P12745-01</v>
          </cell>
          <cell r="AB21" t="str">
            <v/>
          </cell>
          <cell r="AC21" t="str">
            <v/>
          </cell>
          <cell r="AD21" t="str">
            <v/>
          </cell>
          <cell r="AE21" t="str">
            <v/>
          </cell>
          <cell r="AF21" t="str">
            <v/>
          </cell>
          <cell r="AG21" t="str">
            <v/>
          </cell>
          <cell r="AH21" t="str">
            <v/>
          </cell>
          <cell r="AI21" t="str">
            <v/>
          </cell>
          <cell r="AJ21" t="str">
            <v/>
          </cell>
          <cell r="AK21" t="str">
            <v>SERVICE ASSEMBLY, POWER SUPPLY PCB, NANOMAXX</v>
          </cell>
          <cell r="AL21" t="str">
            <v/>
          </cell>
          <cell r="AM21" t="str">
            <v/>
          </cell>
          <cell r="AN21" t="str">
            <v/>
          </cell>
          <cell r="AO21" t="str">
            <v/>
          </cell>
          <cell r="AP21" t="str">
            <v/>
          </cell>
          <cell r="AQ21" t="str">
            <v/>
          </cell>
          <cell r="AR21" t="str">
            <v/>
          </cell>
          <cell r="AS21" t="str">
            <v/>
          </cell>
          <cell r="AT21" t="str">
            <v/>
          </cell>
          <cell r="AU21">
            <v>41487</v>
          </cell>
        </row>
        <row r="22">
          <cell r="A22" t="str">
            <v>S16-0019</v>
          </cell>
          <cell r="B22" t="str">
            <v>大分赤十字病院_0019 (2)</v>
          </cell>
          <cell r="C22" t="str">
            <v>SR#4180917</v>
          </cell>
          <cell r="D22" t="str">
            <v>2015/12/22-05</v>
          </cell>
          <cell r="E22" t="str">
            <v>無償</v>
          </cell>
          <cell r="F22">
            <v>42376</v>
          </cell>
          <cell r="G22">
            <v>42376</v>
          </cell>
          <cell r="H22">
            <v>42387</v>
          </cell>
          <cell r="I22" t="str">
            <v>不明</v>
          </cell>
          <cell r="K22" t="str">
            <v>梶田</v>
          </cell>
          <cell r="L22">
            <v>3</v>
          </cell>
          <cell r="M22" t="str">
            <v>MicroMaxx</v>
          </cell>
          <cell r="N22" t="str">
            <v>WK0MYB</v>
          </cell>
          <cell r="O22" t="str">
            <v>P14179-03</v>
          </cell>
          <cell r="P22" t="str">
            <v>株式会社アステム　ME大分支店</v>
          </cell>
          <cell r="Q22" t="str">
            <v>中島様</v>
          </cell>
          <cell r="R22" t="str">
            <v>〒870-8602　大分県大分市西大道2-3-8</v>
          </cell>
          <cell r="S22" t="str">
            <v>097-543-6221</v>
          </cell>
          <cell r="T22" t="str">
            <v>097-545-3638</v>
          </cell>
          <cell r="U22" t="str">
            <v>大分赤十字病院　東6病棟</v>
          </cell>
          <cell r="V22" t="str">
            <v>小泉師長</v>
          </cell>
          <cell r="W22" t="str">
            <v>東6病棟</v>
          </cell>
          <cell r="X22" t="str">
            <v>097-532-6181</v>
          </cell>
          <cell r="Y22" t="str">
            <v>〒870-0033　大分県大分市千代町3-2-37</v>
          </cell>
          <cell r="AA22" t="str">
            <v>P19133-01</v>
          </cell>
          <cell r="AB22" t="str">
            <v>P19080-01</v>
          </cell>
          <cell r="AC22" t="str">
            <v>P18035-01</v>
          </cell>
          <cell r="AD22" t="str">
            <v/>
          </cell>
          <cell r="AE22" t="str">
            <v/>
          </cell>
          <cell r="AF22" t="str">
            <v/>
          </cell>
          <cell r="AG22" t="str">
            <v/>
          </cell>
          <cell r="AH22" t="str">
            <v/>
          </cell>
          <cell r="AI22" t="str">
            <v/>
          </cell>
          <cell r="AJ22" t="str">
            <v/>
          </cell>
          <cell r="AK22" t="str">
            <v>Kycon Connecto</v>
          </cell>
          <cell r="AL22" t="str">
            <v>Connector Brackets</v>
          </cell>
          <cell r="AM22" t="str">
            <v>Bracket screws　×2</v>
          </cell>
          <cell r="AN22" t="str">
            <v/>
          </cell>
          <cell r="AO22" t="str">
            <v/>
          </cell>
          <cell r="AP22" t="str">
            <v/>
          </cell>
          <cell r="AQ22" t="str">
            <v/>
          </cell>
          <cell r="AR22" t="str">
            <v/>
          </cell>
          <cell r="AS22" t="str">
            <v/>
          </cell>
          <cell r="AT22" t="str">
            <v/>
          </cell>
          <cell r="AU22">
            <v>40940</v>
          </cell>
        </row>
        <row r="23">
          <cell r="A23" t="str">
            <v>S16-0020</v>
          </cell>
          <cell r="B23" t="str">
            <v>名古屋市立大学病院_0020(2)</v>
          </cell>
          <cell r="C23" t="str">
            <v>SR#</v>
          </cell>
          <cell r="D23" t="str">
            <v>-</v>
          </cell>
          <cell r="E23" t="str">
            <v/>
          </cell>
          <cell r="F23">
            <v>42377</v>
          </cell>
          <cell r="G23">
            <v>42377</v>
          </cell>
          <cell r="H23">
            <v>42446</v>
          </cell>
          <cell r="I23" t="str">
            <v>不明</v>
          </cell>
          <cell r="K23" t="str">
            <v>梶田</v>
          </cell>
          <cell r="L23">
            <v>3</v>
          </cell>
          <cell r="M23" t="str">
            <v>iLook25</v>
          </cell>
          <cell r="N23" t="str">
            <v>0337YJ</v>
          </cell>
          <cell r="O23" t="str">
            <v>P04303-01</v>
          </cell>
          <cell r="P23" t="str">
            <v>日本コヴィディエン株式会社　愛知岐阜営業所</v>
          </cell>
          <cell r="Q23" t="str">
            <v>丹羽様</v>
          </cell>
          <cell r="R23" t="str">
            <v>〒158-8615  東京都世田谷区用賀 4-10-5  世田谷ﾋﾞｼﾞﾈｽｽｸｴｱﾋﾙｽﾞⅣ 2F</v>
          </cell>
          <cell r="S23" t="str">
            <v>03-5717-0517</v>
          </cell>
          <cell r="T23" t="str">
            <v>03-5717-0507</v>
          </cell>
          <cell r="U23" t="str">
            <v>名古屋市立大学病院</v>
          </cell>
          <cell r="V23" t="str">
            <v>-</v>
          </cell>
          <cell r="W23" t="str">
            <v>-</v>
          </cell>
          <cell r="X23" t="str">
            <v>052-851-5511</v>
          </cell>
          <cell r="Y23" t="str">
            <v>〒467-8602　愛知県名古屋市瑞穂区瑞穂町字川澄1</v>
          </cell>
          <cell r="AA23" t="str">
            <v>P01139-07</v>
          </cell>
          <cell r="AB23" t="str">
            <v>P03029-02</v>
          </cell>
          <cell r="AC23" t="str">
            <v/>
          </cell>
          <cell r="AD23" t="str">
            <v/>
          </cell>
          <cell r="AE23" t="str">
            <v/>
          </cell>
          <cell r="AF23" t="str">
            <v/>
          </cell>
          <cell r="AG23" t="str">
            <v/>
          </cell>
          <cell r="AH23" t="str">
            <v/>
          </cell>
          <cell r="AI23" t="str">
            <v/>
          </cell>
          <cell r="AJ23" t="str">
            <v/>
          </cell>
          <cell r="AK23" t="str">
            <v>POWER SUPPLY / BATTERY CHARGER, ILOOK, TITAN, MMX</v>
          </cell>
          <cell r="AL23" t="str">
            <v>ASSEMBLY, PCB, iLOOK,STAND</v>
          </cell>
          <cell r="AM23" t="str">
            <v/>
          </cell>
          <cell r="AN23" t="str">
            <v/>
          </cell>
          <cell r="AO23" t="str">
            <v/>
          </cell>
          <cell r="AP23" t="str">
            <v/>
          </cell>
          <cell r="AQ23" t="str">
            <v/>
          </cell>
          <cell r="AR23" t="str">
            <v/>
          </cell>
          <cell r="AS23" t="str">
            <v/>
          </cell>
          <cell r="AT23" t="str">
            <v/>
          </cell>
          <cell r="AU23">
            <v>38292</v>
          </cell>
        </row>
        <row r="24">
          <cell r="A24" t="str">
            <v>S16-0021</v>
          </cell>
          <cell r="B24" t="str">
            <v>中央仁クリニック_0021 (2)</v>
          </cell>
          <cell r="C24" t="str">
            <v>SR#4184155</v>
          </cell>
          <cell r="D24" t="str">
            <v>201601/04-03</v>
          </cell>
          <cell r="E24" t="str">
            <v>有償</v>
          </cell>
          <cell r="F24">
            <v>42381</v>
          </cell>
          <cell r="G24">
            <v>42381</v>
          </cell>
          <cell r="H24">
            <v>42389</v>
          </cell>
          <cell r="I24" t="str">
            <v>不明</v>
          </cell>
          <cell r="K24" t="str">
            <v>梶田</v>
          </cell>
          <cell r="L24">
            <v>3</v>
          </cell>
          <cell r="M24" t="str">
            <v>180Plus</v>
          </cell>
          <cell r="N24" t="str">
            <v>03DX5Y</v>
          </cell>
          <cell r="O24" t="str">
            <v>P04326-05</v>
          </cell>
          <cell r="P24" t="str">
            <v>アイティーアイ株式会社　熊本支社</v>
          </cell>
          <cell r="Q24" t="str">
            <v>石川様</v>
          </cell>
          <cell r="R24" t="str">
            <v>〒860-0826　熊本県熊本市南区平田2-12-18</v>
          </cell>
          <cell r="S24" t="str">
            <v>096-326-7551</v>
          </cell>
          <cell r="T24" t="str">
            <v>096-326-7552</v>
          </cell>
          <cell r="U24" t="str">
            <v>中央仁クリニック</v>
          </cell>
          <cell r="V24" t="str">
            <v>松岡様</v>
          </cell>
          <cell r="W24" t="str">
            <v>透析室</v>
          </cell>
          <cell r="X24" t="str">
            <v>096-334-6655</v>
          </cell>
          <cell r="Y24" t="str">
            <v>〒862-0960　熊本県熊本市東区下江津8-3-23</v>
          </cell>
          <cell r="AA24" t="str">
            <v>P01213-01</v>
          </cell>
          <cell r="AB24" t="str">
            <v/>
          </cell>
          <cell r="AC24" t="str">
            <v/>
          </cell>
          <cell r="AD24" t="str">
            <v/>
          </cell>
          <cell r="AE24" t="str">
            <v/>
          </cell>
          <cell r="AF24" t="str">
            <v/>
          </cell>
          <cell r="AG24" t="str">
            <v/>
          </cell>
          <cell r="AH24" t="str">
            <v/>
          </cell>
          <cell r="AI24" t="str">
            <v/>
          </cell>
          <cell r="AJ24" t="str">
            <v/>
          </cell>
          <cell r="AK24" t="str">
            <v>FLEX CIRCUIT, FAB, C1 DISPLAY</v>
          </cell>
          <cell r="AL24" t="str">
            <v/>
          </cell>
          <cell r="AM24" t="str">
            <v/>
          </cell>
          <cell r="AN24" t="str">
            <v/>
          </cell>
          <cell r="AO24" t="str">
            <v/>
          </cell>
          <cell r="AP24" t="str">
            <v/>
          </cell>
          <cell r="AQ24" t="str">
            <v/>
          </cell>
          <cell r="AR24" t="str">
            <v/>
          </cell>
          <cell r="AS24" t="str">
            <v/>
          </cell>
          <cell r="AT24" t="str">
            <v/>
          </cell>
          <cell r="AU24">
            <v>39814</v>
          </cell>
        </row>
        <row r="25">
          <cell r="A25" t="str">
            <v>S16-0022</v>
          </cell>
          <cell r="B25" t="str">
            <v>久留米大学病院_0022 (2)</v>
          </cell>
          <cell r="C25" t="str">
            <v>SR#</v>
          </cell>
          <cell r="D25" t="str">
            <v>2015/12/28-07</v>
          </cell>
          <cell r="E25" t="str">
            <v>有償</v>
          </cell>
          <cell r="F25">
            <v>42381</v>
          </cell>
          <cell r="G25">
            <v>42381</v>
          </cell>
          <cell r="H25">
            <v>42389</v>
          </cell>
          <cell r="I25" t="str">
            <v>不明</v>
          </cell>
          <cell r="K25" t="str">
            <v>-</v>
          </cell>
          <cell r="L25" t="str">
            <v>-</v>
          </cell>
          <cell r="M25" t="str">
            <v>MicroMaxx</v>
          </cell>
          <cell r="N25" t="str">
            <v>03B27B</v>
          </cell>
          <cell r="O25" t="str">
            <v>P08063-02</v>
          </cell>
          <cell r="P25" t="str">
            <v>株式会社キシヤ　久留米営業所</v>
          </cell>
          <cell r="Q25" t="str">
            <v>野田様</v>
          </cell>
          <cell r="R25" t="str">
            <v>〒839-0801 福岡県久留米市宮ノ陣3-5-15</v>
          </cell>
          <cell r="S25" t="str">
            <v>0942-31-7551</v>
          </cell>
          <cell r="T25" t="str">
            <v>0942-40-3226</v>
          </cell>
          <cell r="U25" t="str">
            <v>久留米大学病院　外5階病棟</v>
          </cell>
          <cell r="V25" t="str">
            <v>井樋主任</v>
          </cell>
          <cell r="W25" t="str">
            <v>外来5階病院</v>
          </cell>
          <cell r="X25" t="str">
            <v>0942-35-3311</v>
          </cell>
          <cell r="Y25" t="str">
            <v>〒830-0001　福岡県久留米市旭町67</v>
          </cell>
          <cell r="AA25" t="str">
            <v>P05463</v>
          </cell>
          <cell r="AB25" t="str">
            <v>P07168</v>
          </cell>
          <cell r="AC25" t="str">
            <v/>
          </cell>
          <cell r="AD25" t="str">
            <v/>
          </cell>
          <cell r="AE25" t="str">
            <v/>
          </cell>
          <cell r="AF25" t="str">
            <v/>
          </cell>
          <cell r="AG25" t="str">
            <v/>
          </cell>
          <cell r="AH25" t="str">
            <v/>
          </cell>
          <cell r="AI25" t="str">
            <v/>
          </cell>
          <cell r="AJ25" t="str">
            <v/>
          </cell>
          <cell r="AK25" t="str">
            <v>SERVICE ASSEMBLY DISPLAY, MICROMAXX</v>
          </cell>
          <cell r="AL25" t="str">
            <v>BATTERY PACK, 6 CELL, 11.25V, 5.2AMP-HOUR, LITHIUM-ION</v>
          </cell>
          <cell r="AM25" t="str">
            <v/>
          </cell>
          <cell r="AN25" t="str">
            <v/>
          </cell>
          <cell r="AO25" t="str">
            <v/>
          </cell>
          <cell r="AP25" t="str">
            <v/>
          </cell>
          <cell r="AQ25" t="str">
            <v/>
          </cell>
          <cell r="AR25" t="str">
            <v/>
          </cell>
          <cell r="AS25" t="str">
            <v/>
          </cell>
          <cell r="AT25" t="str">
            <v/>
          </cell>
          <cell r="AU25">
            <v>39417</v>
          </cell>
        </row>
        <row r="26">
          <cell r="A26" t="str">
            <v>S16-0023</v>
          </cell>
          <cell r="B26" t="str">
            <v>鹿児島大学病院_0023 (2)</v>
          </cell>
          <cell r="C26" t="str">
            <v>SR#</v>
          </cell>
          <cell r="D26" t="str">
            <v>2016/01/06-04</v>
          </cell>
          <cell r="E26" t="str">
            <v>有償</v>
          </cell>
          <cell r="F26">
            <v>42381</v>
          </cell>
          <cell r="G26">
            <v>42381</v>
          </cell>
          <cell r="H26">
            <v>42382</v>
          </cell>
          <cell r="I26" t="str">
            <v>不明</v>
          </cell>
          <cell r="K26" t="str">
            <v>梶田</v>
          </cell>
          <cell r="L26" t="str">
            <v>-</v>
          </cell>
          <cell r="M26" t="str">
            <v>MicroMaxx</v>
          </cell>
          <cell r="N26" t="str">
            <v>WK02XY</v>
          </cell>
          <cell r="O26" t="str">
            <v>P08063-05</v>
          </cell>
          <cell r="P26" t="str">
            <v>株式会社横尾器械　本社</v>
          </cell>
          <cell r="Q26" t="str">
            <v>山田様</v>
          </cell>
          <cell r="R26" t="str">
            <v>〒890-0033　鹿児島県鹿児島市西別府町2941-27</v>
          </cell>
          <cell r="S26" t="str">
            <v>099-281-2611</v>
          </cell>
          <cell r="T26" t="str">
            <v>099-282-7575</v>
          </cell>
          <cell r="U26" t="str">
            <v>鹿児島大学病院　皮膚科外来</v>
          </cell>
          <cell r="V26" t="str">
            <v>西馬場先生</v>
          </cell>
          <cell r="W26" t="str">
            <v>皮膚科外来</v>
          </cell>
          <cell r="X26" t="str">
            <v>099-275-5111</v>
          </cell>
          <cell r="Y26" t="str">
            <v>〒890-8520　鹿児島県鹿児島市桜ケ丘8-35-1</v>
          </cell>
          <cell r="AA26" t="str">
            <v/>
          </cell>
          <cell r="AB26" t="str">
            <v/>
          </cell>
          <cell r="AC26" t="str">
            <v/>
          </cell>
          <cell r="AD26" t="str">
            <v/>
          </cell>
          <cell r="AE26" t="str">
            <v/>
          </cell>
          <cell r="AF26" t="str">
            <v/>
          </cell>
          <cell r="AG26" t="str">
            <v/>
          </cell>
          <cell r="AH26" t="str">
            <v/>
          </cell>
          <cell r="AI26" t="str">
            <v/>
          </cell>
          <cell r="AJ26" t="str">
            <v/>
          </cell>
          <cell r="AK26" t="str">
            <v/>
          </cell>
          <cell r="AL26" t="str">
            <v/>
          </cell>
          <cell r="AM26" t="str">
            <v/>
          </cell>
          <cell r="AN26" t="str">
            <v/>
          </cell>
          <cell r="AO26" t="str">
            <v/>
          </cell>
          <cell r="AP26" t="str">
            <v/>
          </cell>
          <cell r="AQ26" t="str">
            <v/>
          </cell>
          <cell r="AR26" t="str">
            <v/>
          </cell>
          <cell r="AS26" t="str">
            <v/>
          </cell>
          <cell r="AT26" t="str">
            <v/>
          </cell>
          <cell r="AU26">
            <v>40179</v>
          </cell>
        </row>
        <row r="27">
          <cell r="A27" t="str">
            <v>S16-0024</v>
          </cell>
          <cell r="B27" t="str">
            <v>すこやか医院_0024(2)</v>
          </cell>
          <cell r="C27" t="str">
            <v>SR#</v>
          </cell>
          <cell r="D27" t="str">
            <v>-</v>
          </cell>
          <cell r="E27" t="str">
            <v>有償</v>
          </cell>
          <cell r="F27">
            <v>42381</v>
          </cell>
          <cell r="G27">
            <v>42381</v>
          </cell>
          <cell r="H27">
            <v>42452</v>
          </cell>
          <cell r="I27" t="str">
            <v>不明</v>
          </cell>
          <cell r="K27" t="str">
            <v>-</v>
          </cell>
          <cell r="L27" t="str">
            <v>-</v>
          </cell>
          <cell r="M27" t="str">
            <v>SonoHeart</v>
          </cell>
          <cell r="N27" t="str">
            <v>01LC65</v>
          </cell>
          <cell r="O27" t="str">
            <v>P01349-01</v>
          </cell>
          <cell r="P27" t="str">
            <v>富士フイルムメディカル株式会社</v>
          </cell>
          <cell r="Q27" t="str">
            <v>望月様</v>
          </cell>
          <cell r="R27" t="str">
            <v>-</v>
          </cell>
          <cell r="S27" t="str">
            <v>03-6418-7190</v>
          </cell>
          <cell r="T27" t="str">
            <v>03-6418-7162</v>
          </cell>
          <cell r="U27" t="str">
            <v>すこやか医院</v>
          </cell>
          <cell r="V27" t="str">
            <v>-</v>
          </cell>
          <cell r="W27" t="str">
            <v>-</v>
          </cell>
          <cell r="X27" t="str">
            <v>047-460-3088</v>
          </cell>
          <cell r="Y27" t="str">
            <v>〒273-0002　千葉県船橋市東船橋2-17-16</v>
          </cell>
          <cell r="AA27" t="str">
            <v/>
          </cell>
          <cell r="AB27" t="str">
            <v/>
          </cell>
          <cell r="AC27" t="str">
            <v/>
          </cell>
          <cell r="AD27" t="str">
            <v/>
          </cell>
          <cell r="AE27" t="str">
            <v/>
          </cell>
          <cell r="AF27" t="str">
            <v/>
          </cell>
          <cell r="AG27" t="str">
            <v/>
          </cell>
          <cell r="AH27" t="str">
            <v/>
          </cell>
          <cell r="AI27" t="str">
            <v/>
          </cell>
          <cell r="AJ27" t="str">
            <v/>
          </cell>
          <cell r="AK27" t="str">
            <v/>
          </cell>
          <cell r="AL27" t="str">
            <v/>
          </cell>
          <cell r="AM27" t="str">
            <v/>
          </cell>
          <cell r="AN27" t="str">
            <v/>
          </cell>
          <cell r="AO27" t="str">
            <v/>
          </cell>
          <cell r="AP27" t="str">
            <v/>
          </cell>
          <cell r="AQ27" t="str">
            <v/>
          </cell>
          <cell r="AR27" t="str">
            <v/>
          </cell>
          <cell r="AS27" t="str">
            <v/>
          </cell>
          <cell r="AT27" t="str">
            <v/>
          </cell>
          <cell r="AU27">
            <v>36739</v>
          </cell>
        </row>
        <row r="28">
          <cell r="A28" t="str">
            <v>S16-0025</v>
          </cell>
          <cell r="B28" t="str">
            <v>小田原循環器病院_0025</v>
          </cell>
          <cell r="C28" t="e">
            <v>#REF!</v>
          </cell>
          <cell r="D28" t="e">
            <v>#REF!</v>
          </cell>
          <cell r="E28" t="e">
            <v>#REF!</v>
          </cell>
          <cell r="F28" t="e">
            <v>#REF!</v>
          </cell>
          <cell r="G28" t="e">
            <v>#REF!</v>
          </cell>
          <cell r="H28" t="e">
            <v>#REF!</v>
          </cell>
          <cell r="I28" t="e">
            <v>#REF!</v>
          </cell>
          <cell r="K28" t="e">
            <v>#REF!</v>
          </cell>
          <cell r="M28" t="e">
            <v>#REF!</v>
          </cell>
          <cell r="N28" t="e">
            <v>#REF!</v>
          </cell>
          <cell r="O28" t="e">
            <v>#REF!</v>
          </cell>
          <cell r="P28" t="e">
            <v>#REF!</v>
          </cell>
          <cell r="Q28" t="e">
            <v>#REF!</v>
          </cell>
          <cell r="S28" t="e">
            <v>#REF!</v>
          </cell>
          <cell r="T28" t="e">
            <v>#REF!</v>
          </cell>
          <cell r="U28" t="e">
            <v>#REF!</v>
          </cell>
          <cell r="X28" t="str">
            <v>0465-48-7211</v>
          </cell>
          <cell r="Y28" t="str">
            <v>〒250-0873 神奈川県小田原市矢作296-1</v>
          </cell>
          <cell r="AA28" t="e">
            <v>#REF!</v>
          </cell>
          <cell r="AB28" t="e">
            <v>#REF!</v>
          </cell>
          <cell r="AC28" t="e">
            <v>#REF!</v>
          </cell>
          <cell r="AD28" t="e">
            <v>#REF!</v>
          </cell>
          <cell r="AE28" t="e">
            <v>#REF!</v>
          </cell>
          <cell r="AF28" t="e">
            <v>#REF!</v>
          </cell>
          <cell r="AG28" t="e">
            <v>#REF!</v>
          </cell>
          <cell r="AH28" t="e">
            <v>#REF!</v>
          </cell>
          <cell r="AI28" t="e">
            <v>#REF!</v>
          </cell>
          <cell r="AJ28" t="e">
            <v>#REF!</v>
          </cell>
          <cell r="AK28" t="e">
            <v>#REF!</v>
          </cell>
          <cell r="AL28" t="e">
            <v>#REF!</v>
          </cell>
          <cell r="AM28" t="e">
            <v>#REF!</v>
          </cell>
          <cell r="AN28" t="e">
            <v>#REF!</v>
          </cell>
          <cell r="AO28" t="e">
            <v>#REF!</v>
          </cell>
          <cell r="AP28" t="e">
            <v>#REF!</v>
          </cell>
          <cell r="AQ28" t="e">
            <v>#REF!</v>
          </cell>
          <cell r="AR28" t="e">
            <v>#REF!</v>
          </cell>
          <cell r="AS28" t="e">
            <v>#REF!</v>
          </cell>
          <cell r="AT28" t="e">
            <v>#REF!</v>
          </cell>
          <cell r="AU28" t="e">
            <v>#REF!</v>
          </cell>
        </row>
        <row r="29">
          <cell r="A29" t="str">
            <v>S16-0026</v>
          </cell>
          <cell r="B29" t="str">
            <v>公立丹南病院_0026 (2)</v>
          </cell>
          <cell r="C29" t="str">
            <v>SR#4184163</v>
          </cell>
          <cell r="D29" t="str">
            <v>2016/01/06-08</v>
          </cell>
          <cell r="E29" t="str">
            <v>有償</v>
          </cell>
          <cell r="F29">
            <v>42382</v>
          </cell>
          <cell r="G29">
            <v>42382</v>
          </cell>
          <cell r="H29">
            <v>42396</v>
          </cell>
          <cell r="I29" t="str">
            <v>不明</v>
          </cell>
          <cell r="K29" t="str">
            <v>梶田</v>
          </cell>
          <cell r="L29">
            <v>3</v>
          </cell>
          <cell r="M29" t="str">
            <v>180Plus</v>
          </cell>
          <cell r="N29" t="str">
            <v>0367ZZ</v>
          </cell>
          <cell r="O29" t="str">
            <v>P04327-04</v>
          </cell>
          <cell r="P29" t="str">
            <v>福井医療株式会社</v>
          </cell>
          <cell r="Q29" t="str">
            <v>海道様</v>
          </cell>
          <cell r="R29" t="str">
            <v>〒918-8556　福井県福井市問屋町4丁目901</v>
          </cell>
          <cell r="S29" t="str">
            <v>0776-24-0500</v>
          </cell>
          <cell r="T29" t="str">
            <v>0776-24-0021</v>
          </cell>
          <cell r="U29" t="str">
            <v>公立丹南病院</v>
          </cell>
          <cell r="V29" t="str">
            <v>-</v>
          </cell>
          <cell r="W29" t="str">
            <v>-</v>
          </cell>
          <cell r="X29" t="str">
            <v>0778-51-2260</v>
          </cell>
          <cell r="Y29" t="str">
            <v xml:space="preserve">〒916-8515　福井県鯖江市三六町1-2-31 </v>
          </cell>
          <cell r="AA29" t="str">
            <v>P00104-02</v>
          </cell>
          <cell r="AB29" t="str">
            <v>P00343-01</v>
          </cell>
          <cell r="AC29" t="str">
            <v/>
          </cell>
          <cell r="AD29" t="str">
            <v/>
          </cell>
          <cell r="AE29" t="str">
            <v/>
          </cell>
          <cell r="AF29" t="str">
            <v/>
          </cell>
          <cell r="AG29" t="str">
            <v/>
          </cell>
          <cell r="AH29" t="str">
            <v/>
          </cell>
          <cell r="AI29" t="str">
            <v/>
          </cell>
          <cell r="AJ29" t="str">
            <v/>
          </cell>
          <cell r="AK29" t="str">
            <v>KEY, ON/OFF</v>
          </cell>
          <cell r="AL29" t="str">
            <v>HINGE, DISPLAY</v>
          </cell>
          <cell r="AM29" t="str">
            <v/>
          </cell>
          <cell r="AN29" t="str">
            <v/>
          </cell>
          <cell r="AO29" t="str">
            <v/>
          </cell>
          <cell r="AP29" t="str">
            <v/>
          </cell>
          <cell r="AQ29" t="str">
            <v/>
          </cell>
          <cell r="AR29" t="str">
            <v/>
          </cell>
          <cell r="AS29" t="str">
            <v/>
          </cell>
          <cell r="AT29" t="str">
            <v/>
          </cell>
          <cell r="AU29">
            <v>39022</v>
          </cell>
        </row>
        <row r="30">
          <cell r="A30" t="str">
            <v>S16-0027</v>
          </cell>
          <cell r="B30" t="str">
            <v>順天堂大学病院_0027 (2)</v>
          </cell>
          <cell r="C30" t="str">
            <v>SR#4191235</v>
          </cell>
          <cell r="D30" t="str">
            <v>-</v>
          </cell>
          <cell r="E30" t="str">
            <v>無償</v>
          </cell>
          <cell r="F30">
            <v>42382</v>
          </cell>
          <cell r="G30">
            <v>42382</v>
          </cell>
          <cell r="H30">
            <v>42430</v>
          </cell>
          <cell r="I30" t="str">
            <v>不明</v>
          </cell>
          <cell r="K30" t="str">
            <v>高橋</v>
          </cell>
          <cell r="L30">
            <v>5</v>
          </cell>
          <cell r="M30" t="str">
            <v>EDGE</v>
          </cell>
          <cell r="N30" t="str">
            <v>03W0TX</v>
          </cell>
          <cell r="O30" t="str">
            <v>P16360-04</v>
          </cell>
          <cell r="P30" t="str">
            <v>富士フイルムメディカル株式会社</v>
          </cell>
          <cell r="Q30" t="str">
            <v>五十嵐様</v>
          </cell>
          <cell r="R30" t="str">
            <v>〒160-0031　東京都港区西麻布2-26-30 富士フイルム西麻布ビル</v>
          </cell>
          <cell r="S30" t="str">
            <v>03-6419-8085</v>
          </cell>
          <cell r="T30" t="str">
            <v>03-5469-3860</v>
          </cell>
          <cell r="U30" t="str">
            <v>順天堂大学医学部附属順天堂医院</v>
          </cell>
          <cell r="V30" t="str">
            <v>-</v>
          </cell>
          <cell r="W30" t="str">
            <v>-</v>
          </cell>
          <cell r="X30" t="str">
            <v>03-5802-1164</v>
          </cell>
          <cell r="Y30" t="str">
            <v xml:space="preserve">〒113-8431　東京都文京区本郷3-1-3 </v>
          </cell>
          <cell r="AA30" t="str">
            <v/>
          </cell>
          <cell r="AB30" t="str">
            <v/>
          </cell>
          <cell r="AC30" t="str">
            <v/>
          </cell>
          <cell r="AD30" t="str">
            <v/>
          </cell>
          <cell r="AE30" t="str">
            <v/>
          </cell>
          <cell r="AF30" t="str">
            <v/>
          </cell>
          <cell r="AG30" t="str">
            <v/>
          </cell>
          <cell r="AH30" t="str">
            <v/>
          </cell>
          <cell r="AI30" t="str">
            <v/>
          </cell>
          <cell r="AJ30" t="str">
            <v/>
          </cell>
          <cell r="AK30" t="str">
            <v/>
          </cell>
          <cell r="AL30" t="str">
            <v/>
          </cell>
          <cell r="AM30" t="str">
            <v/>
          </cell>
          <cell r="AN30" t="str">
            <v/>
          </cell>
          <cell r="AO30" t="str">
            <v/>
          </cell>
          <cell r="AP30" t="str">
            <v/>
          </cell>
          <cell r="AQ30" t="str">
            <v/>
          </cell>
          <cell r="AR30" t="str">
            <v/>
          </cell>
          <cell r="AS30" t="str">
            <v/>
          </cell>
          <cell r="AT30" t="str">
            <v/>
          </cell>
          <cell r="AU30">
            <v>41640</v>
          </cell>
        </row>
        <row r="31">
          <cell r="A31" t="str">
            <v>S16-0028</v>
          </cell>
          <cell r="B31" t="str">
            <v>名古屋徳洲会総合病院_0028 (2)</v>
          </cell>
          <cell r="C31" t="str">
            <v>SR#</v>
          </cell>
          <cell r="D31" t="str">
            <v>2016/01/07-02</v>
          </cell>
          <cell r="E31" t="str">
            <v>有償</v>
          </cell>
          <cell r="F31">
            <v>42382</v>
          </cell>
          <cell r="G31">
            <v>42382</v>
          </cell>
          <cell r="H31">
            <v>42404</v>
          </cell>
          <cell r="I31" t="str">
            <v>不明</v>
          </cell>
          <cell r="K31" t="str">
            <v>梶田</v>
          </cell>
          <cell r="L31">
            <v>3</v>
          </cell>
          <cell r="M31" t="str">
            <v>SonoHeart</v>
          </cell>
          <cell r="N31" t="str">
            <v>01NBM0</v>
          </cell>
          <cell r="O31" t="str">
            <v>P01915-01</v>
          </cell>
          <cell r="P31" t="str">
            <v>株式会社　八神製作所　春日井営業所</v>
          </cell>
          <cell r="Q31" t="str">
            <v>岩間様</v>
          </cell>
          <cell r="R31" t="str">
            <v>〒486-0968　愛知県春日井市味美町2-1</v>
          </cell>
          <cell r="S31" t="str">
            <v>0568-35-5051</v>
          </cell>
          <cell r="T31" t="str">
            <v>0568-35-5082</v>
          </cell>
          <cell r="U31" t="str">
            <v>医療法人徳洲会　名古屋徳洲会総合病院　資材課</v>
          </cell>
          <cell r="V31" t="str">
            <v>福岡様</v>
          </cell>
          <cell r="W31" t="str">
            <v>資材課</v>
          </cell>
          <cell r="X31" t="str">
            <v>0568-51-8739</v>
          </cell>
          <cell r="Y31" t="str">
            <v>〒487-0016　愛知県春日井市高蔵寺町北2丁目52</v>
          </cell>
          <cell r="AA31" t="str">
            <v>P00104-02</v>
          </cell>
          <cell r="AB31" t="str">
            <v>P00343-01</v>
          </cell>
          <cell r="AC31" t="str">
            <v>P01213-01</v>
          </cell>
          <cell r="AD31" t="str">
            <v/>
          </cell>
          <cell r="AE31" t="str">
            <v/>
          </cell>
          <cell r="AF31" t="str">
            <v/>
          </cell>
          <cell r="AG31" t="str">
            <v/>
          </cell>
          <cell r="AH31" t="str">
            <v/>
          </cell>
          <cell r="AI31" t="str">
            <v/>
          </cell>
          <cell r="AJ31" t="str">
            <v/>
          </cell>
          <cell r="AK31" t="str">
            <v>KEY, ON/OFF</v>
          </cell>
          <cell r="AL31" t="str">
            <v>HINGE, DISPLAY</v>
          </cell>
          <cell r="AM31" t="str">
            <v>FLEX CIRCUIT, FAB, C1 DISPLAY</v>
          </cell>
          <cell r="AN31" t="str">
            <v/>
          </cell>
          <cell r="AO31" t="str">
            <v/>
          </cell>
          <cell r="AP31" t="str">
            <v/>
          </cell>
          <cell r="AQ31" t="str">
            <v/>
          </cell>
          <cell r="AR31" t="str">
            <v/>
          </cell>
          <cell r="AS31" t="str">
            <v/>
          </cell>
          <cell r="AT31" t="str">
            <v/>
          </cell>
          <cell r="AU31">
            <v>36923</v>
          </cell>
        </row>
        <row r="32">
          <cell r="A32" t="str">
            <v>S16-0029</v>
          </cell>
          <cell r="B32" t="str">
            <v>自治さいたま医療センター_0029 (2)</v>
          </cell>
          <cell r="C32" t="str">
            <v>SR#</v>
          </cell>
          <cell r="D32" t="str">
            <v>2016/01/08-07</v>
          </cell>
          <cell r="E32" t="str">
            <v>有償</v>
          </cell>
          <cell r="F32">
            <v>42382</v>
          </cell>
          <cell r="G32">
            <v>42382</v>
          </cell>
          <cell r="H32">
            <v>42433</v>
          </cell>
          <cell r="I32" t="str">
            <v>不明</v>
          </cell>
          <cell r="K32" t="str">
            <v>梶田</v>
          </cell>
          <cell r="L32">
            <v>3</v>
          </cell>
          <cell r="M32" t="str">
            <v>S-Nerve</v>
          </cell>
          <cell r="N32" t="str">
            <v>03D4RR</v>
          </cell>
          <cell r="O32" t="str">
            <v>P10201-02</v>
          </cell>
          <cell r="P32" t="str">
            <v>ティック株式会社　さいたま営業所</v>
          </cell>
          <cell r="Q32" t="str">
            <v>宇野様</v>
          </cell>
          <cell r="R32" t="str">
            <v>〒331-0804　埼玉県さいたま市北区土呂町1-18-10　プラティコ325　1階北側</v>
          </cell>
          <cell r="S32" t="str">
            <v>048-669-2035</v>
          </cell>
          <cell r="T32" t="str">
            <v>048-669-2036</v>
          </cell>
          <cell r="U32" t="str">
            <v>自治医科大学附属さいたま医療センター</v>
          </cell>
          <cell r="X32" t="str">
            <v>048-647-2111</v>
          </cell>
          <cell r="Y32" t="str">
            <v>〒330-8503　埼玉県さいたま市大宮区天沼町1-847</v>
          </cell>
          <cell r="AA32" t="str">
            <v>P09138-01</v>
          </cell>
          <cell r="AB32" t="str">
            <v/>
          </cell>
          <cell r="AC32" t="str">
            <v/>
          </cell>
          <cell r="AD32" t="str">
            <v/>
          </cell>
          <cell r="AE32" t="str">
            <v/>
          </cell>
          <cell r="AF32" t="str">
            <v/>
          </cell>
          <cell r="AG32" t="str">
            <v/>
          </cell>
          <cell r="AH32" t="str">
            <v/>
          </cell>
          <cell r="AI32" t="str">
            <v/>
          </cell>
          <cell r="AJ32" t="str">
            <v/>
          </cell>
          <cell r="AK32" t="str">
            <v>SERVICE ASSEMBLY, INTERNAL MINIDOCK, S-SERIES</v>
          </cell>
          <cell r="AL32" t="str">
            <v/>
          </cell>
          <cell r="AM32" t="str">
            <v/>
          </cell>
          <cell r="AN32" t="str">
            <v/>
          </cell>
          <cell r="AO32" t="str">
            <v/>
          </cell>
          <cell r="AP32" t="str">
            <v/>
          </cell>
          <cell r="AQ32" t="str">
            <v/>
          </cell>
          <cell r="AR32" t="str">
            <v/>
          </cell>
          <cell r="AS32" t="str">
            <v/>
          </cell>
          <cell r="AT32" t="str">
            <v/>
          </cell>
          <cell r="AU32">
            <v>39692</v>
          </cell>
        </row>
        <row r="33">
          <cell r="A33" t="str">
            <v>S16-0030</v>
          </cell>
          <cell r="B33" t="str">
            <v>大阪労災病院_0030 (2)</v>
          </cell>
          <cell r="C33" t="str">
            <v>SR#</v>
          </cell>
          <cell r="D33" t="str">
            <v>-</v>
          </cell>
          <cell r="E33" t="str">
            <v/>
          </cell>
          <cell r="F33">
            <v>42382</v>
          </cell>
          <cell r="G33">
            <v>42382</v>
          </cell>
          <cell r="H33">
            <v>42475</v>
          </cell>
          <cell r="I33" t="str">
            <v>不明</v>
          </cell>
          <cell r="K33" t="str">
            <v>梶田</v>
          </cell>
          <cell r="L33">
            <v>3</v>
          </cell>
          <cell r="M33" t="str">
            <v>iLook25</v>
          </cell>
          <cell r="N33" t="str">
            <v>03CMTX</v>
          </cell>
          <cell r="O33" t="str">
            <v>P04303-02</v>
          </cell>
          <cell r="P33" t="str">
            <v>日本コヴィディエン株式会社　大阪営業所</v>
          </cell>
          <cell r="Q33" t="str">
            <v>大竹様</v>
          </cell>
          <cell r="R33" t="str">
            <v>〒108-0075  東京都港区港南一丁目2番70号　品川シーズンテラス　22F</v>
          </cell>
          <cell r="S33" t="str">
            <v>03-6774-4629</v>
          </cell>
          <cell r="T33" t="str">
            <v>03-6774-4740</v>
          </cell>
          <cell r="U33" t="str">
            <v>大阪労災病院</v>
          </cell>
          <cell r="V33" t="str">
            <v>-</v>
          </cell>
          <cell r="W33" t="str">
            <v>-</v>
          </cell>
          <cell r="X33" t="str">
            <v>072-252-3561</v>
          </cell>
          <cell r="Y33" t="str">
            <v>〒591-8025　大阪府堺市北区長曽根町1179-3</v>
          </cell>
          <cell r="AA33" t="str">
            <v>P03156-02</v>
          </cell>
          <cell r="AB33" t="str">
            <v/>
          </cell>
          <cell r="AC33" t="str">
            <v/>
          </cell>
          <cell r="AD33" t="str">
            <v/>
          </cell>
          <cell r="AE33" t="str">
            <v/>
          </cell>
          <cell r="AF33" t="str">
            <v/>
          </cell>
          <cell r="AG33" t="str">
            <v/>
          </cell>
          <cell r="AH33" t="str">
            <v/>
          </cell>
          <cell r="AI33" t="str">
            <v/>
          </cell>
          <cell r="AJ33" t="str">
            <v/>
          </cell>
          <cell r="AK33" t="str">
            <v>SERVICE ASSEMBLY, MAIN PCB, ILOOK25</v>
          </cell>
          <cell r="AL33" t="str">
            <v/>
          </cell>
          <cell r="AM33" t="str">
            <v/>
          </cell>
          <cell r="AN33" t="str">
            <v/>
          </cell>
          <cell r="AO33" t="str">
            <v/>
          </cell>
          <cell r="AP33" t="str">
            <v/>
          </cell>
          <cell r="AQ33" t="str">
            <v/>
          </cell>
          <cell r="AR33" t="str">
            <v/>
          </cell>
          <cell r="AS33" t="str">
            <v/>
          </cell>
          <cell r="AT33" t="str">
            <v/>
          </cell>
          <cell r="AU33">
            <v>39753</v>
          </cell>
        </row>
        <row r="34">
          <cell r="A34" t="str">
            <v>S16-0031</v>
          </cell>
          <cell r="B34" t="str">
            <v>共済立川病院_0031 (2)</v>
          </cell>
          <cell r="C34" t="str">
            <v>SR#</v>
          </cell>
          <cell r="D34" t="str">
            <v>-</v>
          </cell>
          <cell r="E34" t="str">
            <v>有償</v>
          </cell>
          <cell r="F34">
            <v>42382</v>
          </cell>
          <cell r="G34">
            <v>42382</v>
          </cell>
          <cell r="H34">
            <v>42415</v>
          </cell>
          <cell r="I34" t="str">
            <v>2007年1月</v>
          </cell>
          <cell r="K34" t="str">
            <v>梶田</v>
          </cell>
          <cell r="L34">
            <v>3</v>
          </cell>
          <cell r="M34" t="str">
            <v>iLook25</v>
          </cell>
          <cell r="N34" t="str">
            <v>036889</v>
          </cell>
          <cell r="O34" t="str">
            <v>P04303-02</v>
          </cell>
          <cell r="P34" t="str">
            <v>日本コヴィディエン株式会社　東京第二営業所</v>
          </cell>
          <cell r="Q34" t="str">
            <v>久保様</v>
          </cell>
          <cell r="R34" t="str">
            <v>〒158-8615  東京都世田谷区用賀 4-10-5  世田谷ﾋﾞｼﾞﾈｽｽｸｴｱﾋﾙｽﾞⅣ 2F</v>
          </cell>
          <cell r="S34" t="str">
            <v>03-5717-0517</v>
          </cell>
          <cell r="T34" t="str">
            <v>03-5717-0507</v>
          </cell>
          <cell r="U34" t="str">
            <v>国家公務員共済組合連合際　立川病院</v>
          </cell>
          <cell r="V34" t="str">
            <v>-</v>
          </cell>
          <cell r="W34" t="str">
            <v>-</v>
          </cell>
          <cell r="X34" t="str">
            <v>042-523-3131</v>
          </cell>
          <cell r="Y34" t="str">
            <v xml:space="preserve">
〒190-8531　東京都立川市錦町4-2-22</v>
          </cell>
          <cell r="AA34" t="str">
            <v>P03100-01</v>
          </cell>
          <cell r="AB34" t="str">
            <v>P03111-01</v>
          </cell>
          <cell r="AC34" t="str">
            <v>P03110-01</v>
          </cell>
          <cell r="AD34" t="str">
            <v>P03079-01</v>
          </cell>
          <cell r="AE34" t="str">
            <v/>
          </cell>
          <cell r="AF34" t="str">
            <v/>
          </cell>
          <cell r="AG34" t="str">
            <v/>
          </cell>
          <cell r="AH34" t="str">
            <v/>
          </cell>
          <cell r="AI34" t="str">
            <v/>
          </cell>
          <cell r="AJ34" t="str">
            <v/>
          </cell>
          <cell r="AK34" t="str">
            <v>WASHER</v>
          </cell>
          <cell r="AL34" t="str">
            <v>CRESCENT, SNAP RING 1/4 TRUARC PN 5103-25</v>
          </cell>
          <cell r="AM34" t="str">
            <v>ROLLER, LOCKING</v>
          </cell>
          <cell r="AN34" t="str">
            <v>SLEEVE, ROLLER</v>
          </cell>
          <cell r="AO34" t="str">
            <v/>
          </cell>
          <cell r="AP34" t="str">
            <v/>
          </cell>
          <cell r="AQ34" t="str">
            <v/>
          </cell>
          <cell r="AR34" t="str">
            <v/>
          </cell>
          <cell r="AS34" t="str">
            <v/>
          </cell>
          <cell r="AT34" t="str">
            <v/>
          </cell>
          <cell r="AU34">
            <v>38899</v>
          </cell>
        </row>
        <row r="35">
          <cell r="A35" t="str">
            <v>S16-0032</v>
          </cell>
          <cell r="B35" t="str">
            <v>都立駒込病院_0032 (2)</v>
          </cell>
          <cell r="C35" t="str">
            <v>SR#4181187</v>
          </cell>
          <cell r="D35" t="str">
            <v>-</v>
          </cell>
          <cell r="E35" t="str">
            <v>無償</v>
          </cell>
          <cell r="F35">
            <v>42382</v>
          </cell>
          <cell r="G35">
            <v>42382</v>
          </cell>
          <cell r="H35">
            <v>42395</v>
          </cell>
          <cell r="I35" t="str">
            <v>2014年4月</v>
          </cell>
          <cell r="K35" t="str">
            <v>梶田</v>
          </cell>
          <cell r="L35">
            <v>3</v>
          </cell>
          <cell r="M35" t="str">
            <v>NanoMaxx</v>
          </cell>
          <cell r="N35" t="str">
            <v>03XW1Z</v>
          </cell>
          <cell r="O35" t="str">
            <v>P12700-06</v>
          </cell>
          <cell r="P35" t="str">
            <v>日本コヴィディエン株式会社　東京第二営業所</v>
          </cell>
          <cell r="Q35" t="str">
            <v>長谷川様</v>
          </cell>
          <cell r="R35" t="str">
            <v>〒158-8615  東京都世田谷区用賀 4-10-5  世田谷ﾋﾞｼﾞﾈｽｽｸｴｱﾋﾙｽﾞⅣ 2F</v>
          </cell>
          <cell r="S35" t="str">
            <v>03-5717-0517</v>
          </cell>
          <cell r="T35" t="str">
            <v>03-5717-0507</v>
          </cell>
          <cell r="U35" t="str">
            <v>都立駒込病院</v>
          </cell>
          <cell r="V35" t="str">
            <v>-</v>
          </cell>
          <cell r="W35" t="str">
            <v>-</v>
          </cell>
          <cell r="X35" t="str">
            <v>03-3823-2101</v>
          </cell>
          <cell r="Y35" t="str">
            <v>〒113-8677　東京都文京区駒込3-18-22</v>
          </cell>
          <cell r="AA35" t="str">
            <v>P12718-02</v>
          </cell>
          <cell r="AB35" t="str">
            <v/>
          </cell>
          <cell r="AC35" t="str">
            <v/>
          </cell>
          <cell r="AD35" t="str">
            <v/>
          </cell>
          <cell r="AE35" t="str">
            <v/>
          </cell>
          <cell r="AF35" t="str">
            <v/>
          </cell>
          <cell r="AG35" t="str">
            <v/>
          </cell>
          <cell r="AH35" t="str">
            <v/>
          </cell>
          <cell r="AI35" t="str">
            <v/>
          </cell>
          <cell r="AJ35" t="str">
            <v/>
          </cell>
          <cell r="AK35" t="str">
            <v>SERVICE ASSEMBLY, BACK END PCB, NANOMAXX</v>
          </cell>
          <cell r="AL35" t="str">
            <v/>
          </cell>
          <cell r="AM35" t="str">
            <v/>
          </cell>
          <cell r="AN35" t="str">
            <v/>
          </cell>
          <cell r="AO35" t="str">
            <v/>
          </cell>
          <cell r="AP35" t="str">
            <v/>
          </cell>
          <cell r="AQ35" t="str">
            <v/>
          </cell>
          <cell r="AR35" t="str">
            <v/>
          </cell>
          <cell r="AS35" t="str">
            <v/>
          </cell>
          <cell r="AT35" t="str">
            <v/>
          </cell>
          <cell r="AU35">
            <v>41699</v>
          </cell>
        </row>
        <row r="36">
          <cell r="A36" t="str">
            <v>S16-0033</v>
          </cell>
          <cell r="B36" t="str">
            <v>福井赤十字病院_0033 (2)</v>
          </cell>
          <cell r="C36" t="str">
            <v>SR#4181945</v>
          </cell>
          <cell r="D36" t="str">
            <v>－</v>
          </cell>
          <cell r="E36" t="str">
            <v>無償</v>
          </cell>
          <cell r="F36">
            <v>42383</v>
          </cell>
          <cell r="G36">
            <v>42383</v>
          </cell>
          <cell r="H36">
            <v>42395</v>
          </cell>
          <cell r="I36" t="str">
            <v>2012年3月</v>
          </cell>
          <cell r="K36" t="str">
            <v>梶田</v>
          </cell>
          <cell r="L36">
            <v>3</v>
          </cell>
          <cell r="M36" t="str">
            <v>NanoMaxx</v>
          </cell>
          <cell r="N36" t="str">
            <v>03MPPD</v>
          </cell>
          <cell r="O36" t="str">
            <v>P12700-05</v>
          </cell>
          <cell r="P36" t="str">
            <v>日本コヴィディエン株式会社　東海北陸営業所</v>
          </cell>
          <cell r="Q36" t="str">
            <v>三村様</v>
          </cell>
          <cell r="R36" t="str">
            <v>〒158-8615  東京都世田谷区用賀 4-10-5  世田谷ﾋﾞｼﾞﾈｽｽｸｴｱﾋﾙｽﾞⅣ 2F</v>
          </cell>
          <cell r="S36" t="str">
            <v>03-5717-0517</v>
          </cell>
          <cell r="T36" t="str">
            <v>03-5717-0507</v>
          </cell>
          <cell r="U36" t="str">
            <v>福井赤十字病院</v>
          </cell>
          <cell r="V36" t="str">
            <v>-</v>
          </cell>
          <cell r="W36" t="str">
            <v>-</v>
          </cell>
          <cell r="X36" t="str">
            <v>0776-36-3630</v>
          </cell>
          <cell r="Y36" t="str">
            <v>〒918-8501 福井県福井市月見2-4-1</v>
          </cell>
          <cell r="AA36" t="str">
            <v>P12718-02</v>
          </cell>
          <cell r="AB36" t="str">
            <v/>
          </cell>
          <cell r="AC36" t="str">
            <v/>
          </cell>
          <cell r="AD36" t="str">
            <v/>
          </cell>
          <cell r="AE36" t="str">
            <v/>
          </cell>
          <cell r="AF36" t="str">
            <v/>
          </cell>
          <cell r="AG36" t="str">
            <v/>
          </cell>
          <cell r="AH36" t="str">
            <v/>
          </cell>
          <cell r="AI36" t="str">
            <v/>
          </cell>
          <cell r="AJ36" t="str">
            <v/>
          </cell>
          <cell r="AK36" t="str">
            <v>SERVICE ASSEMBLY, BACK END PCB, NANOMAXX</v>
          </cell>
          <cell r="AL36" t="str">
            <v/>
          </cell>
          <cell r="AM36" t="str">
            <v/>
          </cell>
          <cell r="AN36" t="str">
            <v/>
          </cell>
          <cell r="AO36" t="str">
            <v/>
          </cell>
          <cell r="AP36" t="str">
            <v/>
          </cell>
          <cell r="AQ36" t="str">
            <v/>
          </cell>
          <cell r="AR36" t="str">
            <v/>
          </cell>
          <cell r="AS36" t="str">
            <v/>
          </cell>
          <cell r="AT36" t="str">
            <v/>
          </cell>
          <cell r="AU36">
            <v>40848</v>
          </cell>
        </row>
        <row r="37">
          <cell r="A37" t="str">
            <v>S16-0034</v>
          </cell>
          <cell r="B37" t="str">
            <v>朝倉健生病院_0034 (2)</v>
          </cell>
          <cell r="C37" t="str">
            <v>SR#4184769</v>
          </cell>
          <cell r="D37" t="str">
            <v>2015/12/14-04</v>
          </cell>
          <cell r="E37" t="str">
            <v>無償</v>
          </cell>
          <cell r="F37">
            <v>42384</v>
          </cell>
          <cell r="G37">
            <v>42384</v>
          </cell>
          <cell r="H37">
            <v>42409</v>
          </cell>
          <cell r="I37" t="str">
            <v>不明</v>
          </cell>
          <cell r="K37" t="str">
            <v>梶田</v>
          </cell>
          <cell r="L37">
            <v>3</v>
          </cell>
          <cell r="M37" t="str">
            <v>M-Turbo</v>
          </cell>
          <cell r="N37" t="str">
            <v>WK1F79</v>
          </cell>
          <cell r="O37" t="str">
            <v>P09141-25</v>
          </cell>
          <cell r="P37" t="str">
            <v>株式会社キシヤ　久留米営業所</v>
          </cell>
          <cell r="Q37" t="str">
            <v>利光様</v>
          </cell>
          <cell r="R37" t="str">
            <v>〒839-0801 福岡県久留米市宮ノ陣3丁目5番15号</v>
          </cell>
          <cell r="S37" t="str">
            <v>0942-30-5191</v>
          </cell>
          <cell r="T37" t="str">
            <v>0942-30-5195</v>
          </cell>
          <cell r="U37" t="str">
            <v>医療法人社団医王会　朝倉健生病院</v>
          </cell>
          <cell r="V37" t="str">
            <v>-</v>
          </cell>
          <cell r="W37" t="str">
            <v>-</v>
          </cell>
          <cell r="X37" t="str">
            <v>0946-22-5511</v>
          </cell>
          <cell r="Y37" t="str">
            <v>〒838-0068　福岡県朝倉市甘木151番地4</v>
          </cell>
          <cell r="AA37" t="str">
            <v/>
          </cell>
          <cell r="AB37" t="str">
            <v/>
          </cell>
          <cell r="AC37" t="str">
            <v/>
          </cell>
          <cell r="AD37" t="str">
            <v/>
          </cell>
          <cell r="AE37" t="str">
            <v/>
          </cell>
          <cell r="AF37" t="str">
            <v/>
          </cell>
          <cell r="AG37" t="str">
            <v/>
          </cell>
          <cell r="AH37" t="str">
            <v/>
          </cell>
          <cell r="AI37" t="str">
            <v/>
          </cell>
          <cell r="AJ37" t="str">
            <v/>
          </cell>
          <cell r="AK37" t="str">
            <v/>
          </cell>
          <cell r="AL37" t="str">
            <v/>
          </cell>
          <cell r="AM37" t="str">
            <v/>
          </cell>
          <cell r="AN37" t="str">
            <v/>
          </cell>
          <cell r="AO37" t="str">
            <v/>
          </cell>
          <cell r="AP37" t="str">
            <v/>
          </cell>
          <cell r="AQ37" t="str">
            <v/>
          </cell>
          <cell r="AR37" t="str">
            <v/>
          </cell>
          <cell r="AS37" t="str">
            <v/>
          </cell>
          <cell r="AT37" t="str">
            <v/>
          </cell>
          <cell r="AU37">
            <v>41244</v>
          </cell>
        </row>
        <row r="38">
          <cell r="A38" t="str">
            <v>S16-0035</v>
          </cell>
          <cell r="B38" t="str">
            <v>高知大学病院_0035 (2)</v>
          </cell>
          <cell r="C38" t="str">
            <v>SR#</v>
          </cell>
          <cell r="D38" t="str">
            <v>2015/01/08-05</v>
          </cell>
          <cell r="E38" t="str">
            <v>有償</v>
          </cell>
          <cell r="F38">
            <v>42384</v>
          </cell>
          <cell r="G38">
            <v>42384</v>
          </cell>
          <cell r="H38">
            <v>42410</v>
          </cell>
          <cell r="I38" t="str">
            <v>不明</v>
          </cell>
          <cell r="K38" t="str">
            <v>-</v>
          </cell>
          <cell r="L38" t="str">
            <v>-</v>
          </cell>
          <cell r="M38" t="str">
            <v>TiTAN</v>
          </cell>
          <cell r="N38" t="str">
            <v>034XFG</v>
          </cell>
          <cell r="O38" t="str">
            <v>P04338-04</v>
          </cell>
          <cell r="P38" t="str">
            <v>株式会社シーメック　高知本社</v>
          </cell>
          <cell r="Q38" t="str">
            <v>西岡様</v>
          </cell>
          <cell r="R38" t="str">
            <v>〒780-0087　高知県高知市南久保9-8</v>
          </cell>
          <cell r="S38" t="str">
            <v>088-880-0666</v>
          </cell>
          <cell r="T38" t="str">
            <v>088-880-0668</v>
          </cell>
          <cell r="U38" t="str">
            <v>高知大学医学部附属病院　1内科</v>
          </cell>
          <cell r="V38" t="str">
            <v>-</v>
          </cell>
          <cell r="W38" t="str">
            <v>一内科</v>
          </cell>
          <cell r="X38" t="str">
            <v>088-866-5811</v>
          </cell>
          <cell r="Y38" t="str">
            <v>〒783-8505　高知県南国市岡豊町小蓮185-1</v>
          </cell>
          <cell r="AA38" t="str">
            <v/>
          </cell>
          <cell r="AB38" t="str">
            <v/>
          </cell>
          <cell r="AC38" t="str">
            <v/>
          </cell>
          <cell r="AD38" t="str">
            <v/>
          </cell>
          <cell r="AE38" t="str">
            <v/>
          </cell>
          <cell r="AF38" t="str">
            <v/>
          </cell>
          <cell r="AG38" t="str">
            <v/>
          </cell>
          <cell r="AH38" t="str">
            <v/>
          </cell>
          <cell r="AI38" t="str">
            <v/>
          </cell>
          <cell r="AJ38" t="str">
            <v/>
          </cell>
          <cell r="AK38" t="str">
            <v/>
          </cell>
          <cell r="AL38" t="str">
            <v/>
          </cell>
          <cell r="AM38" t="str">
            <v/>
          </cell>
          <cell r="AN38" t="str">
            <v/>
          </cell>
          <cell r="AO38" t="str">
            <v/>
          </cell>
          <cell r="AP38" t="str">
            <v/>
          </cell>
          <cell r="AQ38" t="str">
            <v/>
          </cell>
          <cell r="AR38" t="str">
            <v/>
          </cell>
          <cell r="AS38" t="str">
            <v/>
          </cell>
          <cell r="AT38" t="str">
            <v/>
          </cell>
          <cell r="AU38">
            <v>38626</v>
          </cell>
        </row>
        <row r="39">
          <cell r="A39" t="str">
            <v>S16-0036</v>
          </cell>
          <cell r="B39" t="str">
            <v>中古品販売_0036 (2)</v>
          </cell>
          <cell r="C39" t="str">
            <v>SR#4191247</v>
          </cell>
          <cell r="D39" t="str">
            <v>-</v>
          </cell>
          <cell r="E39" t="str">
            <v>有償</v>
          </cell>
          <cell r="F39">
            <v>42384</v>
          </cell>
          <cell r="G39">
            <v>42384</v>
          </cell>
          <cell r="H39">
            <v>42404</v>
          </cell>
          <cell r="I39" t="str">
            <v>不明</v>
          </cell>
          <cell r="K39" t="str">
            <v>梶田</v>
          </cell>
          <cell r="L39">
            <v>5</v>
          </cell>
          <cell r="M39" t="str">
            <v>NanoMaxx</v>
          </cell>
          <cell r="N39" t="str">
            <v>03HPLM</v>
          </cell>
          <cell r="O39" t="str">
            <v>P12700-02</v>
          </cell>
          <cell r="P39" t="str">
            <v>株式会社グリーンメディカル</v>
          </cell>
          <cell r="Q39" t="str">
            <v>鈴木様</v>
          </cell>
          <cell r="R39" t="str">
            <v>〒151-0051　東京都江東区枝川3-10-10</v>
          </cell>
          <cell r="S39" t="str">
            <v>03-5653-3911</v>
          </cell>
          <cell r="T39" t="str">
            <v>03-5653-3912</v>
          </cell>
          <cell r="U39" t="str">
            <v>中古品販売 [爪と皮膚の診療所(開業準備中)]</v>
          </cell>
          <cell r="V39" t="str">
            <v>-</v>
          </cell>
          <cell r="W39" t="str">
            <v>-</v>
          </cell>
          <cell r="X39" t="str">
            <v>090-7804-1186</v>
          </cell>
          <cell r="Y39" t="str">
            <v>〒 227-0046　神奈川県横浜市青葉区たちばな台1-10-1-315</v>
          </cell>
          <cell r="AA39" t="str">
            <v>P07956-01</v>
          </cell>
          <cell r="AB39" t="str">
            <v>P09823-06</v>
          </cell>
          <cell r="AC39" t="str">
            <v>P00855-01</v>
          </cell>
          <cell r="AD39" t="str">
            <v>P12889-20</v>
          </cell>
          <cell r="AE39" t="str">
            <v/>
          </cell>
          <cell r="AF39" t="str">
            <v/>
          </cell>
          <cell r="AG39" t="str">
            <v/>
          </cell>
          <cell r="AH39" t="str">
            <v/>
          </cell>
          <cell r="AI39" t="str">
            <v/>
          </cell>
          <cell r="AJ39" t="str">
            <v/>
          </cell>
          <cell r="AK39" t="str">
            <v>VESA PLATE, STAND, S-SERIES</v>
          </cell>
          <cell r="AL39" t="str">
            <v>LOW NOISE POWER SUPPLY,15V W/BATTERY CHARGER,75 W</v>
          </cell>
          <cell r="AM39" t="str">
            <v>CORDSET, 15 AMP ,C13 CONNECTOR,JAPANESE</v>
          </cell>
          <cell r="AN39" t="str">
            <v>NANOMAXX BATTERY ASSEMBLY, NATIONAL PANASONIC CELLS</v>
          </cell>
          <cell r="AO39" t="str">
            <v/>
          </cell>
          <cell r="AP39" t="str">
            <v/>
          </cell>
          <cell r="AQ39" t="str">
            <v/>
          </cell>
          <cell r="AR39" t="str">
            <v/>
          </cell>
          <cell r="AS39" t="str">
            <v/>
          </cell>
          <cell r="AT39" t="str">
            <v/>
          </cell>
          <cell r="AU39">
            <v>40238</v>
          </cell>
        </row>
        <row r="40">
          <cell r="A40" t="str">
            <v>S16-0037</v>
          </cell>
          <cell r="B40" t="str">
            <v>成城マタニティクリニック_0037 (2)</v>
          </cell>
          <cell r="C40" t="str">
            <v>SR#不要</v>
          </cell>
          <cell r="D40" t="str">
            <v>2016/01/08-06</v>
          </cell>
          <cell r="E40" t="str">
            <v>有償</v>
          </cell>
          <cell r="F40">
            <v>42387</v>
          </cell>
          <cell r="G40">
            <v>42387</v>
          </cell>
          <cell r="H40">
            <v>42445</v>
          </cell>
          <cell r="I40" t="str">
            <v>不明</v>
          </cell>
          <cell r="K40" t="str">
            <v>梶田</v>
          </cell>
          <cell r="L40" t="str">
            <v>-</v>
          </cell>
          <cell r="M40" t="str">
            <v>TiTAN</v>
          </cell>
          <cell r="N40" t="str">
            <v>03HJJ3</v>
          </cell>
          <cell r="O40" t="str">
            <v>P06590-03</v>
          </cell>
          <cell r="P40" t="str">
            <v>株式会社ライフメッド</v>
          </cell>
          <cell r="Q40" t="str">
            <v>宮原様</v>
          </cell>
          <cell r="R40" t="str">
            <v>〒113-0033　東京都文京区本郷2-17-17</v>
          </cell>
          <cell r="S40" t="str">
            <v>03-3814-75111</v>
          </cell>
          <cell r="T40" t="str">
            <v>03-3812-7561</v>
          </cell>
          <cell r="U40" t="str">
            <v>成城マタニティクリニック</v>
          </cell>
          <cell r="V40" t="str">
            <v>菊本様</v>
          </cell>
          <cell r="W40" t="str">
            <v>-</v>
          </cell>
          <cell r="X40" t="str">
            <v>03-5727-5335</v>
          </cell>
          <cell r="Y40" t="str">
            <v>〒157-0066　東京都世田谷区成城1-1-2</v>
          </cell>
          <cell r="AA40" t="str">
            <v>P12133-01</v>
          </cell>
          <cell r="AB40" t="str">
            <v/>
          </cell>
          <cell r="AC40" t="str">
            <v/>
          </cell>
          <cell r="AD40" t="str">
            <v/>
          </cell>
          <cell r="AE40" t="str">
            <v/>
          </cell>
          <cell r="AF40" t="str">
            <v/>
          </cell>
          <cell r="AG40" t="str">
            <v/>
          </cell>
          <cell r="AH40" t="str">
            <v/>
          </cell>
          <cell r="AI40" t="str">
            <v/>
          </cell>
          <cell r="AJ40" t="str">
            <v/>
          </cell>
          <cell r="AK40" t="str">
            <v>MINI-DOCK, DVI, WITH PRINTER CABLES</v>
          </cell>
          <cell r="AL40" t="str">
            <v/>
          </cell>
          <cell r="AM40" t="str">
            <v/>
          </cell>
          <cell r="AN40" t="str">
            <v/>
          </cell>
          <cell r="AO40" t="str">
            <v/>
          </cell>
          <cell r="AP40" t="str">
            <v/>
          </cell>
          <cell r="AQ40" t="str">
            <v/>
          </cell>
          <cell r="AR40" t="str">
            <v/>
          </cell>
          <cell r="AS40" t="str">
            <v/>
          </cell>
          <cell r="AT40" t="str">
            <v/>
          </cell>
          <cell r="AU40">
            <v>40210</v>
          </cell>
        </row>
        <row r="41">
          <cell r="A41" t="str">
            <v>S16-0038</v>
          </cell>
          <cell r="B41" t="str">
            <v>亀田総合病院クリニック_0038 (2)</v>
          </cell>
          <cell r="C41" t="str">
            <v>SR#</v>
          </cell>
          <cell r="D41" t="str">
            <v>2016/01/08-02</v>
          </cell>
          <cell r="E41" t="str">
            <v>有償</v>
          </cell>
          <cell r="F41">
            <v>42387</v>
          </cell>
          <cell r="G41">
            <v>42387</v>
          </cell>
          <cell r="H41">
            <v>42415</v>
          </cell>
          <cell r="I41" t="str">
            <v>不明</v>
          </cell>
          <cell r="K41" t="str">
            <v>梶田</v>
          </cell>
          <cell r="L41">
            <v>3</v>
          </cell>
          <cell r="M41" t="str">
            <v>Triple Transducer Connect</v>
          </cell>
          <cell r="N41" t="str">
            <v>WK1GLY</v>
          </cell>
          <cell r="O41" t="str">
            <v>P16588-01</v>
          </cell>
          <cell r="P41" t="str">
            <v>日立アロカメディカル株式会社　千葉営業所</v>
          </cell>
          <cell r="Q41" t="str">
            <v>大渡　様</v>
          </cell>
          <cell r="R41" t="str">
            <v>〒260-0027　千葉県千葉市中央区新田町1-1 ＩＭＩ未来ビル7階</v>
          </cell>
          <cell r="S41" t="str">
            <v>043-246-3181</v>
          </cell>
          <cell r="T41" t="str">
            <v>043-246-3183</v>
          </cell>
          <cell r="U41" t="str">
            <v>医療法人鉄焦会　亀田総合病院</v>
          </cell>
          <cell r="V41" t="str">
            <v>鎌形様</v>
          </cell>
          <cell r="W41" t="str">
            <v>ME室</v>
          </cell>
          <cell r="X41" t="str">
            <v>04-7092-2211</v>
          </cell>
          <cell r="Y41" t="str">
            <v>〒296-8602　千葉県鴨川市東町929</v>
          </cell>
          <cell r="AA41" t="str">
            <v>P03902-10</v>
          </cell>
          <cell r="AB41" t="str">
            <v/>
          </cell>
          <cell r="AC41" t="str">
            <v/>
          </cell>
          <cell r="AD41" t="str">
            <v/>
          </cell>
          <cell r="AE41" t="str">
            <v/>
          </cell>
          <cell r="AF41" t="str">
            <v/>
          </cell>
          <cell r="AG41" t="str">
            <v/>
          </cell>
          <cell r="AH41" t="str">
            <v/>
          </cell>
          <cell r="AI41" t="str">
            <v/>
          </cell>
          <cell r="AJ41" t="str">
            <v/>
          </cell>
          <cell r="AK41" t="str">
            <v>ASSEMBLY, TOP ENCLOSURE, TRANSDUCER SELECT MODULE</v>
          </cell>
          <cell r="AL41" t="str">
            <v/>
          </cell>
          <cell r="AM41" t="str">
            <v/>
          </cell>
          <cell r="AN41" t="str">
            <v/>
          </cell>
          <cell r="AO41" t="str">
            <v/>
          </cell>
          <cell r="AP41" t="str">
            <v/>
          </cell>
          <cell r="AQ41" t="str">
            <v/>
          </cell>
          <cell r="AR41" t="str">
            <v/>
          </cell>
          <cell r="AS41" t="str">
            <v/>
          </cell>
          <cell r="AT41" t="str">
            <v/>
          </cell>
          <cell r="AU41">
            <v>41214</v>
          </cell>
        </row>
        <row r="42">
          <cell r="A42" t="str">
            <v>S16-0039</v>
          </cell>
          <cell r="B42" t="str">
            <v>福田病院_0039 (2)</v>
          </cell>
          <cell r="C42" t="str">
            <v>SR#4185099</v>
          </cell>
          <cell r="D42" t="str">
            <v>2016/01/07-05</v>
          </cell>
          <cell r="E42" t="str">
            <v>無償</v>
          </cell>
          <cell r="F42">
            <v>42387</v>
          </cell>
          <cell r="G42">
            <v>42387</v>
          </cell>
          <cell r="H42">
            <v>42412</v>
          </cell>
          <cell r="I42" t="str">
            <v>不明</v>
          </cell>
          <cell r="K42" t="str">
            <v>梶田</v>
          </cell>
          <cell r="L42">
            <v>3</v>
          </cell>
          <cell r="M42" t="str">
            <v>S-Nerve</v>
          </cell>
          <cell r="N42" t="str">
            <v>03XTYM</v>
          </cell>
          <cell r="O42" t="str">
            <v>P12060-12</v>
          </cell>
          <cell r="P42" t="str">
            <v>アイティーアイ株式会社　熊本支店</v>
          </cell>
          <cell r="Q42" t="str">
            <v>許斐様</v>
          </cell>
          <cell r="R42" t="str">
            <v>〒860-0826　熊本県熊本市南区平田2-12-18</v>
          </cell>
          <cell r="S42" t="str">
            <v>096-326-7551</v>
          </cell>
          <cell r="T42" t="str">
            <v>096-326-7552</v>
          </cell>
          <cell r="U42" t="str">
            <v>医療法人社団愛育会　福田病院</v>
          </cell>
          <cell r="V42" t="str">
            <v>-</v>
          </cell>
          <cell r="W42" t="str">
            <v>-</v>
          </cell>
          <cell r="X42" t="str">
            <v>096-322-2995</v>
          </cell>
          <cell r="Y42" t="str">
            <v>〒860-0004　熊本県熊本市中央区新町2-2-6</v>
          </cell>
          <cell r="AA42" t="str">
            <v>P09135-03</v>
          </cell>
          <cell r="AB42" t="str">
            <v/>
          </cell>
          <cell r="AC42" t="str">
            <v/>
          </cell>
          <cell r="AD42" t="str">
            <v/>
          </cell>
          <cell r="AE42" t="str">
            <v/>
          </cell>
          <cell r="AF42" t="str">
            <v/>
          </cell>
          <cell r="AG42" t="str">
            <v/>
          </cell>
          <cell r="AH42" t="str">
            <v/>
          </cell>
          <cell r="AI42" t="str">
            <v/>
          </cell>
          <cell r="AJ42" t="str">
            <v/>
          </cell>
          <cell r="AK42" t="str">
            <v>SERVICE ASSEMBLY MAIN PCBA, S-SERIES</v>
          </cell>
          <cell r="AL42" t="str">
            <v/>
          </cell>
          <cell r="AM42" t="str">
            <v/>
          </cell>
          <cell r="AN42" t="str">
            <v/>
          </cell>
          <cell r="AO42" t="str">
            <v/>
          </cell>
          <cell r="AP42" t="str">
            <v/>
          </cell>
          <cell r="AQ42" t="str">
            <v/>
          </cell>
          <cell r="AR42" t="str">
            <v/>
          </cell>
          <cell r="AS42" t="str">
            <v/>
          </cell>
          <cell r="AT42" t="str">
            <v/>
          </cell>
          <cell r="AU42">
            <v>41699</v>
          </cell>
        </row>
        <row r="43">
          <cell r="A43" t="str">
            <v>S16-0040</v>
          </cell>
          <cell r="B43" t="str">
            <v>佐世保共済病院_0040 (2)</v>
          </cell>
          <cell r="C43" t="str">
            <v>SR#4190711</v>
          </cell>
          <cell r="D43" t="str">
            <v>2016/01/08-03</v>
          </cell>
          <cell r="E43" t="str">
            <v>有償</v>
          </cell>
          <cell r="F43">
            <v>42387</v>
          </cell>
          <cell r="G43">
            <v>42387</v>
          </cell>
          <cell r="H43">
            <v>42410</v>
          </cell>
          <cell r="I43" t="str">
            <v>不明</v>
          </cell>
          <cell r="K43" t="str">
            <v>梶田</v>
          </cell>
          <cell r="L43">
            <v>3</v>
          </cell>
          <cell r="M43" t="str">
            <v>180Plus</v>
          </cell>
          <cell r="N43" t="str">
            <v>03HPL0</v>
          </cell>
          <cell r="O43" t="str">
            <v>P04326-05</v>
          </cell>
          <cell r="P43" t="str">
            <v>アイティーアイ株式会社　佐世保支店</v>
          </cell>
          <cell r="Q43" t="str">
            <v>堤様</v>
          </cell>
          <cell r="R43" t="str">
            <v>〒857-1162　長崎県佐世保市卸本町30-16</v>
          </cell>
          <cell r="S43" t="str">
            <v>0956-46-5511</v>
          </cell>
          <cell r="T43" t="str">
            <v>0956-46-5512</v>
          </cell>
          <cell r="U43" t="str">
            <v>佐世保共済病院　透析室</v>
          </cell>
          <cell r="V43" t="str">
            <v>中倉師長</v>
          </cell>
          <cell r="W43" t="str">
            <v>透析室</v>
          </cell>
          <cell r="X43" t="str">
            <v>0956-22-5136</v>
          </cell>
          <cell r="Y43" t="str">
            <v>〒857-8575　長崎県佐世保市島地町10-17</v>
          </cell>
          <cell r="AA43" t="str">
            <v>P00538-03</v>
          </cell>
          <cell r="AB43" t="str">
            <v>P00855-01</v>
          </cell>
          <cell r="AC43" t="str">
            <v/>
          </cell>
          <cell r="AD43" t="str">
            <v/>
          </cell>
          <cell r="AE43" t="str">
            <v/>
          </cell>
          <cell r="AF43" t="str">
            <v/>
          </cell>
          <cell r="AG43" t="str">
            <v/>
          </cell>
          <cell r="AH43" t="str">
            <v/>
          </cell>
          <cell r="AI43" t="str">
            <v/>
          </cell>
          <cell r="AJ43" t="str">
            <v/>
          </cell>
          <cell r="AK43" t="str">
            <v>POWER SUPPLY, 85-264 VAC, 50-60HZ, 16V, 45W, 180</v>
          </cell>
          <cell r="AL43" t="str">
            <v>CORDSET, 15 AMP ,C13 CONNECTOR,JAPANESE</v>
          </cell>
          <cell r="AM43" t="str">
            <v/>
          </cell>
          <cell r="AN43" t="str">
            <v/>
          </cell>
          <cell r="AO43" t="str">
            <v/>
          </cell>
          <cell r="AP43" t="str">
            <v/>
          </cell>
          <cell r="AQ43" t="str">
            <v/>
          </cell>
          <cell r="AR43" t="str">
            <v/>
          </cell>
          <cell r="AS43" t="str">
            <v/>
          </cell>
          <cell r="AT43" t="str">
            <v/>
          </cell>
          <cell r="AU43">
            <v>40179</v>
          </cell>
        </row>
        <row r="44">
          <cell r="A44" t="str">
            <v>S16-0041</v>
          </cell>
          <cell r="B44" t="str">
            <v>熊本赤十字病院_0041 (2)</v>
          </cell>
          <cell r="C44" t="str">
            <v>SR#不要</v>
          </cell>
          <cell r="D44" t="str">
            <v>2016/01/12-03</v>
          </cell>
          <cell r="E44" t="str">
            <v>有償</v>
          </cell>
          <cell r="F44">
            <v>42387</v>
          </cell>
          <cell r="G44">
            <v>42387</v>
          </cell>
          <cell r="H44">
            <v>42424</v>
          </cell>
          <cell r="I44" t="str">
            <v>不明</v>
          </cell>
          <cell r="K44" t="str">
            <v>梶田</v>
          </cell>
          <cell r="L44">
            <v>3</v>
          </cell>
          <cell r="M44" t="str">
            <v>UP-21MD</v>
          </cell>
          <cell r="N44" t="str">
            <v>32588</v>
          </cell>
          <cell r="O44" t="str">
            <v>-</v>
          </cell>
          <cell r="P44" t="str">
            <v>山下医科器械株式会社　熊本支社</v>
          </cell>
          <cell r="Q44" t="str">
            <v>古賀様</v>
          </cell>
          <cell r="R44" t="str">
            <v>〒860-0831 熊本県熊本市中央区八王寺町39-12</v>
          </cell>
          <cell r="S44" t="str">
            <v>096-378-5911</v>
          </cell>
          <cell r="T44" t="str">
            <v>096-378-8622</v>
          </cell>
          <cell r="U44" t="str">
            <v>日本赤十字社　熊本赤十字病院</v>
          </cell>
          <cell r="V44" t="str">
            <v>-</v>
          </cell>
          <cell r="W44" t="str">
            <v>-</v>
          </cell>
          <cell r="X44" t="str">
            <v>096-384-2111</v>
          </cell>
          <cell r="Y44" t="str">
            <v>〒861-8520 熊本県熊本市東区長嶺南2-1-1</v>
          </cell>
          <cell r="AA44" t="str">
            <v/>
          </cell>
          <cell r="AB44" t="str">
            <v/>
          </cell>
          <cell r="AC44" t="str">
            <v/>
          </cell>
          <cell r="AD44" t="str">
            <v/>
          </cell>
          <cell r="AE44" t="str">
            <v/>
          </cell>
          <cell r="AF44" t="str">
            <v/>
          </cell>
          <cell r="AG44" t="str">
            <v/>
          </cell>
          <cell r="AH44" t="str">
            <v/>
          </cell>
          <cell r="AI44" t="str">
            <v/>
          </cell>
          <cell r="AJ44" t="str">
            <v/>
          </cell>
          <cell r="AK44" t="str">
            <v>トレイガイド</v>
          </cell>
          <cell r="AL44" t="str">
            <v>センサーガイド</v>
          </cell>
          <cell r="AM44" t="str">
            <v>ローラゴム/カバー</v>
          </cell>
          <cell r="AN44" t="str">
            <v>DCファンユニット</v>
          </cell>
          <cell r="AO44" t="str">
            <v/>
          </cell>
          <cell r="AP44" t="str">
            <v/>
          </cell>
          <cell r="AQ44" t="str">
            <v/>
          </cell>
          <cell r="AR44" t="str">
            <v/>
          </cell>
          <cell r="AS44" t="str">
            <v/>
          </cell>
          <cell r="AT44" t="str">
            <v/>
          </cell>
          <cell r="AU44" t="str">
            <v>-</v>
          </cell>
        </row>
        <row r="45">
          <cell r="A45" t="str">
            <v>S16-0042</v>
          </cell>
          <cell r="B45" t="str">
            <v>代替機NIM67_0042 (2)</v>
          </cell>
          <cell r="C45" t="str">
            <v>SR#4181947</v>
          </cell>
          <cell r="D45" t="str">
            <v>-</v>
          </cell>
          <cell r="E45" t="str">
            <v>無償</v>
          </cell>
          <cell r="F45">
            <v>42387</v>
          </cell>
          <cell r="G45">
            <v>42387</v>
          </cell>
          <cell r="H45">
            <v>42394</v>
          </cell>
          <cell r="I45" t="str">
            <v>-</v>
          </cell>
          <cell r="K45" t="str">
            <v>梶田</v>
          </cell>
          <cell r="L45">
            <v>3</v>
          </cell>
          <cell r="M45" t="str">
            <v>180Plus</v>
          </cell>
          <cell r="N45" t="str">
            <v>0367NC</v>
          </cell>
          <cell r="O45" t="str">
            <v>P04326-04</v>
          </cell>
          <cell r="P45" t="str">
            <v>富士フイルムメディカル株式会社</v>
          </cell>
          <cell r="Q45" t="str">
            <v>-</v>
          </cell>
          <cell r="R45" t="str">
            <v>-</v>
          </cell>
          <cell r="S45" t="str">
            <v>03-6418-7190</v>
          </cell>
          <cell r="T45" t="str">
            <v>03-6418-7162</v>
          </cell>
          <cell r="U45" t="str">
            <v>代替機NIM67</v>
          </cell>
          <cell r="V45" t="str">
            <v>-</v>
          </cell>
          <cell r="W45" t="str">
            <v>-</v>
          </cell>
          <cell r="X45" t="str">
            <v>-</v>
          </cell>
          <cell r="Y45" t="str">
            <v>-</v>
          </cell>
          <cell r="AA45" t="str">
            <v>P00049-04</v>
          </cell>
          <cell r="AB45" t="str">
            <v>P01213-01</v>
          </cell>
          <cell r="AC45" t="str">
            <v/>
          </cell>
          <cell r="AD45" t="str">
            <v/>
          </cell>
          <cell r="AE45" t="str">
            <v/>
          </cell>
          <cell r="AF45" t="str">
            <v/>
          </cell>
          <cell r="AG45" t="str">
            <v/>
          </cell>
          <cell r="AH45" t="str">
            <v/>
          </cell>
          <cell r="AI45" t="str">
            <v/>
          </cell>
          <cell r="AJ45" t="str">
            <v/>
          </cell>
          <cell r="AK45" t="str">
            <v>BATTERY PACK, 6 CELL LITHIUM-ION, 180</v>
          </cell>
          <cell r="AL45" t="str">
            <v>FLEX CIRCUIT, FAB, C1 DISPLAY</v>
          </cell>
          <cell r="AM45" t="str">
            <v/>
          </cell>
          <cell r="AN45" t="str">
            <v/>
          </cell>
          <cell r="AO45" t="str">
            <v/>
          </cell>
          <cell r="AP45" t="str">
            <v/>
          </cell>
          <cell r="AQ45" t="str">
            <v/>
          </cell>
          <cell r="AR45" t="str">
            <v/>
          </cell>
          <cell r="AS45" t="str">
            <v/>
          </cell>
          <cell r="AT45" t="str">
            <v/>
          </cell>
          <cell r="AU45">
            <v>38991</v>
          </cell>
        </row>
        <row r="46">
          <cell r="A46" t="str">
            <v>S16-0043</v>
          </cell>
          <cell r="B46" t="str">
            <v>大津赤十字病院_0043 (2)</v>
          </cell>
          <cell r="C46" t="str">
            <v>SR#4185909</v>
          </cell>
          <cell r="D46" t="str">
            <v>2016/01/06-01</v>
          </cell>
          <cell r="E46" t="str">
            <v>無償</v>
          </cell>
          <cell r="F46">
            <v>42387</v>
          </cell>
          <cell r="G46">
            <v>42387</v>
          </cell>
          <cell r="H46">
            <v>42530</v>
          </cell>
          <cell r="I46" t="str">
            <v>不明</v>
          </cell>
          <cell r="K46" t="str">
            <v>馬屋原</v>
          </cell>
          <cell r="L46">
            <v>3</v>
          </cell>
          <cell r="M46" t="str">
            <v>MicroMaxx</v>
          </cell>
          <cell r="N46" t="str">
            <v>WK0VHX</v>
          </cell>
          <cell r="O46" t="str">
            <v>P14179-03</v>
          </cell>
          <cell r="P46" t="str">
            <v>石黒メディカルシステム株式会社</v>
          </cell>
          <cell r="Q46" t="str">
            <v>小林様</v>
          </cell>
          <cell r="R46" t="str">
            <v>〒524-0041　滋賀県守山市勝部町6-4-36</v>
          </cell>
          <cell r="S46" t="str">
            <v>077-582-7700</v>
          </cell>
          <cell r="T46" t="str">
            <v>077-582-7796</v>
          </cell>
          <cell r="U46" t="str">
            <v>大津赤十字病院</v>
          </cell>
          <cell r="V46" t="str">
            <v>-</v>
          </cell>
          <cell r="W46" t="str">
            <v>-</v>
          </cell>
          <cell r="X46" t="str">
            <v>077-522-4131</v>
          </cell>
          <cell r="Y46" t="str">
            <v>〒520-8511　滋賀県大津市長等一丁目1-35</v>
          </cell>
          <cell r="AA46" t="str">
            <v>P07418-02</v>
          </cell>
          <cell r="AB46" t="str">
            <v/>
          </cell>
          <cell r="AC46" t="str">
            <v/>
          </cell>
          <cell r="AD46" t="str">
            <v/>
          </cell>
          <cell r="AE46" t="str">
            <v/>
          </cell>
          <cell r="AF46" t="str">
            <v/>
          </cell>
          <cell r="AG46" t="str">
            <v/>
          </cell>
          <cell r="AH46" t="str">
            <v/>
          </cell>
          <cell r="AI46" t="str">
            <v/>
          </cell>
          <cell r="AJ46" t="str">
            <v/>
          </cell>
          <cell r="AK46" t="str">
            <v>SERVICE ASSEMBLY MAIN PCBA, D2, MICROMAXX</v>
          </cell>
          <cell r="AL46" t="str">
            <v/>
          </cell>
          <cell r="AM46" t="str">
            <v/>
          </cell>
          <cell r="AN46" t="str">
            <v/>
          </cell>
          <cell r="AO46" t="str">
            <v/>
          </cell>
          <cell r="AP46" t="str">
            <v/>
          </cell>
          <cell r="AQ46" t="str">
            <v/>
          </cell>
          <cell r="AR46" t="str">
            <v/>
          </cell>
          <cell r="AS46" t="str">
            <v/>
          </cell>
          <cell r="AT46" t="str">
            <v/>
          </cell>
          <cell r="AU46">
            <v>40909</v>
          </cell>
        </row>
        <row r="47">
          <cell r="A47" t="str">
            <v>S16-0044</v>
          </cell>
          <cell r="B47" t="str">
            <v>代替機NIM154_0044 (2)</v>
          </cell>
          <cell r="C47" t="str">
            <v>SR#</v>
          </cell>
          <cell r="D47" t="str">
            <v>-</v>
          </cell>
          <cell r="E47" t="str">
            <v>無償</v>
          </cell>
          <cell r="F47">
            <v>42389</v>
          </cell>
          <cell r="G47">
            <v>42389</v>
          </cell>
          <cell r="H47">
            <v>42401</v>
          </cell>
          <cell r="I47" t="str">
            <v>-</v>
          </cell>
          <cell r="K47" t="str">
            <v>梶田</v>
          </cell>
          <cell r="L47">
            <v>3</v>
          </cell>
          <cell r="M47" t="str">
            <v>NanoMaxx</v>
          </cell>
          <cell r="N47" t="str">
            <v>03HQ99</v>
          </cell>
          <cell r="O47" t="str">
            <v>P12700-02</v>
          </cell>
          <cell r="P47" t="str">
            <v>富士フイルムメディカル株式会社</v>
          </cell>
          <cell r="Q47" t="str">
            <v>テクニカルサポート</v>
          </cell>
          <cell r="R47" t="str">
            <v>-</v>
          </cell>
          <cell r="S47" t="str">
            <v>03-6418-7190</v>
          </cell>
          <cell r="T47" t="str">
            <v>03-6418-7162</v>
          </cell>
          <cell r="U47" t="str">
            <v>代替機NIM154</v>
          </cell>
          <cell r="V47" t="str">
            <v>-</v>
          </cell>
          <cell r="W47" t="str">
            <v>-</v>
          </cell>
          <cell r="X47" t="str">
            <v>-</v>
          </cell>
          <cell r="Y47" t="str">
            <v>-</v>
          </cell>
          <cell r="AA47" t="str">
            <v/>
          </cell>
          <cell r="AB47" t="str">
            <v/>
          </cell>
          <cell r="AC47" t="str">
            <v/>
          </cell>
          <cell r="AD47" t="str">
            <v/>
          </cell>
          <cell r="AE47" t="str">
            <v/>
          </cell>
          <cell r="AF47" t="str">
            <v/>
          </cell>
          <cell r="AG47" t="str">
            <v/>
          </cell>
          <cell r="AH47" t="str">
            <v/>
          </cell>
          <cell r="AI47" t="str">
            <v/>
          </cell>
          <cell r="AJ47" t="str">
            <v/>
          </cell>
          <cell r="AK47" t="str">
            <v/>
          </cell>
          <cell r="AL47" t="str">
            <v/>
          </cell>
          <cell r="AM47" t="str">
            <v/>
          </cell>
          <cell r="AN47" t="str">
            <v/>
          </cell>
          <cell r="AO47" t="str">
            <v/>
          </cell>
          <cell r="AP47" t="str">
            <v/>
          </cell>
          <cell r="AQ47" t="str">
            <v/>
          </cell>
          <cell r="AR47" t="str">
            <v/>
          </cell>
          <cell r="AS47" t="str">
            <v/>
          </cell>
          <cell r="AT47" t="str">
            <v/>
          </cell>
          <cell r="AU47">
            <v>40330</v>
          </cell>
        </row>
        <row r="48">
          <cell r="A48" t="str">
            <v>S16-0045</v>
          </cell>
          <cell r="B48" t="str">
            <v>神戸市民中央病院_0045 (2)</v>
          </cell>
          <cell r="C48" t="str">
            <v>SR#4235661</v>
          </cell>
          <cell r="D48" t="str">
            <v>-</v>
          </cell>
          <cell r="E48" t="str">
            <v>無償</v>
          </cell>
          <cell r="F48">
            <v>42390</v>
          </cell>
          <cell r="G48">
            <v>42390</v>
          </cell>
          <cell r="H48">
            <v>42649</v>
          </cell>
          <cell r="I48" t="str">
            <v>不明</v>
          </cell>
          <cell r="K48" t="str">
            <v>高橋</v>
          </cell>
          <cell r="L48">
            <v>3</v>
          </cell>
          <cell r="M48" t="str">
            <v>NanoMaxx</v>
          </cell>
          <cell r="N48" t="str">
            <v>03VHHR</v>
          </cell>
          <cell r="O48" t="str">
            <v>P12700-06</v>
          </cell>
          <cell r="P48" t="str">
            <v>日本コヴィディエン株式会社　西日本透析営業所</v>
          </cell>
          <cell r="Q48" t="str">
            <v>川島様</v>
          </cell>
          <cell r="R48" t="str">
            <v>〒108-0075  東京都港区港南一丁目2番70号　品川シーズンテラス　22F</v>
          </cell>
          <cell r="S48" t="str">
            <v>03-6774-4629</v>
          </cell>
          <cell r="T48" t="str">
            <v>03-6774-4740</v>
          </cell>
          <cell r="U48" t="str">
            <v>神戸市立医療センター中央市民病院</v>
          </cell>
          <cell r="V48" t="str">
            <v>-</v>
          </cell>
          <cell r="W48" t="str">
            <v>-</v>
          </cell>
          <cell r="X48" t="str">
            <v>078-302-4321</v>
          </cell>
          <cell r="Y48" t="str">
            <v xml:space="preserve">〒650-0047 神戸市中央区港島南町２丁目1-1 </v>
          </cell>
          <cell r="AA48" t="str">
            <v>P15112-02</v>
          </cell>
          <cell r="AB48" t="str">
            <v>P13068-01</v>
          </cell>
          <cell r="AC48" t="str">
            <v/>
          </cell>
          <cell r="AD48" t="str">
            <v/>
          </cell>
          <cell r="AE48" t="str">
            <v/>
          </cell>
          <cell r="AF48" t="str">
            <v/>
          </cell>
          <cell r="AG48" t="str">
            <v/>
          </cell>
          <cell r="AH48" t="str">
            <v/>
          </cell>
          <cell r="AI48" t="str">
            <v/>
          </cell>
          <cell r="AJ48" t="str">
            <v/>
          </cell>
          <cell r="AK48" t="str">
            <v>IT, POWER ADAPTER CABLE</v>
          </cell>
          <cell r="AL48" t="str">
            <v>SERVICE ASSEMBLY, NANOMAXX REAR ENCLOSURE</v>
          </cell>
          <cell r="AM48" t="str">
            <v/>
          </cell>
          <cell r="AN48" t="str">
            <v/>
          </cell>
          <cell r="AO48" t="str">
            <v/>
          </cell>
          <cell r="AP48" t="str">
            <v/>
          </cell>
          <cell r="AQ48" t="str">
            <v/>
          </cell>
          <cell r="AR48" t="str">
            <v/>
          </cell>
          <cell r="AS48" t="str">
            <v/>
          </cell>
          <cell r="AT48" t="str">
            <v/>
          </cell>
          <cell r="AU48">
            <v>41487</v>
          </cell>
        </row>
        <row r="49">
          <cell r="A49" t="str">
            <v>S16-0046</v>
          </cell>
          <cell r="B49" t="str">
            <v>陸上自衛隊富士病院１_0046 (2)</v>
          </cell>
          <cell r="C49" t="str">
            <v>SR#</v>
          </cell>
          <cell r="D49" t="str">
            <v>2016/01/13-07</v>
          </cell>
          <cell r="E49" t="str">
            <v>有償</v>
          </cell>
          <cell r="F49">
            <v>42390</v>
          </cell>
          <cell r="G49">
            <v>42390</v>
          </cell>
          <cell r="H49">
            <v>42405</v>
          </cell>
          <cell r="I49" t="str">
            <v>不明</v>
          </cell>
          <cell r="K49" t="str">
            <v>梶田</v>
          </cell>
          <cell r="L49">
            <v>3</v>
          </cell>
          <cell r="M49" t="str">
            <v>180Plus</v>
          </cell>
          <cell r="N49" t="str">
            <v>03HPKZ</v>
          </cell>
          <cell r="O49" t="str">
            <v>P04326-05</v>
          </cell>
          <cell r="P49" t="str">
            <v>株式会社いわしや錦織医科器械</v>
          </cell>
          <cell r="Q49" t="str">
            <v>武田様</v>
          </cell>
          <cell r="R49" t="str">
            <v>〒419-0114　静岡県田方郡函南町仁田120-3</v>
          </cell>
          <cell r="S49" t="str">
            <v>055-978-5570</v>
          </cell>
          <cell r="T49" t="str">
            <v>055-978-7460</v>
          </cell>
          <cell r="U49" t="str">
            <v>陸上自衛隊富士病院　病院資材課</v>
          </cell>
          <cell r="V49" t="str">
            <v>武藤様</v>
          </cell>
          <cell r="W49" t="str">
            <v>病院資材課</v>
          </cell>
          <cell r="X49" t="str">
            <v>0550-75-2311</v>
          </cell>
          <cell r="Y49" t="str">
            <v>〒410-1432　静岡県駿東郡小山町須走481-27</v>
          </cell>
          <cell r="AA49" t="str">
            <v>P00049-04</v>
          </cell>
          <cell r="AB49" t="str">
            <v>P00104-02</v>
          </cell>
          <cell r="AC49" t="str">
            <v>P00340-02</v>
          </cell>
          <cell r="AD49" t="str">
            <v>P00538-03</v>
          </cell>
          <cell r="AE49" t="str">
            <v>P00855-01</v>
          </cell>
          <cell r="AF49" t="str">
            <v/>
          </cell>
          <cell r="AG49" t="str">
            <v/>
          </cell>
          <cell r="AH49" t="str">
            <v/>
          </cell>
          <cell r="AI49" t="str">
            <v/>
          </cell>
          <cell r="AJ49" t="str">
            <v/>
          </cell>
          <cell r="AK49" t="str">
            <v>BATTERY PACK, 6 CELL LITHIUM-ION, 180</v>
          </cell>
          <cell r="AL49" t="str">
            <v>KEY, ON/OFF</v>
          </cell>
          <cell r="AM49" t="str">
            <v>LENS, DISPLAY</v>
          </cell>
          <cell r="AN49" t="str">
            <v>POWER SUPPLY, 85-264 VAC, 50-60HZ, 16V, 45W, 180</v>
          </cell>
          <cell r="AO49" t="str">
            <v>CORDSET, 15 AMP ,C13 CONNECTOR,JAPANESE</v>
          </cell>
          <cell r="AP49" t="str">
            <v/>
          </cell>
          <cell r="AQ49" t="str">
            <v/>
          </cell>
          <cell r="AR49" t="str">
            <v/>
          </cell>
          <cell r="AS49" t="str">
            <v/>
          </cell>
          <cell r="AT49" t="str">
            <v/>
          </cell>
          <cell r="AU49">
            <v>40179</v>
          </cell>
        </row>
        <row r="50">
          <cell r="A50" t="str">
            <v>S16-0047</v>
          </cell>
          <cell r="B50" t="str">
            <v>陸上自衛隊富士病院２_0047 (2)</v>
          </cell>
          <cell r="C50" t="str">
            <v>SR#</v>
          </cell>
          <cell r="D50" t="str">
            <v>2016/01/13-07</v>
          </cell>
          <cell r="E50" t="str">
            <v>有償</v>
          </cell>
          <cell r="F50">
            <v>42390</v>
          </cell>
          <cell r="G50">
            <v>42390</v>
          </cell>
          <cell r="H50">
            <v>42405</v>
          </cell>
          <cell r="I50" t="str">
            <v>不明</v>
          </cell>
          <cell r="K50" t="str">
            <v>梶田</v>
          </cell>
          <cell r="L50">
            <v>3</v>
          </cell>
          <cell r="M50" t="str">
            <v>180Ⅱ</v>
          </cell>
          <cell r="N50" t="str">
            <v>0206NW</v>
          </cell>
          <cell r="O50" t="str">
            <v>P02456-01</v>
          </cell>
          <cell r="P50" t="str">
            <v>株式会社いわしや錦織医科器械</v>
          </cell>
          <cell r="Q50" t="str">
            <v>武田様</v>
          </cell>
          <cell r="R50" t="str">
            <v>〒419-0114　静岡県田方郡函南町仁田120-3</v>
          </cell>
          <cell r="S50" t="str">
            <v>055-978-5570</v>
          </cell>
          <cell r="T50" t="str">
            <v>055-978-7460</v>
          </cell>
          <cell r="U50" t="str">
            <v>陸上自衛隊富士病院　病院資材課</v>
          </cell>
          <cell r="V50" t="str">
            <v>武藤様</v>
          </cell>
          <cell r="W50" t="str">
            <v>病院資材課</v>
          </cell>
          <cell r="X50" t="str">
            <v>0550-75-2311</v>
          </cell>
          <cell r="Y50" t="str">
            <v>〒410-1432　静岡県駿東郡小山町須走481-27</v>
          </cell>
          <cell r="AA50" t="str">
            <v>P00049-04</v>
          </cell>
          <cell r="AB50" t="str">
            <v>P00104-02</v>
          </cell>
          <cell r="AC50" t="str">
            <v>P00340-02</v>
          </cell>
          <cell r="AD50" t="str">
            <v>P00538-03</v>
          </cell>
          <cell r="AE50" t="str">
            <v>P00855-01</v>
          </cell>
          <cell r="AF50" t="str">
            <v/>
          </cell>
          <cell r="AG50" t="str">
            <v/>
          </cell>
          <cell r="AH50" t="str">
            <v/>
          </cell>
          <cell r="AI50" t="str">
            <v/>
          </cell>
          <cell r="AJ50" t="str">
            <v/>
          </cell>
          <cell r="AK50" t="str">
            <v>BATTERY PACK, 6 CELL LITHIUM-ION, 180</v>
          </cell>
          <cell r="AL50" t="str">
            <v>KEY, ON/OFF</v>
          </cell>
          <cell r="AM50" t="str">
            <v>LENS, DISPLAY</v>
          </cell>
          <cell r="AN50" t="str">
            <v>POWER SUPPLY, 85-264 VAC, 50-60HZ, 16V, 45W, 180</v>
          </cell>
          <cell r="AO50" t="str">
            <v>CORDSET, 15 AMP ,C13 CONNECTOR,JAPANESE</v>
          </cell>
          <cell r="AP50" t="str">
            <v/>
          </cell>
          <cell r="AQ50" t="str">
            <v/>
          </cell>
          <cell r="AR50" t="str">
            <v/>
          </cell>
          <cell r="AS50" t="str">
            <v/>
          </cell>
          <cell r="AT50" t="str">
            <v/>
          </cell>
          <cell r="AU50">
            <v>37196</v>
          </cell>
        </row>
        <row r="51">
          <cell r="A51" t="str">
            <v>S16-0048</v>
          </cell>
          <cell r="B51" t="str">
            <v>公立南丹病院_0048 (2)</v>
          </cell>
          <cell r="C51" t="str">
            <v>SR#</v>
          </cell>
          <cell r="D51" t="str">
            <v>2016/01/07-01</v>
          </cell>
          <cell r="E51" t="str">
            <v>有償</v>
          </cell>
          <cell r="F51">
            <v>42390</v>
          </cell>
          <cell r="G51">
            <v>42390</v>
          </cell>
          <cell r="H51">
            <v>42634</v>
          </cell>
          <cell r="I51">
            <v>39630</v>
          </cell>
          <cell r="K51" t="str">
            <v>高橋</v>
          </cell>
          <cell r="L51">
            <v>3</v>
          </cell>
          <cell r="M51" t="str">
            <v>MicroMaxx</v>
          </cell>
          <cell r="N51" t="str">
            <v>03BLVF</v>
          </cell>
          <cell r="O51" t="str">
            <v>P08063-03</v>
          </cell>
          <cell r="P51" t="str">
            <v>株式会社増田医科器械　京都本社</v>
          </cell>
          <cell r="Q51" t="str">
            <v>橋井様</v>
          </cell>
          <cell r="R51" t="str">
            <v>〒612-8443　京都府京都市伏見区竹田藁屋町50</v>
          </cell>
          <cell r="S51" t="str">
            <v>075-623-7111</v>
          </cell>
          <cell r="T51" t="str">
            <v>075-623-7131</v>
          </cell>
          <cell r="U51" t="str">
            <v>公立南丹病院　臨床工学科</v>
          </cell>
          <cell r="V51" t="str">
            <v>上原様</v>
          </cell>
          <cell r="W51" t="str">
            <v>臨床工学科</v>
          </cell>
          <cell r="X51" t="str">
            <v>0771-42-2510</v>
          </cell>
          <cell r="Y51" t="str">
            <v>〒629-0197　京都府南丹市八木上野25</v>
          </cell>
          <cell r="AA51" t="str">
            <v>P07168-20</v>
          </cell>
          <cell r="AB51" t="str">
            <v>P05675-50</v>
          </cell>
          <cell r="AC51" t="str">
            <v/>
          </cell>
          <cell r="AD51" t="str">
            <v/>
          </cell>
          <cell r="AG51" t="str">
            <v/>
          </cell>
          <cell r="AH51" t="str">
            <v/>
          </cell>
          <cell r="AI51" t="str">
            <v/>
          </cell>
          <cell r="AJ51" t="str">
            <v/>
          </cell>
          <cell r="AK51" t="str">
            <v>BATTERY PACK, 6 CELL, 11.25V, 5.2AMP-HOUR, LITHIUM-ION</v>
          </cell>
          <cell r="AL51" t="str">
            <v>C60e/5-2 Convex Transducer (MicroMaxx)</v>
          </cell>
          <cell r="AM51" t="str">
            <v/>
          </cell>
          <cell r="AN51" t="str">
            <v/>
          </cell>
          <cell r="AQ51" t="str">
            <v/>
          </cell>
          <cell r="AR51" t="str">
            <v/>
          </cell>
          <cell r="AS51" t="str">
            <v/>
          </cell>
          <cell r="AT51" t="str">
            <v/>
          </cell>
          <cell r="AU51">
            <v>39569</v>
          </cell>
        </row>
        <row r="52">
          <cell r="A52" t="str">
            <v>S16-0049</v>
          </cell>
          <cell r="B52" t="str">
            <v>関医院_0049 (2)</v>
          </cell>
          <cell r="C52" t="str">
            <v>SR#</v>
          </cell>
          <cell r="D52" t="str">
            <v>2015/08/05-05</v>
          </cell>
          <cell r="E52" t="str">
            <v>有償</v>
          </cell>
          <cell r="F52">
            <v>42390</v>
          </cell>
          <cell r="G52">
            <v>42390</v>
          </cell>
          <cell r="H52">
            <v>42465</v>
          </cell>
          <cell r="I52">
            <v>40540</v>
          </cell>
          <cell r="K52" t="str">
            <v>梶田</v>
          </cell>
          <cell r="L52">
            <v>3</v>
          </cell>
          <cell r="M52" t="str">
            <v>MicroMaxx</v>
          </cell>
          <cell r="N52" t="str">
            <v>WK05PG</v>
          </cell>
          <cell r="O52" t="str">
            <v>P14179-01</v>
          </cell>
          <cell r="P52" t="str">
            <v>フクダ電子長野販売株式会社</v>
          </cell>
          <cell r="Q52" t="str">
            <v>新津様</v>
          </cell>
          <cell r="R52" t="str">
            <v>〒381-2217　長野県長野市稲里町中央4-15-10</v>
          </cell>
          <cell r="S52" t="str">
            <v>026-291-0099</v>
          </cell>
          <cell r="T52" t="str">
            <v>026-291-0099</v>
          </cell>
          <cell r="U52" t="str">
            <v>関医院</v>
          </cell>
          <cell r="V52" t="str">
            <v>-</v>
          </cell>
          <cell r="W52" t="str">
            <v>-</v>
          </cell>
          <cell r="X52" t="str">
            <v>0267-22-2205</v>
          </cell>
          <cell r="Y52" t="str">
            <v>〒384-0031　長野県小諸市大手2-4-7</v>
          </cell>
          <cell r="AA52" t="str">
            <v>P09823-06</v>
          </cell>
          <cell r="AB52" t="str">
            <v>P00855-01</v>
          </cell>
          <cell r="AC52" t="str">
            <v/>
          </cell>
          <cell r="AD52" t="str">
            <v/>
          </cell>
          <cell r="AE52" t="str">
            <v/>
          </cell>
          <cell r="AF52" t="str">
            <v/>
          </cell>
          <cell r="AG52" t="str">
            <v/>
          </cell>
          <cell r="AH52" t="str">
            <v/>
          </cell>
          <cell r="AI52" t="str">
            <v/>
          </cell>
          <cell r="AJ52" t="str">
            <v/>
          </cell>
          <cell r="AK52" t="str">
            <v>LOW NOISE POWER SUPPLY,15V W/BATTERY CHARGER,75 W</v>
          </cell>
          <cell r="AL52" t="str">
            <v>CORDSET, 15 AMP ,C13 CONNECTOR,JAPANESE</v>
          </cell>
          <cell r="AM52" t="str">
            <v/>
          </cell>
          <cell r="AN52" t="str">
            <v/>
          </cell>
          <cell r="AO52" t="str">
            <v/>
          </cell>
          <cell r="AP52" t="str">
            <v/>
          </cell>
          <cell r="AQ52" t="str">
            <v/>
          </cell>
          <cell r="AR52" t="str">
            <v/>
          </cell>
          <cell r="AS52" t="str">
            <v/>
          </cell>
          <cell r="AT52" t="str">
            <v/>
          </cell>
          <cell r="AU52">
            <v>40422</v>
          </cell>
        </row>
        <row r="53">
          <cell r="A53" t="str">
            <v>S16-0050</v>
          </cell>
          <cell r="B53" t="str">
            <v>デモ機EST22_0050 (2)</v>
          </cell>
          <cell r="C53" t="str">
            <v>SR#4183043</v>
          </cell>
          <cell r="D53" t="str">
            <v>-</v>
          </cell>
          <cell r="E53" t="str">
            <v>無償</v>
          </cell>
          <cell r="F53">
            <v>42390</v>
          </cell>
          <cell r="G53">
            <v>42390</v>
          </cell>
          <cell r="H53">
            <v>42410</v>
          </cell>
          <cell r="I53" t="str">
            <v>-</v>
          </cell>
          <cell r="K53" t="str">
            <v>梶田</v>
          </cell>
          <cell r="L53">
            <v>3</v>
          </cell>
          <cell r="M53" t="str">
            <v>EDGE</v>
          </cell>
          <cell r="N53" t="str">
            <v>03PRG4</v>
          </cell>
          <cell r="O53" t="str">
            <v>P16360-01</v>
          </cell>
          <cell r="P53" t="str">
            <v>富士フイルムメディカル株式会社</v>
          </cell>
          <cell r="Q53" t="str">
            <v>テクニカルサポート</v>
          </cell>
          <cell r="R53" t="str">
            <v>-</v>
          </cell>
          <cell r="S53" t="str">
            <v>03-6418-7190</v>
          </cell>
          <cell r="T53" t="str">
            <v>03-6418-7162</v>
          </cell>
          <cell r="U53" t="str">
            <v>デモ機EST22</v>
          </cell>
          <cell r="V53" t="str">
            <v>-</v>
          </cell>
          <cell r="W53" t="str">
            <v>-</v>
          </cell>
          <cell r="X53" t="str">
            <v>-</v>
          </cell>
          <cell r="Y53" t="str">
            <v>-</v>
          </cell>
          <cell r="AA53" t="str">
            <v>P15615-03</v>
          </cell>
          <cell r="AB53" t="str">
            <v/>
          </cell>
          <cell r="AC53" t="str">
            <v/>
          </cell>
          <cell r="AD53" t="str">
            <v/>
          </cell>
          <cell r="AE53" t="str">
            <v/>
          </cell>
          <cell r="AF53" t="str">
            <v/>
          </cell>
          <cell r="AG53" t="str">
            <v/>
          </cell>
          <cell r="AH53" t="str">
            <v/>
          </cell>
          <cell r="AI53" t="str">
            <v/>
          </cell>
          <cell r="AJ53" t="str">
            <v/>
          </cell>
          <cell r="AK53" t="str">
            <v>SERVICE ASSEMBLY, MAIN PCBA, EDGE</v>
          </cell>
          <cell r="AL53" t="str">
            <v/>
          </cell>
          <cell r="AM53" t="str">
            <v/>
          </cell>
          <cell r="AN53" t="str">
            <v/>
          </cell>
          <cell r="AO53" t="str">
            <v/>
          </cell>
          <cell r="AP53" t="str">
            <v/>
          </cell>
          <cell r="AQ53" t="str">
            <v/>
          </cell>
          <cell r="AR53" t="str">
            <v/>
          </cell>
          <cell r="AS53" t="str">
            <v/>
          </cell>
          <cell r="AT53" t="str">
            <v/>
          </cell>
          <cell r="AU53">
            <v>41030</v>
          </cell>
        </row>
        <row r="54">
          <cell r="A54" t="str">
            <v>S16-0051</v>
          </cell>
          <cell r="B54" t="str">
            <v>十和田市立中央病院_0051 (2)</v>
          </cell>
          <cell r="C54" t="str">
            <v>SR#4184161</v>
          </cell>
          <cell r="D54" t="str">
            <v>2015/08/06-01</v>
          </cell>
          <cell r="E54" t="str">
            <v>有償</v>
          </cell>
          <cell r="F54">
            <v>42387</v>
          </cell>
          <cell r="G54">
            <v>42387</v>
          </cell>
          <cell r="H54">
            <v>42394</v>
          </cell>
          <cell r="I54" t="str">
            <v>不明</v>
          </cell>
          <cell r="K54" t="str">
            <v>梶田</v>
          </cell>
          <cell r="L54">
            <v>3</v>
          </cell>
          <cell r="M54" t="str">
            <v>MicroMaxx</v>
          </cell>
          <cell r="N54" t="str">
            <v>039B4G</v>
          </cell>
          <cell r="O54" t="str">
            <v>Ｐ08063-02</v>
          </cell>
          <cell r="P54" t="str">
            <v>共立医科器械株式会社　八戸営業所</v>
          </cell>
          <cell r="Q54" t="str">
            <v>佐藤様</v>
          </cell>
          <cell r="R54" t="str">
            <v>〒039-1166　青森県八戸市根城3-18-3</v>
          </cell>
          <cell r="S54" t="str">
            <v>0178-43-2923</v>
          </cell>
          <cell r="T54" t="str">
            <v>0178-44-1957</v>
          </cell>
          <cell r="U54" t="str">
            <v>十和田市立中央病院　救急</v>
          </cell>
          <cell r="V54" t="str">
            <v>-</v>
          </cell>
          <cell r="W54" t="str">
            <v>-</v>
          </cell>
          <cell r="X54" t="str">
            <v>0176-23-5121</v>
          </cell>
          <cell r="Y54" t="str">
            <v>〒034-0093　青森県十和田市西十二番町14-8</v>
          </cell>
          <cell r="AA54" t="str">
            <v>P05463-01</v>
          </cell>
          <cell r="AB54" t="str">
            <v>P07168-20</v>
          </cell>
          <cell r="AC54" t="str">
            <v/>
          </cell>
          <cell r="AD54" t="str">
            <v/>
          </cell>
          <cell r="AE54" t="str">
            <v/>
          </cell>
          <cell r="AF54" t="str">
            <v/>
          </cell>
          <cell r="AG54" t="str">
            <v/>
          </cell>
          <cell r="AH54" t="str">
            <v/>
          </cell>
          <cell r="AI54" t="str">
            <v/>
          </cell>
          <cell r="AJ54" t="str">
            <v/>
          </cell>
          <cell r="AK54" t="str">
            <v>SERVICE ASSEMBLY DISPLAY, MICROMAXX</v>
          </cell>
          <cell r="AL54" t="str">
            <v>BATTERY PACK, 6 CELL, 11.25V, 5.2AMP-HOUR, LITHIUM-ION</v>
          </cell>
          <cell r="AM54" t="str">
            <v/>
          </cell>
          <cell r="AN54" t="str">
            <v/>
          </cell>
          <cell r="AO54" t="str">
            <v/>
          </cell>
          <cell r="AP54" t="str">
            <v/>
          </cell>
          <cell r="AQ54" t="str">
            <v/>
          </cell>
          <cell r="AR54" t="str">
            <v/>
          </cell>
          <cell r="AS54" t="str">
            <v/>
          </cell>
          <cell r="AT54" t="str">
            <v/>
          </cell>
          <cell r="AU54">
            <v>39326</v>
          </cell>
        </row>
        <row r="55">
          <cell r="A55" t="str">
            <v>S16-0052</v>
          </cell>
          <cell r="B55" t="str">
            <v>水口内科クリニック_0052 (2)</v>
          </cell>
          <cell r="C55" t="str">
            <v>SR#</v>
          </cell>
          <cell r="D55" t="str">
            <v>2016/01/18-05</v>
          </cell>
          <cell r="E55" t="str">
            <v>有償</v>
          </cell>
          <cell r="F55">
            <v>42391</v>
          </cell>
          <cell r="G55">
            <v>42391</v>
          </cell>
          <cell r="H55">
            <v>42408</v>
          </cell>
          <cell r="I55" t="str">
            <v>不明</v>
          </cell>
          <cell r="K55" t="str">
            <v>梶田</v>
          </cell>
          <cell r="L55">
            <v>3</v>
          </cell>
          <cell r="M55" t="str">
            <v>180Plus</v>
          </cell>
          <cell r="N55" t="str">
            <v>032CZP</v>
          </cell>
          <cell r="O55" t="str">
            <v>P04327-01</v>
          </cell>
          <cell r="P55" t="str">
            <v>冨木医療器株式会社　金沢支店</v>
          </cell>
          <cell r="Q55" t="str">
            <v>八田様</v>
          </cell>
          <cell r="R55" t="str">
            <v>〒920-8539　石川県金沢市問屋町2丁目46</v>
          </cell>
          <cell r="S55" t="str">
            <v>076-237-5555</v>
          </cell>
          <cell r="T55" t="str">
            <v>076-237-9381</v>
          </cell>
          <cell r="U55" t="str">
            <v>水口内科クリニック</v>
          </cell>
          <cell r="X55" t="str">
            <v>076-255-3377</v>
          </cell>
          <cell r="Y55" t="str">
            <v>〒920-8203　石川県金沢市鞍月5丁目219</v>
          </cell>
          <cell r="AA55" t="str">
            <v>P01213-01</v>
          </cell>
          <cell r="AB55" t="str">
            <v>P00104-02</v>
          </cell>
          <cell r="AC55" t="str">
            <v/>
          </cell>
          <cell r="AD55" t="str">
            <v/>
          </cell>
          <cell r="AE55" t="str">
            <v/>
          </cell>
          <cell r="AF55" t="str">
            <v/>
          </cell>
          <cell r="AG55" t="str">
            <v/>
          </cell>
          <cell r="AH55" t="str">
            <v/>
          </cell>
          <cell r="AI55" t="str">
            <v/>
          </cell>
          <cell r="AJ55" t="str">
            <v/>
          </cell>
          <cell r="AK55" t="str">
            <v>FLEX CIRCUIT, FAB, C1 DISPLAY</v>
          </cell>
          <cell r="AL55" t="str">
            <v>KEY, ON/OFF</v>
          </cell>
          <cell r="AM55" t="str">
            <v/>
          </cell>
          <cell r="AN55" t="str">
            <v/>
          </cell>
          <cell r="AO55" t="str">
            <v/>
          </cell>
          <cell r="AP55" t="str">
            <v/>
          </cell>
          <cell r="AQ55" t="str">
            <v/>
          </cell>
          <cell r="AR55" t="str">
            <v/>
          </cell>
          <cell r="AS55" t="str">
            <v/>
          </cell>
          <cell r="AT55" t="str">
            <v/>
          </cell>
          <cell r="AU55">
            <v>38078</v>
          </cell>
        </row>
        <row r="56">
          <cell r="A56" t="str">
            <v>S16-0053</v>
          </cell>
          <cell r="B56" t="str">
            <v>竹田内科医院_0053</v>
          </cell>
          <cell r="C56" t="e">
            <v>#REF!</v>
          </cell>
          <cell r="D56" t="e">
            <v>#REF!</v>
          </cell>
          <cell r="E56" t="e">
            <v>#REF!</v>
          </cell>
          <cell r="F56" t="e">
            <v>#REF!</v>
          </cell>
          <cell r="G56" t="e">
            <v>#REF!</v>
          </cell>
          <cell r="H56" t="e">
            <v>#REF!</v>
          </cell>
          <cell r="I56" t="e">
            <v>#REF!</v>
          </cell>
          <cell r="K56" t="e">
            <v>#REF!</v>
          </cell>
          <cell r="M56" t="e">
            <v>#REF!</v>
          </cell>
          <cell r="N56" t="e">
            <v>#REF!</v>
          </cell>
          <cell r="O56" t="e">
            <v>#REF!</v>
          </cell>
          <cell r="P56" t="e">
            <v>#REF!</v>
          </cell>
          <cell r="Q56" t="e">
            <v>#REF!</v>
          </cell>
          <cell r="R56" t="str">
            <v>〒300-0034　茨城県土浦市港町1-10-7</v>
          </cell>
          <cell r="S56" t="e">
            <v>#REF!</v>
          </cell>
          <cell r="T56" t="e">
            <v>#REF!</v>
          </cell>
          <cell r="U56" t="e">
            <v>#REF!</v>
          </cell>
          <cell r="X56" t="str">
            <v>04-7185-0225</v>
          </cell>
          <cell r="Y56" t="str">
            <v>〒270-1164　千葉県我孫子市つくし野6-5-1</v>
          </cell>
          <cell r="AA56" t="e">
            <v>#REF!</v>
          </cell>
          <cell r="AB56" t="e">
            <v>#REF!</v>
          </cell>
          <cell r="AC56" t="e">
            <v>#REF!</v>
          </cell>
          <cell r="AD56" t="e">
            <v>#REF!</v>
          </cell>
          <cell r="AE56" t="e">
            <v>#REF!</v>
          </cell>
          <cell r="AF56" t="e">
            <v>#REF!</v>
          </cell>
          <cell r="AG56" t="e">
            <v>#REF!</v>
          </cell>
          <cell r="AH56" t="e">
            <v>#REF!</v>
          </cell>
          <cell r="AI56" t="e">
            <v>#REF!</v>
          </cell>
          <cell r="AJ56" t="e">
            <v>#REF!</v>
          </cell>
          <cell r="AK56" t="e">
            <v>#REF!</v>
          </cell>
          <cell r="AL56" t="e">
            <v>#REF!</v>
          </cell>
          <cell r="AM56" t="e">
            <v>#REF!</v>
          </cell>
          <cell r="AN56" t="e">
            <v>#REF!</v>
          </cell>
          <cell r="AO56" t="e">
            <v>#REF!</v>
          </cell>
          <cell r="AP56" t="e">
            <v>#REF!</v>
          </cell>
          <cell r="AQ56" t="e">
            <v>#REF!</v>
          </cell>
          <cell r="AR56" t="e">
            <v>#REF!</v>
          </cell>
          <cell r="AS56" t="e">
            <v>#REF!</v>
          </cell>
          <cell r="AT56" t="e">
            <v>#REF!</v>
          </cell>
          <cell r="AU56" t="e">
            <v>#REF!</v>
          </cell>
        </row>
        <row r="57">
          <cell r="A57" t="str">
            <v>S16-0054</v>
          </cell>
          <cell r="B57" t="str">
            <v>南海医療センター_0054 (2)</v>
          </cell>
          <cell r="C57" t="str">
            <v>SR#不要</v>
          </cell>
          <cell r="D57" t="str">
            <v>2016/01/04-05</v>
          </cell>
          <cell r="E57" t="str">
            <v>有償</v>
          </cell>
          <cell r="F57">
            <v>42391</v>
          </cell>
          <cell r="G57">
            <v>42391</v>
          </cell>
          <cell r="H57">
            <v>42695</v>
          </cell>
          <cell r="I57" t="str">
            <v>不明</v>
          </cell>
          <cell r="K57">
            <v>0</v>
          </cell>
          <cell r="M57" t="str">
            <v>M-Turbo</v>
          </cell>
          <cell r="N57" t="str">
            <v>03DJH7</v>
          </cell>
          <cell r="O57" t="str">
            <v>P09141-07</v>
          </cell>
          <cell r="P57" t="str">
            <v>株式会社フィディスワン</v>
          </cell>
          <cell r="Q57" t="str">
            <v>三浦様</v>
          </cell>
          <cell r="R57" t="str">
            <v>〒870-0014 大分県大分市勢家芦崎1202-10　オリベ第3ビル1Ｆ</v>
          </cell>
          <cell r="S57" t="str">
            <v>097-573-9030</v>
          </cell>
          <cell r="T57" t="str">
            <v>097-573-9040</v>
          </cell>
          <cell r="U57" t="str">
            <v>南海医療センター</v>
          </cell>
          <cell r="X57" t="str">
            <v>0972-22-0547</v>
          </cell>
          <cell r="Y57" t="str">
            <v>〒876-0857　大分県佐伯市常盤西町11-20</v>
          </cell>
          <cell r="AA57" t="str">
            <v/>
          </cell>
          <cell r="AB57" t="str">
            <v/>
          </cell>
          <cell r="AC57" t="str">
            <v/>
          </cell>
          <cell r="AD57" t="str">
            <v/>
          </cell>
          <cell r="AE57" t="str">
            <v/>
          </cell>
          <cell r="AF57" t="str">
            <v/>
          </cell>
          <cell r="AG57" t="str">
            <v/>
          </cell>
          <cell r="AH57" t="str">
            <v/>
          </cell>
          <cell r="AI57" t="str">
            <v/>
          </cell>
          <cell r="AJ57" t="str">
            <v/>
          </cell>
          <cell r="AK57" t="str">
            <v/>
          </cell>
          <cell r="AL57" t="str">
            <v/>
          </cell>
          <cell r="AM57" t="str">
            <v/>
          </cell>
          <cell r="AN57" t="str">
            <v/>
          </cell>
          <cell r="AO57" t="str">
            <v/>
          </cell>
          <cell r="AP57" t="str">
            <v/>
          </cell>
          <cell r="AQ57" t="str">
            <v/>
          </cell>
          <cell r="AR57" t="str">
            <v/>
          </cell>
          <cell r="AS57" t="str">
            <v/>
          </cell>
          <cell r="AT57" t="str">
            <v/>
          </cell>
          <cell r="AU57">
            <v>39783</v>
          </cell>
        </row>
        <row r="58">
          <cell r="A58" t="str">
            <v>S16-0055</v>
          </cell>
          <cell r="B58" t="str">
            <v>九州大学病院_0055 (2)</v>
          </cell>
          <cell r="C58" t="str">
            <v>SR#</v>
          </cell>
          <cell r="D58" t="str">
            <v>2016/01/19-03</v>
          </cell>
          <cell r="E58" t="str">
            <v>無償</v>
          </cell>
          <cell r="F58">
            <v>42391</v>
          </cell>
          <cell r="G58">
            <v>42391</v>
          </cell>
          <cell r="H58">
            <v>42541</v>
          </cell>
          <cell r="I58" t="str">
            <v>不明</v>
          </cell>
          <cell r="K58" t="str">
            <v>馬屋原</v>
          </cell>
          <cell r="L58" t="str">
            <v>-</v>
          </cell>
          <cell r="M58" t="str">
            <v>S-ICU</v>
          </cell>
          <cell r="N58" t="str">
            <v>WK2YY2</v>
          </cell>
          <cell r="O58" t="str">
            <v>P12085-60</v>
          </cell>
          <cell r="P58" t="str">
            <v>株式会社キシヤ</v>
          </cell>
          <cell r="Q58" t="str">
            <v>中西様</v>
          </cell>
          <cell r="R58" t="str">
            <v>〒812-0062 福岡県福岡市東区松島1-41-21</v>
          </cell>
          <cell r="S58" t="str">
            <v>092-622-8000</v>
          </cell>
          <cell r="T58" t="str">
            <v>092-623-1313</v>
          </cell>
          <cell r="U58" t="str">
            <v>九州大学病院</v>
          </cell>
          <cell r="V58" t="str">
            <v>-</v>
          </cell>
          <cell r="W58" t="str">
            <v>-</v>
          </cell>
          <cell r="X58" t="str">
            <v>092-641-1151</v>
          </cell>
          <cell r="Y58" t="str">
            <v>〒812-8582 福岡県福岡市東区馬出3-1-1</v>
          </cell>
          <cell r="AA58" t="str">
            <v/>
          </cell>
          <cell r="AB58" t="str">
            <v/>
          </cell>
          <cell r="AC58" t="str">
            <v/>
          </cell>
          <cell r="AD58" t="str">
            <v/>
          </cell>
          <cell r="AE58" t="str">
            <v/>
          </cell>
          <cell r="AF58" t="str">
            <v/>
          </cell>
          <cell r="AG58" t="str">
            <v/>
          </cell>
          <cell r="AH58" t="str">
            <v/>
          </cell>
          <cell r="AI58" t="str">
            <v/>
          </cell>
          <cell r="AJ58" t="str">
            <v/>
          </cell>
          <cell r="AK58" t="str">
            <v/>
          </cell>
          <cell r="AL58" t="str">
            <v/>
          </cell>
          <cell r="AM58" t="str">
            <v/>
          </cell>
          <cell r="AN58" t="str">
            <v/>
          </cell>
          <cell r="AO58" t="str">
            <v/>
          </cell>
          <cell r="AP58" t="str">
            <v/>
          </cell>
          <cell r="AQ58" t="str">
            <v/>
          </cell>
          <cell r="AR58" t="str">
            <v/>
          </cell>
          <cell r="AS58" t="str">
            <v/>
          </cell>
          <cell r="AT58" t="str">
            <v/>
          </cell>
          <cell r="AU58">
            <v>42036</v>
          </cell>
        </row>
        <row r="59">
          <cell r="A59" t="str">
            <v>S16-0056</v>
          </cell>
          <cell r="B59" t="str">
            <v>県立広島病院_0056 (2)</v>
          </cell>
          <cell r="C59" t="str">
            <v>SR#不要</v>
          </cell>
          <cell r="D59" t="str">
            <v>2016/01/18-04</v>
          </cell>
          <cell r="E59" t="str">
            <v>有償</v>
          </cell>
          <cell r="F59">
            <v>42391</v>
          </cell>
          <cell r="G59">
            <v>42391</v>
          </cell>
          <cell r="H59">
            <v>42404</v>
          </cell>
          <cell r="I59" t="str">
            <v>不明</v>
          </cell>
          <cell r="K59" t="str">
            <v>梶田</v>
          </cell>
          <cell r="L59">
            <v>3</v>
          </cell>
          <cell r="M59" t="str">
            <v>UP-897MD</v>
          </cell>
          <cell r="N59" t="str">
            <v>39669</v>
          </cell>
          <cell r="O59" t="str">
            <v>-</v>
          </cell>
          <cell r="P59" t="str">
            <v>ティーエスアルフレッサ株式会社　広島機器試薬支店</v>
          </cell>
          <cell r="Q59" t="str">
            <v>高木様</v>
          </cell>
          <cell r="R59" t="str">
            <v>〒733-8633　広島県広島市西区商工センター1-2-19</v>
          </cell>
          <cell r="S59" t="str">
            <v>082-501-0466</v>
          </cell>
          <cell r="T59" t="str">
            <v>082-279-7133</v>
          </cell>
          <cell r="U59" t="str">
            <v>県立広島病院</v>
          </cell>
          <cell r="V59" t="str">
            <v>-</v>
          </cell>
          <cell r="W59" t="str">
            <v>-</v>
          </cell>
          <cell r="X59" t="str">
            <v>082-254-1818</v>
          </cell>
          <cell r="Y59" t="str">
            <v>〒734-8530　広島県広島市南区宇品神田1-5-54</v>
          </cell>
          <cell r="AA59" t="str">
            <v>A107889B</v>
          </cell>
          <cell r="AB59" t="str">
            <v/>
          </cell>
          <cell r="AC59" t="str">
            <v/>
          </cell>
          <cell r="AD59" t="str">
            <v/>
          </cell>
          <cell r="AE59" t="str">
            <v/>
          </cell>
          <cell r="AF59" t="str">
            <v/>
          </cell>
          <cell r="AG59" t="str">
            <v/>
          </cell>
          <cell r="AH59" t="str">
            <v/>
          </cell>
          <cell r="AI59" t="str">
            <v/>
          </cell>
          <cell r="AJ59" t="str">
            <v/>
          </cell>
          <cell r="AK59" t="str">
            <v>SE-768 MOUNT</v>
          </cell>
          <cell r="AL59" t="str">
            <v/>
          </cell>
          <cell r="AM59" t="str">
            <v/>
          </cell>
          <cell r="AN59" t="str">
            <v/>
          </cell>
          <cell r="AO59" t="str">
            <v/>
          </cell>
          <cell r="AP59" t="str">
            <v/>
          </cell>
          <cell r="AQ59" t="str">
            <v/>
          </cell>
          <cell r="AR59" t="str">
            <v/>
          </cell>
          <cell r="AS59" t="str">
            <v/>
          </cell>
          <cell r="AT59" t="str">
            <v/>
          </cell>
          <cell r="AU59" t="str">
            <v>-</v>
          </cell>
        </row>
        <row r="60">
          <cell r="A60" t="str">
            <v>S16-0057</v>
          </cell>
          <cell r="B60" t="str">
            <v>喜多医師会病院_0057 (2)</v>
          </cell>
          <cell r="C60" t="str">
            <v>SR#</v>
          </cell>
          <cell r="D60" t="str">
            <v>2015/12/02-04</v>
          </cell>
          <cell r="E60" t="str">
            <v>有償</v>
          </cell>
          <cell r="F60">
            <v>42391</v>
          </cell>
          <cell r="G60">
            <v>42391</v>
          </cell>
          <cell r="H60">
            <v>42628</v>
          </cell>
          <cell r="I60" t="str">
            <v>不明</v>
          </cell>
          <cell r="K60" t="str">
            <v>高橋</v>
          </cell>
          <cell r="L60">
            <v>3</v>
          </cell>
          <cell r="M60" t="str">
            <v>TiTAN</v>
          </cell>
          <cell r="N60" t="str">
            <v>0336ND</v>
          </cell>
          <cell r="O60" t="str">
            <v>P04338-01</v>
          </cell>
          <cell r="P60" t="str">
            <v>株式会社カワニシ</v>
          </cell>
          <cell r="Q60" t="str">
            <v>島中様</v>
          </cell>
          <cell r="R60" t="str">
            <v>〒791-2112　愛媛県伊予郡砥部町重光241-3</v>
          </cell>
          <cell r="S60" t="str">
            <v>089-956-7008</v>
          </cell>
          <cell r="T60" t="str">
            <v>089-956-2937</v>
          </cell>
          <cell r="U60" t="str">
            <v>喜多医師会病院</v>
          </cell>
          <cell r="V60" t="str">
            <v>村瀬様</v>
          </cell>
          <cell r="W60" t="str">
            <v>-</v>
          </cell>
          <cell r="X60" t="str">
            <v>0893-25-0535</v>
          </cell>
          <cell r="Y60" t="str">
            <v>〒795-8505 愛媛県大洲市徳森2632-3</v>
          </cell>
          <cell r="AA60" t="str">
            <v>P06733-01</v>
          </cell>
          <cell r="AB60" t="str">
            <v>P06902-01</v>
          </cell>
          <cell r="AC60" t="str">
            <v>P03861-02</v>
          </cell>
          <cell r="AD60" t="str">
            <v/>
          </cell>
          <cell r="AE60" t="str">
            <v/>
          </cell>
          <cell r="AF60" t="str">
            <v/>
          </cell>
          <cell r="AG60" t="str">
            <v/>
          </cell>
          <cell r="AH60" t="str">
            <v/>
          </cell>
          <cell r="AI60" t="str">
            <v/>
          </cell>
          <cell r="AJ60" t="str">
            <v/>
          </cell>
          <cell r="AK60" t="str">
            <v>SERVICE ASSEMBLY MAIN PCBA, NEW CONN, TITAN HIGH MEMORY</v>
          </cell>
          <cell r="AL60" t="str">
            <v>SERVICE ASSEMBLY, POWER SUPPLY, 2.3.1 TITAN</v>
          </cell>
          <cell r="AM60" t="str">
            <v>SERVICE ASSEMBLY DISPLAY, TITAN</v>
          </cell>
          <cell r="AN60" t="str">
            <v/>
          </cell>
          <cell r="AO60" t="str">
            <v/>
          </cell>
          <cell r="AP60" t="str">
            <v/>
          </cell>
          <cell r="AQ60" t="str">
            <v/>
          </cell>
          <cell r="AR60" t="str">
            <v/>
          </cell>
          <cell r="AS60" t="str">
            <v/>
          </cell>
          <cell r="AT60" t="str">
            <v/>
          </cell>
          <cell r="AU60">
            <v>38231</v>
          </cell>
        </row>
        <row r="61">
          <cell r="A61" t="str">
            <v>S16-0058</v>
          </cell>
          <cell r="B61" t="str">
            <v>砂川市立病院_0058 (2)</v>
          </cell>
          <cell r="C61" t="str">
            <v>SR#4183619</v>
          </cell>
          <cell r="D61" t="str">
            <v>2016/01/19-02</v>
          </cell>
          <cell r="E61" t="str">
            <v>無償</v>
          </cell>
          <cell r="F61">
            <v>42394</v>
          </cell>
          <cell r="G61">
            <v>42394</v>
          </cell>
          <cell r="H61">
            <v>42410</v>
          </cell>
          <cell r="I61" t="str">
            <v>不明</v>
          </cell>
          <cell r="K61" t="str">
            <v>梶田</v>
          </cell>
          <cell r="L61">
            <v>3</v>
          </cell>
          <cell r="M61" t="str">
            <v>EDGE</v>
          </cell>
          <cell r="N61" t="str">
            <v>03V3LZ</v>
          </cell>
          <cell r="O61" t="str">
            <v>P16360-02</v>
          </cell>
          <cell r="P61" t="str">
            <v>株式会社ムトウ　空知支店</v>
          </cell>
          <cell r="Q61" t="str">
            <v>松原様</v>
          </cell>
          <cell r="R61" t="str">
            <v>〒073-0161　北海道砂川市西1条北17丁目1-19</v>
          </cell>
          <cell r="S61" t="str">
            <v>0125-54-0600</v>
          </cell>
          <cell r="T61" t="str">
            <v>0125-54-2740</v>
          </cell>
          <cell r="U61" t="str">
            <v>砂川市立病院</v>
          </cell>
          <cell r="V61" t="str">
            <v>-</v>
          </cell>
          <cell r="W61" t="str">
            <v>-</v>
          </cell>
          <cell r="X61" t="str">
            <v>0125-54-2131</v>
          </cell>
          <cell r="Y61" t="str">
            <v>〒073-0196　北海道砂川市西4条北3丁目1-1</v>
          </cell>
          <cell r="AA61" t="str">
            <v>P15618-02</v>
          </cell>
          <cell r="AB61" t="str">
            <v/>
          </cell>
          <cell r="AC61" t="str">
            <v/>
          </cell>
          <cell r="AD61" t="str">
            <v/>
          </cell>
          <cell r="AE61" t="str">
            <v/>
          </cell>
          <cell r="AF61" t="str">
            <v/>
          </cell>
          <cell r="AG61" t="str">
            <v/>
          </cell>
          <cell r="AH61" t="str">
            <v/>
          </cell>
          <cell r="AI61" t="str">
            <v/>
          </cell>
          <cell r="AJ61" t="str">
            <v/>
          </cell>
          <cell r="AK61" t="str">
            <v>CONTROL PANEL, EDGE, ENGLISH</v>
          </cell>
          <cell r="AL61" t="str">
            <v/>
          </cell>
          <cell r="AM61" t="str">
            <v/>
          </cell>
          <cell r="AN61" t="str">
            <v/>
          </cell>
          <cell r="AO61" t="str">
            <v/>
          </cell>
          <cell r="AP61" t="str">
            <v/>
          </cell>
          <cell r="AQ61" t="str">
            <v/>
          </cell>
          <cell r="AR61" t="str">
            <v/>
          </cell>
          <cell r="AS61" t="str">
            <v/>
          </cell>
          <cell r="AT61" t="str">
            <v/>
          </cell>
          <cell r="AU61">
            <v>41426</v>
          </cell>
        </row>
        <row r="62">
          <cell r="A62" t="str">
            <v>S16-0059</v>
          </cell>
          <cell r="B62" t="str">
            <v>東海大学医学部病院_0059 (2)</v>
          </cell>
          <cell r="C62" t="str">
            <v>SR#</v>
          </cell>
          <cell r="D62" t="str">
            <v>2016/01/19-02</v>
          </cell>
          <cell r="E62" t="str">
            <v>有償</v>
          </cell>
          <cell r="F62">
            <v>42394</v>
          </cell>
          <cell r="G62">
            <v>42394</v>
          </cell>
          <cell r="H62">
            <v>42433</v>
          </cell>
          <cell r="I62" t="str">
            <v>不明</v>
          </cell>
          <cell r="K62" t="str">
            <v>梶田</v>
          </cell>
          <cell r="L62" t="str">
            <v>-</v>
          </cell>
          <cell r="M62" t="str">
            <v>C60e/5-2</v>
          </cell>
          <cell r="N62" t="str">
            <v>03BBJ3</v>
          </cell>
          <cell r="O62" t="str">
            <v>P05675-07</v>
          </cell>
          <cell r="P62" t="str">
            <v>株式会社イノメディックス　相模原営業所</v>
          </cell>
          <cell r="Q62" t="str">
            <v>梶原様</v>
          </cell>
          <cell r="R62" t="str">
            <v>〒252-0206　神奈川県相模原市中央区淵野辺4-19-16</v>
          </cell>
          <cell r="S62" t="str">
            <v>042-752-7611</v>
          </cell>
          <cell r="T62" t="str">
            <v>042-752-2449</v>
          </cell>
          <cell r="U62" t="str">
            <v>東海大学医学部付属病院</v>
          </cell>
          <cell r="V62" t="str">
            <v>松本様</v>
          </cell>
          <cell r="W62" t="str">
            <v>Mセンター</v>
          </cell>
          <cell r="X62" t="str">
            <v>0463-93-1121</v>
          </cell>
          <cell r="Y62" t="str">
            <v>〒259-1193　神奈川県伊勢原市下糟屋143</v>
          </cell>
          <cell r="AA62" t="str">
            <v>P05675-20</v>
          </cell>
          <cell r="AB62" t="str">
            <v/>
          </cell>
          <cell r="AC62" t="str">
            <v/>
          </cell>
          <cell r="AD62" t="str">
            <v/>
          </cell>
          <cell r="AE62" t="str">
            <v/>
          </cell>
          <cell r="AF62" t="str">
            <v/>
          </cell>
          <cell r="AG62" t="str">
            <v/>
          </cell>
          <cell r="AH62" t="str">
            <v/>
          </cell>
          <cell r="AI62" t="str">
            <v/>
          </cell>
          <cell r="AJ62" t="str">
            <v/>
          </cell>
          <cell r="AK62" t="str">
            <v>C60e/5-2 Convex Transducer (MicroMaxx)</v>
          </cell>
          <cell r="AL62" t="str">
            <v/>
          </cell>
          <cell r="AM62" t="str">
            <v/>
          </cell>
          <cell r="AN62" t="str">
            <v/>
          </cell>
          <cell r="AO62" t="str">
            <v/>
          </cell>
          <cell r="AP62" t="str">
            <v/>
          </cell>
          <cell r="AQ62" t="str">
            <v/>
          </cell>
          <cell r="AR62" t="str">
            <v/>
          </cell>
          <cell r="AS62" t="str">
            <v/>
          </cell>
          <cell r="AT62" t="str">
            <v/>
          </cell>
          <cell r="AU62">
            <v>39387</v>
          </cell>
        </row>
        <row r="63">
          <cell r="A63" t="str">
            <v>S16-0060</v>
          </cell>
          <cell r="B63" t="str">
            <v>公立八鹿病院_0060 (3)</v>
          </cell>
          <cell r="C63" t="str">
            <v>SR#4190107</v>
          </cell>
          <cell r="D63" t="str">
            <v>2016/01/19-02</v>
          </cell>
          <cell r="E63" t="str">
            <v>有償</v>
          </cell>
          <cell r="F63">
            <v>42394</v>
          </cell>
          <cell r="G63">
            <v>42394</v>
          </cell>
          <cell r="H63">
            <v>42444</v>
          </cell>
          <cell r="I63" t="str">
            <v>不明</v>
          </cell>
          <cell r="K63" t="str">
            <v>梶田</v>
          </cell>
          <cell r="L63">
            <v>3</v>
          </cell>
          <cell r="M63">
            <v>180</v>
          </cell>
          <cell r="N63" t="str">
            <v>01LBT1</v>
          </cell>
          <cell r="O63" t="str">
            <v>P01102-03</v>
          </cell>
          <cell r="P63" t="str">
            <v>マリヤ医科工業株式会社</v>
          </cell>
          <cell r="Q63" t="str">
            <v>小山様</v>
          </cell>
          <cell r="R63" t="str">
            <v>〒668-0024　兵庫県豊岡市寿町10-10</v>
          </cell>
          <cell r="S63" t="str">
            <v>0796-22-6155</v>
          </cell>
          <cell r="T63" t="str">
            <v>0796-22-6158</v>
          </cell>
          <cell r="U63" t="str">
            <v>公立八鹿病院</v>
          </cell>
          <cell r="V63" t="str">
            <v>井口課長</v>
          </cell>
          <cell r="W63" t="str">
            <v>7病棟</v>
          </cell>
          <cell r="X63" t="str">
            <v>079-662-5555</v>
          </cell>
          <cell r="Y63" t="str">
            <v>〒667-8555　兵庫県養父市八鹿町八鹿1878-1</v>
          </cell>
          <cell r="AA63" t="str">
            <v>P00343-01</v>
          </cell>
          <cell r="AB63" t="str">
            <v>P04686-01</v>
          </cell>
          <cell r="AC63" t="str">
            <v/>
          </cell>
          <cell r="AD63" t="str">
            <v/>
          </cell>
          <cell r="AE63" t="str">
            <v/>
          </cell>
          <cell r="AF63" t="str">
            <v/>
          </cell>
          <cell r="AG63" t="str">
            <v/>
          </cell>
          <cell r="AH63" t="str">
            <v/>
          </cell>
          <cell r="AI63" t="str">
            <v/>
          </cell>
          <cell r="AJ63" t="str">
            <v/>
          </cell>
          <cell r="AK63" t="str">
            <v>HINGE, DISPLAY</v>
          </cell>
          <cell r="AL63" t="str">
            <v>SERVICE ASSEMBLY, C1.8 BASE ASSEMBLY</v>
          </cell>
          <cell r="AM63" t="str">
            <v/>
          </cell>
          <cell r="AN63" t="str">
            <v/>
          </cell>
          <cell r="AO63" t="str">
            <v/>
          </cell>
          <cell r="AP63" t="str">
            <v/>
          </cell>
          <cell r="AQ63" t="str">
            <v/>
          </cell>
          <cell r="AR63" t="str">
            <v/>
          </cell>
          <cell r="AS63" t="str">
            <v/>
          </cell>
          <cell r="AT63" t="str">
            <v/>
          </cell>
          <cell r="AU63">
            <v>36678</v>
          </cell>
        </row>
        <row r="64">
          <cell r="A64" t="str">
            <v>S16-0061</v>
          </cell>
          <cell r="B64" t="str">
            <v>長崎県済生会病院_0061 (2)</v>
          </cell>
          <cell r="C64" t="str">
            <v>SR#</v>
          </cell>
          <cell r="D64" t="str">
            <v>2016/01/19-02</v>
          </cell>
          <cell r="E64" t="str">
            <v>有償</v>
          </cell>
          <cell r="F64">
            <v>42394</v>
          </cell>
          <cell r="G64">
            <v>42394</v>
          </cell>
          <cell r="H64">
            <v>42425</v>
          </cell>
          <cell r="I64" t="str">
            <v>不明</v>
          </cell>
          <cell r="K64" t="str">
            <v>梶田</v>
          </cell>
          <cell r="L64">
            <v>3</v>
          </cell>
          <cell r="M64" t="str">
            <v>180Plus</v>
          </cell>
          <cell r="N64" t="str">
            <v>030JF4</v>
          </cell>
          <cell r="O64" t="str">
            <v>P02998-01</v>
          </cell>
          <cell r="P64" t="str">
            <v>山下医科器械株式会社　長崎支社</v>
          </cell>
          <cell r="Q64" t="str">
            <v>井手口様</v>
          </cell>
          <cell r="R64" t="str">
            <v>〒852-8107 長崎県長崎市浜口町12-19</v>
          </cell>
          <cell r="S64" t="str">
            <v>095-844-3171</v>
          </cell>
          <cell r="T64" t="str">
            <v>095-844-3174</v>
          </cell>
          <cell r="U64" t="str">
            <v>社会福祉法人恩腸財団済生会支社　長崎県済生会病院</v>
          </cell>
          <cell r="V64" t="str">
            <v>-</v>
          </cell>
          <cell r="W64" t="str">
            <v>-</v>
          </cell>
          <cell r="X64" t="str">
            <v>095-826-9236</v>
          </cell>
          <cell r="Y64" t="str">
            <v>〒850-0003　長崎県長崎氏片淵2-5-1</v>
          </cell>
          <cell r="AA64" t="str">
            <v>P00343-01</v>
          </cell>
          <cell r="AB64" t="str">
            <v>P00104-02</v>
          </cell>
          <cell r="AC64" t="str">
            <v>P00049-04</v>
          </cell>
          <cell r="AD64" t="str">
            <v>P01213-01</v>
          </cell>
          <cell r="AE64" t="str">
            <v/>
          </cell>
          <cell r="AF64" t="str">
            <v/>
          </cell>
          <cell r="AG64" t="str">
            <v/>
          </cell>
          <cell r="AH64" t="str">
            <v/>
          </cell>
          <cell r="AI64" t="str">
            <v/>
          </cell>
          <cell r="AJ64" t="str">
            <v/>
          </cell>
          <cell r="AK64" t="str">
            <v>HINGE, DISPLAY</v>
          </cell>
          <cell r="AL64" t="str">
            <v>KEY, ON/OFF</v>
          </cell>
          <cell r="AM64" t="str">
            <v>BATTERY PACK, 6 CELL LITHIUM-ION, 180</v>
          </cell>
          <cell r="AN64" t="str">
            <v>FLEX CIRCUIT, FAB, C1 DISPLAY</v>
          </cell>
          <cell r="AO64" t="str">
            <v/>
          </cell>
          <cell r="AP64" t="str">
            <v/>
          </cell>
          <cell r="AQ64" t="str">
            <v/>
          </cell>
          <cell r="AR64" t="str">
            <v/>
          </cell>
          <cell r="AS64" t="str">
            <v/>
          </cell>
          <cell r="AT64" t="str">
            <v/>
          </cell>
          <cell r="AU64">
            <v>37773</v>
          </cell>
        </row>
        <row r="65">
          <cell r="A65" t="str">
            <v>S16-0062</v>
          </cell>
          <cell r="B65" t="str">
            <v>石橋整骨院_0062 (2)</v>
          </cell>
          <cell r="C65" t="str">
            <v>SR#</v>
          </cell>
          <cell r="D65" t="str">
            <v>2016/01/19-02</v>
          </cell>
          <cell r="E65" t="str">
            <v>有償</v>
          </cell>
          <cell r="F65">
            <v>42394</v>
          </cell>
          <cell r="G65">
            <v>42394</v>
          </cell>
          <cell r="H65">
            <v>42433</v>
          </cell>
          <cell r="I65" t="str">
            <v>不明</v>
          </cell>
          <cell r="K65" t="str">
            <v>-</v>
          </cell>
          <cell r="L65" t="str">
            <v>-</v>
          </cell>
          <cell r="M65" t="str">
            <v>180Plus</v>
          </cell>
          <cell r="N65" t="str">
            <v>0341H7</v>
          </cell>
          <cell r="O65" t="str">
            <v>P04326-03</v>
          </cell>
          <cell r="P65" t="str">
            <v>株式会社エス・エス・ピー</v>
          </cell>
          <cell r="Q65" t="str">
            <v>中村様</v>
          </cell>
          <cell r="R65" t="str">
            <v>〒305-0853　茨城県つくば市榎戸748-2　榎戸倉庫6スパン</v>
          </cell>
          <cell r="S65" t="str">
            <v>029-839-0349</v>
          </cell>
          <cell r="T65" t="str">
            <v>029-838-0896</v>
          </cell>
          <cell r="U65" t="str">
            <v>石橋整骨院</v>
          </cell>
          <cell r="X65" t="str">
            <v>0942-26-1600</v>
          </cell>
          <cell r="Y65" t="str">
            <v>〒830-0078　福岡県久留米市安武町住吉1110-6</v>
          </cell>
          <cell r="AA65" t="str">
            <v/>
          </cell>
          <cell r="AB65" t="str">
            <v/>
          </cell>
          <cell r="AC65" t="str">
            <v/>
          </cell>
          <cell r="AD65" t="str">
            <v/>
          </cell>
          <cell r="AE65" t="str">
            <v/>
          </cell>
          <cell r="AF65" t="str">
            <v/>
          </cell>
          <cell r="AG65" t="str">
            <v/>
          </cell>
          <cell r="AH65" t="str">
            <v/>
          </cell>
          <cell r="AI65" t="str">
            <v/>
          </cell>
          <cell r="AJ65" t="str">
            <v/>
          </cell>
          <cell r="AK65" t="str">
            <v/>
          </cell>
          <cell r="AL65" t="str">
            <v/>
          </cell>
          <cell r="AM65" t="str">
            <v/>
          </cell>
          <cell r="AN65" t="str">
            <v/>
          </cell>
          <cell r="AO65" t="str">
            <v/>
          </cell>
          <cell r="AP65" t="str">
            <v/>
          </cell>
          <cell r="AQ65" t="str">
            <v/>
          </cell>
          <cell r="AR65" t="str">
            <v/>
          </cell>
          <cell r="AS65" t="str">
            <v/>
          </cell>
          <cell r="AT65" t="str">
            <v/>
          </cell>
          <cell r="AU65">
            <v>38473</v>
          </cell>
        </row>
        <row r="66">
          <cell r="A66" t="str">
            <v>S16-0063</v>
          </cell>
          <cell r="B66" t="str">
            <v>熊本赤十字病院_0063 (2)</v>
          </cell>
          <cell r="C66" t="str">
            <v>SR#</v>
          </cell>
          <cell r="D66" t="str">
            <v>2016/01/19-02</v>
          </cell>
          <cell r="E66" t="str">
            <v>有償</v>
          </cell>
          <cell r="F66">
            <v>42394</v>
          </cell>
          <cell r="G66">
            <v>42394</v>
          </cell>
          <cell r="H66">
            <v>42443</v>
          </cell>
          <cell r="I66" t="str">
            <v>不明</v>
          </cell>
          <cell r="K66" t="str">
            <v>梶田</v>
          </cell>
          <cell r="L66">
            <v>3</v>
          </cell>
          <cell r="M66" t="str">
            <v>M-Turbo</v>
          </cell>
          <cell r="N66" t="str">
            <v>03D57V</v>
          </cell>
          <cell r="O66" t="str">
            <v>P09141-04</v>
          </cell>
          <cell r="P66" t="str">
            <v>山下医科器械株式会社　熊本支社</v>
          </cell>
          <cell r="Q66" t="str">
            <v>古賀様</v>
          </cell>
          <cell r="R66" t="str">
            <v>〒860-0831 熊本県熊本市中央区八王寺町39-12</v>
          </cell>
          <cell r="S66" t="str">
            <v>096-378-5911</v>
          </cell>
          <cell r="T66" t="str">
            <v>096-378-8622</v>
          </cell>
          <cell r="U66" t="str">
            <v>熊本赤十字病院</v>
          </cell>
          <cell r="V66" t="str">
            <v>-</v>
          </cell>
          <cell r="W66" t="str">
            <v>-</v>
          </cell>
          <cell r="X66" t="str">
            <v>096-384-2111</v>
          </cell>
          <cell r="Y66" t="str">
            <v xml:space="preserve">〒861-8520 熊本県熊本市東区長嶺南2-1-1
</v>
          </cell>
          <cell r="AA66" t="str">
            <v>P10401-30</v>
          </cell>
          <cell r="AB66" t="str">
            <v>P19087-02</v>
          </cell>
          <cell r="AC66" t="str">
            <v>P08850-02</v>
          </cell>
          <cell r="AD66" t="str">
            <v/>
          </cell>
          <cell r="AE66" t="str">
            <v/>
          </cell>
          <cell r="AF66" t="str">
            <v/>
          </cell>
          <cell r="AG66" t="str">
            <v/>
          </cell>
          <cell r="AH66" t="str">
            <v/>
          </cell>
          <cell r="AI66" t="str">
            <v/>
          </cell>
          <cell r="AJ66" t="str">
            <v/>
          </cell>
          <cell r="AK66" t="str">
            <v>MINIDOCK DVI, DESKTOP VERSION, M-SERIES</v>
          </cell>
          <cell r="AL66" t="str">
            <v>MAIN PCBA, M-Turbo</v>
          </cell>
          <cell r="AM66" t="str">
            <v>SERVICE ASSEMBLY, POWER SUPPLY, M/S TURBO, EDGE</v>
          </cell>
          <cell r="AN66" t="str">
            <v/>
          </cell>
          <cell r="AO66" t="str">
            <v/>
          </cell>
          <cell r="AP66" t="str">
            <v/>
          </cell>
          <cell r="AQ66" t="str">
            <v/>
          </cell>
          <cell r="AR66" t="str">
            <v/>
          </cell>
          <cell r="AS66" t="str">
            <v/>
          </cell>
          <cell r="AT66" t="str">
            <v/>
          </cell>
          <cell r="AU66">
            <v>39692</v>
          </cell>
        </row>
        <row r="67">
          <cell r="A67" t="str">
            <v>S16-0064</v>
          </cell>
          <cell r="B67" t="str">
            <v>前橋赤十字病院_0064 (2)</v>
          </cell>
          <cell r="C67" t="str">
            <v>SR#</v>
          </cell>
          <cell r="D67" t="str">
            <v>-</v>
          </cell>
          <cell r="E67" t="str">
            <v/>
          </cell>
          <cell r="F67">
            <v>42395</v>
          </cell>
          <cell r="G67">
            <v>42395</v>
          </cell>
          <cell r="H67">
            <v>42415</v>
          </cell>
          <cell r="I67" t="str">
            <v>不明</v>
          </cell>
          <cell r="K67" t="str">
            <v>-</v>
          </cell>
          <cell r="L67" t="str">
            <v>-</v>
          </cell>
          <cell r="M67" t="str">
            <v>iLook25</v>
          </cell>
          <cell r="N67" t="str">
            <v>0379Z1</v>
          </cell>
          <cell r="O67" t="str">
            <v>P04303-02</v>
          </cell>
          <cell r="P67" t="str">
            <v>日本コヴィディエン株式会社　関東第一営業所</v>
          </cell>
          <cell r="Q67" t="str">
            <v>三田 様</v>
          </cell>
          <cell r="R67" t="str">
            <v>〒158-8615  東京都世田谷区用賀 4-10-5  世田谷ﾋﾞｼﾞﾈｽｽｸｴｱﾋﾙｽﾞⅣ 2F</v>
          </cell>
          <cell r="S67" t="str">
            <v>03-5717-0517</v>
          </cell>
          <cell r="T67" t="str">
            <v>03-5717-0507</v>
          </cell>
          <cell r="U67" t="str">
            <v>前橋赤十字病院</v>
          </cell>
          <cell r="V67" t="str">
            <v>-</v>
          </cell>
          <cell r="W67" t="str">
            <v>-</v>
          </cell>
          <cell r="X67" t="str">
            <v>027-224-4585</v>
          </cell>
          <cell r="Y67" t="str">
            <v>〒371-0014 群馬県前橋市朝日町3-21-36</v>
          </cell>
          <cell r="AA67" t="str">
            <v/>
          </cell>
          <cell r="AB67" t="str">
            <v/>
          </cell>
          <cell r="AC67" t="str">
            <v/>
          </cell>
          <cell r="AD67" t="str">
            <v/>
          </cell>
          <cell r="AE67" t="str">
            <v/>
          </cell>
          <cell r="AF67" t="str">
            <v/>
          </cell>
          <cell r="AG67" t="str">
            <v/>
          </cell>
          <cell r="AH67" t="str">
            <v/>
          </cell>
          <cell r="AI67" t="str">
            <v/>
          </cell>
          <cell r="AJ67" t="str">
            <v/>
          </cell>
          <cell r="AK67" t="str">
            <v/>
          </cell>
          <cell r="AL67" t="str">
            <v/>
          </cell>
          <cell r="AM67" t="str">
            <v/>
          </cell>
          <cell r="AN67" t="str">
            <v/>
          </cell>
          <cell r="AO67" t="str">
            <v/>
          </cell>
          <cell r="AP67" t="str">
            <v/>
          </cell>
          <cell r="AQ67" t="str">
            <v/>
          </cell>
          <cell r="AR67" t="str">
            <v/>
          </cell>
          <cell r="AS67" t="str">
            <v/>
          </cell>
          <cell r="AT67" t="str">
            <v/>
          </cell>
          <cell r="AU67">
            <v>38991</v>
          </cell>
        </row>
        <row r="68">
          <cell r="A68" t="str">
            <v>S16-0065</v>
          </cell>
          <cell r="B68" t="str">
            <v>公立東海中央病院_0065 (2)</v>
          </cell>
          <cell r="C68" t="str">
            <v>SR#</v>
          </cell>
          <cell r="D68" t="str">
            <v>-</v>
          </cell>
          <cell r="E68" t="str">
            <v>有償</v>
          </cell>
          <cell r="F68">
            <v>42395</v>
          </cell>
          <cell r="G68">
            <v>42395</v>
          </cell>
          <cell r="H68">
            <v>42500</v>
          </cell>
          <cell r="I68" t="str">
            <v>不明</v>
          </cell>
          <cell r="K68" t="str">
            <v>梶田</v>
          </cell>
          <cell r="L68">
            <v>3</v>
          </cell>
          <cell r="M68" t="str">
            <v>NanoMaxx</v>
          </cell>
          <cell r="N68" t="str">
            <v>03HPF7</v>
          </cell>
          <cell r="O68" t="str">
            <v>P12700-01</v>
          </cell>
          <cell r="P68" t="str">
            <v>日本コヴィディエン株式会社　愛知岐阜営業所</v>
          </cell>
          <cell r="Q68" t="str">
            <v>平井様</v>
          </cell>
          <cell r="R68" t="str">
            <v>〒108-0075  東京都港区港南一丁目2番70号　品川シーズンテラス　22F</v>
          </cell>
          <cell r="S68" t="str">
            <v>03-6774-4629</v>
          </cell>
          <cell r="T68" t="str">
            <v>03-6774-4740</v>
          </cell>
          <cell r="U68" t="str">
            <v>公立東海中央病院</v>
          </cell>
          <cell r="V68" t="str">
            <v>-</v>
          </cell>
          <cell r="W68" t="str">
            <v>-</v>
          </cell>
          <cell r="X68" t="str">
            <v>058-382-3101</v>
          </cell>
          <cell r="Y68" t="str">
            <v>〒504-0816　岐阜県各務原市蘇原東島町4-6-2</v>
          </cell>
          <cell r="AA68" t="str">
            <v>P09977-01</v>
          </cell>
          <cell r="AB68" t="str">
            <v>P09732-02</v>
          </cell>
          <cell r="AC68" t="str">
            <v/>
          </cell>
          <cell r="AD68" t="str">
            <v/>
          </cell>
          <cell r="AE68" t="str">
            <v/>
          </cell>
          <cell r="AF68" t="str">
            <v/>
          </cell>
          <cell r="AG68" t="str">
            <v/>
          </cell>
          <cell r="AH68" t="str">
            <v/>
          </cell>
          <cell r="AI68" t="str">
            <v/>
          </cell>
          <cell r="AJ68" t="str">
            <v/>
          </cell>
          <cell r="AK68" t="str">
            <v>CABLE,FFC,0.5MM PITCH,14 POS,6" LENGTH</v>
          </cell>
          <cell r="AL68" t="str">
            <v>ASSEMBLY, 8.4", SCREENED LCD WITH TOUCHSCREEN, IN PLANT COSTED</v>
          </cell>
          <cell r="AM68" t="str">
            <v/>
          </cell>
          <cell r="AN68" t="str">
            <v/>
          </cell>
          <cell r="AO68" t="str">
            <v/>
          </cell>
          <cell r="AP68" t="str">
            <v/>
          </cell>
          <cell r="AQ68" t="str">
            <v/>
          </cell>
          <cell r="AR68" t="str">
            <v/>
          </cell>
          <cell r="AS68" t="str">
            <v/>
          </cell>
          <cell r="AT68" t="str">
            <v/>
          </cell>
          <cell r="AU68">
            <v>40148</v>
          </cell>
        </row>
        <row r="69">
          <cell r="A69" t="str">
            <v>S16-0066</v>
          </cell>
          <cell r="B69" t="str">
            <v>東京都済生会病院_0066 (2)</v>
          </cell>
          <cell r="C69" t="str">
            <v>SR#</v>
          </cell>
          <cell r="D69" t="str">
            <v>2016/01/26-01</v>
          </cell>
          <cell r="E69" t="str">
            <v>有償</v>
          </cell>
          <cell r="F69">
            <v>42396</v>
          </cell>
          <cell r="G69">
            <v>42396</v>
          </cell>
          <cell r="H69">
            <v>42431</v>
          </cell>
          <cell r="I69" t="str">
            <v>不明</v>
          </cell>
          <cell r="K69" t="str">
            <v>梶田</v>
          </cell>
          <cell r="L69">
            <v>3</v>
          </cell>
          <cell r="M69" t="str">
            <v>180Plus</v>
          </cell>
          <cell r="N69" t="str">
            <v>032NGM</v>
          </cell>
          <cell r="O69" t="str">
            <v>P04327-02</v>
          </cell>
          <cell r="P69" t="str">
            <v>株式会社イノメディックス　小石川営業所</v>
          </cell>
          <cell r="Q69" t="str">
            <v>岡田様</v>
          </cell>
          <cell r="R69" t="str">
            <v xml:space="preserve"> 〒112-0002 東京都文京区小石川4-17-15</v>
          </cell>
          <cell r="S69" t="str">
            <v>03-3814-3644</v>
          </cell>
          <cell r="T69" t="str">
            <v>03-3815-8811</v>
          </cell>
          <cell r="U69" t="str">
            <v>済生会中央病院</v>
          </cell>
          <cell r="V69" t="str">
            <v>-</v>
          </cell>
          <cell r="W69" t="str">
            <v>-</v>
          </cell>
          <cell r="X69" t="str">
            <v>03-3451-8211</v>
          </cell>
          <cell r="Y69" t="str">
            <v>〒108-0073　東京都港区三田1-4-17</v>
          </cell>
          <cell r="AA69" t="str">
            <v>P00343-01</v>
          </cell>
          <cell r="AB69" t="str">
            <v>P01213-01</v>
          </cell>
          <cell r="AC69" t="str">
            <v>P00104-02</v>
          </cell>
          <cell r="AD69" t="str">
            <v/>
          </cell>
          <cell r="AE69" t="str">
            <v/>
          </cell>
          <cell r="AF69" t="str">
            <v/>
          </cell>
          <cell r="AG69" t="str">
            <v/>
          </cell>
          <cell r="AH69" t="str">
            <v/>
          </cell>
          <cell r="AI69" t="str">
            <v/>
          </cell>
          <cell r="AJ69" t="str">
            <v/>
          </cell>
          <cell r="AK69" t="str">
            <v>HINGE, DISPLAY</v>
          </cell>
          <cell r="AL69" t="str">
            <v>FLEX CIRCUIT, FAB, C1 DISPLAY</v>
          </cell>
          <cell r="AM69" t="str">
            <v>KEY, ON/OFF</v>
          </cell>
          <cell r="AN69" t="str">
            <v/>
          </cell>
          <cell r="AO69" t="str">
            <v/>
          </cell>
          <cell r="AP69" t="str">
            <v/>
          </cell>
          <cell r="AQ69" t="str">
            <v/>
          </cell>
          <cell r="AR69" t="str">
            <v/>
          </cell>
          <cell r="AS69" t="str">
            <v/>
          </cell>
          <cell r="AT69" t="str">
            <v/>
          </cell>
          <cell r="AU69">
            <v>38169</v>
          </cell>
        </row>
        <row r="70">
          <cell r="A70" t="str">
            <v>S16-0067</v>
          </cell>
          <cell r="B70" t="str">
            <v>安曇野赤十字病院_0067 (2)</v>
          </cell>
          <cell r="C70" t="str">
            <v>SR#4184507</v>
          </cell>
          <cell r="D70" t="str">
            <v>2016/01/21-09</v>
          </cell>
          <cell r="E70" t="str">
            <v>無償</v>
          </cell>
          <cell r="F70">
            <v>42396</v>
          </cell>
          <cell r="G70">
            <v>42396</v>
          </cell>
          <cell r="H70">
            <v>42410</v>
          </cell>
          <cell r="I70" t="str">
            <v>不明</v>
          </cell>
          <cell r="K70" t="str">
            <v>梶田</v>
          </cell>
          <cell r="L70">
            <v>3</v>
          </cell>
          <cell r="M70" t="str">
            <v>EDGE</v>
          </cell>
          <cell r="N70" t="str">
            <v>03X683</v>
          </cell>
          <cell r="O70" t="str">
            <v>P16360-04</v>
          </cell>
          <cell r="P70" t="str">
            <v>株式会社エム・イー　松本支店</v>
          </cell>
          <cell r="Q70" t="str">
            <v>三村　様</v>
          </cell>
          <cell r="R70" t="str">
            <v>〒399-0033 長野県松本市笹賀7600-11</v>
          </cell>
          <cell r="S70" t="str">
            <v>0263-87-7510</v>
          </cell>
          <cell r="T70" t="str">
            <v>0263-87-7509</v>
          </cell>
          <cell r="U70" t="str">
            <v>安曇野赤十字病院</v>
          </cell>
          <cell r="V70" t="str">
            <v>-</v>
          </cell>
          <cell r="W70" t="str">
            <v>-</v>
          </cell>
          <cell r="X70" t="str">
            <v>0263-72-3170</v>
          </cell>
          <cell r="Y70" t="str">
            <v>〒399-8292 長野県安曇野市豊科5685</v>
          </cell>
          <cell r="AA70" t="str">
            <v>P15615-03</v>
          </cell>
          <cell r="AB70" t="str">
            <v/>
          </cell>
          <cell r="AC70" t="str">
            <v/>
          </cell>
          <cell r="AD70" t="str">
            <v/>
          </cell>
          <cell r="AE70" t="str">
            <v/>
          </cell>
          <cell r="AF70" t="str">
            <v/>
          </cell>
          <cell r="AG70" t="str">
            <v/>
          </cell>
          <cell r="AH70" t="str">
            <v/>
          </cell>
          <cell r="AI70" t="str">
            <v/>
          </cell>
          <cell r="AJ70" t="str">
            <v/>
          </cell>
          <cell r="AK70" t="str">
            <v>SERVICE ASSEMBLY, MAIN PCBA, EDGE</v>
          </cell>
          <cell r="AL70" t="str">
            <v/>
          </cell>
          <cell r="AM70" t="str">
            <v/>
          </cell>
          <cell r="AN70" t="str">
            <v/>
          </cell>
          <cell r="AO70" t="str">
            <v/>
          </cell>
          <cell r="AP70" t="str">
            <v/>
          </cell>
          <cell r="AQ70" t="str">
            <v/>
          </cell>
          <cell r="AR70" t="str">
            <v/>
          </cell>
          <cell r="AS70" t="str">
            <v/>
          </cell>
          <cell r="AT70" t="str">
            <v/>
          </cell>
          <cell r="AU70">
            <v>41640</v>
          </cell>
        </row>
        <row r="71">
          <cell r="A71" t="str">
            <v>S16-0068</v>
          </cell>
          <cell r="B71" t="str">
            <v>呉医療センター_0068 (2)</v>
          </cell>
          <cell r="C71" t="str">
            <v>SR#</v>
          </cell>
          <cell r="D71" t="str">
            <v>-</v>
          </cell>
          <cell r="E71" t="str">
            <v>有償</v>
          </cell>
          <cell r="F71">
            <v>42397</v>
          </cell>
          <cell r="G71">
            <v>42397</v>
          </cell>
          <cell r="H71">
            <v>42446</v>
          </cell>
          <cell r="I71" t="str">
            <v>不明</v>
          </cell>
          <cell r="K71" t="str">
            <v>梶田</v>
          </cell>
          <cell r="L71">
            <v>5</v>
          </cell>
          <cell r="M71" t="str">
            <v>iLook25</v>
          </cell>
          <cell r="N71" t="str">
            <v>037RQG</v>
          </cell>
          <cell r="O71" t="str">
            <v>P04303-02</v>
          </cell>
          <cell r="P71" t="str">
            <v>日本コヴィディエン株式会社　中四国営業所</v>
          </cell>
          <cell r="Q71" t="str">
            <v>福永様</v>
          </cell>
          <cell r="R71" t="str">
            <v>〒158-8615  東京都世田谷区用賀 4-10-5  世田谷ﾋﾞｼﾞﾈｽｽｸｴｱﾋﾙｽﾞⅣ 2F</v>
          </cell>
          <cell r="S71" t="str">
            <v>03-5717-0517</v>
          </cell>
          <cell r="T71" t="str">
            <v>03-5717-0507</v>
          </cell>
          <cell r="U71" t="str">
            <v>呉医療センター</v>
          </cell>
          <cell r="V71" t="str">
            <v>-</v>
          </cell>
          <cell r="W71" t="str">
            <v>-</v>
          </cell>
          <cell r="X71" t="str">
            <v>0823-22-3111</v>
          </cell>
          <cell r="Y71" t="str">
            <v>〒737-0023 広島県呉市青山町3-1</v>
          </cell>
          <cell r="AA71" t="str">
            <v>P01911-04</v>
          </cell>
          <cell r="AB71" t="str">
            <v/>
          </cell>
          <cell r="AC71" t="str">
            <v/>
          </cell>
          <cell r="AD71" t="str">
            <v/>
          </cell>
          <cell r="AE71" t="str">
            <v/>
          </cell>
          <cell r="AF71" t="str">
            <v/>
          </cell>
          <cell r="AG71" t="str">
            <v/>
          </cell>
          <cell r="AH71" t="str">
            <v/>
          </cell>
          <cell r="AI71" t="str">
            <v/>
          </cell>
          <cell r="AJ71" t="str">
            <v/>
          </cell>
          <cell r="AK71" t="str">
            <v>BATTERY PACK, 3 CELL, LITHIUM-ION, ILOOK, HIGH CAPACITY</v>
          </cell>
          <cell r="AL71" t="str">
            <v/>
          </cell>
          <cell r="AM71" t="str">
            <v/>
          </cell>
          <cell r="AN71" t="str">
            <v/>
          </cell>
          <cell r="AO71" t="str">
            <v/>
          </cell>
          <cell r="AP71" t="str">
            <v/>
          </cell>
          <cell r="AQ71" t="str">
            <v/>
          </cell>
          <cell r="AR71" t="str">
            <v/>
          </cell>
          <cell r="AS71" t="str">
            <v/>
          </cell>
          <cell r="AT71" t="str">
            <v/>
          </cell>
          <cell r="AU71">
            <v>39083</v>
          </cell>
        </row>
        <row r="72">
          <cell r="A72" t="str">
            <v>S16-0069</v>
          </cell>
          <cell r="B72" t="str">
            <v>市立札幌病院_0069 (2)</v>
          </cell>
          <cell r="C72" t="str">
            <v>SR#</v>
          </cell>
          <cell r="D72" t="str">
            <v>2016/01/21-08</v>
          </cell>
          <cell r="E72" t="str">
            <v>有償</v>
          </cell>
          <cell r="F72">
            <v>42397</v>
          </cell>
          <cell r="G72">
            <v>42397</v>
          </cell>
          <cell r="H72">
            <v>42418</v>
          </cell>
          <cell r="I72" t="str">
            <v>不明</v>
          </cell>
          <cell r="K72" t="str">
            <v>高橋</v>
          </cell>
          <cell r="L72">
            <v>5</v>
          </cell>
          <cell r="M72" t="str">
            <v>180Ⅱ</v>
          </cell>
          <cell r="N72" t="str">
            <v>030HFC</v>
          </cell>
          <cell r="O72" t="str">
            <v>P02997-01</v>
          </cell>
          <cell r="P72" t="str">
            <v>株式会社竹山　中央支店</v>
          </cell>
          <cell r="Q72" t="str">
            <v>高橋様</v>
          </cell>
          <cell r="R72" t="str">
            <v>〒003-0021　北海道札幌市白石区栄通4丁目3番1号</v>
          </cell>
          <cell r="S72" t="str">
            <v>011-859-8714</v>
          </cell>
          <cell r="T72" t="str">
            <v>011-859-8725</v>
          </cell>
          <cell r="U72" t="str">
            <v>市立札幌病院</v>
          </cell>
          <cell r="V72" t="str">
            <v>-</v>
          </cell>
          <cell r="W72" t="str">
            <v>7階西病棟</v>
          </cell>
          <cell r="X72" t="str">
            <v>011-726-2211</v>
          </cell>
          <cell r="Y72" t="str">
            <v>〒060-8604　北海道札幌市中央区北11条西13丁目1-1</v>
          </cell>
          <cell r="AA72" t="str">
            <v>P00104-02</v>
          </cell>
          <cell r="AB72" t="str">
            <v>P00340-02</v>
          </cell>
          <cell r="AC72" t="str">
            <v>P00049-04</v>
          </cell>
          <cell r="AD72" t="str">
            <v/>
          </cell>
          <cell r="AE72" t="str">
            <v/>
          </cell>
          <cell r="AF72" t="str">
            <v/>
          </cell>
          <cell r="AG72" t="str">
            <v/>
          </cell>
          <cell r="AH72" t="str">
            <v/>
          </cell>
          <cell r="AI72" t="str">
            <v/>
          </cell>
          <cell r="AJ72" t="str">
            <v/>
          </cell>
          <cell r="AK72" t="str">
            <v>KEY, ON/OFF</v>
          </cell>
          <cell r="AL72" t="str">
            <v>LENS, DISPLAY</v>
          </cell>
          <cell r="AM72" t="str">
            <v>BATTERY PACK, 6 CELL LITHIUM-ION, 180</v>
          </cell>
          <cell r="AN72" t="str">
            <v/>
          </cell>
          <cell r="AO72" t="str">
            <v/>
          </cell>
          <cell r="AP72" t="str">
            <v/>
          </cell>
          <cell r="AQ72" t="str">
            <v/>
          </cell>
          <cell r="AR72" t="str">
            <v/>
          </cell>
          <cell r="AS72" t="str">
            <v/>
          </cell>
          <cell r="AT72" t="str">
            <v/>
          </cell>
          <cell r="AU72">
            <v>37500</v>
          </cell>
        </row>
        <row r="73">
          <cell r="A73" t="str">
            <v>S16-0070</v>
          </cell>
          <cell r="B73" t="str">
            <v>東京医大茨城医療センター_0070 (2)</v>
          </cell>
          <cell r="C73" t="str">
            <v>SR#</v>
          </cell>
          <cell r="D73" t="str">
            <v>-</v>
          </cell>
          <cell r="E73" t="str">
            <v>有償</v>
          </cell>
          <cell r="F73">
            <v>42397</v>
          </cell>
          <cell r="G73">
            <v>42397</v>
          </cell>
          <cell r="H73">
            <v>42436</v>
          </cell>
          <cell r="I73" t="str">
            <v>不明</v>
          </cell>
          <cell r="K73" t="str">
            <v>梶田</v>
          </cell>
          <cell r="L73">
            <v>3</v>
          </cell>
          <cell r="M73" t="str">
            <v>V-Universal Stand</v>
          </cell>
          <cell r="N73" t="str">
            <v>WK0ZRX</v>
          </cell>
          <cell r="O73" t="str">
            <v>P13383-25</v>
          </cell>
          <cell r="P73" t="str">
            <v>日本コヴィディエン株式会社　東京第二営業所</v>
          </cell>
          <cell r="Q73" t="str">
            <v>出口様</v>
          </cell>
          <cell r="R73" t="str">
            <v>〒158-8615  東京都世田谷区用賀 4-10-5  世田谷ﾋﾞｼﾞﾈｽｽｸｴｱﾋﾙｽﾞⅣ 2F</v>
          </cell>
          <cell r="S73" t="str">
            <v>03-5717-0517</v>
          </cell>
          <cell r="T73" t="str">
            <v>03-5717-0507</v>
          </cell>
          <cell r="U73" t="str">
            <v>東京医科大学茨城医療センター</v>
          </cell>
          <cell r="V73" t="str">
            <v>-</v>
          </cell>
          <cell r="W73" t="str">
            <v>-</v>
          </cell>
          <cell r="X73" t="str">
            <v>029-887-1161</v>
          </cell>
          <cell r="Y73" t="str">
            <v xml:space="preserve">〒300-0395 茨城県稲敷郡阿見町中央3-20-1 </v>
          </cell>
          <cell r="AA73" t="str">
            <v/>
          </cell>
          <cell r="AB73" t="str">
            <v/>
          </cell>
          <cell r="AC73" t="str">
            <v/>
          </cell>
          <cell r="AD73" t="str">
            <v/>
          </cell>
          <cell r="AE73" t="str">
            <v/>
          </cell>
          <cell r="AF73" t="str">
            <v/>
          </cell>
          <cell r="AG73" t="str">
            <v/>
          </cell>
          <cell r="AH73" t="str">
            <v/>
          </cell>
          <cell r="AI73" t="str">
            <v/>
          </cell>
          <cell r="AJ73" t="str">
            <v/>
          </cell>
          <cell r="AK73" t="str">
            <v/>
          </cell>
          <cell r="AL73" t="str">
            <v/>
          </cell>
          <cell r="AM73" t="str">
            <v/>
          </cell>
          <cell r="AN73" t="str">
            <v/>
          </cell>
          <cell r="AO73" t="str">
            <v/>
          </cell>
          <cell r="AP73" t="str">
            <v/>
          </cell>
          <cell r="AQ73" t="str">
            <v/>
          </cell>
          <cell r="AR73" t="str">
            <v/>
          </cell>
          <cell r="AS73" t="str">
            <v/>
          </cell>
          <cell r="AT73" t="str">
            <v/>
          </cell>
          <cell r="AU73">
            <v>41000</v>
          </cell>
        </row>
        <row r="74">
          <cell r="A74" t="str">
            <v>S16-0071</v>
          </cell>
          <cell r="B74" t="str">
            <v>菊名記念病院_0071 (2)</v>
          </cell>
          <cell r="C74" t="str">
            <v>SR#不要</v>
          </cell>
          <cell r="D74" t="str">
            <v>-</v>
          </cell>
          <cell r="E74" t="str">
            <v>有償</v>
          </cell>
          <cell r="F74">
            <v>42397</v>
          </cell>
          <cell r="G74">
            <v>42397</v>
          </cell>
          <cell r="H74">
            <v>42475</v>
          </cell>
          <cell r="I74" t="str">
            <v>不明</v>
          </cell>
          <cell r="K74" t="str">
            <v>梶田</v>
          </cell>
          <cell r="L74">
            <v>3</v>
          </cell>
          <cell r="M74" t="str">
            <v>iLook25</v>
          </cell>
          <cell r="N74" t="str">
            <v>03DW76</v>
          </cell>
          <cell r="O74" t="str">
            <v>P04303-02</v>
          </cell>
          <cell r="P74" t="str">
            <v>日本コヴィディエン株式会社　神奈川営業所</v>
          </cell>
          <cell r="Q74" t="str">
            <v>渡邊様</v>
          </cell>
          <cell r="R74" t="str">
            <v xml:space="preserve">
〒108-0075  東京都港区港南一丁目2番70号　品川シーズンテラス　22F</v>
          </cell>
          <cell r="S74" t="str">
            <v>03-6774-4629</v>
          </cell>
          <cell r="T74" t="str">
            <v>03-6774-4740</v>
          </cell>
          <cell r="U74" t="str">
            <v>菊名記念病院</v>
          </cell>
          <cell r="V74" t="str">
            <v>-</v>
          </cell>
          <cell r="W74" t="str">
            <v>-</v>
          </cell>
          <cell r="X74" t="str">
            <v>045-402-7111</v>
          </cell>
          <cell r="Y74" t="str">
            <v>〒222-0011　神奈川県横浜市港北区菊名4-4-27</v>
          </cell>
          <cell r="AA74" t="str">
            <v>P02347-02</v>
          </cell>
          <cell r="AB74" t="str">
            <v>P03029-02</v>
          </cell>
          <cell r="AC74" t="str">
            <v/>
          </cell>
          <cell r="AD74" t="str">
            <v/>
          </cell>
          <cell r="AE74" t="str">
            <v/>
          </cell>
          <cell r="AF74" t="str">
            <v/>
          </cell>
          <cell r="AG74" t="str">
            <v/>
          </cell>
          <cell r="AH74" t="str">
            <v/>
          </cell>
          <cell r="AI74" t="str">
            <v/>
          </cell>
          <cell r="AJ74" t="str">
            <v/>
          </cell>
          <cell r="AK74" t="str">
            <v>ASSEMBLY, PCB, ILOOK, DOCK CONNECTOR</v>
          </cell>
          <cell r="AL74" t="str">
            <v>ASSEMBLY, PCB, iLOOK,STAND</v>
          </cell>
          <cell r="AM74" t="str">
            <v/>
          </cell>
          <cell r="AN74" t="str">
            <v/>
          </cell>
          <cell r="AO74" t="str">
            <v/>
          </cell>
          <cell r="AP74" t="str">
            <v/>
          </cell>
          <cell r="AQ74" t="str">
            <v/>
          </cell>
          <cell r="AR74" t="str">
            <v/>
          </cell>
          <cell r="AS74" t="str">
            <v/>
          </cell>
          <cell r="AT74" t="str">
            <v/>
          </cell>
          <cell r="AU74">
            <v>39845</v>
          </cell>
        </row>
        <row r="75">
          <cell r="A75" t="str">
            <v>S16-0072</v>
          </cell>
          <cell r="B75" t="str">
            <v>助産院ツルマタニティクリニック_0072 (2)</v>
          </cell>
          <cell r="C75" t="str">
            <v>SR#</v>
          </cell>
          <cell r="D75" t="str">
            <v>2016/01/21-06</v>
          </cell>
          <cell r="E75" t="str">
            <v>有償</v>
          </cell>
          <cell r="F75">
            <v>42397</v>
          </cell>
          <cell r="G75">
            <v>42397</v>
          </cell>
          <cell r="H75">
            <v>42424</v>
          </cell>
          <cell r="I75" t="str">
            <v>不明</v>
          </cell>
          <cell r="K75" t="str">
            <v>梶田</v>
          </cell>
          <cell r="L75">
            <v>3</v>
          </cell>
          <cell r="M75" t="str">
            <v>180Plus</v>
          </cell>
          <cell r="N75" t="str">
            <v>030JFW</v>
          </cell>
          <cell r="O75" t="str">
            <v>P02998-01</v>
          </cell>
          <cell r="P75" t="str">
            <v>宮野医療器株式会社　本社</v>
          </cell>
          <cell r="Q75" t="str">
            <v>利根川様</v>
          </cell>
          <cell r="R75" t="str">
            <v>〒650-8677　兵庫県神戸市中央区楠町2-3-11</v>
          </cell>
          <cell r="S75" t="str">
            <v>078-371-2117</v>
          </cell>
          <cell r="T75" t="str">
            <v>078-371-2697</v>
          </cell>
          <cell r="U75" t="str">
            <v>助産院ツルマタニティクリニック</v>
          </cell>
          <cell r="V75" t="str">
            <v>立山様</v>
          </cell>
          <cell r="W75" t="str">
            <v>-</v>
          </cell>
          <cell r="X75" t="str">
            <v>0798-32-4103</v>
          </cell>
          <cell r="Y75" t="str">
            <v>〒662-0975　兵庫県西宮市市庭町6-19</v>
          </cell>
          <cell r="AA75" t="str">
            <v>P00104-02</v>
          </cell>
          <cell r="AB75" t="str">
            <v>P00343-01</v>
          </cell>
          <cell r="AC75" t="str">
            <v>P00340-02</v>
          </cell>
          <cell r="AD75" t="str">
            <v>P01213-01</v>
          </cell>
          <cell r="AE75" t="str">
            <v/>
          </cell>
          <cell r="AF75" t="str">
            <v/>
          </cell>
          <cell r="AG75" t="str">
            <v/>
          </cell>
          <cell r="AH75" t="str">
            <v/>
          </cell>
          <cell r="AI75" t="str">
            <v/>
          </cell>
          <cell r="AJ75" t="str">
            <v/>
          </cell>
          <cell r="AK75" t="str">
            <v>KEY, ON/OFF</v>
          </cell>
          <cell r="AL75" t="str">
            <v>HINGE, DISPLAY</v>
          </cell>
          <cell r="AM75" t="str">
            <v>LENS, DISPLAY</v>
          </cell>
          <cell r="AN75" t="str">
            <v>FLEX CIRCUIT, FAB, C1 DISPLAY</v>
          </cell>
          <cell r="AO75" t="str">
            <v/>
          </cell>
          <cell r="AP75" t="str">
            <v/>
          </cell>
          <cell r="AQ75" t="str">
            <v/>
          </cell>
          <cell r="AR75" t="str">
            <v/>
          </cell>
          <cell r="AS75" t="str">
            <v/>
          </cell>
          <cell r="AT75" t="str">
            <v/>
          </cell>
          <cell r="AU75">
            <v>37773</v>
          </cell>
        </row>
        <row r="76">
          <cell r="A76" t="str">
            <v>S16-0073</v>
          </cell>
          <cell r="B76" t="str">
            <v>NIM31_0073 (2)</v>
          </cell>
          <cell r="C76" t="str">
            <v>SR#4186415</v>
          </cell>
          <cell r="D76" t="str">
            <v>-</v>
          </cell>
          <cell r="E76" t="str">
            <v>無償</v>
          </cell>
          <cell r="F76">
            <v>42397</v>
          </cell>
          <cell r="G76">
            <v>42397</v>
          </cell>
          <cell r="H76">
            <v>42405</v>
          </cell>
          <cell r="I76" t="str">
            <v>―</v>
          </cell>
          <cell r="K76" t="str">
            <v>森</v>
          </cell>
          <cell r="L76">
            <v>3</v>
          </cell>
          <cell r="M76" t="str">
            <v>MicroMaxx</v>
          </cell>
          <cell r="N76" t="str">
            <v>034K5W</v>
          </cell>
          <cell r="O76" t="str">
            <v>P05670-01</v>
          </cell>
          <cell r="P76" t="str">
            <v>富士フイルムメディカル株式会社</v>
          </cell>
          <cell r="Q76" t="str">
            <v>テクニカルサポート</v>
          </cell>
          <cell r="R76" t="str">
            <v>-</v>
          </cell>
          <cell r="S76" t="str">
            <v>03-6418-7190</v>
          </cell>
          <cell r="T76" t="str">
            <v>03-6418-7162</v>
          </cell>
          <cell r="U76" t="str">
            <v>代替機　NIM31</v>
          </cell>
          <cell r="V76" t="str">
            <v>-</v>
          </cell>
          <cell r="W76" t="str">
            <v>-</v>
          </cell>
          <cell r="X76" t="str">
            <v>-</v>
          </cell>
          <cell r="Y76" t="str">
            <v>-</v>
          </cell>
          <cell r="AA76" t="str">
            <v>P18035-01</v>
          </cell>
          <cell r="AB76" t="str">
            <v>P19080-01</v>
          </cell>
          <cell r="AC76" t="str">
            <v>P18035-01</v>
          </cell>
          <cell r="AD76" t="str">
            <v/>
          </cell>
          <cell r="AE76" t="str">
            <v/>
          </cell>
          <cell r="AF76" t="str">
            <v/>
          </cell>
          <cell r="AG76" t="str">
            <v/>
          </cell>
          <cell r="AH76" t="str">
            <v/>
          </cell>
          <cell r="AI76" t="str">
            <v/>
          </cell>
          <cell r="AJ76" t="str">
            <v/>
          </cell>
          <cell r="AK76" t="str">
            <v>Kycon Connecto</v>
          </cell>
          <cell r="AL76" t="str">
            <v>Connector Brackets</v>
          </cell>
          <cell r="AM76" t="str">
            <v>Bracket screws　×2</v>
          </cell>
          <cell r="AN76" t="str">
            <v/>
          </cell>
          <cell r="AO76" t="str">
            <v/>
          </cell>
          <cell r="AP76" t="str">
            <v/>
          </cell>
          <cell r="AQ76" t="str">
            <v/>
          </cell>
          <cell r="AR76" t="str">
            <v/>
          </cell>
          <cell r="AS76" t="str">
            <v/>
          </cell>
          <cell r="AT76" t="str">
            <v/>
          </cell>
          <cell r="AU76">
            <v>38565</v>
          </cell>
        </row>
        <row r="77">
          <cell r="A77" t="str">
            <v>S16-0074</v>
          </cell>
          <cell r="B77" t="str">
            <v>小張総合病院_0074 (2)</v>
          </cell>
          <cell r="C77" t="str">
            <v>SR#不要</v>
          </cell>
          <cell r="D77" t="str">
            <v>-</v>
          </cell>
          <cell r="E77" t="str">
            <v>有償</v>
          </cell>
          <cell r="F77">
            <v>42398</v>
          </cell>
          <cell r="G77">
            <v>42398</v>
          </cell>
          <cell r="H77">
            <v>42433</v>
          </cell>
          <cell r="I77" t="str">
            <v>2008年9月</v>
          </cell>
          <cell r="K77" t="str">
            <v>梶田</v>
          </cell>
          <cell r="L77">
            <v>3</v>
          </cell>
          <cell r="M77" t="str">
            <v>iLook25</v>
          </cell>
          <cell r="N77" t="str">
            <v>03BLQZ</v>
          </cell>
          <cell r="O77" t="str">
            <v>P04303-02</v>
          </cell>
          <cell r="P77" t="str">
            <v>日本コヴィディエン株式会社　南関東営業所</v>
          </cell>
          <cell r="Q77" t="str">
            <v>中村様</v>
          </cell>
          <cell r="R77" t="str">
            <v>〒158-8615  東京都世田谷区用賀 4-10-5  世田谷ﾋﾞｼﾞﾈｽｽｸｴｱﾋﾙｽﾞⅣ 2F</v>
          </cell>
          <cell r="S77" t="str">
            <v>03-5717-0517</v>
          </cell>
          <cell r="T77" t="str">
            <v>03-5717-0507</v>
          </cell>
          <cell r="U77" t="str">
            <v>小張総合病院</v>
          </cell>
          <cell r="V77" t="str">
            <v>-</v>
          </cell>
          <cell r="W77" t="str">
            <v>-</v>
          </cell>
          <cell r="X77" t="str">
            <v>04-7124-6666</v>
          </cell>
          <cell r="Y77" t="str">
            <v>〒278-8501 千葉県野田市横内29-1</v>
          </cell>
          <cell r="AA77" t="str">
            <v>P03029-02</v>
          </cell>
          <cell r="AB77" t="str">
            <v>P00855-01</v>
          </cell>
          <cell r="AC77" t="str">
            <v/>
          </cell>
          <cell r="AD77" t="str">
            <v/>
          </cell>
          <cell r="AE77" t="str">
            <v/>
          </cell>
          <cell r="AF77" t="str">
            <v/>
          </cell>
          <cell r="AG77" t="str">
            <v/>
          </cell>
          <cell r="AH77" t="str">
            <v/>
          </cell>
          <cell r="AI77" t="str">
            <v/>
          </cell>
          <cell r="AJ77" t="str">
            <v/>
          </cell>
          <cell r="AK77" t="str">
            <v>ASSEMBLY, PCB, iLOOK,STAND</v>
          </cell>
          <cell r="AL77" t="str">
            <v>CORDSET, 15 AMP ,C13 CONNECTOR,JAPANESE</v>
          </cell>
          <cell r="AM77" t="str">
            <v/>
          </cell>
          <cell r="AN77" t="str">
            <v/>
          </cell>
          <cell r="AO77" t="str">
            <v/>
          </cell>
          <cell r="AP77" t="str">
            <v/>
          </cell>
          <cell r="AQ77" t="str">
            <v/>
          </cell>
          <cell r="AR77" t="str">
            <v/>
          </cell>
          <cell r="AS77" t="str">
            <v/>
          </cell>
          <cell r="AT77" t="str">
            <v/>
          </cell>
          <cell r="AU77">
            <v>39630</v>
          </cell>
        </row>
        <row r="78">
          <cell r="A78" t="str">
            <v>S16-0075</v>
          </cell>
          <cell r="B78" t="str">
            <v>慈恵葛飾医療センター_0075 (2)</v>
          </cell>
          <cell r="C78" t="str">
            <v>SR#</v>
          </cell>
          <cell r="D78" t="str">
            <v>2016/01/27-05</v>
          </cell>
          <cell r="E78" t="str">
            <v>有償</v>
          </cell>
          <cell r="F78">
            <v>42398</v>
          </cell>
          <cell r="G78">
            <v>42398</v>
          </cell>
          <cell r="H78">
            <v>42555</v>
          </cell>
          <cell r="I78" t="str">
            <v>不明</v>
          </cell>
          <cell r="K78" t="str">
            <v>馬屋原</v>
          </cell>
          <cell r="L78" t="str">
            <v>-</v>
          </cell>
          <cell r="M78" t="str">
            <v>Edge-Dock</v>
          </cell>
          <cell r="N78" t="str">
            <v>WK2FZT</v>
          </cell>
          <cell r="O78" t="str">
            <v>P16370-01</v>
          </cell>
          <cell r="P78" t="str">
            <v>株式会社栗原医療器械店　城東営業所</v>
          </cell>
          <cell r="Q78" t="str">
            <v>平川 様</v>
          </cell>
          <cell r="R78" t="str">
            <v>〒121-0055　東京都足立区加平3-7-18</v>
          </cell>
          <cell r="S78" t="str">
            <v>03-5613-8088</v>
          </cell>
          <cell r="T78" t="str">
            <v>03-5616-1510</v>
          </cell>
          <cell r="U78" t="str">
            <v>東京慈恵会医科大学葛飾医療センター</v>
          </cell>
          <cell r="V78" t="str">
            <v>-</v>
          </cell>
          <cell r="W78" t="str">
            <v>-</v>
          </cell>
          <cell r="X78" t="str">
            <v>03-3603-2111</v>
          </cell>
          <cell r="Y78" t="str">
            <v>〒125-8506　東京都葛飾区青戸6-41-2</v>
          </cell>
          <cell r="AA78" t="str">
            <v>P15078-40</v>
          </cell>
          <cell r="AB78" t="str">
            <v/>
          </cell>
          <cell r="AC78" t="str">
            <v/>
          </cell>
          <cell r="AD78" t="str">
            <v/>
          </cell>
          <cell r="AE78" t="str">
            <v/>
          </cell>
          <cell r="AF78" t="str">
            <v/>
          </cell>
          <cell r="AG78" t="str">
            <v/>
          </cell>
          <cell r="AH78" t="str">
            <v/>
          </cell>
          <cell r="AI78" t="str">
            <v/>
          </cell>
          <cell r="AJ78" t="str">
            <v/>
          </cell>
          <cell r="AK78" t="str">
            <v>MINIDOCK, DESKTOP VERSION, EDGE</v>
          </cell>
          <cell r="AL78" t="str">
            <v/>
          </cell>
          <cell r="AM78" t="str">
            <v/>
          </cell>
          <cell r="AN78" t="str">
            <v/>
          </cell>
          <cell r="AO78" t="str">
            <v/>
          </cell>
          <cell r="AP78" t="str">
            <v/>
          </cell>
          <cell r="AQ78" t="str">
            <v/>
          </cell>
          <cell r="AR78" t="str">
            <v/>
          </cell>
          <cell r="AS78" t="str">
            <v/>
          </cell>
          <cell r="AT78" t="str">
            <v/>
          </cell>
          <cell r="AU78">
            <v>41760</v>
          </cell>
        </row>
        <row r="79">
          <cell r="A79" t="str">
            <v>S16-0076</v>
          </cell>
          <cell r="B79" t="str">
            <v>岩手県立宮古病院_0076 (2)</v>
          </cell>
          <cell r="C79" t="str">
            <v>SR#</v>
          </cell>
          <cell r="D79" t="str">
            <v>2016/01/27-02</v>
          </cell>
          <cell r="E79" t="str">
            <v>有償</v>
          </cell>
          <cell r="F79">
            <v>42398</v>
          </cell>
          <cell r="G79">
            <v>42398</v>
          </cell>
          <cell r="H79">
            <v>42431</v>
          </cell>
          <cell r="I79" t="str">
            <v>不明</v>
          </cell>
          <cell r="K79">
            <v>0</v>
          </cell>
          <cell r="M79" t="str">
            <v>180Plus</v>
          </cell>
          <cell r="N79" t="str">
            <v>03015V</v>
          </cell>
          <cell r="O79" t="str">
            <v>P02650-02</v>
          </cell>
          <cell r="P79" t="str">
            <v>共立医科器械株式会社</v>
          </cell>
          <cell r="Q79" t="str">
            <v>菊池様</v>
          </cell>
          <cell r="R79" t="str">
            <v>〒020-0013　岩手県盛岡市愛宕町15-9</v>
          </cell>
          <cell r="S79" t="str">
            <v>019-623-1205</v>
          </cell>
          <cell r="T79" t="str">
            <v>019-653-5301</v>
          </cell>
          <cell r="U79" t="str">
            <v>岩手県立宮古病院</v>
          </cell>
          <cell r="V79" t="str">
            <v xml:space="preserve">ME 右田様 </v>
          </cell>
          <cell r="W79" t="str">
            <v>救急外来</v>
          </cell>
          <cell r="X79" t="str">
            <v>0193-62-4011</v>
          </cell>
          <cell r="Y79" t="str">
            <v>〒027-0096 岩手県宮古市崎鍬ヶ崎第1地割11番地26</v>
          </cell>
          <cell r="AA79" t="str">
            <v>P00104-02</v>
          </cell>
          <cell r="AB79" t="str">
            <v>P00049-04</v>
          </cell>
          <cell r="AC79" t="str">
            <v/>
          </cell>
          <cell r="AD79" t="str">
            <v/>
          </cell>
          <cell r="AE79" t="str">
            <v/>
          </cell>
          <cell r="AF79" t="str">
            <v/>
          </cell>
          <cell r="AG79" t="str">
            <v/>
          </cell>
          <cell r="AH79" t="str">
            <v/>
          </cell>
          <cell r="AI79" t="str">
            <v/>
          </cell>
          <cell r="AJ79" t="str">
            <v/>
          </cell>
          <cell r="AK79" t="str">
            <v>KEY, ON/OFF</v>
          </cell>
          <cell r="AL79" t="str">
            <v>BATTERY PACK, 6 CELL LITHIUM-ION, 180</v>
          </cell>
          <cell r="AM79" t="str">
            <v/>
          </cell>
          <cell r="AN79" t="str">
            <v/>
          </cell>
          <cell r="AO79" t="str">
            <v/>
          </cell>
          <cell r="AP79" t="str">
            <v/>
          </cell>
          <cell r="AQ79" t="str">
            <v/>
          </cell>
          <cell r="AR79" t="str">
            <v/>
          </cell>
          <cell r="AS79" t="str">
            <v/>
          </cell>
          <cell r="AT79" t="str">
            <v/>
          </cell>
          <cell r="AU79">
            <v>37408</v>
          </cell>
        </row>
        <row r="80">
          <cell r="A80" t="str">
            <v>S16-0077</v>
          </cell>
          <cell r="B80" t="str">
            <v>日光市民病院_0077</v>
          </cell>
          <cell r="C80" t="e">
            <v>#REF!</v>
          </cell>
          <cell r="D80" t="e">
            <v>#REF!</v>
          </cell>
          <cell r="E80" t="e">
            <v>#REF!</v>
          </cell>
          <cell r="F80" t="e">
            <v>#REF!</v>
          </cell>
          <cell r="G80" t="e">
            <v>#REF!</v>
          </cell>
          <cell r="H80" t="e">
            <v>#REF!</v>
          </cell>
          <cell r="I80" t="e">
            <v>#REF!</v>
          </cell>
          <cell r="K80" t="e">
            <v>#REF!</v>
          </cell>
          <cell r="M80" t="e">
            <v>#REF!</v>
          </cell>
          <cell r="N80" t="e">
            <v>#REF!</v>
          </cell>
          <cell r="O80" t="e">
            <v>#REF!</v>
          </cell>
          <cell r="P80" t="e">
            <v>#REF!</v>
          </cell>
          <cell r="Q80" t="e">
            <v>#REF!</v>
          </cell>
          <cell r="S80" t="e">
            <v>#REF!</v>
          </cell>
          <cell r="T80" t="e">
            <v>#REF!</v>
          </cell>
          <cell r="U80" t="e">
            <v>#REF!</v>
          </cell>
          <cell r="X80" t="str">
            <v>0288-50-1188</v>
          </cell>
          <cell r="Y80" t="str">
            <v>〒321-1441　栃木県日光市清滝安良沢町1752-10</v>
          </cell>
          <cell r="AA80" t="e">
            <v>#REF!</v>
          </cell>
          <cell r="AB80" t="e">
            <v>#REF!</v>
          </cell>
          <cell r="AC80" t="e">
            <v>#REF!</v>
          </cell>
          <cell r="AD80" t="e">
            <v>#REF!</v>
          </cell>
          <cell r="AE80" t="e">
            <v>#REF!</v>
          </cell>
          <cell r="AF80" t="e">
            <v>#REF!</v>
          </cell>
          <cell r="AG80" t="e">
            <v>#REF!</v>
          </cell>
          <cell r="AH80" t="e">
            <v>#REF!</v>
          </cell>
          <cell r="AI80" t="e">
            <v>#REF!</v>
          </cell>
          <cell r="AJ80" t="e">
            <v>#REF!</v>
          </cell>
          <cell r="AK80" t="e">
            <v>#REF!</v>
          </cell>
          <cell r="AL80" t="e">
            <v>#REF!</v>
          </cell>
          <cell r="AM80" t="e">
            <v>#REF!</v>
          </cell>
          <cell r="AN80" t="e">
            <v>#REF!</v>
          </cell>
          <cell r="AO80" t="e">
            <v>#REF!</v>
          </cell>
          <cell r="AP80" t="e">
            <v>#REF!</v>
          </cell>
          <cell r="AQ80" t="e">
            <v>#REF!</v>
          </cell>
          <cell r="AR80" t="e">
            <v>#REF!</v>
          </cell>
          <cell r="AS80" t="e">
            <v>#REF!</v>
          </cell>
          <cell r="AT80" t="e">
            <v>#REF!</v>
          </cell>
          <cell r="AU80" t="e">
            <v>#REF!</v>
          </cell>
        </row>
        <row r="81">
          <cell r="A81" t="str">
            <v>S16-0078</v>
          </cell>
          <cell r="B81" t="str">
            <v>長崎医療センター_0078 (2)</v>
          </cell>
          <cell r="C81" t="str">
            <v>SR#不要</v>
          </cell>
          <cell r="D81" t="str">
            <v>2016/01/20-06</v>
          </cell>
          <cell r="E81" t="str">
            <v>無償</v>
          </cell>
          <cell r="F81">
            <v>42401</v>
          </cell>
          <cell r="G81">
            <v>42401</v>
          </cell>
          <cell r="H81">
            <v>42415</v>
          </cell>
          <cell r="I81">
            <v>42122</v>
          </cell>
          <cell r="K81" t="str">
            <v>梶田</v>
          </cell>
          <cell r="L81">
            <v>3</v>
          </cell>
          <cell r="M81" t="str">
            <v>UP-897MD</v>
          </cell>
          <cell r="N81" t="str">
            <v>39686</v>
          </cell>
          <cell r="O81" t="str">
            <v>-</v>
          </cell>
          <cell r="P81" t="str">
            <v>アイティーアイ株式会社　大村支店</v>
          </cell>
          <cell r="Q81" t="str">
            <v>中村　様</v>
          </cell>
          <cell r="R81" t="str">
            <v>〒856-0817　長崎県大村市古賀島町91-2</v>
          </cell>
          <cell r="S81" t="str">
            <v>0957-54-8331</v>
          </cell>
          <cell r="T81" t="str">
            <v>0957-54-8332</v>
          </cell>
          <cell r="U81" t="str">
            <v>独立行政法人　国立病院機構　長崎医療センター</v>
          </cell>
          <cell r="V81" t="str">
            <v>-</v>
          </cell>
          <cell r="W81" t="str">
            <v>救急部</v>
          </cell>
          <cell r="X81" t="str">
            <v>0957-52-3121</v>
          </cell>
          <cell r="Y81" t="str">
            <v>〒856-8562 長崎県大村市久原2丁目1001-1</v>
          </cell>
          <cell r="AA81">
            <v>871905269</v>
          </cell>
          <cell r="AB81" t="str">
            <v/>
          </cell>
          <cell r="AC81" t="str">
            <v/>
          </cell>
          <cell r="AD81" t="str">
            <v/>
          </cell>
          <cell r="AE81" t="str">
            <v/>
          </cell>
          <cell r="AF81" t="str">
            <v/>
          </cell>
          <cell r="AG81" t="str">
            <v/>
          </cell>
          <cell r="AH81" t="str">
            <v/>
          </cell>
          <cell r="AI81" t="str">
            <v/>
          </cell>
          <cell r="AJ81" t="str">
            <v/>
          </cell>
          <cell r="AK81" t="str">
            <v>ダイオード RPI-352</v>
          </cell>
          <cell r="AL81" t="str">
            <v/>
          </cell>
          <cell r="AM81" t="str">
            <v/>
          </cell>
          <cell r="AN81" t="str">
            <v/>
          </cell>
          <cell r="AO81" t="str">
            <v/>
          </cell>
          <cell r="AP81" t="str">
            <v/>
          </cell>
          <cell r="AQ81" t="str">
            <v/>
          </cell>
          <cell r="AR81" t="str">
            <v/>
          </cell>
          <cell r="AS81" t="str">
            <v/>
          </cell>
          <cell r="AT81" t="str">
            <v/>
          </cell>
          <cell r="AU81" t="str">
            <v>-</v>
          </cell>
        </row>
        <row r="82">
          <cell r="A82" t="str">
            <v>S16-0079</v>
          </cell>
          <cell r="B82" t="str">
            <v>代替機NIM67_0079</v>
          </cell>
          <cell r="C82" t="e">
            <v>#REF!</v>
          </cell>
          <cell r="D82" t="e">
            <v>#REF!</v>
          </cell>
          <cell r="E82" t="e">
            <v>#REF!</v>
          </cell>
          <cell r="F82" t="e">
            <v>#REF!</v>
          </cell>
          <cell r="G82" t="e">
            <v>#REF!</v>
          </cell>
          <cell r="H82" t="e">
            <v>#REF!</v>
          </cell>
          <cell r="I82" t="e">
            <v>#REF!</v>
          </cell>
          <cell r="K82" t="e">
            <v>#REF!</v>
          </cell>
          <cell r="M82" t="e">
            <v>#REF!</v>
          </cell>
          <cell r="N82" t="e">
            <v>#REF!</v>
          </cell>
          <cell r="O82" t="e">
            <v>#REF!</v>
          </cell>
          <cell r="P82" t="e">
            <v>#REF!</v>
          </cell>
          <cell r="Q82" t="e">
            <v>#REF!</v>
          </cell>
          <cell r="R82" t="str">
            <v>-</v>
          </cell>
          <cell r="S82" t="e">
            <v>#REF!</v>
          </cell>
          <cell r="T82" t="e">
            <v>#REF!</v>
          </cell>
          <cell r="U82" t="e">
            <v>#REF!</v>
          </cell>
          <cell r="V82" t="str">
            <v>-</v>
          </cell>
          <cell r="W82" t="str">
            <v>-</v>
          </cell>
          <cell r="X82" t="str">
            <v>-</v>
          </cell>
          <cell r="Y82" t="str">
            <v>-</v>
          </cell>
          <cell r="AA82" t="e">
            <v>#REF!</v>
          </cell>
          <cell r="AB82" t="e">
            <v>#REF!</v>
          </cell>
          <cell r="AC82" t="e">
            <v>#REF!</v>
          </cell>
          <cell r="AD82" t="e">
            <v>#REF!</v>
          </cell>
          <cell r="AE82" t="e">
            <v>#REF!</v>
          </cell>
          <cell r="AF82" t="e">
            <v>#REF!</v>
          </cell>
          <cell r="AG82" t="e">
            <v>#REF!</v>
          </cell>
          <cell r="AH82" t="e">
            <v>#REF!</v>
          </cell>
          <cell r="AI82" t="e">
            <v>#REF!</v>
          </cell>
          <cell r="AJ82" t="e">
            <v>#REF!</v>
          </cell>
          <cell r="AK82" t="e">
            <v>#REF!</v>
          </cell>
          <cell r="AL82" t="e">
            <v>#REF!</v>
          </cell>
          <cell r="AM82" t="e">
            <v>#REF!</v>
          </cell>
          <cell r="AN82" t="e">
            <v>#REF!</v>
          </cell>
          <cell r="AO82" t="e">
            <v>#REF!</v>
          </cell>
          <cell r="AP82" t="e">
            <v>#REF!</v>
          </cell>
          <cell r="AQ82" t="e">
            <v>#REF!</v>
          </cell>
          <cell r="AR82" t="e">
            <v>#REF!</v>
          </cell>
          <cell r="AS82" t="e">
            <v>#REF!</v>
          </cell>
          <cell r="AT82" t="e">
            <v>#REF!</v>
          </cell>
          <cell r="AU82" t="e">
            <v>#REF!</v>
          </cell>
        </row>
        <row r="83">
          <cell r="A83" t="str">
            <v>S16-0080</v>
          </cell>
          <cell r="B83" t="str">
            <v>FST55_0080 (2)</v>
          </cell>
          <cell r="C83" t="str">
            <v>SR#4186419</v>
          </cell>
          <cell r="D83" t="str">
            <v>-</v>
          </cell>
          <cell r="E83" t="str">
            <v>無償</v>
          </cell>
          <cell r="F83">
            <v>42402</v>
          </cell>
          <cell r="G83">
            <v>42402</v>
          </cell>
          <cell r="H83">
            <v>42405</v>
          </cell>
          <cell r="I83" t="str">
            <v>-</v>
          </cell>
          <cell r="K83" t="str">
            <v>森</v>
          </cell>
          <cell r="L83">
            <v>3</v>
          </cell>
          <cell r="M83" t="str">
            <v>MicroMaxx</v>
          </cell>
          <cell r="N83" t="str">
            <v>WK0H14</v>
          </cell>
          <cell r="O83" t="str">
            <v>P14179-02</v>
          </cell>
          <cell r="P83" t="str">
            <v>富士フイルムメディカル株式会社</v>
          </cell>
          <cell r="Q83" t="str">
            <v>テクニカルサポート</v>
          </cell>
          <cell r="R83" t="str">
            <v>-</v>
          </cell>
          <cell r="S83" t="str">
            <v>03-6418-7190</v>
          </cell>
          <cell r="T83" t="str">
            <v>03-6418-7162</v>
          </cell>
          <cell r="U83" t="str">
            <v>代替機　FST55</v>
          </cell>
          <cell r="V83" t="str">
            <v>-</v>
          </cell>
          <cell r="W83" t="str">
            <v>-</v>
          </cell>
          <cell r="X83" t="str">
            <v>-</v>
          </cell>
          <cell r="Y83" t="str">
            <v>-</v>
          </cell>
          <cell r="AA83" t="str">
            <v>P18035-01</v>
          </cell>
          <cell r="AB83" t="str">
            <v>P19080-01</v>
          </cell>
          <cell r="AC83" t="str">
            <v>P18035-01</v>
          </cell>
          <cell r="AD83" t="str">
            <v/>
          </cell>
          <cell r="AE83" t="str">
            <v/>
          </cell>
          <cell r="AF83" t="str">
            <v/>
          </cell>
          <cell r="AG83" t="str">
            <v/>
          </cell>
          <cell r="AH83" t="str">
            <v/>
          </cell>
          <cell r="AI83" t="str">
            <v/>
          </cell>
          <cell r="AJ83" t="str">
            <v/>
          </cell>
          <cell r="AK83" t="str">
            <v>Kycon Connecto</v>
          </cell>
          <cell r="AL83" t="str">
            <v>Connector Brackets</v>
          </cell>
          <cell r="AM83" t="str">
            <v>Bracket screws　×2</v>
          </cell>
          <cell r="AN83" t="str">
            <v/>
          </cell>
          <cell r="AO83" t="str">
            <v/>
          </cell>
          <cell r="AP83" t="str">
            <v/>
          </cell>
          <cell r="AQ83" t="str">
            <v/>
          </cell>
          <cell r="AR83" t="str">
            <v/>
          </cell>
          <cell r="AS83" t="str">
            <v/>
          </cell>
          <cell r="AT83" t="str">
            <v/>
          </cell>
          <cell r="AU83">
            <v>40756</v>
          </cell>
        </row>
        <row r="84">
          <cell r="A84" t="str">
            <v>S16-0081</v>
          </cell>
          <cell r="B84" t="str">
            <v>一宮市立病院_0081 (2)</v>
          </cell>
          <cell r="C84" t="str">
            <v>SR#不要</v>
          </cell>
          <cell r="D84" t="str">
            <v>2016/1/28-02</v>
          </cell>
          <cell r="E84" t="str">
            <v>有償</v>
          </cell>
          <cell r="F84">
            <v>42402</v>
          </cell>
          <cell r="G84">
            <v>42402</v>
          </cell>
          <cell r="H84">
            <v>42409</v>
          </cell>
          <cell r="I84" t="str">
            <v>不明</v>
          </cell>
          <cell r="K84" t="str">
            <v>梶田</v>
          </cell>
          <cell r="L84">
            <v>3</v>
          </cell>
          <cell r="M84" t="str">
            <v>V-Universal Stand</v>
          </cell>
          <cell r="N84" t="str">
            <v>WK19P9</v>
          </cell>
          <cell r="O84" t="str">
            <v>P13383-25</v>
          </cell>
          <cell r="P84" t="str">
            <v>株式会社八神製作所　一宮営業所</v>
          </cell>
          <cell r="Q84" t="str">
            <v>寺沢様</v>
          </cell>
          <cell r="R84" t="str">
            <v>〒491-0913　愛知県一宮市中町二丁目4-2</v>
          </cell>
          <cell r="S84" t="str">
            <v>0586-44-1711</v>
          </cell>
          <cell r="T84" t="str">
            <v>0586-44-1455</v>
          </cell>
          <cell r="U84" t="str">
            <v>一宮市立病院</v>
          </cell>
          <cell r="V84" t="str">
            <v>-</v>
          </cell>
          <cell r="W84" t="str">
            <v>-</v>
          </cell>
          <cell r="X84" t="str">
            <v>0586-71-1911</v>
          </cell>
          <cell r="Y84" t="str">
            <v>〒491-8558 愛知県一宮市文京2-2-22</v>
          </cell>
          <cell r="AA84" t="str">
            <v/>
          </cell>
          <cell r="AB84" t="str">
            <v/>
          </cell>
          <cell r="AC84" t="str">
            <v/>
          </cell>
          <cell r="AD84" t="str">
            <v/>
          </cell>
          <cell r="AE84" t="str">
            <v/>
          </cell>
          <cell r="AF84" t="str">
            <v/>
          </cell>
          <cell r="AG84" t="str">
            <v/>
          </cell>
          <cell r="AH84" t="str">
            <v/>
          </cell>
          <cell r="AI84" t="str">
            <v/>
          </cell>
          <cell r="AJ84" t="str">
            <v/>
          </cell>
          <cell r="AK84" t="str">
            <v/>
          </cell>
          <cell r="AL84" t="str">
            <v/>
          </cell>
          <cell r="AM84" t="str">
            <v/>
          </cell>
          <cell r="AN84" t="str">
            <v/>
          </cell>
          <cell r="AO84" t="str">
            <v/>
          </cell>
          <cell r="AP84" t="str">
            <v/>
          </cell>
          <cell r="AQ84" t="str">
            <v/>
          </cell>
          <cell r="AR84" t="str">
            <v/>
          </cell>
          <cell r="AS84" t="str">
            <v/>
          </cell>
          <cell r="AT84" t="str">
            <v/>
          </cell>
          <cell r="AU84">
            <v>41244</v>
          </cell>
        </row>
        <row r="85">
          <cell r="A85" t="str">
            <v>S16-0082</v>
          </cell>
          <cell r="B85" t="str">
            <v>済生会熊本病院_0082 (2)</v>
          </cell>
          <cell r="C85" t="str">
            <v>SR#4185511</v>
          </cell>
          <cell r="D85" t="str">
            <v>-</v>
          </cell>
          <cell r="E85" t="str">
            <v>無償</v>
          </cell>
          <cell r="F85">
            <v>42402</v>
          </cell>
          <cell r="G85">
            <v>42402</v>
          </cell>
          <cell r="H85">
            <v>42565</v>
          </cell>
          <cell r="I85" t="str">
            <v>不明</v>
          </cell>
          <cell r="K85" t="str">
            <v>馬屋原</v>
          </cell>
          <cell r="L85">
            <v>3</v>
          </cell>
          <cell r="M85" t="str">
            <v>M-Turbo</v>
          </cell>
          <cell r="N85" t="str">
            <v>03JNJN</v>
          </cell>
          <cell r="O85" t="str">
            <v>P09141-16</v>
          </cell>
          <cell r="P85" t="str">
            <v>山下医科器械株式会社　熊本営業所</v>
          </cell>
          <cell r="Q85" t="str">
            <v>厚賀様</v>
          </cell>
          <cell r="R85" t="str">
            <v>〒860-0831 熊本県熊本市中央区八王寺町39-12</v>
          </cell>
          <cell r="S85" t="str">
            <v>096-378-5911</v>
          </cell>
          <cell r="T85" t="str">
            <v>096-378-8622</v>
          </cell>
          <cell r="U85" t="str">
            <v>済生会熊本病院</v>
          </cell>
          <cell r="V85" t="str">
            <v>-</v>
          </cell>
          <cell r="W85" t="str">
            <v>-</v>
          </cell>
          <cell r="X85" t="str">
            <v>096-351-8000</v>
          </cell>
          <cell r="Y85" t="str">
            <v>〒861-4193 熊本県熊本市南区近見5丁目3-1</v>
          </cell>
          <cell r="AA85" t="str">
            <v>P19060-02</v>
          </cell>
          <cell r="AB85" t="str">
            <v/>
          </cell>
          <cell r="AC85" t="str">
            <v/>
          </cell>
          <cell r="AD85" t="str">
            <v/>
          </cell>
          <cell r="AE85" t="str">
            <v/>
          </cell>
          <cell r="AF85" t="str">
            <v/>
          </cell>
          <cell r="AG85" t="str">
            <v/>
          </cell>
          <cell r="AH85" t="str">
            <v/>
          </cell>
          <cell r="AI85" t="str">
            <v/>
          </cell>
          <cell r="AJ85" t="str">
            <v/>
          </cell>
          <cell r="AK85" t="str">
            <v>MAIN PCBA, M-Turbo</v>
          </cell>
          <cell r="AL85" t="str">
            <v/>
          </cell>
          <cell r="AN85" t="str">
            <v/>
          </cell>
          <cell r="AO85" t="str">
            <v/>
          </cell>
          <cell r="AP85" t="str">
            <v/>
          </cell>
          <cell r="AQ85" t="str">
            <v/>
          </cell>
          <cell r="AR85" t="str">
            <v/>
          </cell>
          <cell r="AS85" t="str">
            <v/>
          </cell>
          <cell r="AT85" t="str">
            <v/>
          </cell>
          <cell r="AU85">
            <v>41000</v>
          </cell>
        </row>
        <row r="86">
          <cell r="A86" t="str">
            <v>S16-0083</v>
          </cell>
          <cell r="B86" t="str">
            <v>国際親善総合病院_0083 (2)</v>
          </cell>
          <cell r="C86" t="str">
            <v>SR#</v>
          </cell>
          <cell r="D86" t="str">
            <v>-</v>
          </cell>
          <cell r="E86" t="str">
            <v>無償</v>
          </cell>
          <cell r="F86">
            <v>42402</v>
          </cell>
          <cell r="G86">
            <v>42402</v>
          </cell>
          <cell r="H86">
            <v>42468</v>
          </cell>
          <cell r="I86" t="str">
            <v>不明</v>
          </cell>
          <cell r="K86" t="str">
            <v>梶田</v>
          </cell>
          <cell r="L86">
            <v>5</v>
          </cell>
          <cell r="M86" t="str">
            <v>NanoMaxx</v>
          </cell>
          <cell r="N86" t="str">
            <v>03PVMK</v>
          </cell>
          <cell r="O86" t="str">
            <v>P12700-05</v>
          </cell>
          <cell r="P86" t="str">
            <v>日本コヴィディエン株式会社　神奈川営業所</v>
          </cell>
          <cell r="Q86" t="str">
            <v>荒木様</v>
          </cell>
          <cell r="R86" t="str">
            <v>〒108-0075  東京都港区港南一丁目2番70号　品川シーズンテラス　22F</v>
          </cell>
          <cell r="S86" t="str">
            <v>03-6774-4629</v>
          </cell>
          <cell r="T86" t="str">
            <v>03-6774-4740</v>
          </cell>
          <cell r="U86" t="str">
            <v>国際親善総合病院</v>
          </cell>
          <cell r="V86" t="str">
            <v>-</v>
          </cell>
          <cell r="W86" t="str">
            <v>-</v>
          </cell>
          <cell r="X86" t="str">
            <v>045-813-0221</v>
          </cell>
          <cell r="Y86" t="str">
            <v>〒245-0006　神奈川県横浜市泉区西が岡1-28-1</v>
          </cell>
          <cell r="AA86" t="str">
            <v/>
          </cell>
          <cell r="AB86" t="str">
            <v/>
          </cell>
          <cell r="AC86" t="str">
            <v/>
          </cell>
          <cell r="AD86" t="str">
            <v/>
          </cell>
          <cell r="AE86" t="str">
            <v/>
          </cell>
          <cell r="AF86" t="str">
            <v/>
          </cell>
          <cell r="AG86" t="str">
            <v/>
          </cell>
          <cell r="AH86" t="str">
            <v/>
          </cell>
          <cell r="AI86" t="str">
            <v/>
          </cell>
          <cell r="AJ86" t="str">
            <v/>
          </cell>
          <cell r="AK86" t="str">
            <v/>
          </cell>
          <cell r="AL86" t="str">
            <v/>
          </cell>
          <cell r="AM86" t="str">
            <v/>
          </cell>
          <cell r="AN86" t="str">
            <v/>
          </cell>
          <cell r="AO86" t="str">
            <v/>
          </cell>
          <cell r="AP86" t="str">
            <v/>
          </cell>
          <cell r="AQ86" t="str">
            <v/>
          </cell>
          <cell r="AR86" t="str">
            <v/>
          </cell>
          <cell r="AS86" t="str">
            <v/>
          </cell>
          <cell r="AT86" t="str">
            <v/>
          </cell>
          <cell r="AU86">
            <v>41000</v>
          </cell>
        </row>
        <row r="87">
          <cell r="A87" t="str">
            <v>S16-0084</v>
          </cell>
          <cell r="B87" t="str">
            <v>国立新潟病院_0084 (2)</v>
          </cell>
          <cell r="C87" t="str">
            <v>SR#4185905</v>
          </cell>
          <cell r="D87" t="str">
            <v>-</v>
          </cell>
          <cell r="E87" t="str">
            <v>無償</v>
          </cell>
          <cell r="F87">
            <v>42402</v>
          </cell>
          <cell r="G87">
            <v>42402</v>
          </cell>
          <cell r="H87">
            <v>42464</v>
          </cell>
          <cell r="I87" t="str">
            <v>不明</v>
          </cell>
          <cell r="K87">
            <v>0</v>
          </cell>
          <cell r="M87" t="str">
            <v>NanoMaxx</v>
          </cell>
          <cell r="N87" t="str">
            <v>03WPR9</v>
          </cell>
          <cell r="O87" t="str">
            <v>P12700-06</v>
          </cell>
          <cell r="P87" t="str">
            <v>日本コヴィディエン株式会社　北関東営業所</v>
          </cell>
          <cell r="Q87" t="str">
            <v>太田様</v>
          </cell>
          <cell r="R87" t="str">
            <v>〒158-8615  東京都世田谷区用賀 4-10-5  世田谷ﾋﾞｼﾞﾈｽｽｸｴｱﾋﾙｽﾞⅣ 2F</v>
          </cell>
          <cell r="S87" t="str">
            <v>03-5717-0517</v>
          </cell>
          <cell r="T87" t="str">
            <v>03-5717-0507</v>
          </cell>
          <cell r="U87" t="str">
            <v>国立新潟病院</v>
          </cell>
          <cell r="V87" t="str">
            <v>-</v>
          </cell>
          <cell r="W87" t="str">
            <v>-</v>
          </cell>
          <cell r="X87" t="str">
            <v>0257-22-2126</v>
          </cell>
          <cell r="Y87" t="str">
            <v>〒945-8585　新潟県柏崎市赤坂町3-52</v>
          </cell>
          <cell r="AA87" t="str">
            <v>P12745-01</v>
          </cell>
          <cell r="AB87" t="str">
            <v>P12717-01</v>
          </cell>
          <cell r="AC87" t="str">
            <v/>
          </cell>
          <cell r="AD87" t="str">
            <v/>
          </cell>
          <cell r="AE87" t="str">
            <v/>
          </cell>
          <cell r="AF87" t="str">
            <v/>
          </cell>
          <cell r="AG87" t="str">
            <v/>
          </cell>
          <cell r="AH87" t="str">
            <v/>
          </cell>
          <cell r="AI87" t="str">
            <v/>
          </cell>
          <cell r="AJ87" t="str">
            <v/>
          </cell>
          <cell r="AK87" t="str">
            <v>SERVICE ASSEMBLY, POWER SUPPLY PCB, NANOMAXX</v>
          </cell>
          <cell r="AL87" t="str">
            <v>SERVICE ASSEMBLY, FRONT END PCB, NANOMAXX</v>
          </cell>
          <cell r="AM87" t="str">
            <v/>
          </cell>
          <cell r="AN87" t="str">
            <v/>
          </cell>
          <cell r="AO87" t="str">
            <v/>
          </cell>
          <cell r="AP87" t="str">
            <v/>
          </cell>
          <cell r="AQ87" t="str">
            <v/>
          </cell>
          <cell r="AR87" t="str">
            <v/>
          </cell>
          <cell r="AS87" t="str">
            <v/>
          </cell>
          <cell r="AT87" t="str">
            <v/>
          </cell>
          <cell r="AU87">
            <v>41000</v>
          </cell>
        </row>
        <row r="88">
          <cell r="A88" t="str">
            <v>S16-0085</v>
          </cell>
          <cell r="B88" t="str">
            <v>信州大学病院_0085 (2)</v>
          </cell>
          <cell r="C88" t="str">
            <v>SR#不要</v>
          </cell>
          <cell r="D88" t="str">
            <v>-</v>
          </cell>
          <cell r="E88" t="str">
            <v/>
          </cell>
          <cell r="F88">
            <v>42402</v>
          </cell>
          <cell r="G88">
            <v>42402</v>
          </cell>
          <cell r="H88">
            <v>42446</v>
          </cell>
          <cell r="I88" t="str">
            <v>不明</v>
          </cell>
          <cell r="K88" t="str">
            <v>梶田</v>
          </cell>
          <cell r="L88">
            <v>3</v>
          </cell>
          <cell r="M88" t="str">
            <v>iLook Stand</v>
          </cell>
          <cell r="N88" t="str">
            <v>037CJG</v>
          </cell>
          <cell r="O88" t="str">
            <v>P04307-03</v>
          </cell>
          <cell r="P88" t="str">
            <v>日本コヴィディエン株式会社　北関東営業所</v>
          </cell>
          <cell r="Q88" t="str">
            <v>福岡様</v>
          </cell>
          <cell r="R88" t="str">
            <v>〒158-8615  東京都世田谷区用賀 4-10-5  世田谷ﾋﾞｼﾞﾈｽｽｸｴｱﾋﾙｽﾞⅣ 2F</v>
          </cell>
          <cell r="S88" t="str">
            <v>03-5717-0517</v>
          </cell>
          <cell r="T88" t="str">
            <v>03-5717-0507</v>
          </cell>
          <cell r="U88" t="str">
            <v>信州大学医学部附属病院</v>
          </cell>
          <cell r="V88" t="str">
            <v>-</v>
          </cell>
          <cell r="W88" t="str">
            <v>-</v>
          </cell>
          <cell r="X88" t="str">
            <v>0263-35-4600</v>
          </cell>
          <cell r="Y88" t="str">
            <v>〒390-8621 長野県松本市旭3-1-1</v>
          </cell>
          <cell r="AA88" t="str">
            <v>P03029-02</v>
          </cell>
          <cell r="AB88" t="str">
            <v/>
          </cell>
          <cell r="AC88" t="str">
            <v/>
          </cell>
          <cell r="AD88" t="str">
            <v/>
          </cell>
          <cell r="AE88" t="str">
            <v/>
          </cell>
          <cell r="AF88" t="str">
            <v/>
          </cell>
          <cell r="AG88" t="str">
            <v/>
          </cell>
          <cell r="AH88" t="str">
            <v/>
          </cell>
          <cell r="AI88" t="str">
            <v/>
          </cell>
          <cell r="AJ88" t="str">
            <v/>
          </cell>
          <cell r="AK88" t="str">
            <v>ASSEMBLY, PCB, iLOOK,STAND</v>
          </cell>
          <cell r="AL88" t="str">
            <v/>
          </cell>
          <cell r="AM88" t="str">
            <v/>
          </cell>
          <cell r="AN88" t="str">
            <v/>
          </cell>
          <cell r="AO88" t="str">
            <v/>
          </cell>
          <cell r="AP88" t="str">
            <v/>
          </cell>
          <cell r="AQ88" t="str">
            <v/>
          </cell>
          <cell r="AR88" t="str">
            <v/>
          </cell>
          <cell r="AS88" t="str">
            <v/>
          </cell>
          <cell r="AT88" t="str">
            <v/>
          </cell>
          <cell r="AU88">
            <v>41000</v>
          </cell>
        </row>
        <row r="89">
          <cell r="A89" t="str">
            <v>S16-0086</v>
          </cell>
          <cell r="B89" t="str">
            <v>那須南病院_0086 (2)</v>
          </cell>
          <cell r="C89" t="str">
            <v>SR#</v>
          </cell>
          <cell r="D89" t="str">
            <v>2016/01/21-07</v>
          </cell>
          <cell r="E89" t="str">
            <v>有償</v>
          </cell>
          <cell r="F89">
            <v>42403</v>
          </cell>
          <cell r="G89">
            <v>42403</v>
          </cell>
          <cell r="H89">
            <v>42451</v>
          </cell>
          <cell r="I89" t="str">
            <v>不明</v>
          </cell>
          <cell r="K89" t="str">
            <v>梶田</v>
          </cell>
          <cell r="L89">
            <v>3</v>
          </cell>
          <cell r="M89" t="str">
            <v>180Plus</v>
          </cell>
          <cell r="N89" t="str">
            <v>032N9F</v>
          </cell>
          <cell r="O89" t="str">
            <v>P04326-02</v>
          </cell>
          <cell r="P89" t="str">
            <v>サンメディックス株式会社　宇都宮支店</v>
          </cell>
          <cell r="Q89" t="str">
            <v>石神様</v>
          </cell>
          <cell r="R89" t="str">
            <v>〒320-0074 栃木県宇都宮市細谷町388-1</v>
          </cell>
          <cell r="S89" t="str">
            <v>03-6418-7190</v>
          </cell>
          <cell r="T89" t="str">
            <v>03-6418-7162</v>
          </cell>
          <cell r="U89" t="str">
            <v>那須南病院</v>
          </cell>
          <cell r="V89" t="str">
            <v>-</v>
          </cell>
          <cell r="W89" t="str">
            <v>-</v>
          </cell>
          <cell r="X89" t="str">
            <v>0287-84-3911</v>
          </cell>
          <cell r="Y89" t="str">
            <v>〒321-0621 栃木県那須烏山市中央3-2-13</v>
          </cell>
          <cell r="AA89" t="str">
            <v>P00104-02</v>
          </cell>
          <cell r="AB89" t="str">
            <v>P00049-04</v>
          </cell>
          <cell r="AC89" t="str">
            <v/>
          </cell>
          <cell r="AD89" t="str">
            <v/>
          </cell>
          <cell r="AE89" t="str">
            <v/>
          </cell>
          <cell r="AF89" t="str">
            <v/>
          </cell>
          <cell r="AG89" t="str">
            <v/>
          </cell>
          <cell r="AH89" t="str">
            <v/>
          </cell>
          <cell r="AI89" t="str">
            <v/>
          </cell>
          <cell r="AJ89" t="str">
            <v/>
          </cell>
          <cell r="AK89" t="str">
            <v>KEY, ON/OFF</v>
          </cell>
          <cell r="AL89" t="str">
            <v>BATTERY PACK, 6 CELL LITHIUM-ION, 180</v>
          </cell>
          <cell r="AM89" t="str">
            <v/>
          </cell>
          <cell r="AN89" t="str">
            <v/>
          </cell>
          <cell r="AO89" t="str">
            <v/>
          </cell>
          <cell r="AP89" t="str">
            <v/>
          </cell>
          <cell r="AQ89" t="str">
            <v/>
          </cell>
          <cell r="AR89" t="str">
            <v/>
          </cell>
          <cell r="AS89" t="str">
            <v/>
          </cell>
          <cell r="AT89" t="str">
            <v/>
          </cell>
          <cell r="AU89">
            <v>38169</v>
          </cell>
        </row>
        <row r="90">
          <cell r="A90" t="str">
            <v>S16-0087</v>
          </cell>
          <cell r="B90" t="str">
            <v>神戸中央市民病院_0087 (2)</v>
          </cell>
          <cell r="C90" t="str">
            <v>SR#4190715</v>
          </cell>
          <cell r="D90" t="str">
            <v>-</v>
          </cell>
          <cell r="E90" t="str">
            <v>有償</v>
          </cell>
          <cell r="F90">
            <v>42403</v>
          </cell>
          <cell r="G90">
            <v>42403</v>
          </cell>
          <cell r="H90">
            <v>42416</v>
          </cell>
          <cell r="I90" t="str">
            <v>不明</v>
          </cell>
          <cell r="K90" t="str">
            <v>梶田</v>
          </cell>
          <cell r="L90">
            <v>3</v>
          </cell>
          <cell r="M90" t="str">
            <v>TiTAN</v>
          </cell>
          <cell r="N90" t="str">
            <v>03HMJ3</v>
          </cell>
          <cell r="O90" t="str">
            <v>P06092-04</v>
          </cell>
          <cell r="P90" t="str">
            <v>宮野医療器株式会社　MSCポートアイランド60</v>
          </cell>
          <cell r="Q90" t="str">
            <v>松本様</v>
          </cell>
          <cell r="R90" t="str">
            <v>〒650-0047　兵庫県神戸市中央区港島南町4-6-1</v>
          </cell>
          <cell r="S90" t="str">
            <v>078-302-7001</v>
          </cell>
          <cell r="T90" t="str">
            <v>078-302-9302</v>
          </cell>
          <cell r="U90" t="str">
            <v>神戸市立医療センター中央市民病院</v>
          </cell>
          <cell r="V90" t="str">
            <v>-</v>
          </cell>
          <cell r="W90" t="str">
            <v>-</v>
          </cell>
          <cell r="X90" t="str">
            <v>078-302-4321</v>
          </cell>
          <cell r="Y90" t="str">
            <v xml:space="preserve">〒650-0047 兵庫県神戸市中央区港島南町2-1-1
</v>
          </cell>
          <cell r="AA90" t="str">
            <v>P03861-02</v>
          </cell>
          <cell r="AB90" t="str">
            <v>P00364-02</v>
          </cell>
          <cell r="AC90" t="str">
            <v>P03833-02</v>
          </cell>
          <cell r="AD90" t="str">
            <v>P03834-02</v>
          </cell>
          <cell r="AE90" t="str">
            <v>P07168-20</v>
          </cell>
          <cell r="AF90" t="str">
            <v/>
          </cell>
          <cell r="AG90" t="str">
            <v/>
          </cell>
          <cell r="AH90" t="str">
            <v/>
          </cell>
          <cell r="AI90" t="str">
            <v/>
          </cell>
          <cell r="AJ90" t="str">
            <v/>
          </cell>
          <cell r="AK90" t="str">
            <v>SERVICE ASSEMBLY DISPLAY, TITAN</v>
          </cell>
          <cell r="AL90" t="str">
            <v>CONNECTOR, INTERPOSER</v>
          </cell>
          <cell r="AM90" t="str">
            <v>SHIELD, PERIMETER, SHORT</v>
          </cell>
          <cell r="AN90" t="str">
            <v>SHIELD, PERIMETER, LONG</v>
          </cell>
          <cell r="AO90" t="str">
            <v>BATTERY PACK, 6 CELL, 11.25V, 5.2AMP-HOUR, LITHIUM-ION</v>
          </cell>
          <cell r="AP90" t="str">
            <v/>
          </cell>
          <cell r="AQ90" t="str">
            <v/>
          </cell>
          <cell r="AR90" t="str">
            <v/>
          </cell>
          <cell r="AS90" t="str">
            <v/>
          </cell>
          <cell r="AT90" t="str">
            <v/>
          </cell>
          <cell r="AU90">
            <v>40179</v>
          </cell>
        </row>
        <row r="91">
          <cell r="A91" t="str">
            <v>S16-0088</v>
          </cell>
          <cell r="B91" t="str">
            <v>刈谷豊田総合病院_0088 (2)</v>
          </cell>
          <cell r="C91" t="str">
            <v>SR#4186407</v>
          </cell>
          <cell r="D91" t="str">
            <v>2016/02/02-01</v>
          </cell>
          <cell r="E91" t="str">
            <v>無償</v>
          </cell>
          <cell r="F91">
            <v>42404</v>
          </cell>
          <cell r="G91">
            <v>42404</v>
          </cell>
          <cell r="H91">
            <v>42429</v>
          </cell>
          <cell r="I91">
            <v>40603</v>
          </cell>
          <cell r="K91" t="str">
            <v>梶田</v>
          </cell>
          <cell r="L91">
            <v>3</v>
          </cell>
          <cell r="M91" t="str">
            <v>M-Turbo</v>
          </cell>
          <cell r="N91" t="str">
            <v>03L0N2</v>
          </cell>
          <cell r="O91" t="str">
            <v>P09141-20</v>
          </cell>
          <cell r="P91" t="str">
            <v>日立アロカメディカル株式会社</v>
          </cell>
          <cell r="Q91" t="str">
            <v>今井様</v>
          </cell>
          <cell r="R91" t="str">
            <v>〒460-0008　愛知県名古屋市中区栄3-10-22</v>
          </cell>
          <cell r="S91" t="str">
            <v>052-238-2657</v>
          </cell>
          <cell r="T91" t="str">
            <v>052-238-2658</v>
          </cell>
          <cell r="U91" t="str">
            <v>医療法人豊田会　刈谷豊田総合病院</v>
          </cell>
          <cell r="V91" t="str">
            <v>放射線技術科　今田様</v>
          </cell>
          <cell r="W91" t="str">
            <v>救急科</v>
          </cell>
          <cell r="X91" t="str">
            <v>0566-21-2450</v>
          </cell>
          <cell r="Y91" t="str">
            <v>〒448-8505　愛知県刈谷市住吉町5-15</v>
          </cell>
          <cell r="AA91" t="str">
            <v>P19060-02</v>
          </cell>
          <cell r="AB91" t="str">
            <v/>
          </cell>
          <cell r="AC91" t="str">
            <v/>
          </cell>
          <cell r="AD91" t="str">
            <v/>
          </cell>
          <cell r="AE91" t="str">
            <v/>
          </cell>
          <cell r="AF91" t="str">
            <v/>
          </cell>
          <cell r="AG91" t="str">
            <v/>
          </cell>
          <cell r="AH91" t="str">
            <v/>
          </cell>
          <cell r="AI91" t="str">
            <v/>
          </cell>
          <cell r="AJ91" t="str">
            <v/>
          </cell>
          <cell r="AK91" t="str">
            <v>MAIN PCBA, M-Turbo</v>
          </cell>
          <cell r="AL91" t="str">
            <v/>
          </cell>
          <cell r="AM91" t="str">
            <v/>
          </cell>
          <cell r="AN91" t="str">
            <v/>
          </cell>
          <cell r="AO91" t="str">
            <v/>
          </cell>
          <cell r="AP91" t="str">
            <v/>
          </cell>
          <cell r="AQ91" t="str">
            <v/>
          </cell>
          <cell r="AR91" t="str">
            <v/>
          </cell>
          <cell r="AS91" t="str">
            <v/>
          </cell>
          <cell r="AT91" t="str">
            <v/>
          </cell>
          <cell r="AU91">
            <v>40575</v>
          </cell>
        </row>
        <row r="92">
          <cell r="A92" t="str">
            <v>S16-0089</v>
          </cell>
          <cell r="B92" t="str">
            <v>新潟臨港病院_0089 (2)</v>
          </cell>
          <cell r="C92" t="str">
            <v>SR#4186411</v>
          </cell>
          <cell r="D92" t="str">
            <v>-</v>
          </cell>
          <cell r="E92" t="str">
            <v>無償</v>
          </cell>
          <cell r="F92">
            <v>42404</v>
          </cell>
          <cell r="G92">
            <v>42404</v>
          </cell>
          <cell r="H92">
            <v>42423</v>
          </cell>
          <cell r="I92" t="str">
            <v>不明</v>
          </cell>
          <cell r="K92" t="str">
            <v>梶田</v>
          </cell>
          <cell r="L92">
            <v>3</v>
          </cell>
          <cell r="M92" t="str">
            <v>NanoMaxx</v>
          </cell>
          <cell r="N92" t="str">
            <v>03X4Q0</v>
          </cell>
          <cell r="O92" t="str">
            <v>P12700-06</v>
          </cell>
          <cell r="P92" t="str">
            <v>日本コヴィディエン株式会社　東日本透析事業所</v>
          </cell>
          <cell r="Q92" t="str">
            <v>白石様</v>
          </cell>
          <cell r="R92" t="str">
            <v>〒158-8615  東京都世田谷区用賀 4-10-5  世田谷ﾋﾞｼﾞﾈｽｽｸｴｱﾋﾙｽﾞⅣ 2F</v>
          </cell>
          <cell r="S92" t="str">
            <v>03-5717-0517</v>
          </cell>
          <cell r="T92" t="str">
            <v>03-5717-0507</v>
          </cell>
          <cell r="U92" t="str">
            <v>社会医療法人　新潟臨港保健会　新潟臨港病院</v>
          </cell>
          <cell r="V92" t="str">
            <v>-</v>
          </cell>
          <cell r="W92" t="str">
            <v>-</v>
          </cell>
          <cell r="X92" t="str">
            <v>025-274-5331</v>
          </cell>
          <cell r="Y92" t="str">
            <v>〒950-8725　新潟県新潟市東区桃山町1丁目114-3　</v>
          </cell>
          <cell r="AA92" t="str">
            <v>P12718-02</v>
          </cell>
          <cell r="AB92" t="str">
            <v/>
          </cell>
          <cell r="AC92" t="str">
            <v/>
          </cell>
          <cell r="AD92" t="str">
            <v/>
          </cell>
          <cell r="AE92" t="str">
            <v/>
          </cell>
          <cell r="AF92" t="str">
            <v/>
          </cell>
          <cell r="AG92" t="str">
            <v/>
          </cell>
          <cell r="AH92" t="str">
            <v/>
          </cell>
          <cell r="AI92" t="str">
            <v/>
          </cell>
          <cell r="AJ92" t="str">
            <v/>
          </cell>
          <cell r="AK92" t="str">
            <v>SERVICE ASSEMBLY, BACK END PCB, NANOMAXX</v>
          </cell>
          <cell r="AL92" t="str">
            <v/>
          </cell>
          <cell r="AM92" t="str">
            <v/>
          </cell>
          <cell r="AN92" t="str">
            <v/>
          </cell>
          <cell r="AO92" t="str">
            <v/>
          </cell>
          <cell r="AP92" t="str">
            <v/>
          </cell>
          <cell r="AQ92" t="str">
            <v/>
          </cell>
          <cell r="AR92" t="str">
            <v/>
          </cell>
          <cell r="AS92" t="str">
            <v/>
          </cell>
          <cell r="AT92" t="str">
            <v/>
          </cell>
          <cell r="AU92">
            <v>41699</v>
          </cell>
        </row>
        <row r="93">
          <cell r="A93" t="str">
            <v>S16-0090</v>
          </cell>
          <cell r="B93" t="str">
            <v>湘南藤沢徳洲会病院_0090 (2)</v>
          </cell>
          <cell r="C93" t="str">
            <v>SR#不要</v>
          </cell>
          <cell r="D93" t="str">
            <v>-</v>
          </cell>
          <cell r="E93" t="str">
            <v>有償</v>
          </cell>
          <cell r="F93">
            <v>42404</v>
          </cell>
          <cell r="G93">
            <v>42404</v>
          </cell>
          <cell r="H93">
            <v>42423</v>
          </cell>
          <cell r="I93" t="str">
            <v>不明</v>
          </cell>
          <cell r="K93" t="str">
            <v>-</v>
          </cell>
          <cell r="L93" t="str">
            <v>-</v>
          </cell>
          <cell r="M93" t="str">
            <v>iLook Stand</v>
          </cell>
          <cell r="N93" t="str">
            <v>-</v>
          </cell>
          <cell r="O93" t="str">
            <v>-</v>
          </cell>
          <cell r="P93" t="str">
            <v>日本コヴィディエン株式会社</v>
          </cell>
          <cell r="Q93" t="str">
            <v>大山様</v>
          </cell>
          <cell r="R93" t="str">
            <v>〒158-8615  東京都世田谷区用賀 4-10-5  世田谷ﾋﾞｼﾞﾈｽｽｸｴｱﾋﾙｽﾞⅣ 2F</v>
          </cell>
          <cell r="S93" t="str">
            <v>03-5717-0517</v>
          </cell>
          <cell r="T93" t="str">
            <v>03-5717-0507</v>
          </cell>
          <cell r="U93" t="str">
            <v>湘南藤沢徳洲会病院</v>
          </cell>
          <cell r="V93" t="str">
            <v>-</v>
          </cell>
          <cell r="W93" t="str">
            <v>-</v>
          </cell>
          <cell r="X93" t="str">
            <v>0466-35-1177</v>
          </cell>
          <cell r="Y93" t="str">
            <v>〒251-0041　神奈川県藤沢市辻堂神台1-5-1</v>
          </cell>
          <cell r="AA93" t="str">
            <v/>
          </cell>
          <cell r="AB93" t="str">
            <v/>
          </cell>
          <cell r="AC93" t="str">
            <v/>
          </cell>
          <cell r="AD93" t="str">
            <v/>
          </cell>
          <cell r="AE93" t="str">
            <v/>
          </cell>
          <cell r="AF93" t="str">
            <v/>
          </cell>
          <cell r="AG93" t="str">
            <v/>
          </cell>
          <cell r="AH93" t="str">
            <v/>
          </cell>
          <cell r="AI93" t="str">
            <v/>
          </cell>
          <cell r="AJ93" t="str">
            <v/>
          </cell>
          <cell r="AK93" t="str">
            <v/>
          </cell>
          <cell r="AL93" t="str">
            <v/>
          </cell>
          <cell r="AM93" t="str">
            <v/>
          </cell>
          <cell r="AN93" t="str">
            <v/>
          </cell>
          <cell r="AO93" t="str">
            <v/>
          </cell>
          <cell r="AP93" t="str">
            <v/>
          </cell>
          <cell r="AQ93" t="str">
            <v/>
          </cell>
          <cell r="AR93" t="str">
            <v/>
          </cell>
          <cell r="AS93" t="str">
            <v/>
          </cell>
          <cell r="AT93" t="str">
            <v/>
          </cell>
          <cell r="AU93" t="str">
            <v>-</v>
          </cell>
        </row>
        <row r="94">
          <cell r="A94" t="str">
            <v>S16-0091</v>
          </cell>
          <cell r="B94" t="str">
            <v>オノダ動物病院_0091 (2)</v>
          </cell>
          <cell r="C94" t="str">
            <v>SR#4197515</v>
          </cell>
          <cell r="D94" t="str">
            <v>2016/02/03-06</v>
          </cell>
          <cell r="E94" t="str">
            <v>有償</v>
          </cell>
          <cell r="F94">
            <v>42405</v>
          </cell>
          <cell r="G94">
            <v>42405</v>
          </cell>
          <cell r="H94">
            <v>42453</v>
          </cell>
          <cell r="I94" t="str">
            <v>不明</v>
          </cell>
          <cell r="K94" t="str">
            <v>梶田</v>
          </cell>
          <cell r="L94">
            <v>3</v>
          </cell>
          <cell r="M94" t="str">
            <v>MicroMaxx</v>
          </cell>
          <cell r="N94" t="str">
            <v>037K0N</v>
          </cell>
          <cell r="O94" t="str">
            <v>P05670-05</v>
          </cell>
          <cell r="P94" t="str">
            <v>フクダ電子南関東販売株式会社</v>
          </cell>
          <cell r="Q94" t="str">
            <v>山上様</v>
          </cell>
          <cell r="R94" t="str">
            <v>〒260-0026　千葉県千葉市中央区千葉港5-33</v>
          </cell>
          <cell r="S94" t="str">
            <v>043-241-3111</v>
          </cell>
          <cell r="T94" t="str">
            <v>043-241-3711</v>
          </cell>
          <cell r="U94" t="str">
            <v>オノダ動物病院</v>
          </cell>
          <cell r="V94" t="str">
            <v>-</v>
          </cell>
          <cell r="W94" t="str">
            <v>-</v>
          </cell>
          <cell r="X94" t="str">
            <v>047-463-2211</v>
          </cell>
          <cell r="Y94" t="str">
            <v>〒274-0077 千葉県船橋市薬円台3-7-11</v>
          </cell>
          <cell r="AA94" t="str">
            <v>P07418-02</v>
          </cell>
          <cell r="AB94" t="str">
            <v/>
          </cell>
          <cell r="AC94" t="str">
            <v/>
          </cell>
          <cell r="AD94" t="str">
            <v/>
          </cell>
          <cell r="AE94" t="str">
            <v/>
          </cell>
          <cell r="AF94" t="str">
            <v/>
          </cell>
          <cell r="AG94" t="str">
            <v/>
          </cell>
          <cell r="AH94" t="str">
            <v/>
          </cell>
          <cell r="AI94" t="str">
            <v/>
          </cell>
          <cell r="AJ94" t="str">
            <v/>
          </cell>
          <cell r="AK94" t="str">
            <v>SERVICE ASSEMBLY MAIN PCBA, D2, MICROMAXX</v>
          </cell>
          <cell r="AL94" t="str">
            <v/>
          </cell>
          <cell r="AM94" t="str">
            <v/>
          </cell>
          <cell r="AN94" t="str">
            <v/>
          </cell>
          <cell r="AO94" t="str">
            <v/>
          </cell>
          <cell r="AP94" t="str">
            <v/>
          </cell>
          <cell r="AQ94" t="str">
            <v/>
          </cell>
          <cell r="AR94" t="str">
            <v/>
          </cell>
          <cell r="AS94" t="str">
            <v/>
          </cell>
          <cell r="AT94" t="str">
            <v/>
          </cell>
          <cell r="AU94">
            <v>39083</v>
          </cell>
        </row>
        <row r="95">
          <cell r="A95" t="str">
            <v>S16-0092</v>
          </cell>
          <cell r="B95" t="str">
            <v>金沢赤十字病院_0092 (2)</v>
          </cell>
          <cell r="C95" t="str">
            <v>SR#4187609</v>
          </cell>
          <cell r="D95" t="str">
            <v>2016/02/03-03</v>
          </cell>
          <cell r="E95" t="str">
            <v>無償</v>
          </cell>
          <cell r="F95">
            <v>42405</v>
          </cell>
          <cell r="G95">
            <v>42405</v>
          </cell>
          <cell r="H95">
            <v>42423</v>
          </cell>
          <cell r="I95" t="str">
            <v>不明</v>
          </cell>
          <cell r="K95">
            <v>0</v>
          </cell>
          <cell r="M95" t="str">
            <v>M-Turbo</v>
          </cell>
          <cell r="N95" t="str">
            <v>03L0NG</v>
          </cell>
          <cell r="O95" t="str">
            <v>P09141-20</v>
          </cell>
          <cell r="P95" t="str">
            <v>富士フイルムメディカル株式会社</v>
          </cell>
          <cell r="Q95" t="str">
            <v>藤吉様</v>
          </cell>
          <cell r="R95" t="str">
            <v>-</v>
          </cell>
          <cell r="S95" t="str">
            <v>03-6418-7190</v>
          </cell>
          <cell r="T95" t="str">
            <v>03-6418-7162</v>
          </cell>
          <cell r="U95" t="str">
            <v>日本赤十字社　金沢赤十字病院</v>
          </cell>
          <cell r="V95" t="str">
            <v>-</v>
          </cell>
          <cell r="W95" t="str">
            <v>-</v>
          </cell>
          <cell r="X95" t="str">
            <v>076-242-8131</v>
          </cell>
          <cell r="Y95" t="str">
            <v>〒921-8162　石川県金沢市三馬2-251</v>
          </cell>
          <cell r="AA95" t="str">
            <v>P07168-20</v>
          </cell>
          <cell r="AB95" t="str">
            <v>P19060-02</v>
          </cell>
          <cell r="AC95" t="str">
            <v>P08850-02</v>
          </cell>
          <cell r="AD95" t="str">
            <v/>
          </cell>
          <cell r="AE95" t="str">
            <v/>
          </cell>
          <cell r="AF95" t="str">
            <v/>
          </cell>
          <cell r="AG95" t="str">
            <v/>
          </cell>
          <cell r="AH95" t="str">
            <v/>
          </cell>
          <cell r="AI95" t="str">
            <v/>
          </cell>
          <cell r="AJ95" t="str">
            <v/>
          </cell>
          <cell r="AK95" t="str">
            <v>BATTERY PACK, 6 CELL, 11.25V, 5.2AMP-HOUR, LITHIUM-ION</v>
          </cell>
          <cell r="AL95" t="str">
            <v>MAIN PCBA, M-Turbo</v>
          </cell>
          <cell r="AM95" t="str">
            <v>SERVICE ASSEMBLY, POWER SUPPLY, M/S TURBO, EDGE</v>
          </cell>
          <cell r="AN95" t="str">
            <v/>
          </cell>
          <cell r="AO95" t="str">
            <v/>
          </cell>
          <cell r="AP95" t="str">
            <v/>
          </cell>
          <cell r="AQ95" t="str">
            <v/>
          </cell>
          <cell r="AR95" t="str">
            <v/>
          </cell>
          <cell r="AS95" t="str">
            <v/>
          </cell>
          <cell r="AT95" t="str">
            <v/>
          </cell>
          <cell r="AU95">
            <v>40575</v>
          </cell>
        </row>
        <row r="96">
          <cell r="A96" t="str">
            <v>S16-0093</v>
          </cell>
          <cell r="B96" t="str">
            <v>デモ機WST2_0093(2)</v>
          </cell>
          <cell r="C96" t="str">
            <v>SR#4186661</v>
          </cell>
          <cell r="D96" t="str">
            <v>-</v>
          </cell>
          <cell r="E96" t="str">
            <v>無償</v>
          </cell>
          <cell r="F96">
            <v>42405</v>
          </cell>
          <cell r="G96">
            <v>42405</v>
          </cell>
          <cell r="H96">
            <v>42423</v>
          </cell>
          <cell r="I96" t="str">
            <v>―</v>
          </cell>
          <cell r="K96" t="str">
            <v>梶田</v>
          </cell>
          <cell r="L96">
            <v>3</v>
          </cell>
          <cell r="M96" t="str">
            <v>S-Nerve</v>
          </cell>
          <cell r="N96" t="str">
            <v>03FBDD</v>
          </cell>
          <cell r="O96" t="str">
            <v>P12060-01</v>
          </cell>
          <cell r="P96" t="str">
            <v>富士フイルムメディカル株式会社</v>
          </cell>
          <cell r="Q96" t="str">
            <v>南様</v>
          </cell>
          <cell r="R96" t="str">
            <v>-</v>
          </cell>
          <cell r="S96" t="str">
            <v>078-929-3773</v>
          </cell>
          <cell r="T96" t="str">
            <v>078-929-3775</v>
          </cell>
          <cell r="U96" t="str">
            <v>デモ機WST2</v>
          </cell>
          <cell r="V96" t="str">
            <v>-</v>
          </cell>
          <cell r="W96" t="str">
            <v>-</v>
          </cell>
          <cell r="X96" t="str">
            <v>-</v>
          </cell>
          <cell r="Y96" t="str">
            <v>-</v>
          </cell>
          <cell r="AA96" t="str">
            <v>P09135-03</v>
          </cell>
          <cell r="AB96" t="str">
            <v/>
          </cell>
          <cell r="AC96" t="str">
            <v/>
          </cell>
          <cell r="AD96" t="str">
            <v/>
          </cell>
          <cell r="AE96" t="str">
            <v/>
          </cell>
          <cell r="AF96" t="str">
            <v/>
          </cell>
          <cell r="AG96" t="str">
            <v/>
          </cell>
          <cell r="AH96" t="str">
            <v/>
          </cell>
          <cell r="AI96" t="str">
            <v/>
          </cell>
          <cell r="AJ96" t="str">
            <v/>
          </cell>
          <cell r="AK96" t="str">
            <v>SERVICE ASSEMBLY MAIN PCBA, S-SERIES</v>
          </cell>
          <cell r="AL96" t="str">
            <v/>
          </cell>
          <cell r="AM96" t="str">
            <v/>
          </cell>
          <cell r="AN96" t="str">
            <v/>
          </cell>
          <cell r="AO96" t="str">
            <v/>
          </cell>
          <cell r="AP96" t="str">
            <v/>
          </cell>
          <cell r="AQ96" t="str">
            <v/>
          </cell>
          <cell r="AR96" t="str">
            <v/>
          </cell>
          <cell r="AS96" t="str">
            <v/>
          </cell>
          <cell r="AT96" t="str">
            <v/>
          </cell>
          <cell r="AU96">
            <v>39873</v>
          </cell>
        </row>
        <row r="97">
          <cell r="A97" t="str">
            <v>S16-0094</v>
          </cell>
          <cell r="B97" t="str">
            <v>中村クリニック_0094 (2)</v>
          </cell>
          <cell r="C97" t="str">
            <v>SR#4191245</v>
          </cell>
          <cell r="D97" t="str">
            <v>2016/01/27-07</v>
          </cell>
          <cell r="E97" t="str">
            <v>無償</v>
          </cell>
          <cell r="F97">
            <v>42408</v>
          </cell>
          <cell r="G97">
            <v>42408</v>
          </cell>
          <cell r="H97">
            <v>42418</v>
          </cell>
          <cell r="I97" t="str">
            <v>不明</v>
          </cell>
          <cell r="K97" t="str">
            <v>梶田</v>
          </cell>
          <cell r="L97" t="str">
            <v>-</v>
          </cell>
          <cell r="M97" t="str">
            <v>MicroMaxx</v>
          </cell>
          <cell r="N97" t="str">
            <v>WK0BPV</v>
          </cell>
          <cell r="O97" t="str">
            <v>P08063-05</v>
          </cell>
          <cell r="P97" t="str">
            <v>株式会社富士フィルムソノサイト・ジャパン</v>
          </cell>
          <cell r="Q97" t="str">
            <v>吉田様</v>
          </cell>
          <cell r="R97" t="str">
            <v>-</v>
          </cell>
          <cell r="S97" t="str">
            <v>03-6418-7190</v>
          </cell>
          <cell r="T97" t="str">
            <v>03-6418-7162</v>
          </cell>
          <cell r="U97" t="str">
            <v>中村クリニック</v>
          </cell>
          <cell r="V97" t="str">
            <v>-</v>
          </cell>
          <cell r="W97" t="str">
            <v>-</v>
          </cell>
          <cell r="X97" t="str">
            <v>06-4701-2558</v>
          </cell>
          <cell r="Y97" t="str">
            <v>〒559-0001　大阪府大阪市住之江区粉浜1-23-1</v>
          </cell>
          <cell r="AA97" t="str">
            <v/>
          </cell>
          <cell r="AB97" t="str">
            <v/>
          </cell>
          <cell r="AC97" t="str">
            <v/>
          </cell>
          <cell r="AD97" t="str">
            <v/>
          </cell>
          <cell r="AE97" t="str">
            <v/>
          </cell>
          <cell r="AF97" t="str">
            <v/>
          </cell>
          <cell r="AG97" t="str">
            <v/>
          </cell>
          <cell r="AH97" t="str">
            <v/>
          </cell>
          <cell r="AI97" t="str">
            <v/>
          </cell>
          <cell r="AJ97" t="str">
            <v/>
          </cell>
          <cell r="AK97" t="str">
            <v/>
          </cell>
          <cell r="AL97" t="str">
            <v/>
          </cell>
          <cell r="AM97" t="str">
            <v/>
          </cell>
          <cell r="AN97" t="str">
            <v/>
          </cell>
          <cell r="AO97" t="str">
            <v/>
          </cell>
          <cell r="AP97" t="str">
            <v/>
          </cell>
          <cell r="AQ97" t="str">
            <v/>
          </cell>
          <cell r="AR97" t="str">
            <v/>
          </cell>
          <cell r="AS97" t="str">
            <v/>
          </cell>
          <cell r="AT97" t="str">
            <v/>
          </cell>
          <cell r="AU97">
            <v>40575</v>
          </cell>
        </row>
        <row r="98">
          <cell r="A98" t="str">
            <v>S16-0095</v>
          </cell>
          <cell r="B98" t="str">
            <v>けいクリニック_0095 (2)</v>
          </cell>
          <cell r="C98" t="str">
            <v>SR#4186667</v>
          </cell>
          <cell r="D98" t="str">
            <v>2016/01/27-03</v>
          </cell>
          <cell r="E98" t="str">
            <v>無償</v>
          </cell>
          <cell r="F98">
            <v>42408</v>
          </cell>
          <cell r="G98">
            <v>42408</v>
          </cell>
          <cell r="H98">
            <v>42425</v>
          </cell>
          <cell r="I98" t="str">
            <v>不明</v>
          </cell>
          <cell r="K98" t="str">
            <v>梶田</v>
          </cell>
          <cell r="L98">
            <v>3</v>
          </cell>
          <cell r="M98" t="str">
            <v>S-Nerve</v>
          </cell>
          <cell r="N98" t="str">
            <v>03MHK1</v>
          </cell>
          <cell r="O98" t="str">
            <v>P12060-07</v>
          </cell>
          <cell r="P98" t="str">
            <v>富士フイルムメディカル株式会社　大阪支店</v>
          </cell>
          <cell r="Q98" t="str">
            <v>中原様</v>
          </cell>
          <cell r="R98" t="str">
            <v>〒532-0004　大阪府大阪市淀川区西宮原1-3-5</v>
          </cell>
          <cell r="S98" t="str">
            <v>06-6396-5102</v>
          </cell>
          <cell r="T98" t="str">
            <v>06-6396-5103</v>
          </cell>
          <cell r="U98" t="str">
            <v>けいクリニック</v>
          </cell>
          <cell r="V98" t="str">
            <v>-</v>
          </cell>
          <cell r="W98" t="str">
            <v>-</v>
          </cell>
          <cell r="X98" t="str">
            <v>0795-78-9009</v>
          </cell>
          <cell r="Y98" t="str">
            <v>〒669-3309 兵庫県丹波市柏原町柏原3051-5</v>
          </cell>
          <cell r="AA98" t="str">
            <v>P09419-04</v>
          </cell>
          <cell r="AB98" t="str">
            <v/>
          </cell>
          <cell r="AC98" t="str">
            <v/>
          </cell>
          <cell r="AD98" t="str">
            <v/>
          </cell>
          <cell r="AE98" t="str">
            <v/>
          </cell>
          <cell r="AF98" t="str">
            <v/>
          </cell>
          <cell r="AG98" t="str">
            <v/>
          </cell>
          <cell r="AH98" t="str">
            <v/>
          </cell>
          <cell r="AI98" t="str">
            <v/>
          </cell>
          <cell r="AJ98" t="str">
            <v/>
          </cell>
          <cell r="AK98" t="str">
            <v>DISPLAY, LCD, TFT 10.4 INCH, 640 X 480, LVDS, SCREENED IN-HOUSE, LOT C</v>
          </cell>
          <cell r="AL98" t="str">
            <v/>
          </cell>
          <cell r="AM98" t="str">
            <v/>
          </cell>
          <cell r="AN98" t="str">
            <v/>
          </cell>
          <cell r="AO98" t="str">
            <v/>
          </cell>
          <cell r="AP98" t="str">
            <v/>
          </cell>
          <cell r="AQ98" t="str">
            <v/>
          </cell>
          <cell r="AR98" t="str">
            <v/>
          </cell>
          <cell r="AS98" t="str">
            <v/>
          </cell>
          <cell r="AT98" t="str">
            <v/>
          </cell>
          <cell r="AU98">
            <v>40787</v>
          </cell>
        </row>
        <row r="99">
          <cell r="A99" t="str">
            <v>S16-0096</v>
          </cell>
          <cell r="B99" t="str">
            <v>近畿大学医学部附属病院_0096 (2)</v>
          </cell>
          <cell r="C99" t="str">
            <v>SR#不要</v>
          </cell>
          <cell r="D99" t="str">
            <v>-</v>
          </cell>
          <cell r="E99" t="str">
            <v/>
          </cell>
          <cell r="F99">
            <v>42408</v>
          </cell>
          <cell r="G99">
            <v>42408</v>
          </cell>
          <cell r="H99">
            <v>42500</v>
          </cell>
          <cell r="I99" t="str">
            <v>不明</v>
          </cell>
          <cell r="K99" t="str">
            <v>梶田</v>
          </cell>
          <cell r="L99">
            <v>3</v>
          </cell>
          <cell r="M99" t="str">
            <v>iLook25</v>
          </cell>
          <cell r="N99" t="str">
            <v>03CN4R</v>
          </cell>
          <cell r="O99" t="str">
            <v>P04303-02</v>
          </cell>
          <cell r="P99" t="str">
            <v>日本コヴィディエン株式会社　大阪営業所</v>
          </cell>
          <cell r="Q99" t="str">
            <v>道本様</v>
          </cell>
          <cell r="R99" t="str">
            <v>〒158-8615  東京都世田谷区用賀 4-10-5  世田谷ﾋﾞｼﾞﾈｽｽｸｴｱﾋﾙｽﾞⅣ 2F</v>
          </cell>
          <cell r="S99" t="str">
            <v>03-5717-0517</v>
          </cell>
          <cell r="T99" t="str">
            <v>03-5717-0507</v>
          </cell>
          <cell r="U99" t="str">
            <v>近畿大学医学部附属病院</v>
          </cell>
          <cell r="V99" t="str">
            <v>-</v>
          </cell>
          <cell r="W99" t="str">
            <v>-</v>
          </cell>
          <cell r="X99" t="str">
            <v xml:space="preserve">072-366-0221
</v>
          </cell>
          <cell r="Y99" t="str">
            <v>〒589-8511　大阪府大阪狭山市大野東377-2</v>
          </cell>
          <cell r="AA99" t="str">
            <v>P03029-02</v>
          </cell>
          <cell r="AB99" t="str">
            <v>P03157-02</v>
          </cell>
          <cell r="AC99" t="str">
            <v/>
          </cell>
          <cell r="AD99" t="str">
            <v/>
          </cell>
          <cell r="AE99" t="str">
            <v/>
          </cell>
          <cell r="AF99" t="str">
            <v/>
          </cell>
          <cell r="AG99" t="str">
            <v/>
          </cell>
          <cell r="AH99" t="str">
            <v/>
          </cell>
          <cell r="AI99" t="str">
            <v/>
          </cell>
          <cell r="AJ99" t="str">
            <v/>
          </cell>
          <cell r="AK99" t="str">
            <v>ASSEMBLY, PCB, iLOOK,STAND</v>
          </cell>
          <cell r="AL99" t="str">
            <v>SERVICE ASSEMBLY, L25 TRANSDUCER, ILOOK</v>
          </cell>
          <cell r="AM99" t="str">
            <v/>
          </cell>
          <cell r="AN99" t="str">
            <v/>
          </cell>
          <cell r="AO99" t="str">
            <v/>
          </cell>
          <cell r="AP99" t="str">
            <v/>
          </cell>
          <cell r="AQ99" t="str">
            <v/>
          </cell>
          <cell r="AR99" t="str">
            <v/>
          </cell>
          <cell r="AS99" t="str">
            <v/>
          </cell>
          <cell r="AT99" t="str">
            <v/>
          </cell>
          <cell r="AU99">
            <v>39845</v>
          </cell>
        </row>
        <row r="100">
          <cell r="A100" t="str">
            <v>S16-0097</v>
          </cell>
          <cell r="B100" t="str">
            <v>デモ機_FJY10_0097 (2)</v>
          </cell>
          <cell r="C100" t="str">
            <v>SR#4186659</v>
          </cell>
          <cell r="D100" t="str">
            <v>-</v>
          </cell>
          <cell r="E100" t="str">
            <v>無償</v>
          </cell>
          <cell r="F100">
            <v>42408</v>
          </cell>
          <cell r="G100">
            <v>42408</v>
          </cell>
          <cell r="H100">
            <v>42528</v>
          </cell>
          <cell r="I100" t="str">
            <v>―</v>
          </cell>
          <cell r="K100" t="str">
            <v>梶田</v>
          </cell>
          <cell r="L100" t="str">
            <v>-</v>
          </cell>
          <cell r="M100" t="str">
            <v>NanoMaxx</v>
          </cell>
          <cell r="N100" t="str">
            <v>03HQ7Z</v>
          </cell>
          <cell r="O100" t="str">
            <v>P12700-02</v>
          </cell>
          <cell r="P100" t="str">
            <v>富士フイルムメディカル株式会社</v>
          </cell>
          <cell r="Q100" t="str">
            <v>藤吉様</v>
          </cell>
          <cell r="R100" t="str">
            <v>-</v>
          </cell>
          <cell r="S100" t="str">
            <v>03-6418-7190</v>
          </cell>
          <cell r="T100" t="str">
            <v>03-6418-7162</v>
          </cell>
          <cell r="U100" t="str">
            <v>デモ機FJY10</v>
          </cell>
          <cell r="V100" t="str">
            <v>-</v>
          </cell>
          <cell r="W100" t="str">
            <v>-</v>
          </cell>
          <cell r="X100" t="str">
            <v>-</v>
          </cell>
          <cell r="Y100" t="str">
            <v>-</v>
          </cell>
          <cell r="AA100" t="str">
            <v>P12718-02</v>
          </cell>
          <cell r="AB100" t="str">
            <v>P12717-01</v>
          </cell>
          <cell r="AC100" t="str">
            <v>P09977-01</v>
          </cell>
          <cell r="AD100" t="str">
            <v>P09196-03</v>
          </cell>
          <cell r="AE100" t="str">
            <v/>
          </cell>
          <cell r="AF100" t="str">
            <v/>
          </cell>
          <cell r="AG100" t="str">
            <v/>
          </cell>
          <cell r="AH100" t="str">
            <v/>
          </cell>
          <cell r="AI100" t="str">
            <v/>
          </cell>
          <cell r="AJ100" t="str">
            <v/>
          </cell>
          <cell r="AK100" t="str">
            <v>SERVICE ASSEMBLY, BACK END PCB, NANOMAXX</v>
          </cell>
          <cell r="AL100" t="str">
            <v>SERVICE ASSEMBLY, FRONT END PCB, NANOMAXX</v>
          </cell>
          <cell r="AM100" t="str">
            <v>CABLE,FFC,0.5MM PITCH,14 POS,6" LENGTH</v>
          </cell>
          <cell r="AN100" t="str">
            <v>CABLE ASSY, FAN</v>
          </cell>
          <cell r="AO100" t="str">
            <v/>
          </cell>
          <cell r="AP100" t="str">
            <v/>
          </cell>
          <cell r="AQ100" t="str">
            <v/>
          </cell>
          <cell r="AR100" t="str">
            <v/>
          </cell>
          <cell r="AS100" t="str">
            <v/>
          </cell>
          <cell r="AT100" t="str">
            <v/>
          </cell>
          <cell r="AU100">
            <v>40330</v>
          </cell>
        </row>
        <row r="101">
          <cell r="A101" t="str">
            <v>S16-0098</v>
          </cell>
          <cell r="B101" t="str">
            <v>筑波記念病院_0098 (2)</v>
          </cell>
          <cell r="C101" t="str">
            <v>SR#4191231</v>
          </cell>
          <cell r="D101" t="str">
            <v>2016/01/22-01</v>
          </cell>
          <cell r="E101" t="str">
            <v>有償</v>
          </cell>
          <cell r="F101">
            <v>42409</v>
          </cell>
          <cell r="G101">
            <v>42409</v>
          </cell>
          <cell r="H101">
            <v>42422</v>
          </cell>
          <cell r="I101" t="str">
            <v>不明</v>
          </cell>
          <cell r="K101" t="str">
            <v>梶田</v>
          </cell>
          <cell r="L101" t="str">
            <v>-</v>
          </cell>
          <cell r="M101" t="str">
            <v>M-Turbo</v>
          </cell>
          <cell r="N101" t="str">
            <v>03JHG7</v>
          </cell>
          <cell r="O101" t="str">
            <v>P09141-15</v>
          </cell>
          <cell r="P101" t="str">
            <v>富士フイルムメディカル株式会社</v>
          </cell>
          <cell r="Q101" t="str">
            <v>望月様</v>
          </cell>
          <cell r="R101" t="str">
            <v>〒300-0034　茨城県土浦市港町1-10-7</v>
          </cell>
          <cell r="S101" t="str">
            <v>029-821-4151</v>
          </cell>
          <cell r="T101" t="str">
            <v>029-825-1144</v>
          </cell>
          <cell r="U101" t="str">
            <v>筑波記念病院</v>
          </cell>
          <cell r="V101" t="str">
            <v>-</v>
          </cell>
          <cell r="W101" t="str">
            <v>-</v>
          </cell>
          <cell r="X101" t="str">
            <v xml:space="preserve">029-864-1212
</v>
          </cell>
          <cell r="Y101" t="str">
            <v>〒300-2622　茨城県つくば市要1187-299</v>
          </cell>
          <cell r="AA101" t="str">
            <v/>
          </cell>
          <cell r="AB101" t="str">
            <v/>
          </cell>
          <cell r="AC101" t="str">
            <v/>
          </cell>
          <cell r="AD101" t="str">
            <v/>
          </cell>
          <cell r="AE101" t="str">
            <v/>
          </cell>
          <cell r="AF101" t="str">
            <v/>
          </cell>
          <cell r="AG101" t="str">
            <v/>
          </cell>
          <cell r="AH101" t="str">
            <v/>
          </cell>
          <cell r="AI101" t="str">
            <v/>
          </cell>
          <cell r="AJ101" t="str">
            <v/>
          </cell>
          <cell r="AK101" t="str">
            <v/>
          </cell>
          <cell r="AL101" t="str">
            <v/>
          </cell>
          <cell r="AM101" t="str">
            <v/>
          </cell>
          <cell r="AN101" t="str">
            <v/>
          </cell>
          <cell r="AO101" t="str">
            <v/>
          </cell>
          <cell r="AP101" t="str">
            <v/>
          </cell>
          <cell r="AQ101" t="str">
            <v/>
          </cell>
          <cell r="AR101" t="str">
            <v/>
          </cell>
          <cell r="AS101" t="str">
            <v/>
          </cell>
          <cell r="AT101" t="str">
            <v/>
          </cell>
          <cell r="AU101">
            <v>40330</v>
          </cell>
        </row>
        <row r="102">
          <cell r="A102" t="str">
            <v>S16-0099</v>
          </cell>
          <cell r="B102" t="str">
            <v>鷹揚郷腎研究所青森病院_0099 (2)</v>
          </cell>
          <cell r="C102" t="str">
            <v>SR#</v>
          </cell>
          <cell r="D102" t="str">
            <v>-</v>
          </cell>
          <cell r="E102" t="str">
            <v/>
          </cell>
          <cell r="F102">
            <v>42409</v>
          </cell>
          <cell r="G102">
            <v>42409</v>
          </cell>
          <cell r="H102">
            <v>42473</v>
          </cell>
          <cell r="I102" t="str">
            <v>不明</v>
          </cell>
          <cell r="K102" t="str">
            <v>梶田</v>
          </cell>
          <cell r="L102">
            <v>3</v>
          </cell>
          <cell r="M102" t="str">
            <v>iLook25</v>
          </cell>
          <cell r="N102" t="str">
            <v>03DX51</v>
          </cell>
          <cell r="O102" t="str">
            <v>P04303-02</v>
          </cell>
          <cell r="P102" t="str">
            <v>日本コヴィディエン株式会社　東日本透析営業部</v>
          </cell>
          <cell r="Q102" t="str">
            <v>高松様</v>
          </cell>
          <cell r="R102" t="str">
            <v>〒108-0075  東京都港区港南一丁目2番70号　品川シーズンテラス　22F</v>
          </cell>
          <cell r="S102" t="str">
            <v>03-6774-4629</v>
          </cell>
          <cell r="T102" t="str">
            <v>03-6774-4740</v>
          </cell>
          <cell r="U102" t="str">
            <v>鷹揚郷腎研究所青森病院</v>
          </cell>
          <cell r="V102" t="str">
            <v>-</v>
          </cell>
          <cell r="W102" t="str">
            <v>-</v>
          </cell>
          <cell r="X102" t="str">
            <v>017-781-9331</v>
          </cell>
          <cell r="Y102" t="str">
            <v>〒038-0003 青森県青森市大字石江字岡部101-1</v>
          </cell>
          <cell r="AA102" t="str">
            <v>P03157-02</v>
          </cell>
          <cell r="AB102" t="str">
            <v/>
          </cell>
          <cell r="AC102" t="str">
            <v/>
          </cell>
          <cell r="AD102" t="str">
            <v/>
          </cell>
          <cell r="AE102" t="str">
            <v/>
          </cell>
          <cell r="AF102" t="str">
            <v/>
          </cell>
          <cell r="AG102" t="str">
            <v/>
          </cell>
          <cell r="AH102" t="str">
            <v/>
          </cell>
          <cell r="AI102" t="str">
            <v/>
          </cell>
          <cell r="AJ102" t="str">
            <v/>
          </cell>
          <cell r="AK102" t="str">
            <v>SERVICE ASSEMBLY, L25 TRANSDUCER, ILOOK</v>
          </cell>
          <cell r="AL102" t="str">
            <v/>
          </cell>
          <cell r="AM102" t="str">
            <v/>
          </cell>
          <cell r="AN102" t="str">
            <v/>
          </cell>
          <cell r="AO102" t="str">
            <v/>
          </cell>
          <cell r="AP102" t="str">
            <v/>
          </cell>
          <cell r="AQ102" t="str">
            <v/>
          </cell>
          <cell r="AR102" t="str">
            <v/>
          </cell>
          <cell r="AS102" t="str">
            <v/>
          </cell>
          <cell r="AT102" t="str">
            <v/>
          </cell>
          <cell r="AU102">
            <v>39845</v>
          </cell>
        </row>
        <row r="103">
          <cell r="A103" t="str">
            <v>S16-0100</v>
          </cell>
          <cell r="B103" t="str">
            <v>千葉医療センター_0100</v>
          </cell>
          <cell r="C103" t="str">
            <v>SR#</v>
          </cell>
          <cell r="D103" t="str">
            <v>2016/02/04-06</v>
          </cell>
          <cell r="E103" t="str">
            <v>有償</v>
          </cell>
          <cell r="F103">
            <v>42409</v>
          </cell>
          <cell r="G103">
            <v>42409</v>
          </cell>
          <cell r="H103">
            <v>42479</v>
          </cell>
          <cell r="I103" t="str">
            <v>不明</v>
          </cell>
          <cell r="K103" t="str">
            <v>梶田</v>
          </cell>
          <cell r="L103">
            <v>3</v>
          </cell>
          <cell r="M103">
            <v>180</v>
          </cell>
          <cell r="N103" t="str">
            <v>01G2ZV</v>
          </cell>
          <cell r="O103" t="str">
            <v>P01102-01</v>
          </cell>
          <cell r="P103" t="str">
            <v>株式会社イノメディックス　千葉営業所</v>
          </cell>
          <cell r="Q103" t="str">
            <v>有賀様</v>
          </cell>
          <cell r="R103" t="str">
            <v>〒260-0843　千葉県千葉市中央区末広5-6-15</v>
          </cell>
          <cell r="S103" t="str">
            <v>043-232-8761</v>
          </cell>
          <cell r="T103" t="str">
            <v>043-232-9288</v>
          </cell>
          <cell r="U103" t="str">
            <v>千葉医療センター</v>
          </cell>
          <cell r="V103" t="str">
            <v>池田様　サド様</v>
          </cell>
          <cell r="W103" t="str">
            <v>生理検査室</v>
          </cell>
          <cell r="X103" t="str">
            <v>043-251-5311</v>
          </cell>
          <cell r="Y103" t="str">
            <v>〒260-8606 千葉県千葉市中央区椿森4-1-2</v>
          </cell>
          <cell r="AA103" t="str">
            <v>P00104-02</v>
          </cell>
          <cell r="AB103" t="str">
            <v>P00340-02</v>
          </cell>
          <cell r="AC103" t="str">
            <v>P01213-01</v>
          </cell>
          <cell r="AD103" t="str">
            <v/>
          </cell>
          <cell r="AE103" t="str">
            <v/>
          </cell>
          <cell r="AF103" t="str">
            <v/>
          </cell>
          <cell r="AG103" t="str">
            <v/>
          </cell>
          <cell r="AH103" t="str">
            <v/>
          </cell>
          <cell r="AI103" t="str">
            <v/>
          </cell>
          <cell r="AJ103" t="str">
            <v/>
          </cell>
          <cell r="AK103" t="str">
            <v>KEY, ON/OFF</v>
          </cell>
          <cell r="AL103" t="str">
            <v>LENS, DISPLAY</v>
          </cell>
          <cell r="AM103" t="str">
            <v>FLEX CIRCUIT, FAB, C1 DISPLAY</v>
          </cell>
          <cell r="AN103" t="str">
            <v/>
          </cell>
          <cell r="AO103" t="str">
            <v/>
          </cell>
          <cell r="AP103" t="str">
            <v/>
          </cell>
          <cell r="AQ103" t="str">
            <v/>
          </cell>
          <cell r="AR103" t="str">
            <v/>
          </cell>
          <cell r="AS103" t="str">
            <v/>
          </cell>
          <cell r="AT103" t="str">
            <v/>
          </cell>
          <cell r="AU103">
            <v>36557</v>
          </cell>
        </row>
        <row r="104">
          <cell r="A104" t="str">
            <v>S16-0101</v>
          </cell>
          <cell r="B104" t="str">
            <v>杏林大学医学部附属病院_0101 (2)</v>
          </cell>
          <cell r="C104" t="str">
            <v>SR#</v>
          </cell>
          <cell r="D104" t="str">
            <v>2016/01/14-04</v>
          </cell>
          <cell r="E104" t="str">
            <v/>
          </cell>
          <cell r="F104">
            <v>42410</v>
          </cell>
          <cell r="G104">
            <v>42410</v>
          </cell>
          <cell r="H104">
            <v>42453</v>
          </cell>
          <cell r="I104" t="str">
            <v>不明</v>
          </cell>
          <cell r="K104" t="str">
            <v>梶田</v>
          </cell>
          <cell r="L104" t="str">
            <v>-</v>
          </cell>
          <cell r="M104" t="str">
            <v>M-Turbo</v>
          </cell>
          <cell r="N104" t="str">
            <v>WK1DZR</v>
          </cell>
          <cell r="O104" t="str">
            <v>P09141-25</v>
          </cell>
          <cell r="P104" t="str">
            <v>株式会社イノメディックス　国立営業所</v>
          </cell>
          <cell r="Q104" t="str">
            <v>櫻井様</v>
          </cell>
          <cell r="R104" t="str">
            <v>〒186-0003 東京都国立市富士見台2-35-5</v>
          </cell>
          <cell r="S104" t="str">
            <v>042-577-1088</v>
          </cell>
          <cell r="T104" t="str">
            <v>042-577-9990</v>
          </cell>
          <cell r="U104" t="str">
            <v>杏林大学医学部附属病院</v>
          </cell>
          <cell r="V104" t="str">
            <v>-</v>
          </cell>
          <cell r="W104" t="str">
            <v>-</v>
          </cell>
          <cell r="X104" t="str">
            <v>0422-47-5511</v>
          </cell>
          <cell r="Y104" t="str">
            <v>〒181-8611　東京都三鷹市新川6-20-2</v>
          </cell>
          <cell r="AA104" t="str">
            <v/>
          </cell>
          <cell r="AB104" t="str">
            <v/>
          </cell>
          <cell r="AC104" t="str">
            <v/>
          </cell>
          <cell r="AD104" t="str">
            <v/>
          </cell>
          <cell r="AE104" t="str">
            <v/>
          </cell>
          <cell r="AF104" t="str">
            <v/>
          </cell>
          <cell r="AG104" t="str">
            <v/>
          </cell>
          <cell r="AH104" t="str">
            <v/>
          </cell>
          <cell r="AI104" t="str">
            <v/>
          </cell>
          <cell r="AJ104" t="str">
            <v/>
          </cell>
          <cell r="AK104" t="str">
            <v/>
          </cell>
          <cell r="AL104" t="str">
            <v/>
          </cell>
          <cell r="AM104" t="str">
            <v/>
          </cell>
          <cell r="AN104" t="str">
            <v/>
          </cell>
          <cell r="AO104" t="str">
            <v/>
          </cell>
          <cell r="AP104" t="str">
            <v/>
          </cell>
          <cell r="AQ104" t="str">
            <v/>
          </cell>
          <cell r="AR104" t="str">
            <v/>
          </cell>
          <cell r="AS104" t="str">
            <v/>
          </cell>
          <cell r="AT104" t="str">
            <v/>
          </cell>
          <cell r="AU104">
            <v>41244</v>
          </cell>
        </row>
        <row r="105">
          <cell r="A105" t="str">
            <v>S16-0102</v>
          </cell>
          <cell r="B105" t="str">
            <v>国立循環器病研究センター_0102 (2)</v>
          </cell>
          <cell r="C105" t="str">
            <v>SR#</v>
          </cell>
          <cell r="D105" t="str">
            <v>2016/02/08-02</v>
          </cell>
          <cell r="E105" t="str">
            <v>有償</v>
          </cell>
          <cell r="F105">
            <v>42410</v>
          </cell>
          <cell r="G105">
            <v>42410</v>
          </cell>
          <cell r="H105">
            <v>42431</v>
          </cell>
          <cell r="I105" t="str">
            <v>不明</v>
          </cell>
          <cell r="K105" t="str">
            <v>-</v>
          </cell>
          <cell r="L105" t="str">
            <v>-</v>
          </cell>
          <cell r="M105" t="str">
            <v>180Plus</v>
          </cell>
          <cell r="N105" t="str">
            <v>030WJN</v>
          </cell>
          <cell r="O105" t="str">
            <v>P02998-01</v>
          </cell>
          <cell r="P105" t="str">
            <v>株式会社エム・イーサイエンス</v>
          </cell>
          <cell r="Q105" t="str">
            <v>林様</v>
          </cell>
          <cell r="R105" t="str">
            <v>〒532-0002　大阪府大阪市淀川区東三国4-14-24</v>
          </cell>
          <cell r="S105" t="str">
            <v>06-6394-6300</v>
          </cell>
          <cell r="T105" t="str">
            <v>06-6394-6449</v>
          </cell>
          <cell r="U105" t="str">
            <v>国立循環器病研究センター</v>
          </cell>
          <cell r="V105" t="str">
            <v>小川浩之様</v>
          </cell>
          <cell r="W105" t="str">
            <v>-</v>
          </cell>
          <cell r="X105" t="str">
            <v>06-6833-5012</v>
          </cell>
          <cell r="Y105" t="str">
            <v>〒565-8565 大阪府吹田市藤白台5-7-1</v>
          </cell>
          <cell r="AA105" t="str">
            <v>P00538-03</v>
          </cell>
          <cell r="AB105" t="str">
            <v/>
          </cell>
          <cell r="AC105" t="str">
            <v/>
          </cell>
          <cell r="AD105" t="str">
            <v/>
          </cell>
          <cell r="AE105" t="str">
            <v/>
          </cell>
          <cell r="AF105" t="str">
            <v/>
          </cell>
          <cell r="AG105" t="str">
            <v/>
          </cell>
          <cell r="AH105" t="str">
            <v/>
          </cell>
          <cell r="AI105" t="str">
            <v/>
          </cell>
          <cell r="AJ105" t="str">
            <v/>
          </cell>
          <cell r="AK105" t="str">
            <v>POWER SUPPLY, 85-264 VAC, 50-60HZ, 16V, 45W, 180</v>
          </cell>
          <cell r="AL105" t="str">
            <v/>
          </cell>
          <cell r="AM105" t="str">
            <v/>
          </cell>
          <cell r="AN105" t="str">
            <v/>
          </cell>
          <cell r="AO105" t="str">
            <v/>
          </cell>
          <cell r="AP105" t="str">
            <v/>
          </cell>
          <cell r="AQ105" t="str">
            <v/>
          </cell>
          <cell r="AR105" t="str">
            <v/>
          </cell>
          <cell r="AS105" t="str">
            <v/>
          </cell>
          <cell r="AT105" t="str">
            <v/>
          </cell>
          <cell r="AU105">
            <v>37773</v>
          </cell>
        </row>
        <row r="106">
          <cell r="A106" t="str">
            <v>S16-0103</v>
          </cell>
          <cell r="B106" t="str">
            <v>デモ機No.5_0103 (2)</v>
          </cell>
          <cell r="C106" t="str">
            <v>SR#不要</v>
          </cell>
          <cell r="D106" t="str">
            <v>-</v>
          </cell>
          <cell r="E106" t="str">
            <v>有償</v>
          </cell>
          <cell r="F106">
            <v>42410</v>
          </cell>
          <cell r="G106">
            <v>42410</v>
          </cell>
          <cell r="H106">
            <v>42436</v>
          </cell>
          <cell r="I106" t="str">
            <v>不明</v>
          </cell>
          <cell r="K106">
            <v>0</v>
          </cell>
          <cell r="M106" t="str">
            <v>iLook25</v>
          </cell>
          <cell r="N106" t="str">
            <v>0329WG</v>
          </cell>
          <cell r="O106" t="str">
            <v>P04303-01</v>
          </cell>
          <cell r="P106" t="str">
            <v>日本コヴィディエン株式会社</v>
          </cell>
          <cell r="Q106" t="str">
            <v>坂井様</v>
          </cell>
          <cell r="R106" t="str">
            <v>〒158-8615  東京都世田谷区用賀 4-10-5  世田谷ﾋﾞｼﾞﾈｽｽｸｴｱﾋﾙｽﾞⅣ 2F</v>
          </cell>
          <cell r="S106" t="str">
            <v>03-5717-0517</v>
          </cell>
          <cell r="T106" t="str">
            <v>03-5717-0507</v>
          </cell>
          <cell r="U106" t="str">
            <v>デモ機No.5</v>
          </cell>
          <cell r="V106" t="str">
            <v>-</v>
          </cell>
          <cell r="W106" t="str">
            <v>-</v>
          </cell>
          <cell r="X106" t="str">
            <v>-</v>
          </cell>
          <cell r="Y106" t="str">
            <v>-</v>
          </cell>
          <cell r="AA106" t="str">
            <v/>
          </cell>
          <cell r="AB106" t="str">
            <v/>
          </cell>
          <cell r="AC106" t="str">
            <v/>
          </cell>
          <cell r="AD106" t="str">
            <v/>
          </cell>
          <cell r="AE106" t="str">
            <v/>
          </cell>
          <cell r="AF106" t="str">
            <v/>
          </cell>
          <cell r="AG106" t="str">
            <v/>
          </cell>
          <cell r="AH106" t="str">
            <v/>
          </cell>
          <cell r="AI106" t="str">
            <v/>
          </cell>
          <cell r="AJ106" t="str">
            <v/>
          </cell>
          <cell r="AK106" t="str">
            <v/>
          </cell>
          <cell r="AL106" t="str">
            <v/>
          </cell>
          <cell r="AM106" t="str">
            <v/>
          </cell>
          <cell r="AN106" t="str">
            <v/>
          </cell>
          <cell r="AO106" t="str">
            <v/>
          </cell>
          <cell r="AP106" t="str">
            <v/>
          </cell>
          <cell r="AQ106" t="str">
            <v/>
          </cell>
          <cell r="AR106" t="str">
            <v/>
          </cell>
          <cell r="AS106" t="str">
            <v/>
          </cell>
          <cell r="AT106" t="str">
            <v/>
          </cell>
          <cell r="AU106">
            <v>38139</v>
          </cell>
        </row>
        <row r="107">
          <cell r="A107" t="str">
            <v>S16-0104</v>
          </cell>
          <cell r="B107" t="str">
            <v>高井病院_0104 (2)</v>
          </cell>
          <cell r="C107" t="str">
            <v>SR#不要</v>
          </cell>
          <cell r="D107" t="str">
            <v>2016/02/08-03</v>
          </cell>
          <cell r="E107" t="str">
            <v>有償</v>
          </cell>
          <cell r="F107">
            <v>42410</v>
          </cell>
          <cell r="G107">
            <v>42410</v>
          </cell>
          <cell r="H107">
            <v>42515</v>
          </cell>
          <cell r="I107" t="str">
            <v>不明</v>
          </cell>
          <cell r="K107" t="str">
            <v>-</v>
          </cell>
          <cell r="L107" t="str">
            <v>-</v>
          </cell>
          <cell r="M107" t="str">
            <v>TiTAN</v>
          </cell>
          <cell r="N107" t="str">
            <v>035XKP</v>
          </cell>
          <cell r="O107" t="str">
            <v>P06092-01</v>
          </cell>
          <cell r="P107" t="str">
            <v>フクダ電子南近畿販売株式会社</v>
          </cell>
          <cell r="Q107" t="str">
            <v>清水様</v>
          </cell>
          <cell r="R107" t="str">
            <v>〒634-0075　奈良県橿原市小房12-37</v>
          </cell>
          <cell r="S107" t="str">
            <v>0744-24-2161</v>
          </cell>
          <cell r="T107" t="str">
            <v>0744-25-6139</v>
          </cell>
          <cell r="U107" t="str">
            <v>社会医療法人高清会　高井病院</v>
          </cell>
          <cell r="V107" t="str">
            <v>-</v>
          </cell>
          <cell r="W107" t="str">
            <v>-</v>
          </cell>
          <cell r="X107" t="str">
            <v>0743-65-0372</v>
          </cell>
          <cell r="Y107" t="str">
            <v>〒632-0006　奈良県天理市蔵之庄町470-8</v>
          </cell>
          <cell r="AA107" t="str">
            <v/>
          </cell>
          <cell r="AB107" t="str">
            <v/>
          </cell>
          <cell r="AC107" t="str">
            <v/>
          </cell>
          <cell r="AD107" t="str">
            <v/>
          </cell>
          <cell r="AE107" t="str">
            <v/>
          </cell>
          <cell r="AF107" t="str">
            <v/>
          </cell>
          <cell r="AG107" t="str">
            <v/>
          </cell>
          <cell r="AH107" t="str">
            <v/>
          </cell>
          <cell r="AI107" t="str">
            <v/>
          </cell>
          <cell r="AJ107" t="str">
            <v/>
          </cell>
          <cell r="AK107" t="str">
            <v/>
          </cell>
          <cell r="AL107" t="str">
            <v/>
          </cell>
          <cell r="AM107" t="str">
            <v/>
          </cell>
          <cell r="AN107" t="str">
            <v/>
          </cell>
          <cell r="AO107" t="str">
            <v/>
          </cell>
          <cell r="AP107" t="str">
            <v/>
          </cell>
          <cell r="AQ107" t="str">
            <v/>
          </cell>
          <cell r="AR107" t="str">
            <v/>
          </cell>
          <cell r="AS107" t="str">
            <v/>
          </cell>
          <cell r="AT107" t="str">
            <v/>
          </cell>
          <cell r="AU107">
            <v>38749</v>
          </cell>
        </row>
        <row r="108">
          <cell r="A108" t="str">
            <v>S16-0105</v>
          </cell>
          <cell r="B108" t="str">
            <v>代替機NIM160_0105(2)</v>
          </cell>
          <cell r="C108" t="str">
            <v>SR#4187611</v>
          </cell>
          <cell r="D108" t="str">
            <v>-</v>
          </cell>
          <cell r="E108" t="str">
            <v>無償</v>
          </cell>
          <cell r="F108">
            <v>42410</v>
          </cell>
          <cell r="G108">
            <v>42410</v>
          </cell>
          <cell r="H108">
            <v>42431</v>
          </cell>
          <cell r="I108" t="str">
            <v>-</v>
          </cell>
          <cell r="K108" t="str">
            <v>梶田</v>
          </cell>
          <cell r="L108">
            <v>3</v>
          </cell>
          <cell r="M108" t="str">
            <v>TiTAN</v>
          </cell>
          <cell r="N108" t="str">
            <v>03HN20</v>
          </cell>
          <cell r="O108" t="str">
            <v>P06590-03</v>
          </cell>
          <cell r="P108" t="str">
            <v>富士フイルムメディカル株式会社</v>
          </cell>
          <cell r="Q108" t="str">
            <v>テクニカルサポート</v>
          </cell>
          <cell r="R108" t="str">
            <v>-</v>
          </cell>
          <cell r="S108" t="str">
            <v>03-6418-7190</v>
          </cell>
          <cell r="T108" t="str">
            <v>03-6418-7162</v>
          </cell>
          <cell r="U108" t="str">
            <v>代替機NIM160</v>
          </cell>
          <cell r="V108" t="str">
            <v>-</v>
          </cell>
          <cell r="W108" t="str">
            <v>-</v>
          </cell>
          <cell r="X108" t="str">
            <v>-</v>
          </cell>
          <cell r="Y108" t="str">
            <v>-</v>
          </cell>
          <cell r="AA108" t="str">
            <v>P03861-02</v>
          </cell>
          <cell r="AB108" t="str">
            <v/>
          </cell>
          <cell r="AC108" t="str">
            <v/>
          </cell>
          <cell r="AD108" t="str">
            <v/>
          </cell>
          <cell r="AE108" t="str">
            <v/>
          </cell>
          <cell r="AF108" t="str">
            <v/>
          </cell>
          <cell r="AG108" t="str">
            <v/>
          </cell>
          <cell r="AH108" t="str">
            <v/>
          </cell>
          <cell r="AI108" t="str">
            <v/>
          </cell>
          <cell r="AJ108" t="str">
            <v/>
          </cell>
          <cell r="AK108" t="str">
            <v>SERVICE ASSEMBLY DISPLAY, TITAN</v>
          </cell>
          <cell r="AL108" t="str">
            <v/>
          </cell>
          <cell r="AM108" t="str">
            <v/>
          </cell>
          <cell r="AN108" t="str">
            <v/>
          </cell>
          <cell r="AO108" t="str">
            <v/>
          </cell>
          <cell r="AP108" t="str">
            <v/>
          </cell>
          <cell r="AQ108" t="str">
            <v/>
          </cell>
          <cell r="AR108" t="str">
            <v/>
          </cell>
          <cell r="AS108" t="str">
            <v/>
          </cell>
          <cell r="AT108" t="str">
            <v/>
          </cell>
          <cell r="AU108">
            <v>40238</v>
          </cell>
        </row>
        <row r="109">
          <cell r="A109" t="str">
            <v>S16-0106</v>
          </cell>
          <cell r="B109" t="str">
            <v>岩手医科大学_0106 (2)</v>
          </cell>
          <cell r="C109" t="str">
            <v>SR#</v>
          </cell>
          <cell r="D109" t="str">
            <v>2016/01/04-01</v>
          </cell>
          <cell r="E109" t="str">
            <v>無償</v>
          </cell>
          <cell r="F109">
            <v>42412</v>
          </cell>
          <cell r="G109">
            <v>42412</v>
          </cell>
          <cell r="H109">
            <v>42436</v>
          </cell>
          <cell r="I109">
            <v>40968</v>
          </cell>
          <cell r="K109" t="str">
            <v>梶田</v>
          </cell>
          <cell r="L109" t="str">
            <v>-</v>
          </cell>
          <cell r="M109" t="str">
            <v>M-Turbo</v>
          </cell>
          <cell r="N109" t="str">
            <v>WK0TZQ</v>
          </cell>
          <cell r="O109" t="str">
            <v>P09141-23</v>
          </cell>
          <cell r="P109" t="str">
            <v>株式会社三協医科器械</v>
          </cell>
          <cell r="Q109" t="str">
            <v>石田様</v>
          </cell>
          <cell r="R109" t="str">
            <v>〒020-0891　岩手県紫波郡矢巾町流通センター南1丁目7-7</v>
          </cell>
          <cell r="S109" t="str">
            <v>019-637-0541</v>
          </cell>
          <cell r="T109" t="str">
            <v>019-637-0536</v>
          </cell>
          <cell r="U109" t="str">
            <v>岩手医科大学附属病院　CEセンター</v>
          </cell>
          <cell r="V109" t="str">
            <v>-</v>
          </cell>
          <cell r="W109" t="str">
            <v>CEセンター</v>
          </cell>
          <cell r="X109" t="str">
            <v>019-651-5111</v>
          </cell>
          <cell r="Y109" t="str">
            <v>〒020-8505 岩手県盛岡市内丸19-1</v>
          </cell>
          <cell r="AA109" t="str">
            <v/>
          </cell>
          <cell r="AB109" t="str">
            <v/>
          </cell>
          <cell r="AC109" t="str">
            <v/>
          </cell>
          <cell r="AD109" t="str">
            <v/>
          </cell>
          <cell r="AE109" t="str">
            <v/>
          </cell>
          <cell r="AF109" t="str">
            <v/>
          </cell>
          <cell r="AG109" t="str">
            <v/>
          </cell>
          <cell r="AH109" t="str">
            <v/>
          </cell>
          <cell r="AI109" t="str">
            <v/>
          </cell>
          <cell r="AJ109" t="str">
            <v/>
          </cell>
          <cell r="AK109" t="str">
            <v/>
          </cell>
          <cell r="AL109" t="str">
            <v/>
          </cell>
          <cell r="AM109" t="str">
            <v/>
          </cell>
          <cell r="AN109" t="str">
            <v/>
          </cell>
          <cell r="AO109" t="str">
            <v/>
          </cell>
          <cell r="AP109" t="str">
            <v/>
          </cell>
          <cell r="AQ109" t="str">
            <v/>
          </cell>
          <cell r="AR109" t="str">
            <v/>
          </cell>
          <cell r="AS109" t="str">
            <v/>
          </cell>
          <cell r="AT109" t="str">
            <v/>
          </cell>
          <cell r="AU109">
            <v>40878</v>
          </cell>
        </row>
        <row r="110">
          <cell r="A110" t="str">
            <v>S16-0107</v>
          </cell>
          <cell r="B110" t="str">
            <v>岡山労災病院_0107 (2)</v>
          </cell>
          <cell r="C110" t="str">
            <v>SR#</v>
          </cell>
          <cell r="D110" t="str">
            <v>2016/02/04-02</v>
          </cell>
          <cell r="E110" t="str">
            <v>有償</v>
          </cell>
          <cell r="F110">
            <v>42412</v>
          </cell>
          <cell r="G110">
            <v>42412</v>
          </cell>
          <cell r="H110">
            <v>42432</v>
          </cell>
          <cell r="I110">
            <v>39464</v>
          </cell>
          <cell r="K110" t="str">
            <v>梶田</v>
          </cell>
          <cell r="L110">
            <v>3</v>
          </cell>
          <cell r="M110" t="str">
            <v>180Plus</v>
          </cell>
          <cell r="N110" t="str">
            <v>038P8L</v>
          </cell>
          <cell r="O110" t="str">
            <v>P04326-04</v>
          </cell>
          <cell r="P110" t="str">
            <v>株式会社カワニシ　岡山支店</v>
          </cell>
          <cell r="Q110" t="str">
            <v>脇谷様</v>
          </cell>
          <cell r="R110" t="str">
            <v>〒700-8528　岡山県岡山市北区今1-4-31</v>
          </cell>
          <cell r="S110" t="str">
            <v>086-241-1112</v>
          </cell>
          <cell r="T110" t="str">
            <v>086-241-5943</v>
          </cell>
          <cell r="U110" t="str">
            <v>岡山労災病院　呼吸器内科</v>
          </cell>
          <cell r="V110" t="str">
            <v>近藤様</v>
          </cell>
          <cell r="W110" t="str">
            <v>呼吸器内科</v>
          </cell>
          <cell r="X110" t="str">
            <v>086-262-0131</v>
          </cell>
          <cell r="Y110" t="str">
            <v>〒702-8055　岡山県岡山市南区築港緑町1-10-25</v>
          </cell>
          <cell r="AA110" t="str">
            <v>P01213-01</v>
          </cell>
          <cell r="AB110" t="str">
            <v>P00343-01</v>
          </cell>
          <cell r="AC110" t="str">
            <v>P00104-02</v>
          </cell>
          <cell r="AD110" t="str">
            <v>P00340-02</v>
          </cell>
          <cell r="AE110" t="str">
            <v/>
          </cell>
          <cell r="AF110" t="str">
            <v/>
          </cell>
          <cell r="AG110" t="str">
            <v/>
          </cell>
          <cell r="AH110" t="str">
            <v/>
          </cell>
          <cell r="AI110" t="str">
            <v/>
          </cell>
          <cell r="AJ110" t="str">
            <v/>
          </cell>
          <cell r="AK110" t="str">
            <v>FLEX CIRCUIT, FAB, C1 DISPLAY</v>
          </cell>
          <cell r="AL110" t="str">
            <v>HINGE, DISPLAY</v>
          </cell>
          <cell r="AM110" t="str">
            <v>KEY, ON/OFF</v>
          </cell>
          <cell r="AN110" t="str">
            <v>LENS, DISPLAY</v>
          </cell>
          <cell r="AO110" t="str">
            <v/>
          </cell>
          <cell r="AP110" t="str">
            <v/>
          </cell>
          <cell r="AQ110" t="str">
            <v/>
          </cell>
          <cell r="AT110" t="str">
            <v/>
          </cell>
          <cell r="AU110">
            <v>39264</v>
          </cell>
        </row>
        <row r="111">
          <cell r="A111" t="str">
            <v>S16-0108</v>
          </cell>
          <cell r="B111" t="str">
            <v>神戸赤十字病院_0108 (2)</v>
          </cell>
          <cell r="C111" t="str">
            <v>SR#</v>
          </cell>
          <cell r="D111" t="str">
            <v>-</v>
          </cell>
          <cell r="E111" t="str">
            <v>有償</v>
          </cell>
          <cell r="F111">
            <v>42412</v>
          </cell>
          <cell r="G111">
            <v>42412</v>
          </cell>
          <cell r="H111">
            <v>42451</v>
          </cell>
          <cell r="I111" t="str">
            <v>不明</v>
          </cell>
          <cell r="K111" t="str">
            <v>梶田</v>
          </cell>
          <cell r="L111">
            <v>3</v>
          </cell>
          <cell r="M111" t="str">
            <v>180Plus</v>
          </cell>
          <cell r="N111" t="str">
            <v>03CN4P</v>
          </cell>
          <cell r="O111" t="str">
            <v>P04326-05</v>
          </cell>
          <cell r="P111" t="str">
            <v>グリーンホスピタルサプライ株式会社</v>
          </cell>
          <cell r="Q111" t="str">
            <v>上田様</v>
          </cell>
          <cell r="R111" t="str">
            <v>〒565-0853 大阪府吹田市春日3-20-8</v>
          </cell>
          <cell r="S111" t="str">
            <v>06-6369-6321</v>
          </cell>
          <cell r="T111" t="str">
            <v>06-6369-0731</v>
          </cell>
          <cell r="U111" t="str">
            <v>神戸赤十字病院</v>
          </cell>
          <cell r="V111" t="str">
            <v>-</v>
          </cell>
          <cell r="W111" t="str">
            <v>-</v>
          </cell>
          <cell r="X111" t="str">
            <v>078-231-6006</v>
          </cell>
          <cell r="Y111" t="str">
            <v>〒651-0073 神戸市中央区脇浜海岸通1-3-1</v>
          </cell>
          <cell r="AA111" t="str">
            <v>P00104-02</v>
          </cell>
          <cell r="AB111" t="str">
            <v>P00343-01</v>
          </cell>
          <cell r="AC111" t="str">
            <v>P01213-01</v>
          </cell>
          <cell r="AD111" t="str">
            <v>P00049-04</v>
          </cell>
          <cell r="AE111" t="str">
            <v/>
          </cell>
          <cell r="AF111" t="str">
            <v/>
          </cell>
          <cell r="AG111" t="str">
            <v/>
          </cell>
          <cell r="AH111" t="str">
            <v/>
          </cell>
          <cell r="AI111" t="str">
            <v/>
          </cell>
          <cell r="AJ111" t="str">
            <v/>
          </cell>
          <cell r="AK111" t="str">
            <v>KEY, ON/OFF</v>
          </cell>
          <cell r="AL111" t="str">
            <v>HINGE, DISPLAY</v>
          </cell>
          <cell r="AM111" t="str">
            <v>FLEX CIRCUIT, FAB, C1 DISPLAY</v>
          </cell>
          <cell r="AN111" t="str">
            <v>BATTERY PACK, 6 CELL LITHIUM-ION, 180</v>
          </cell>
          <cell r="AO111" t="str">
            <v/>
          </cell>
          <cell r="AP111" t="str">
            <v/>
          </cell>
          <cell r="AQ111" t="str">
            <v/>
          </cell>
          <cell r="AR111" t="str">
            <v/>
          </cell>
          <cell r="AS111" t="str">
            <v/>
          </cell>
          <cell r="AT111" t="str">
            <v/>
          </cell>
          <cell r="AU111">
            <v>39692</v>
          </cell>
        </row>
        <row r="112">
          <cell r="A112" t="str">
            <v>S16-0109</v>
          </cell>
          <cell r="B112" t="str">
            <v>苫小牧市立病院_0109 (2)</v>
          </cell>
          <cell r="C112" t="str">
            <v>SR#不要</v>
          </cell>
          <cell r="D112" t="str">
            <v>2016/02/04-03</v>
          </cell>
          <cell r="E112" t="str">
            <v>有償</v>
          </cell>
          <cell r="F112">
            <v>42412</v>
          </cell>
          <cell r="G112">
            <v>42412</v>
          </cell>
          <cell r="H112">
            <v>42429</v>
          </cell>
          <cell r="I112" t="str">
            <v>不明</v>
          </cell>
          <cell r="K112" t="str">
            <v>-</v>
          </cell>
          <cell r="L112" t="str">
            <v>-</v>
          </cell>
          <cell r="M112" t="str">
            <v>C60/5-2</v>
          </cell>
          <cell r="N112" t="str">
            <v>01DX9B</v>
          </cell>
          <cell r="O112" t="str">
            <v>P01150-01</v>
          </cell>
          <cell r="P112" t="str">
            <v>株式会社ムトウ　苫小牧支店</v>
          </cell>
          <cell r="Q112" t="str">
            <v>石井様</v>
          </cell>
          <cell r="R112" t="str">
            <v>〒053-0031 北海道苫小牧市春日町1丁目9番11号</v>
          </cell>
          <cell r="S112" t="str">
            <v>0144-34-6010</v>
          </cell>
          <cell r="T112" t="str">
            <v>0144-34-7892</v>
          </cell>
          <cell r="U112" t="str">
            <v>苫小牧市立病院</v>
          </cell>
          <cell r="V112" t="str">
            <v>-</v>
          </cell>
          <cell r="W112" t="str">
            <v>-</v>
          </cell>
          <cell r="X112" t="str">
            <v>0144-33-3131</v>
          </cell>
          <cell r="Y112" t="str">
            <v>〒053-8567　北海道苫小牧市清水町1-5-20</v>
          </cell>
          <cell r="AA112" t="str">
            <v/>
          </cell>
          <cell r="AB112" t="str">
            <v/>
          </cell>
          <cell r="AC112" t="str">
            <v/>
          </cell>
          <cell r="AD112" t="str">
            <v/>
          </cell>
          <cell r="AE112" t="str">
            <v/>
          </cell>
          <cell r="AF112" t="str">
            <v/>
          </cell>
          <cell r="AG112" t="str">
            <v/>
          </cell>
          <cell r="AH112" t="str">
            <v/>
          </cell>
          <cell r="AI112" t="str">
            <v/>
          </cell>
          <cell r="AJ112" t="str">
            <v/>
          </cell>
          <cell r="AK112" t="str">
            <v/>
          </cell>
          <cell r="AL112" t="str">
            <v/>
          </cell>
          <cell r="AM112" t="str">
            <v/>
          </cell>
          <cell r="AN112" t="str">
            <v/>
          </cell>
          <cell r="AO112" t="str">
            <v/>
          </cell>
          <cell r="AP112" t="str">
            <v/>
          </cell>
          <cell r="AQ112" t="str">
            <v/>
          </cell>
          <cell r="AR112" t="str">
            <v/>
          </cell>
          <cell r="AS112" t="str">
            <v/>
          </cell>
          <cell r="AT112" t="str">
            <v/>
          </cell>
          <cell r="AU112">
            <v>36526</v>
          </cell>
        </row>
        <row r="113">
          <cell r="A113" t="str">
            <v>S16-0110</v>
          </cell>
          <cell r="B113" t="str">
            <v>大森赤十字病院_0110 (2)</v>
          </cell>
          <cell r="C113" t="str">
            <v>SR#4196621</v>
          </cell>
          <cell r="D113" t="str">
            <v>2016/02/10-05</v>
          </cell>
          <cell r="E113" t="str">
            <v>無償</v>
          </cell>
          <cell r="F113">
            <v>42415</v>
          </cell>
          <cell r="G113">
            <v>42415</v>
          </cell>
          <cell r="H113">
            <v>42475</v>
          </cell>
          <cell r="I113" t="str">
            <v>不明</v>
          </cell>
          <cell r="K113" t="str">
            <v>梶田</v>
          </cell>
          <cell r="L113">
            <v>3</v>
          </cell>
          <cell r="M113" t="str">
            <v>S-Nerve</v>
          </cell>
          <cell r="N113" t="str">
            <v>03K3T3</v>
          </cell>
          <cell r="O113" t="str">
            <v>P12060-06</v>
          </cell>
          <cell r="P113" t="str">
            <v>株式会社イノメディックス　小石川営業所</v>
          </cell>
          <cell r="Q113" t="str">
            <v>高橋様</v>
          </cell>
          <cell r="R113" t="str">
            <v>〒112-0002 東京都文京区小石川4-17-15</v>
          </cell>
          <cell r="S113" t="str">
            <v>03-3814-3645</v>
          </cell>
          <cell r="T113" t="str">
            <v>03-3815-8811</v>
          </cell>
          <cell r="U113" t="str">
            <v>大森赤十字病院　オペ室</v>
          </cell>
          <cell r="V113" t="str">
            <v>岡本様</v>
          </cell>
          <cell r="W113" t="str">
            <v>OPE室</v>
          </cell>
          <cell r="X113" t="str">
            <v xml:space="preserve">03-3775-3111
</v>
          </cell>
          <cell r="Y113" t="str">
            <v>〒143-8527東京都大田区中央4-30-1</v>
          </cell>
          <cell r="AA113" t="str">
            <v>P13811-51</v>
          </cell>
          <cell r="AB113" t="str">
            <v>P00364-02</v>
          </cell>
          <cell r="AC113" t="str">
            <v/>
          </cell>
          <cell r="AD113" t="str">
            <v/>
          </cell>
          <cell r="AE113" t="str">
            <v/>
          </cell>
          <cell r="AF113" t="str">
            <v/>
          </cell>
          <cell r="AG113" t="str">
            <v/>
          </cell>
          <cell r="AH113" t="str">
            <v/>
          </cell>
          <cell r="AI113" t="str">
            <v/>
          </cell>
          <cell r="AJ113" t="str">
            <v/>
          </cell>
          <cell r="AK113" t="str">
            <v>HFL50x/15-6　リニアプローブ</v>
          </cell>
          <cell r="AL113" t="str">
            <v>CONNECTOR, INTERPOSER</v>
          </cell>
          <cell r="AM113" t="str">
            <v/>
          </cell>
          <cell r="AN113" t="str">
            <v/>
          </cell>
          <cell r="AO113" t="str">
            <v/>
          </cell>
          <cell r="AP113" t="str">
            <v/>
          </cell>
          <cell r="AQ113" t="str">
            <v/>
          </cell>
          <cell r="AR113" t="str">
            <v/>
          </cell>
          <cell r="AS113" t="str">
            <v/>
          </cell>
          <cell r="AT113" t="str">
            <v/>
          </cell>
          <cell r="AU113">
            <v>40422</v>
          </cell>
        </row>
        <row r="114">
          <cell r="A114" t="str">
            <v>S16-0111</v>
          </cell>
          <cell r="B114" t="str">
            <v>佐賀県産業医学協会_0111 (2)</v>
          </cell>
          <cell r="C114" t="str">
            <v>SR#不要</v>
          </cell>
          <cell r="D114" t="str">
            <v>2016/02/12-03</v>
          </cell>
          <cell r="E114" t="str">
            <v>有償</v>
          </cell>
          <cell r="F114">
            <v>42415</v>
          </cell>
          <cell r="G114">
            <v>42415</v>
          </cell>
          <cell r="H114">
            <v>42681</v>
          </cell>
          <cell r="I114" t="str">
            <v>不明</v>
          </cell>
          <cell r="K114" t="str">
            <v>-</v>
          </cell>
          <cell r="L114" t="str">
            <v>-</v>
          </cell>
          <cell r="M114" t="str">
            <v>TiTAN</v>
          </cell>
          <cell r="N114" t="str">
            <v>03HJVT</v>
          </cell>
          <cell r="O114" t="str">
            <v>P06590-03</v>
          </cell>
          <cell r="P114" t="str">
            <v>フクダ電子西部北販売株式会社</v>
          </cell>
          <cell r="Q114" t="str">
            <v>宮原様→諸石様</v>
          </cell>
          <cell r="R114" t="str">
            <v>〒849-0937　佐賀県佐賀市鍋島3-4-31</v>
          </cell>
          <cell r="S114" t="str">
            <v>0952-31-5519</v>
          </cell>
          <cell r="T114" t="str">
            <v>0952-31-5520</v>
          </cell>
          <cell r="U114" t="str">
            <v>一般財団法人 佐賀県産業医学協会</v>
          </cell>
          <cell r="V114" t="str">
            <v>柴田様</v>
          </cell>
          <cell r="W114" t="str">
            <v>-</v>
          </cell>
          <cell r="X114" t="str">
            <v>0952-22-6729</v>
          </cell>
          <cell r="Y114" t="str">
            <v>〒840-0857 佐賀県佐賀市鍋島町八戸1994番地1</v>
          </cell>
          <cell r="AA114" t="str">
            <v/>
          </cell>
          <cell r="AB114" t="str">
            <v/>
          </cell>
          <cell r="AC114" t="str">
            <v/>
          </cell>
          <cell r="AD114" t="str">
            <v/>
          </cell>
          <cell r="AE114" t="str">
            <v/>
          </cell>
          <cell r="AF114" t="str">
            <v/>
          </cell>
          <cell r="AG114" t="str">
            <v/>
          </cell>
          <cell r="AH114" t="str">
            <v/>
          </cell>
          <cell r="AI114" t="str">
            <v/>
          </cell>
          <cell r="AJ114" t="str">
            <v/>
          </cell>
          <cell r="AK114" t="str">
            <v/>
          </cell>
          <cell r="AL114" t="str">
            <v/>
          </cell>
          <cell r="AM114" t="str">
            <v/>
          </cell>
          <cell r="AN114" t="str">
            <v/>
          </cell>
          <cell r="AO114" t="str">
            <v/>
          </cell>
          <cell r="AP114" t="str">
            <v/>
          </cell>
          <cell r="AQ114" t="str">
            <v/>
          </cell>
          <cell r="AR114" t="str">
            <v/>
          </cell>
          <cell r="AS114" t="str">
            <v/>
          </cell>
          <cell r="AT114" t="str">
            <v/>
          </cell>
          <cell r="AU114">
            <v>40210</v>
          </cell>
        </row>
        <row r="115">
          <cell r="A115" t="str">
            <v>S16-0112</v>
          </cell>
          <cell r="B115" t="str">
            <v>小倉記念病院_0112 (2)</v>
          </cell>
          <cell r="C115" t="str">
            <v>SR#不要</v>
          </cell>
          <cell r="D115" t="str">
            <v>2016/01/28-01</v>
          </cell>
          <cell r="E115" t="str">
            <v>無償</v>
          </cell>
          <cell r="F115">
            <v>42415</v>
          </cell>
          <cell r="G115">
            <v>42415</v>
          </cell>
          <cell r="H115">
            <v>42436</v>
          </cell>
          <cell r="I115" t="str">
            <v>不明</v>
          </cell>
          <cell r="K115" t="str">
            <v>梶田</v>
          </cell>
          <cell r="L115">
            <v>3</v>
          </cell>
          <cell r="M115" t="str">
            <v>EDGE</v>
          </cell>
          <cell r="N115" t="str">
            <v xml:space="preserve">03YRHR </v>
          </cell>
          <cell r="O115" t="str">
            <v>P16360-60</v>
          </cell>
          <cell r="P115" t="str">
            <v>株式会社キシヤ 北九州営業所</v>
          </cell>
          <cell r="Q115" t="str">
            <v>武富様</v>
          </cell>
          <cell r="R115" t="str">
            <v>〒805-0071 福岡県北九州市八幡東区東田1-３-７</v>
          </cell>
          <cell r="S115" t="str">
            <v>093-663-8610</v>
          </cell>
          <cell r="T115" t="str">
            <v>093-663-8620</v>
          </cell>
          <cell r="U115" t="str">
            <v>小倉記念病院 手術室(麻酔科)</v>
          </cell>
          <cell r="V115" t="str">
            <v>-</v>
          </cell>
          <cell r="W115" t="str">
            <v>-</v>
          </cell>
          <cell r="X115" t="str">
            <v>093-511-2000</v>
          </cell>
          <cell r="Y115" t="str">
            <v>〒802-8555　福岡県北九州市小倉北区浅野3丁目2-1</v>
          </cell>
          <cell r="AA115" t="str">
            <v/>
          </cell>
          <cell r="AB115" t="str">
            <v/>
          </cell>
          <cell r="AC115" t="str">
            <v/>
          </cell>
          <cell r="AD115" t="str">
            <v/>
          </cell>
          <cell r="AE115" t="str">
            <v/>
          </cell>
          <cell r="AF115" t="str">
            <v/>
          </cell>
          <cell r="AG115" t="str">
            <v/>
          </cell>
          <cell r="AH115" t="str">
            <v/>
          </cell>
          <cell r="AI115" t="str">
            <v/>
          </cell>
          <cell r="AJ115" t="str">
            <v/>
          </cell>
          <cell r="AK115" t="str">
            <v/>
          </cell>
          <cell r="AL115" t="str">
            <v/>
          </cell>
          <cell r="AM115" t="str">
            <v/>
          </cell>
          <cell r="AN115" t="str">
            <v/>
          </cell>
          <cell r="AO115" t="str">
            <v/>
          </cell>
          <cell r="AP115" t="str">
            <v/>
          </cell>
          <cell r="AQ115" t="str">
            <v/>
          </cell>
          <cell r="AR115" t="str">
            <v/>
          </cell>
          <cell r="AS115" t="str">
            <v/>
          </cell>
          <cell r="AT115" t="str">
            <v/>
          </cell>
          <cell r="AU115">
            <v>41852</v>
          </cell>
        </row>
        <row r="116">
          <cell r="A116" t="str">
            <v>S16-0113</v>
          </cell>
          <cell r="B116" t="str">
            <v>大和高田病院_0113 (2)</v>
          </cell>
          <cell r="C116" t="str">
            <v>SR#</v>
          </cell>
          <cell r="D116" t="str">
            <v>-</v>
          </cell>
          <cell r="E116" t="str">
            <v/>
          </cell>
          <cell r="F116">
            <v>42415</v>
          </cell>
          <cell r="G116">
            <v>42415</v>
          </cell>
          <cell r="H116">
            <v>42508</v>
          </cell>
          <cell r="I116" t="str">
            <v>不明</v>
          </cell>
          <cell r="K116" t="str">
            <v>梶田</v>
          </cell>
          <cell r="L116">
            <v>3</v>
          </cell>
          <cell r="M116" t="str">
            <v>iLook25</v>
          </cell>
          <cell r="N116" t="str">
            <v xml:space="preserve">03855P </v>
          </cell>
          <cell r="O116" t="str">
            <v>P04303-02</v>
          </cell>
          <cell r="P116" t="str">
            <v>日本コヴィディエン株式会社　東海北陸営業所</v>
          </cell>
          <cell r="Q116" t="str">
            <v>村田様</v>
          </cell>
          <cell r="R116" t="str">
            <v>〒108-0075  東京都港区港南一丁目2番70号　品川シーズンテラス　22F</v>
          </cell>
          <cell r="S116" t="str">
            <v>03-6774-4629</v>
          </cell>
          <cell r="T116" t="str">
            <v>03-6774-4740</v>
          </cell>
          <cell r="U116" t="str">
            <v>大和高田市立病院</v>
          </cell>
          <cell r="V116" t="str">
            <v>-</v>
          </cell>
          <cell r="W116" t="str">
            <v>-</v>
          </cell>
          <cell r="X116" t="str">
            <v>0745-53-2901</v>
          </cell>
          <cell r="Y116" t="str">
            <v xml:space="preserve">〒635-8501　奈良県大和高田市礒野北町1-1 </v>
          </cell>
          <cell r="AA116" t="str">
            <v>P03156-02</v>
          </cell>
          <cell r="AB116" t="str">
            <v/>
          </cell>
          <cell r="AC116" t="str">
            <v/>
          </cell>
          <cell r="AD116" t="str">
            <v/>
          </cell>
          <cell r="AE116" t="str">
            <v/>
          </cell>
          <cell r="AF116" t="str">
            <v/>
          </cell>
          <cell r="AG116" t="str">
            <v/>
          </cell>
          <cell r="AH116" t="str">
            <v/>
          </cell>
          <cell r="AI116" t="str">
            <v/>
          </cell>
          <cell r="AJ116" t="str">
            <v/>
          </cell>
          <cell r="AK116" t="str">
            <v>SERVICE ASSEMBLY, MAIN PCB, ILOOK25</v>
          </cell>
          <cell r="AL116" t="str">
            <v/>
          </cell>
          <cell r="AM116" t="str">
            <v/>
          </cell>
          <cell r="AN116" t="str">
            <v/>
          </cell>
          <cell r="AO116" t="str">
            <v/>
          </cell>
          <cell r="AP116" t="str">
            <v/>
          </cell>
          <cell r="AQ116" t="str">
            <v/>
          </cell>
          <cell r="AR116" t="str">
            <v/>
          </cell>
          <cell r="AS116" t="str">
            <v/>
          </cell>
          <cell r="AT116" t="str">
            <v/>
          </cell>
          <cell r="AU116">
            <v>39114</v>
          </cell>
        </row>
        <row r="117">
          <cell r="A117" t="str">
            <v>S16-0114</v>
          </cell>
          <cell r="B117" t="str">
            <v>松坂中央病院_0114 (2)</v>
          </cell>
          <cell r="C117" t="str">
            <v>SR#</v>
          </cell>
          <cell r="D117" t="str">
            <v>2016/02/09-03</v>
          </cell>
          <cell r="E117" t="str">
            <v>有償</v>
          </cell>
          <cell r="F117">
            <v>42415</v>
          </cell>
          <cell r="G117">
            <v>42415</v>
          </cell>
          <cell r="H117">
            <v>42523</v>
          </cell>
          <cell r="I117" t="str">
            <v>不明</v>
          </cell>
          <cell r="K117" t="str">
            <v>馬屋原</v>
          </cell>
          <cell r="L117">
            <v>3</v>
          </cell>
          <cell r="M117" t="str">
            <v>TiTAN</v>
          </cell>
          <cell r="N117" t="str">
            <v>038N34</v>
          </cell>
          <cell r="O117" t="str">
            <v>P06092-03</v>
          </cell>
          <cell r="P117" t="str">
            <v>中辻医科器械株式会社</v>
          </cell>
          <cell r="Q117" t="str">
            <v>伊原様</v>
          </cell>
          <cell r="R117" t="str">
            <v>〒514-0816　三重県津市高茶屋上野町1336-1</v>
          </cell>
          <cell r="S117" t="str">
            <v>059-234-2600</v>
          </cell>
          <cell r="T117" t="str">
            <v>059-234-2603</v>
          </cell>
          <cell r="U117" t="str">
            <v>松阪中央総合病院　救急外来</v>
          </cell>
          <cell r="V117" t="str">
            <v>星野先生</v>
          </cell>
          <cell r="W117" t="str">
            <v>救急外来</v>
          </cell>
          <cell r="X117" t="str">
            <v>059-21-5252</v>
          </cell>
          <cell r="Y117" t="str">
            <v>〒515-8566　三重県松阪市川井町字小望102</v>
          </cell>
          <cell r="AA117" t="str">
            <v>P03861-02</v>
          </cell>
          <cell r="AB117" t="str">
            <v>P00364-02</v>
          </cell>
          <cell r="AC117" t="str">
            <v/>
          </cell>
          <cell r="AD117" t="str">
            <v/>
          </cell>
          <cell r="AE117" t="str">
            <v/>
          </cell>
          <cell r="AF117" t="str">
            <v/>
          </cell>
          <cell r="AG117" t="str">
            <v/>
          </cell>
          <cell r="AH117" t="str">
            <v/>
          </cell>
          <cell r="AI117" t="str">
            <v/>
          </cell>
          <cell r="AJ117" t="str">
            <v/>
          </cell>
          <cell r="AK117" t="str">
            <v>SERVICE ASSEMBLY DISPLAY, TITAN</v>
          </cell>
          <cell r="AL117" t="str">
            <v>CONNECTOR, INTERPOSER</v>
          </cell>
          <cell r="AM117" t="str">
            <v/>
          </cell>
          <cell r="AN117" t="str">
            <v/>
          </cell>
          <cell r="AO117" t="str">
            <v/>
          </cell>
          <cell r="AP117" t="str">
            <v/>
          </cell>
          <cell r="AQ117" t="str">
            <v/>
          </cell>
          <cell r="AR117" t="str">
            <v/>
          </cell>
          <cell r="AS117" t="str">
            <v/>
          </cell>
          <cell r="AT117" t="str">
            <v/>
          </cell>
          <cell r="AU117">
            <v>39295</v>
          </cell>
        </row>
        <row r="118">
          <cell r="A118" t="str">
            <v>S16-0115</v>
          </cell>
          <cell r="B118" t="str">
            <v>藤枝市立総合病院_0115 (2)</v>
          </cell>
          <cell r="C118" t="str">
            <v>SR#不要</v>
          </cell>
          <cell r="D118" t="str">
            <v>2016/02/03-05</v>
          </cell>
          <cell r="E118" t="str">
            <v>有償</v>
          </cell>
          <cell r="F118">
            <v>42415</v>
          </cell>
          <cell r="G118">
            <v>42415</v>
          </cell>
          <cell r="H118">
            <v>42502</v>
          </cell>
          <cell r="I118" t="str">
            <v>不明</v>
          </cell>
          <cell r="K118" t="str">
            <v>-</v>
          </cell>
          <cell r="L118" t="str">
            <v>-</v>
          </cell>
          <cell r="M118" t="str">
            <v>TEEx/8-3</v>
          </cell>
          <cell r="N118" t="str">
            <v>03MKN7</v>
          </cell>
          <cell r="O118" t="str">
            <v>P05677-07</v>
          </cell>
          <cell r="P118" t="str">
            <v>協和医科器械株式会社　焼津支店</v>
          </cell>
          <cell r="Q118" t="str">
            <v>山本様</v>
          </cell>
          <cell r="R118" t="str">
            <v>〒425-0066　静岡県焼津市大島817-1</v>
          </cell>
          <cell r="S118" t="str">
            <v>054-623-2222</v>
          </cell>
          <cell r="T118" t="str">
            <v>054-623-2919</v>
          </cell>
          <cell r="U118" t="str">
            <v>藤枝市立総合病院</v>
          </cell>
          <cell r="V118" t="str">
            <v>-</v>
          </cell>
          <cell r="W118" t="str">
            <v>-</v>
          </cell>
          <cell r="X118" t="str">
            <v>054-646-1111</v>
          </cell>
          <cell r="Y118" t="str">
            <v>〒426-8677　静岡県藤枝市駿河台4-1-11</v>
          </cell>
          <cell r="AA118" t="str">
            <v/>
          </cell>
          <cell r="AB118" t="str">
            <v/>
          </cell>
          <cell r="AC118" t="str">
            <v/>
          </cell>
          <cell r="AD118" t="str">
            <v/>
          </cell>
          <cell r="AE118" t="str">
            <v/>
          </cell>
          <cell r="AF118" t="str">
            <v/>
          </cell>
          <cell r="AG118" t="str">
            <v/>
          </cell>
          <cell r="AH118" t="str">
            <v/>
          </cell>
          <cell r="AI118" t="str">
            <v/>
          </cell>
          <cell r="AJ118" t="str">
            <v/>
          </cell>
          <cell r="AK118" t="str">
            <v/>
          </cell>
          <cell r="AL118" t="str">
            <v/>
          </cell>
          <cell r="AM118" t="str">
            <v/>
          </cell>
          <cell r="AN118" t="str">
            <v/>
          </cell>
          <cell r="AO118" t="str">
            <v/>
          </cell>
          <cell r="AP118" t="str">
            <v/>
          </cell>
          <cell r="AQ118" t="str">
            <v/>
          </cell>
          <cell r="AR118" t="str">
            <v/>
          </cell>
          <cell r="AS118" t="str">
            <v/>
          </cell>
          <cell r="AT118" t="str">
            <v/>
          </cell>
          <cell r="AU118">
            <v>40756</v>
          </cell>
        </row>
        <row r="119">
          <cell r="A119" t="str">
            <v>S16-0116</v>
          </cell>
          <cell r="B119" t="str">
            <v>琉球大学病院_0116</v>
          </cell>
          <cell r="C119" t="str">
            <v>SR#不要</v>
          </cell>
          <cell r="D119" t="str">
            <v>-</v>
          </cell>
          <cell r="E119" t="str">
            <v>有償</v>
          </cell>
          <cell r="F119">
            <v>42415</v>
          </cell>
          <cell r="G119">
            <v>42415</v>
          </cell>
          <cell r="H119">
            <v>42468</v>
          </cell>
          <cell r="I119" t="str">
            <v>不明</v>
          </cell>
          <cell r="K119" t="str">
            <v>-</v>
          </cell>
          <cell r="L119" t="str">
            <v>-</v>
          </cell>
          <cell r="M119" t="str">
            <v>iLook25</v>
          </cell>
          <cell r="N119" t="str">
            <v>033MRC</v>
          </cell>
          <cell r="O119" t="str">
            <v>P04303-01</v>
          </cell>
          <cell r="P119" t="str">
            <v>日本コヴィディエン株式会社　沖縄駐在所</v>
          </cell>
          <cell r="Q119" t="str">
            <v>宮城様</v>
          </cell>
          <cell r="R119" t="str">
            <v>〒158-8615  東京都世田谷区用賀 4-10-5  世田谷ﾋﾞｼﾞﾈｽｽｸｴｱﾋﾙｽﾞⅣ 2F</v>
          </cell>
          <cell r="S119" t="str">
            <v>03-5717-0517</v>
          </cell>
          <cell r="T119" t="str">
            <v>03-5717-0507</v>
          </cell>
          <cell r="U119" t="str">
            <v>琉球大学医学部附属病院</v>
          </cell>
          <cell r="V119" t="str">
            <v>-</v>
          </cell>
          <cell r="W119" t="str">
            <v>-</v>
          </cell>
          <cell r="X119" t="str">
            <v>098-895-3331</v>
          </cell>
          <cell r="Y119" t="str">
            <v>〒903-0215　沖縄県中頭郡西原町字上原207</v>
          </cell>
          <cell r="AA119" t="str">
            <v/>
          </cell>
          <cell r="AB119" t="str">
            <v/>
          </cell>
          <cell r="AC119" t="str">
            <v/>
          </cell>
          <cell r="AD119" t="str">
            <v/>
          </cell>
          <cell r="AE119" t="str">
            <v/>
          </cell>
          <cell r="AF119" t="str">
            <v/>
          </cell>
          <cell r="AG119" t="str">
            <v/>
          </cell>
          <cell r="AH119" t="str">
            <v/>
          </cell>
          <cell r="AI119" t="str">
            <v/>
          </cell>
          <cell r="AJ119" t="str">
            <v/>
          </cell>
          <cell r="AK119" t="str">
            <v/>
          </cell>
          <cell r="AL119" t="str">
            <v/>
          </cell>
          <cell r="AM119" t="str">
            <v/>
          </cell>
          <cell r="AN119" t="str">
            <v/>
          </cell>
          <cell r="AO119" t="str">
            <v/>
          </cell>
          <cell r="AP119" t="str">
            <v/>
          </cell>
          <cell r="AQ119" t="str">
            <v/>
          </cell>
          <cell r="AR119" t="str">
            <v/>
          </cell>
          <cell r="AS119" t="str">
            <v/>
          </cell>
          <cell r="AT119" t="str">
            <v/>
          </cell>
          <cell r="AU119">
            <v>38353</v>
          </cell>
        </row>
        <row r="120">
          <cell r="A120" t="str">
            <v>S16-0117</v>
          </cell>
          <cell r="B120" t="str">
            <v>代替機NIM104_0117 (2)</v>
          </cell>
          <cell r="C120" t="str">
            <v>SR#4190717</v>
          </cell>
          <cell r="D120" t="str">
            <v>-</v>
          </cell>
          <cell r="E120" t="str">
            <v>有償</v>
          </cell>
          <cell r="F120">
            <v>42415</v>
          </cell>
          <cell r="G120">
            <v>42415</v>
          </cell>
          <cell r="H120">
            <v>42429</v>
          </cell>
          <cell r="I120" t="str">
            <v>―</v>
          </cell>
          <cell r="K120" t="str">
            <v>森</v>
          </cell>
          <cell r="L120">
            <v>3</v>
          </cell>
          <cell r="M120" t="str">
            <v>M-Turbo</v>
          </cell>
          <cell r="N120" t="str">
            <v>03CDGV</v>
          </cell>
          <cell r="O120" t="str">
            <v>P09141-03</v>
          </cell>
          <cell r="P120" t="str">
            <v>富士フイルムメディカル株式会社</v>
          </cell>
          <cell r="Q120" t="str">
            <v>テクニカルサポート</v>
          </cell>
          <cell r="R120" t="str">
            <v>-</v>
          </cell>
          <cell r="S120" t="str">
            <v>03-6418-7190</v>
          </cell>
          <cell r="T120" t="str">
            <v>03-6418-7162</v>
          </cell>
          <cell r="U120" t="str">
            <v>代替機 NIM104</v>
          </cell>
          <cell r="V120" t="str">
            <v>-</v>
          </cell>
          <cell r="W120" t="str">
            <v>-</v>
          </cell>
          <cell r="X120" t="str">
            <v>-</v>
          </cell>
          <cell r="Y120" t="str">
            <v>-</v>
          </cell>
          <cell r="AA120" t="str">
            <v>P19133-01</v>
          </cell>
          <cell r="AB120" t="str">
            <v>P19080-01</v>
          </cell>
          <cell r="AC120" t="str">
            <v>P18035-01</v>
          </cell>
          <cell r="AD120" t="str">
            <v/>
          </cell>
          <cell r="AE120" t="str">
            <v/>
          </cell>
          <cell r="AF120" t="str">
            <v/>
          </cell>
          <cell r="AG120" t="str">
            <v/>
          </cell>
          <cell r="AH120" t="str">
            <v/>
          </cell>
          <cell r="AI120" t="str">
            <v/>
          </cell>
          <cell r="AJ120" t="str">
            <v/>
          </cell>
          <cell r="AK120" t="str">
            <v>Kycon Connecto</v>
          </cell>
          <cell r="AL120" t="str">
            <v>Connector Brackets</v>
          </cell>
          <cell r="AM120" t="str">
            <v>Bracket screws　×2</v>
          </cell>
          <cell r="AN120" t="str">
            <v/>
          </cell>
          <cell r="AO120" t="str">
            <v/>
          </cell>
          <cell r="AP120" t="str">
            <v/>
          </cell>
          <cell r="AQ120" t="str">
            <v/>
          </cell>
          <cell r="AR120" t="str">
            <v/>
          </cell>
          <cell r="AS120" t="str">
            <v/>
          </cell>
          <cell r="AT120" t="str">
            <v/>
          </cell>
          <cell r="AU120">
            <v>39569</v>
          </cell>
        </row>
        <row r="121">
          <cell r="A121" t="str">
            <v>S16-0118</v>
          </cell>
          <cell r="B121" t="str">
            <v>江東病院_0118 (2)</v>
          </cell>
          <cell r="C121" t="str">
            <v>SR#</v>
          </cell>
          <cell r="D121" t="str">
            <v>-</v>
          </cell>
          <cell r="E121" t="str">
            <v/>
          </cell>
          <cell r="F121">
            <v>42416</v>
          </cell>
          <cell r="G121">
            <v>42416</v>
          </cell>
          <cell r="H121">
            <v>42439</v>
          </cell>
          <cell r="I121" t="str">
            <v>不明</v>
          </cell>
          <cell r="K121" t="str">
            <v>梶田</v>
          </cell>
          <cell r="L121" t="str">
            <v>-</v>
          </cell>
          <cell r="M121" t="str">
            <v>iLook25</v>
          </cell>
          <cell r="N121" t="str">
            <v>0334TQ</v>
          </cell>
          <cell r="O121" t="str">
            <v>P04303-01</v>
          </cell>
          <cell r="P121" t="str">
            <v>日本コヴィディエン株式会社　東京第一営業所</v>
          </cell>
          <cell r="Q121" t="str">
            <v>渡辺様</v>
          </cell>
          <cell r="R121" t="str">
            <v>〒158-8615  東京都世田谷区用賀 4-10-5  世田谷ﾋﾞｼﾞﾈｽｽｸｴｱﾋﾙｽﾞⅣ 2F</v>
          </cell>
          <cell r="S121" t="str">
            <v>03-5717-0517</v>
          </cell>
          <cell r="T121" t="str">
            <v>03-5717-0507</v>
          </cell>
          <cell r="U121" t="str">
            <v>江東病院</v>
          </cell>
          <cell r="V121" t="str">
            <v>-</v>
          </cell>
          <cell r="W121" t="str">
            <v>-</v>
          </cell>
          <cell r="X121" t="str">
            <v>03-3685-2166</v>
          </cell>
          <cell r="Y121" t="str">
            <v>〒136-0072　東京都江東区大島6-8-5</v>
          </cell>
          <cell r="AA121" t="str">
            <v/>
          </cell>
          <cell r="AB121" t="str">
            <v/>
          </cell>
          <cell r="AC121" t="str">
            <v/>
          </cell>
          <cell r="AD121" t="str">
            <v/>
          </cell>
          <cell r="AE121" t="str">
            <v/>
          </cell>
          <cell r="AF121" t="str">
            <v/>
          </cell>
          <cell r="AG121" t="str">
            <v/>
          </cell>
          <cell r="AH121" t="str">
            <v/>
          </cell>
          <cell r="AI121" t="str">
            <v/>
          </cell>
          <cell r="AJ121" t="str">
            <v/>
          </cell>
          <cell r="AK121" t="str">
            <v/>
          </cell>
          <cell r="AL121" t="str">
            <v/>
          </cell>
          <cell r="AM121" t="str">
            <v/>
          </cell>
          <cell r="AN121" t="str">
            <v/>
          </cell>
          <cell r="AO121" t="str">
            <v/>
          </cell>
          <cell r="AP121" t="str">
            <v/>
          </cell>
          <cell r="AQ121" t="str">
            <v/>
          </cell>
          <cell r="AR121" t="str">
            <v/>
          </cell>
          <cell r="AS121" t="str">
            <v/>
          </cell>
          <cell r="AT121" t="str">
            <v/>
          </cell>
          <cell r="AU121">
            <v>38292</v>
          </cell>
        </row>
        <row r="122">
          <cell r="A122" t="str">
            <v>S16-0119</v>
          </cell>
          <cell r="B122" t="str">
            <v>日本医科大学附属病院_0119 (2)</v>
          </cell>
          <cell r="C122" t="str">
            <v>SR#4190105</v>
          </cell>
          <cell r="D122" t="str">
            <v>-</v>
          </cell>
          <cell r="E122" t="str">
            <v>無償</v>
          </cell>
          <cell r="F122">
            <v>42416</v>
          </cell>
          <cell r="G122">
            <v>42416</v>
          </cell>
          <cell r="H122">
            <v>42436</v>
          </cell>
          <cell r="I122" t="str">
            <v>不明</v>
          </cell>
          <cell r="K122" t="str">
            <v>梶田</v>
          </cell>
          <cell r="L122">
            <v>3</v>
          </cell>
          <cell r="M122" t="str">
            <v>NanoMaxx</v>
          </cell>
          <cell r="N122" t="str">
            <v>03X4NX</v>
          </cell>
          <cell r="O122" t="str">
            <v>P12700-06</v>
          </cell>
          <cell r="P122" t="str">
            <v>日本コヴィディエン株式会社　東京第二営業所</v>
          </cell>
          <cell r="Q122" t="str">
            <v>長谷川様</v>
          </cell>
          <cell r="R122" t="str">
            <v>〒158-8615  東京都世田谷区用賀 4-10-5  世田谷ﾋﾞｼﾞﾈｽｽｸｴｱﾋﾙｽﾞⅣ 2F</v>
          </cell>
          <cell r="S122" t="str">
            <v>03-5717-0517</v>
          </cell>
          <cell r="T122" t="str">
            <v>03-5717-0507</v>
          </cell>
          <cell r="U122" t="str">
            <v>日本医科大学附属病院</v>
          </cell>
          <cell r="V122" t="str">
            <v>-</v>
          </cell>
          <cell r="W122" t="str">
            <v>-</v>
          </cell>
          <cell r="X122" t="str">
            <v>03-3822-2131</v>
          </cell>
          <cell r="Y122" t="str">
            <v>〒113-8603　東京都文京区千駄木1-1-5</v>
          </cell>
          <cell r="AA122" t="str">
            <v>P12718-02</v>
          </cell>
          <cell r="AB122" t="str">
            <v/>
          </cell>
          <cell r="AC122" t="str">
            <v/>
          </cell>
          <cell r="AD122" t="str">
            <v/>
          </cell>
          <cell r="AE122" t="str">
            <v/>
          </cell>
          <cell r="AF122" t="str">
            <v/>
          </cell>
          <cell r="AG122" t="str">
            <v/>
          </cell>
          <cell r="AH122" t="str">
            <v/>
          </cell>
          <cell r="AI122" t="str">
            <v/>
          </cell>
          <cell r="AJ122" t="str">
            <v/>
          </cell>
          <cell r="AK122" t="str">
            <v>SERVICE ASSEMBLY, BACK END PCB, NANOMAXX</v>
          </cell>
          <cell r="AL122" t="str">
            <v/>
          </cell>
          <cell r="AM122" t="str">
            <v/>
          </cell>
          <cell r="AN122" t="str">
            <v/>
          </cell>
          <cell r="AO122" t="str">
            <v/>
          </cell>
          <cell r="AP122" t="str">
            <v/>
          </cell>
          <cell r="AQ122" t="str">
            <v/>
          </cell>
          <cell r="AR122" t="str">
            <v/>
          </cell>
          <cell r="AS122" t="str">
            <v/>
          </cell>
          <cell r="AT122" t="str">
            <v/>
          </cell>
          <cell r="AU122">
            <v>41699</v>
          </cell>
        </row>
        <row r="123">
          <cell r="A123" t="str">
            <v>S16-0120</v>
          </cell>
          <cell r="B123" t="str">
            <v>清水産婦人科医院_0120 (2)</v>
          </cell>
          <cell r="C123" t="str">
            <v>SR#</v>
          </cell>
          <cell r="D123" t="str">
            <v>2016/02/12-02</v>
          </cell>
          <cell r="E123" t="str">
            <v>有償</v>
          </cell>
          <cell r="F123">
            <v>42416</v>
          </cell>
          <cell r="G123">
            <v>42416</v>
          </cell>
          <cell r="H123">
            <v>42439</v>
          </cell>
          <cell r="I123">
            <v>39225</v>
          </cell>
          <cell r="K123" t="str">
            <v>梶田</v>
          </cell>
          <cell r="L123" t="str">
            <v>-</v>
          </cell>
          <cell r="M123" t="str">
            <v>180Plus</v>
          </cell>
          <cell r="N123" t="str">
            <v>037GRW</v>
          </cell>
          <cell r="O123" t="str">
            <v>P04327-04</v>
          </cell>
          <cell r="P123" t="str">
            <v>株式会社上條器械店　長野営業所</v>
          </cell>
          <cell r="Q123" t="str">
            <v>湯本様</v>
          </cell>
          <cell r="R123" t="str">
            <v xml:space="preserve">〒380-0921 長野県長野市栗田501-1 </v>
          </cell>
          <cell r="S123" t="str">
            <v>026-227-2952</v>
          </cell>
          <cell r="T123" t="str">
            <v>026-227-4337</v>
          </cell>
          <cell r="U123" t="str">
            <v>清水産婦人科医院</v>
          </cell>
          <cell r="X123" t="str">
            <v>026-219-3838</v>
          </cell>
          <cell r="Y123" t="str">
            <v>〒381-2224　長野県長野市川中島町原908-1</v>
          </cell>
          <cell r="AA123" t="str">
            <v/>
          </cell>
          <cell r="AB123" t="str">
            <v/>
          </cell>
          <cell r="AC123" t="str">
            <v/>
          </cell>
          <cell r="AD123" t="str">
            <v/>
          </cell>
          <cell r="AE123" t="str">
            <v/>
          </cell>
          <cell r="AF123" t="str">
            <v/>
          </cell>
          <cell r="AG123" t="str">
            <v/>
          </cell>
          <cell r="AH123" t="str">
            <v/>
          </cell>
          <cell r="AI123" t="str">
            <v/>
          </cell>
          <cell r="AJ123" t="str">
            <v/>
          </cell>
          <cell r="AK123" t="str">
            <v/>
          </cell>
          <cell r="AL123" t="str">
            <v/>
          </cell>
          <cell r="AM123" t="str">
            <v/>
          </cell>
          <cell r="AN123" t="str">
            <v/>
          </cell>
          <cell r="AO123" t="str">
            <v/>
          </cell>
          <cell r="AP123" t="str">
            <v/>
          </cell>
          <cell r="AQ123" t="str">
            <v/>
          </cell>
          <cell r="AR123" t="str">
            <v/>
          </cell>
          <cell r="AS123" t="str">
            <v/>
          </cell>
          <cell r="AT123" t="str">
            <v/>
          </cell>
          <cell r="AU123">
            <v>39022</v>
          </cell>
        </row>
        <row r="124">
          <cell r="A124" t="str">
            <v>S16-0121</v>
          </cell>
          <cell r="B124" t="str">
            <v>福岡徳洲会病院_0121 (2)</v>
          </cell>
          <cell r="C124" t="str">
            <v>SR#</v>
          </cell>
          <cell r="D124" t="str">
            <v>2016/02/12-05</v>
          </cell>
          <cell r="E124" t="str">
            <v>無償</v>
          </cell>
          <cell r="F124">
            <v>42417</v>
          </cell>
          <cell r="G124">
            <v>42417</v>
          </cell>
          <cell r="H124">
            <v>42436</v>
          </cell>
          <cell r="I124" t="str">
            <v>不明</v>
          </cell>
          <cell r="K124" t="str">
            <v>梶田</v>
          </cell>
          <cell r="L124" t="str">
            <v>-</v>
          </cell>
          <cell r="M124" t="str">
            <v>MicroMaxx</v>
          </cell>
          <cell r="N124" t="str">
            <v>WK1TQB</v>
          </cell>
          <cell r="O124" t="str">
            <v>P08063-07</v>
          </cell>
          <cell r="P124" t="str">
            <v>株式会社アステム　ME福岡支店</v>
          </cell>
          <cell r="Q124" t="str">
            <v>宮本様</v>
          </cell>
          <cell r="R124" t="str">
            <v>〒812-0041　福岡県福岡市博多区吉塚6-15-11</v>
          </cell>
          <cell r="S124" t="str">
            <v>092-626-8391</v>
          </cell>
          <cell r="T124" t="str">
            <v>092-612-2505</v>
          </cell>
          <cell r="U124" t="str">
            <v>医療法人　徳洲会　福岡徳洲会病院</v>
          </cell>
          <cell r="V124" t="str">
            <v>-</v>
          </cell>
          <cell r="W124" t="str">
            <v>-</v>
          </cell>
          <cell r="X124" t="str">
            <v>092-573-6622</v>
          </cell>
          <cell r="Y124" t="str">
            <v>〒816-0864 福岡県春日市須玖北4丁目5</v>
          </cell>
          <cell r="AA124" t="str">
            <v/>
          </cell>
          <cell r="AB124" t="str">
            <v/>
          </cell>
          <cell r="AC124" t="str">
            <v/>
          </cell>
          <cell r="AD124" t="str">
            <v/>
          </cell>
          <cell r="AE124" t="str">
            <v/>
          </cell>
          <cell r="AF124" t="str">
            <v/>
          </cell>
          <cell r="AG124" t="str">
            <v/>
          </cell>
          <cell r="AH124" t="str">
            <v/>
          </cell>
          <cell r="AI124" t="str">
            <v/>
          </cell>
          <cell r="AJ124" t="str">
            <v/>
          </cell>
          <cell r="AK124" t="str">
            <v/>
          </cell>
          <cell r="AL124" t="str">
            <v/>
          </cell>
          <cell r="AM124" t="str">
            <v/>
          </cell>
          <cell r="AN124" t="str">
            <v/>
          </cell>
          <cell r="AO124" t="str">
            <v/>
          </cell>
          <cell r="AP124" t="str">
            <v/>
          </cell>
          <cell r="AQ124" t="str">
            <v/>
          </cell>
          <cell r="AR124" t="str">
            <v/>
          </cell>
          <cell r="AS124" t="str">
            <v/>
          </cell>
          <cell r="AT124" t="str">
            <v/>
          </cell>
          <cell r="AU124">
            <v>41426</v>
          </cell>
        </row>
        <row r="125">
          <cell r="A125" t="str">
            <v>S16-0122</v>
          </cell>
          <cell r="B125" t="str">
            <v>足利赤十字病院_0122 (2)</v>
          </cell>
          <cell r="C125" t="str">
            <v>SR#</v>
          </cell>
          <cell r="D125" t="str">
            <v>-</v>
          </cell>
          <cell r="E125" t="str">
            <v/>
          </cell>
          <cell r="F125">
            <v>42417</v>
          </cell>
          <cell r="G125">
            <v>42417</v>
          </cell>
          <cell r="H125">
            <v>42446</v>
          </cell>
          <cell r="I125" t="str">
            <v>不明</v>
          </cell>
          <cell r="K125" t="str">
            <v>梶田</v>
          </cell>
          <cell r="L125">
            <v>5</v>
          </cell>
          <cell r="M125" t="str">
            <v>iLook25</v>
          </cell>
          <cell r="N125" t="str">
            <v>03856Q</v>
          </cell>
          <cell r="O125" t="str">
            <v>P04303-02</v>
          </cell>
          <cell r="P125" t="str">
            <v>日本コヴィディエン株式会社　北関東営業所</v>
          </cell>
          <cell r="Q125" t="str">
            <v>三田様</v>
          </cell>
          <cell r="R125" t="str">
            <v>〒158-8615  東京都世田谷区用賀 4-10-5  世田谷ﾋﾞｼﾞﾈｽｽｸｴｱﾋﾙｽﾞⅣ 2F</v>
          </cell>
          <cell r="S125" t="str">
            <v>03-5717-0517</v>
          </cell>
          <cell r="T125" t="str">
            <v>03-5717-0507</v>
          </cell>
          <cell r="U125" t="str">
            <v>足利赤十字病院</v>
          </cell>
          <cell r="V125" t="str">
            <v>-</v>
          </cell>
          <cell r="W125" t="str">
            <v>-</v>
          </cell>
          <cell r="X125" t="str">
            <v>0284-21-0121</v>
          </cell>
          <cell r="Y125" t="str">
            <v>〒326-0843　栃木県足利市五十部町284-1</v>
          </cell>
          <cell r="AA125" t="str">
            <v/>
          </cell>
          <cell r="AB125" t="str">
            <v/>
          </cell>
          <cell r="AC125" t="str">
            <v/>
          </cell>
          <cell r="AD125" t="str">
            <v/>
          </cell>
          <cell r="AE125" t="str">
            <v/>
          </cell>
          <cell r="AF125" t="str">
            <v/>
          </cell>
          <cell r="AG125" t="str">
            <v/>
          </cell>
          <cell r="AH125" t="str">
            <v/>
          </cell>
          <cell r="AI125" t="str">
            <v/>
          </cell>
          <cell r="AJ125" t="str">
            <v/>
          </cell>
          <cell r="AK125" t="str">
            <v/>
          </cell>
          <cell r="AL125" t="str">
            <v/>
          </cell>
          <cell r="AM125" t="str">
            <v/>
          </cell>
          <cell r="AN125" t="str">
            <v/>
          </cell>
          <cell r="AO125" t="str">
            <v/>
          </cell>
          <cell r="AP125" t="str">
            <v/>
          </cell>
          <cell r="AQ125" t="str">
            <v/>
          </cell>
          <cell r="AR125" t="str">
            <v/>
          </cell>
          <cell r="AS125" t="str">
            <v/>
          </cell>
          <cell r="AT125" t="str">
            <v/>
          </cell>
          <cell r="AU125">
            <v>39114</v>
          </cell>
        </row>
        <row r="126">
          <cell r="A126" t="str">
            <v>S16-0123</v>
          </cell>
          <cell r="B126" t="str">
            <v>清恵会病院_0123 (2)</v>
          </cell>
          <cell r="C126" t="str">
            <v>SR#不要</v>
          </cell>
          <cell r="D126" t="str">
            <v>-</v>
          </cell>
          <cell r="E126" t="str">
            <v/>
          </cell>
          <cell r="F126">
            <v>42417</v>
          </cell>
          <cell r="G126">
            <v>42417</v>
          </cell>
          <cell r="H126">
            <v>42502</v>
          </cell>
          <cell r="I126" t="str">
            <v>不明</v>
          </cell>
          <cell r="K126" t="str">
            <v>梶田</v>
          </cell>
          <cell r="L126">
            <v>3</v>
          </cell>
          <cell r="M126" t="str">
            <v>iLook25</v>
          </cell>
          <cell r="N126" t="str">
            <v>03BM8X</v>
          </cell>
          <cell r="O126" t="str">
            <v>P04303-02</v>
          </cell>
          <cell r="P126" t="str">
            <v>日本コヴィディエン株式会社　大阪営業所</v>
          </cell>
          <cell r="Q126" t="str">
            <v>大竹様</v>
          </cell>
          <cell r="R126" t="str">
            <v>〒108-0075  東京都港区港南一丁目2番70号　品川シーズンテラス　22F</v>
          </cell>
          <cell r="S126" t="str">
            <v>03-6774-4629</v>
          </cell>
          <cell r="T126" t="str">
            <v>03-6774-4740</v>
          </cell>
          <cell r="U126" t="str">
            <v>清恵会病院</v>
          </cell>
          <cell r="V126" t="str">
            <v>-</v>
          </cell>
          <cell r="W126" t="str">
            <v>-</v>
          </cell>
          <cell r="X126" t="str">
            <v>072-223-8199</v>
          </cell>
          <cell r="Y126" t="str">
            <v>〒590-0064 大阪府堺市堺区南安井町1丁1番1号</v>
          </cell>
          <cell r="AA126" t="str">
            <v>P01139-07</v>
          </cell>
          <cell r="AB126" t="str">
            <v xml:space="preserve">P03029-02 </v>
          </cell>
          <cell r="AC126" t="str">
            <v>P01911-04</v>
          </cell>
          <cell r="AD126" t="str">
            <v/>
          </cell>
          <cell r="AE126" t="str">
            <v/>
          </cell>
          <cell r="AF126" t="str">
            <v/>
          </cell>
          <cell r="AG126" t="str">
            <v/>
          </cell>
          <cell r="AH126" t="str">
            <v/>
          </cell>
          <cell r="AI126" t="str">
            <v/>
          </cell>
          <cell r="AJ126" t="str">
            <v/>
          </cell>
          <cell r="AK126" t="str">
            <v>POWER SUPPLY / BATTERY CHARGER, ILOOK, TITAN, MMX</v>
          </cell>
          <cell r="AL126" t="str">
            <v>ASSEMBLY, PCB, iLOOK,STAND</v>
          </cell>
          <cell r="AM126" t="str">
            <v>BATTERY PACK, 3 CELL, LITHIUM-ION, ILOOK, HIGH CAPACITY</v>
          </cell>
          <cell r="AN126" t="str">
            <v/>
          </cell>
          <cell r="AO126" t="str">
            <v/>
          </cell>
          <cell r="AP126" t="str">
            <v/>
          </cell>
          <cell r="AQ126" t="str">
            <v/>
          </cell>
          <cell r="AR126" t="str">
            <v/>
          </cell>
          <cell r="AS126" t="str">
            <v/>
          </cell>
          <cell r="AT126" t="str">
            <v/>
          </cell>
          <cell r="AU126">
            <v>39630</v>
          </cell>
        </row>
        <row r="127">
          <cell r="A127" t="str">
            <v>S16-0124</v>
          </cell>
          <cell r="B127" t="str">
            <v>獨協医科大学病院_0124 (2)</v>
          </cell>
          <cell r="C127" t="str">
            <v>SR#4191241</v>
          </cell>
          <cell r="D127" t="str">
            <v>2016/02/10-06</v>
          </cell>
          <cell r="E127" t="str">
            <v>無償</v>
          </cell>
          <cell r="F127">
            <v>42418</v>
          </cell>
          <cell r="G127">
            <v>42418</v>
          </cell>
          <cell r="H127">
            <v>42425</v>
          </cell>
          <cell r="I127" t="str">
            <v>不明</v>
          </cell>
          <cell r="K127" t="str">
            <v>梶田</v>
          </cell>
          <cell r="L127" t="str">
            <v>-</v>
          </cell>
          <cell r="M127" t="str">
            <v>EDGE</v>
          </cell>
          <cell r="N127" t="str">
            <v>0419N3</v>
          </cell>
          <cell r="O127" t="str">
            <v>P16360-62</v>
          </cell>
          <cell r="P127" t="str">
            <v>富士フイルムメディカル株式会社　宇都宮営業所</v>
          </cell>
          <cell r="Q127" t="str">
            <v>風間様</v>
          </cell>
          <cell r="S127" t="str">
            <v>03-6418-7190</v>
          </cell>
          <cell r="T127" t="str">
            <v>03-6418-7162</v>
          </cell>
          <cell r="U127" t="str">
            <v>獨協医科大学病院</v>
          </cell>
          <cell r="X127" t="str">
            <v>0282-86-1111</v>
          </cell>
          <cell r="Y127" t="str">
            <v>〒321-0293 栃木県下都賀郡壬生町大字北小林880</v>
          </cell>
          <cell r="AA127" t="str">
            <v/>
          </cell>
          <cell r="AB127" t="str">
            <v/>
          </cell>
          <cell r="AC127" t="str">
            <v/>
          </cell>
          <cell r="AD127" t="str">
            <v/>
          </cell>
          <cell r="AE127" t="str">
            <v/>
          </cell>
          <cell r="AF127" t="str">
            <v/>
          </cell>
          <cell r="AG127" t="str">
            <v/>
          </cell>
          <cell r="AH127" t="str">
            <v/>
          </cell>
          <cell r="AI127" t="str">
            <v/>
          </cell>
          <cell r="AJ127" t="str">
            <v/>
          </cell>
          <cell r="AK127" t="str">
            <v/>
          </cell>
          <cell r="AL127" t="str">
            <v/>
          </cell>
          <cell r="AM127" t="str">
            <v/>
          </cell>
          <cell r="AN127" t="str">
            <v/>
          </cell>
          <cell r="AO127" t="str">
            <v/>
          </cell>
          <cell r="AP127" t="str">
            <v/>
          </cell>
          <cell r="AQ127" t="str">
            <v/>
          </cell>
          <cell r="AR127" t="str">
            <v/>
          </cell>
          <cell r="AS127" t="str">
            <v/>
          </cell>
          <cell r="AT127" t="str">
            <v/>
          </cell>
          <cell r="AU127">
            <v>42125</v>
          </cell>
        </row>
        <row r="128">
          <cell r="A128" t="str">
            <v>S16-0125</v>
          </cell>
          <cell r="B128" t="str">
            <v>平井整形外科医院_0125 (2)</v>
          </cell>
          <cell r="C128" t="str">
            <v>SR#</v>
          </cell>
          <cell r="D128" t="str">
            <v>2016/02/15-04</v>
          </cell>
          <cell r="E128" t="str">
            <v>無償</v>
          </cell>
          <cell r="F128">
            <v>42418</v>
          </cell>
          <cell r="G128">
            <v>42418</v>
          </cell>
          <cell r="H128">
            <v>42425</v>
          </cell>
          <cell r="I128" t="str">
            <v>不明</v>
          </cell>
          <cell r="K128" t="str">
            <v>梶田</v>
          </cell>
          <cell r="L128" t="str">
            <v>-</v>
          </cell>
          <cell r="M128" t="str">
            <v>EDGE</v>
          </cell>
          <cell r="N128" t="str">
            <v>040FG4</v>
          </cell>
          <cell r="O128" t="str">
            <v>P16360-61</v>
          </cell>
          <cell r="P128" t="str">
            <v>フクダ電子岡山販売株式会社</v>
          </cell>
          <cell r="Q128" t="str">
            <v>野田様</v>
          </cell>
          <cell r="R128" t="str">
            <v>〒700-0973　岡山県岡山市北区下中野715-103</v>
          </cell>
          <cell r="S128" t="str">
            <v>086-241-5400</v>
          </cell>
          <cell r="T128" t="str">
            <v>086-243-6633</v>
          </cell>
          <cell r="U128" t="str">
            <v>平井整形外科医院</v>
          </cell>
          <cell r="X128" t="str">
            <v>086-805-2001</v>
          </cell>
          <cell r="Y128" t="str">
            <v>〒700-0925　岡山県岡山市北区大元上町13-23</v>
          </cell>
          <cell r="AA128" t="str">
            <v/>
          </cell>
          <cell r="AB128" t="str">
            <v/>
          </cell>
          <cell r="AC128" t="str">
            <v/>
          </cell>
          <cell r="AD128" t="str">
            <v/>
          </cell>
          <cell r="AE128" t="str">
            <v/>
          </cell>
          <cell r="AF128" t="str">
            <v/>
          </cell>
          <cell r="AG128" t="str">
            <v/>
          </cell>
          <cell r="AH128" t="str">
            <v/>
          </cell>
          <cell r="AI128" t="str">
            <v/>
          </cell>
          <cell r="AJ128" t="str">
            <v/>
          </cell>
          <cell r="AK128" t="str">
            <v/>
          </cell>
          <cell r="AL128" t="str">
            <v/>
          </cell>
          <cell r="AM128" t="str">
            <v/>
          </cell>
          <cell r="AN128" t="str">
            <v/>
          </cell>
          <cell r="AO128" t="str">
            <v/>
          </cell>
          <cell r="AP128" t="str">
            <v/>
          </cell>
          <cell r="AQ128" t="str">
            <v/>
          </cell>
          <cell r="AR128" t="str">
            <v/>
          </cell>
          <cell r="AS128" t="str">
            <v/>
          </cell>
          <cell r="AT128" t="str">
            <v/>
          </cell>
          <cell r="AU128">
            <v>42036</v>
          </cell>
        </row>
        <row r="129">
          <cell r="A129" t="str">
            <v>S16-0126</v>
          </cell>
          <cell r="B129" t="str">
            <v>代替機HNB62_0126(2)</v>
          </cell>
          <cell r="C129" t="str">
            <v>SR#4190417</v>
          </cell>
          <cell r="D129" t="str">
            <v>-</v>
          </cell>
          <cell r="E129" t="str">
            <v>無償</v>
          </cell>
          <cell r="F129">
            <v>42418</v>
          </cell>
          <cell r="G129">
            <v>42418</v>
          </cell>
          <cell r="H129">
            <v>42437</v>
          </cell>
          <cell r="I129" t="str">
            <v>-</v>
          </cell>
          <cell r="K129">
            <v>0</v>
          </cell>
          <cell r="M129" t="str">
            <v>MicroMaxx</v>
          </cell>
          <cell r="N129" t="str">
            <v>037JC0</v>
          </cell>
          <cell r="O129" t="str">
            <v>P05670-05</v>
          </cell>
          <cell r="P129" t="str">
            <v>富士フイルムメディカル株式会社</v>
          </cell>
          <cell r="Q129" t="str">
            <v>テクニカルサポート</v>
          </cell>
          <cell r="S129" t="str">
            <v>03-6418-7190</v>
          </cell>
          <cell r="T129" t="str">
            <v>03-6418-7162</v>
          </cell>
          <cell r="U129" t="str">
            <v>代替機HNB62</v>
          </cell>
          <cell r="V129" t="str">
            <v>-</v>
          </cell>
          <cell r="W129" t="str">
            <v>-</v>
          </cell>
          <cell r="X129" t="str">
            <v>-</v>
          </cell>
          <cell r="Y129" t="str">
            <v>-</v>
          </cell>
          <cell r="AA129" t="str">
            <v>P05463-01</v>
          </cell>
          <cell r="AB129" t="str">
            <v/>
          </cell>
          <cell r="AC129" t="str">
            <v/>
          </cell>
          <cell r="AD129" t="str">
            <v/>
          </cell>
          <cell r="AE129" t="str">
            <v/>
          </cell>
          <cell r="AF129" t="str">
            <v/>
          </cell>
          <cell r="AG129" t="str">
            <v/>
          </cell>
          <cell r="AH129" t="str">
            <v/>
          </cell>
          <cell r="AI129" t="str">
            <v/>
          </cell>
          <cell r="AJ129" t="str">
            <v/>
          </cell>
          <cell r="AK129" t="str">
            <v>SERVICE ASSEMBLY DISPLAY, MICROMAXX</v>
          </cell>
          <cell r="AL129" t="str">
            <v/>
          </cell>
          <cell r="AM129" t="str">
            <v/>
          </cell>
          <cell r="AN129" t="str">
            <v/>
          </cell>
          <cell r="AO129" t="str">
            <v/>
          </cell>
          <cell r="AP129" t="str">
            <v/>
          </cell>
          <cell r="AQ129" t="str">
            <v/>
          </cell>
          <cell r="AR129" t="str">
            <v/>
          </cell>
          <cell r="AS129" t="str">
            <v/>
          </cell>
          <cell r="AT129" t="str">
            <v/>
          </cell>
          <cell r="AU129">
            <v>39114</v>
          </cell>
        </row>
        <row r="130">
          <cell r="A130" t="str">
            <v>S16-0127</v>
          </cell>
          <cell r="B130" t="str">
            <v>倉敷記念病院_0127 (2)</v>
          </cell>
          <cell r="C130" t="str">
            <v>SR#不要</v>
          </cell>
          <cell r="D130" t="str">
            <v>2016/02/15-02</v>
          </cell>
          <cell r="E130" t="str">
            <v>有償</v>
          </cell>
          <cell r="F130">
            <v>42419</v>
          </cell>
          <cell r="G130">
            <v>42419</v>
          </cell>
          <cell r="H130">
            <v>42444</v>
          </cell>
          <cell r="I130" t="str">
            <v>不明</v>
          </cell>
          <cell r="K130" t="str">
            <v>梶田</v>
          </cell>
          <cell r="L130">
            <v>3</v>
          </cell>
          <cell r="M130" t="str">
            <v>UP-897MD</v>
          </cell>
          <cell r="N130" t="str">
            <v>31931</v>
          </cell>
          <cell r="O130" t="str">
            <v>　-</v>
          </cell>
          <cell r="P130" t="str">
            <v>ティーエスアルフレッサ株式会社　岡山機器試薬支店</v>
          </cell>
          <cell r="Q130" t="str">
            <v>中山様</v>
          </cell>
          <cell r="R130" t="str">
            <v>〒701-0165　岡山県岡山市北区大内田828-4</v>
          </cell>
          <cell r="S130" t="str">
            <v>086-293-7710</v>
          </cell>
          <cell r="T130" t="str">
            <v>086-293-7705</v>
          </cell>
          <cell r="U130" t="str">
            <v>倉敷記念病院　検査室</v>
          </cell>
          <cell r="V130" t="str">
            <v>平野様</v>
          </cell>
          <cell r="W130" t="str">
            <v>検査室</v>
          </cell>
          <cell r="X130" t="str">
            <v>086-465-0011</v>
          </cell>
          <cell r="Y130" t="str">
            <v>〒710-0803 岡山県倉敷市中島831</v>
          </cell>
          <cell r="AA130">
            <v>146845641</v>
          </cell>
          <cell r="AB130">
            <v>362390905</v>
          </cell>
          <cell r="AC130" t="str">
            <v/>
          </cell>
          <cell r="AD130" t="str">
            <v/>
          </cell>
          <cell r="AE130" t="str">
            <v/>
          </cell>
          <cell r="AF130" t="str">
            <v/>
          </cell>
          <cell r="AG130" t="str">
            <v/>
          </cell>
          <cell r="AH130" t="str">
            <v/>
          </cell>
          <cell r="AI130" t="str">
            <v/>
          </cell>
          <cell r="AJ130" t="str">
            <v/>
          </cell>
          <cell r="AK130" t="str">
            <v>スイッチングレギュレータ</v>
          </cell>
          <cell r="AL130" t="str">
            <v>プラテンローラ</v>
          </cell>
          <cell r="AM130" t="str">
            <v/>
          </cell>
          <cell r="AN130" t="str">
            <v/>
          </cell>
          <cell r="AO130" t="str">
            <v/>
          </cell>
          <cell r="AP130" t="str">
            <v/>
          </cell>
          <cell r="AQ130" t="str">
            <v/>
          </cell>
          <cell r="AR130" t="str">
            <v/>
          </cell>
          <cell r="AS130" t="str">
            <v/>
          </cell>
          <cell r="AT130" t="str">
            <v/>
          </cell>
          <cell r="AU130" t="str">
            <v>-</v>
          </cell>
        </row>
        <row r="131">
          <cell r="A131" t="str">
            <v>S16-0128</v>
          </cell>
          <cell r="B131" t="str">
            <v>札幌東徳洲会病院_0128</v>
          </cell>
          <cell r="C131" t="str">
            <v>SR#</v>
          </cell>
          <cell r="D131" t="str">
            <v>2016/02/17-02</v>
          </cell>
          <cell r="E131" t="str">
            <v>有償</v>
          </cell>
          <cell r="F131">
            <v>42419</v>
          </cell>
          <cell r="G131">
            <v>42419</v>
          </cell>
          <cell r="H131">
            <v>42468</v>
          </cell>
          <cell r="I131" t="str">
            <v>不明</v>
          </cell>
          <cell r="K131" t="str">
            <v>梶田</v>
          </cell>
          <cell r="L131">
            <v>3</v>
          </cell>
          <cell r="M131" t="str">
            <v>SonoHeart</v>
          </cell>
          <cell r="N131" t="str">
            <v>1LC2L</v>
          </cell>
          <cell r="O131" t="str">
            <v>P01349-01</v>
          </cell>
          <cell r="P131" t="str">
            <v>株式会社ムトウ</v>
          </cell>
          <cell r="Q131" t="str">
            <v>山下様</v>
          </cell>
          <cell r="R131" t="str">
            <v>〒001-0011　北海道札幌市北区北11条西4丁目1-15</v>
          </cell>
          <cell r="S131" t="str">
            <v>011-728-6162</v>
          </cell>
          <cell r="T131" t="str">
            <v>011-746-0510</v>
          </cell>
          <cell r="U131" t="str">
            <v>札幌東徳洲会病院</v>
          </cell>
          <cell r="V131" t="str">
            <v>川合様</v>
          </cell>
          <cell r="W131" t="str">
            <v>資材課</v>
          </cell>
          <cell r="X131" t="str">
            <v>011-722-1110</v>
          </cell>
          <cell r="Y131" t="str">
            <v>〒065-0033　北海道札幌市東区北33条東14丁目3-15</v>
          </cell>
          <cell r="AA131" t="str">
            <v>P01406-01</v>
          </cell>
          <cell r="AB131" t="str">
            <v>P00104-02</v>
          </cell>
          <cell r="AC131" t="str">
            <v>P00343-01</v>
          </cell>
          <cell r="AD131" t="str">
            <v/>
          </cell>
          <cell r="AE131" t="str">
            <v/>
          </cell>
          <cell r="AF131" t="str">
            <v/>
          </cell>
          <cell r="AG131" t="str">
            <v/>
          </cell>
          <cell r="AH131" t="str">
            <v/>
          </cell>
          <cell r="AI131" t="str">
            <v/>
          </cell>
          <cell r="AJ131" t="str">
            <v/>
          </cell>
          <cell r="AK131" t="str">
            <v>SERVICE ASSEMBLY, PCB C1.75 MAIN, SONOHEART, JAPANESE</v>
          </cell>
          <cell r="AL131" t="str">
            <v>KEY, ON/OFF</v>
          </cell>
          <cell r="AM131" t="str">
            <v>HINGE, DISPLAY</v>
          </cell>
          <cell r="AN131" t="str">
            <v/>
          </cell>
          <cell r="AO131" t="str">
            <v/>
          </cell>
          <cell r="AP131" t="str">
            <v/>
          </cell>
          <cell r="AQ131" t="str">
            <v/>
          </cell>
          <cell r="AR131" t="str">
            <v/>
          </cell>
          <cell r="AS131" t="str">
            <v/>
          </cell>
          <cell r="AT131" t="str">
            <v/>
          </cell>
          <cell r="AU131">
            <v>36708</v>
          </cell>
        </row>
        <row r="132">
          <cell r="A132" t="str">
            <v>S16-0129</v>
          </cell>
          <cell r="B132" t="str">
            <v>東京歯科大学市川総合病院_0129 (2)</v>
          </cell>
          <cell r="C132" t="str">
            <v>SR#</v>
          </cell>
          <cell r="D132" t="str">
            <v>2016/02/10-04</v>
          </cell>
          <cell r="E132" t="str">
            <v>有償</v>
          </cell>
          <cell r="F132">
            <v>42419</v>
          </cell>
          <cell r="G132">
            <v>42419</v>
          </cell>
          <cell r="H132">
            <v>42548</v>
          </cell>
          <cell r="I132" t="str">
            <v>不明</v>
          </cell>
          <cell r="K132" t="str">
            <v>-</v>
          </cell>
          <cell r="L132" t="str">
            <v>-</v>
          </cell>
          <cell r="M132" t="str">
            <v>180Plus</v>
          </cell>
          <cell r="N132" t="str">
            <v>030J2J</v>
          </cell>
          <cell r="O132" t="str">
            <v>P02998-01</v>
          </cell>
          <cell r="P132" t="str">
            <v>ワシエスメディカル株式会社</v>
          </cell>
          <cell r="Q132" t="str">
            <v>大木様</v>
          </cell>
          <cell r="R132" t="str">
            <v>〒113-0033　東京都文京区本郷2-31-8</v>
          </cell>
          <cell r="S132" t="str">
            <v>03-3815-7671</v>
          </cell>
          <cell r="T132" t="str">
            <v>3-3815-7670</v>
          </cell>
          <cell r="U132" t="str">
            <v>東京歯科大学市川総合病院</v>
          </cell>
          <cell r="V132" t="str">
            <v>菱沼様</v>
          </cell>
          <cell r="W132" t="str">
            <v>ME</v>
          </cell>
          <cell r="X132" t="str">
            <v>047-322-0151</v>
          </cell>
          <cell r="Y132" t="str">
            <v>〒272-8513　千葉県市川市菅野5-11-13</v>
          </cell>
          <cell r="AA132" t="str">
            <v/>
          </cell>
          <cell r="AB132" t="str">
            <v/>
          </cell>
          <cell r="AC132" t="str">
            <v/>
          </cell>
          <cell r="AD132" t="str">
            <v/>
          </cell>
          <cell r="AE132" t="str">
            <v/>
          </cell>
          <cell r="AF132" t="str">
            <v/>
          </cell>
          <cell r="AG132" t="str">
            <v/>
          </cell>
          <cell r="AH132" t="str">
            <v/>
          </cell>
          <cell r="AI132" t="str">
            <v/>
          </cell>
          <cell r="AJ132" t="str">
            <v/>
          </cell>
          <cell r="AK132" t="str">
            <v/>
          </cell>
          <cell r="AL132" t="str">
            <v/>
          </cell>
          <cell r="AM132" t="str">
            <v/>
          </cell>
          <cell r="AN132" t="str">
            <v/>
          </cell>
          <cell r="AO132" t="str">
            <v/>
          </cell>
          <cell r="AP132" t="str">
            <v/>
          </cell>
          <cell r="AQ132" t="str">
            <v/>
          </cell>
          <cell r="AR132" t="str">
            <v/>
          </cell>
          <cell r="AS132" t="str">
            <v/>
          </cell>
          <cell r="AT132" t="str">
            <v/>
          </cell>
          <cell r="AU132">
            <v>37591</v>
          </cell>
        </row>
        <row r="133">
          <cell r="A133" t="str">
            <v>S16-0130</v>
          </cell>
          <cell r="B133" t="str">
            <v>デモ機_WST5_0130(2)</v>
          </cell>
          <cell r="C133" t="str">
            <v>SR#4190413</v>
          </cell>
          <cell r="D133" t="str">
            <v>-</v>
          </cell>
          <cell r="E133" t="str">
            <v>無償</v>
          </cell>
          <cell r="F133">
            <v>42422</v>
          </cell>
          <cell r="G133">
            <v>42422</v>
          </cell>
          <cell r="H133">
            <v>42439</v>
          </cell>
          <cell r="I133" t="str">
            <v>―</v>
          </cell>
          <cell r="K133" t="str">
            <v>梶田</v>
          </cell>
          <cell r="L133">
            <v>3</v>
          </cell>
          <cell r="M133" t="str">
            <v>M-Turbo</v>
          </cell>
          <cell r="N133" t="str">
            <v>03B8QK</v>
          </cell>
          <cell r="O133" t="str">
            <v>P09141-01</v>
          </cell>
          <cell r="P133" t="str">
            <v>富士フイルムメディカル株式会社</v>
          </cell>
          <cell r="Q133" t="str">
            <v>南様</v>
          </cell>
          <cell r="R133" t="str">
            <v>-</v>
          </cell>
          <cell r="S133" t="str">
            <v>03-6418-7190</v>
          </cell>
          <cell r="T133" t="str">
            <v>03-6418-7162</v>
          </cell>
          <cell r="U133" t="str">
            <v>デモ機 WST5</v>
          </cell>
          <cell r="V133" t="str">
            <v>-</v>
          </cell>
          <cell r="W133" t="str">
            <v>-</v>
          </cell>
          <cell r="X133" t="str">
            <v>-</v>
          </cell>
          <cell r="Y133" t="str">
            <v>-</v>
          </cell>
          <cell r="AA133" t="str">
            <v>P19087-02</v>
          </cell>
          <cell r="AB133" t="str">
            <v/>
          </cell>
          <cell r="AC133" t="str">
            <v/>
          </cell>
          <cell r="AD133" t="str">
            <v/>
          </cell>
          <cell r="AE133" t="str">
            <v/>
          </cell>
          <cell r="AF133" t="str">
            <v/>
          </cell>
          <cell r="AG133" t="str">
            <v/>
          </cell>
          <cell r="AH133" t="str">
            <v/>
          </cell>
          <cell r="AI133" t="str">
            <v/>
          </cell>
          <cell r="AJ133" t="str">
            <v/>
          </cell>
          <cell r="AK133" t="str">
            <v>MAIN PCBA, M-Turbo</v>
          </cell>
          <cell r="AL133" t="str">
            <v/>
          </cell>
          <cell r="AM133" t="str">
            <v/>
          </cell>
          <cell r="AN133" t="str">
            <v/>
          </cell>
          <cell r="AO133" t="str">
            <v/>
          </cell>
          <cell r="AP133" t="str">
            <v/>
          </cell>
          <cell r="AQ133" t="str">
            <v/>
          </cell>
          <cell r="AR133" t="str">
            <v/>
          </cell>
          <cell r="AS133" t="str">
            <v/>
          </cell>
          <cell r="AT133" t="str">
            <v/>
          </cell>
          <cell r="AU133">
            <v>39479</v>
          </cell>
        </row>
        <row r="134">
          <cell r="A134" t="str">
            <v>S16-0131</v>
          </cell>
          <cell r="B134" t="str">
            <v>放医研重粒子医科学センター病院_0131 (2)</v>
          </cell>
          <cell r="C134" t="str">
            <v>SR#</v>
          </cell>
          <cell r="D134" t="str">
            <v>2016/02/17-01</v>
          </cell>
          <cell r="E134" t="str">
            <v>有償</v>
          </cell>
          <cell r="F134">
            <v>42422</v>
          </cell>
          <cell r="G134">
            <v>42422</v>
          </cell>
          <cell r="H134">
            <v>42451</v>
          </cell>
          <cell r="I134" t="str">
            <v>不明</v>
          </cell>
          <cell r="K134" t="str">
            <v>梶田</v>
          </cell>
          <cell r="L134">
            <v>3</v>
          </cell>
          <cell r="M134">
            <v>180</v>
          </cell>
          <cell r="N134" t="str">
            <v>01J413</v>
          </cell>
          <cell r="O134" t="str">
            <v>P01102-01</v>
          </cell>
          <cell r="P134" t="str">
            <v>株式会社栗原医療器械店 千葉営業所</v>
          </cell>
          <cell r="Q134" t="str">
            <v>安藤様</v>
          </cell>
          <cell r="R134" t="str">
            <v>〒260-0001　千葉県千葉市中央区都町980-3</v>
          </cell>
          <cell r="S134" t="str">
            <v>043-235-7631</v>
          </cell>
          <cell r="T134" t="str">
            <v>043-214-8020</v>
          </cell>
          <cell r="U134" t="str">
            <v>放射線医学総合研究所重粒子医科学センター病院　4階病棟</v>
          </cell>
          <cell r="V134" t="str">
            <v>富田師長</v>
          </cell>
          <cell r="W134" t="str">
            <v>4F病棟</v>
          </cell>
          <cell r="X134" t="str">
            <v>043-206-3303</v>
          </cell>
          <cell r="Y134" t="str">
            <v>〒263-8555　千葉県千葉市稲毛区4-9-1</v>
          </cell>
          <cell r="AA134" t="str">
            <v>P00049-04</v>
          </cell>
          <cell r="AB134" t="str">
            <v>P00104-02</v>
          </cell>
          <cell r="AC134" t="str">
            <v>P00343-01</v>
          </cell>
          <cell r="AD134" t="str">
            <v>P00340-02</v>
          </cell>
          <cell r="AE134" t="str">
            <v>P01213-01</v>
          </cell>
          <cell r="AF134" t="str">
            <v/>
          </cell>
          <cell r="AG134" t="str">
            <v/>
          </cell>
          <cell r="AH134" t="str">
            <v/>
          </cell>
          <cell r="AI134" t="str">
            <v/>
          </cell>
          <cell r="AJ134" t="str">
            <v/>
          </cell>
          <cell r="AK134" t="str">
            <v>BATTERY PACK, 6 CELL LITHIUM-ION, 180</v>
          </cell>
          <cell r="AL134" t="str">
            <v>KEY, ON/OFF</v>
          </cell>
          <cell r="AM134" t="str">
            <v>HINGE, DISPLAY</v>
          </cell>
          <cell r="AN134" t="str">
            <v>LENS, DISPLAY</v>
          </cell>
          <cell r="AO134" t="str">
            <v>FLEX CIRCUIT, FAB, C1 DISPLAY</v>
          </cell>
          <cell r="AP134" t="str">
            <v/>
          </cell>
          <cell r="AQ134" t="str">
            <v/>
          </cell>
          <cell r="AR134" t="str">
            <v/>
          </cell>
          <cell r="AS134" t="str">
            <v/>
          </cell>
          <cell r="AT134" t="str">
            <v/>
          </cell>
          <cell r="AU134">
            <v>36586</v>
          </cell>
        </row>
        <row r="135">
          <cell r="A135" t="str">
            <v>S16-0132</v>
          </cell>
          <cell r="B135" t="str">
            <v>自治医大さいたま医療センター_0132 (2)</v>
          </cell>
          <cell r="C135" t="str">
            <v>SR#</v>
          </cell>
          <cell r="D135" t="str">
            <v>-</v>
          </cell>
          <cell r="E135" t="str">
            <v>有償</v>
          </cell>
          <cell r="F135">
            <v>42422</v>
          </cell>
          <cell r="G135">
            <v>42422</v>
          </cell>
          <cell r="H135">
            <v>42438</v>
          </cell>
          <cell r="I135" t="str">
            <v>不明</v>
          </cell>
          <cell r="K135" t="str">
            <v>梶田</v>
          </cell>
          <cell r="L135">
            <v>3</v>
          </cell>
          <cell r="M135" t="str">
            <v>180PLUS</v>
          </cell>
          <cell r="N135" t="str">
            <v>0359W8</v>
          </cell>
          <cell r="O135" t="str">
            <v>P04327-03</v>
          </cell>
          <cell r="P135" t="str">
            <v>株式会社野上器械店</v>
          </cell>
          <cell r="Q135" t="str">
            <v>村川様</v>
          </cell>
          <cell r="R135" t="str">
            <v>〒167-0021　東京都杉並区井草2-26-6</v>
          </cell>
          <cell r="S135" t="str">
            <v>03-5303-8070</v>
          </cell>
          <cell r="T135" t="str">
            <v>03-5382-2518</v>
          </cell>
          <cell r="U135" t="str">
            <v>自治医科大学付属さいたま医療センター　6階B病棟</v>
          </cell>
          <cell r="W135" t="str">
            <v>6階B病棟</v>
          </cell>
          <cell r="X135" t="str">
            <v>048-647-2111</v>
          </cell>
          <cell r="Y135" t="str">
            <v>〒330-8503　埼玉県さいたま市大宮区天沼町1-847</v>
          </cell>
          <cell r="AA135" t="str">
            <v>P01213-01</v>
          </cell>
          <cell r="AB135" t="str">
            <v>P00343-01</v>
          </cell>
          <cell r="AC135" t="str">
            <v>P00104-02</v>
          </cell>
          <cell r="AD135" t="str">
            <v>P00049-04</v>
          </cell>
          <cell r="AE135" t="str">
            <v/>
          </cell>
          <cell r="AF135" t="str">
            <v/>
          </cell>
          <cell r="AG135" t="str">
            <v/>
          </cell>
          <cell r="AH135" t="str">
            <v/>
          </cell>
          <cell r="AI135" t="str">
            <v/>
          </cell>
          <cell r="AJ135" t="str">
            <v/>
          </cell>
          <cell r="AK135" t="str">
            <v>FLEX CIRCUIT, FAB, C1 DISPLAY</v>
          </cell>
          <cell r="AL135" t="str">
            <v>HINGE, DISPLAY</v>
          </cell>
          <cell r="AM135" t="str">
            <v>KEY, ON/OFF</v>
          </cell>
          <cell r="AN135" t="str">
            <v>BATTERY PACK, 6 CELL LITHIUM-ION, 180</v>
          </cell>
          <cell r="AO135" t="str">
            <v/>
          </cell>
          <cell r="AP135" t="str">
            <v/>
          </cell>
          <cell r="AQ135" t="str">
            <v/>
          </cell>
          <cell r="AR135" t="str">
            <v/>
          </cell>
          <cell r="AS135" t="str">
            <v/>
          </cell>
          <cell r="AT135" t="str">
            <v/>
          </cell>
          <cell r="AU135">
            <v>38657</v>
          </cell>
        </row>
        <row r="136">
          <cell r="A136" t="str">
            <v>S16-0133</v>
          </cell>
          <cell r="B136" t="str">
            <v>昭和伊南病院_0133 (2)</v>
          </cell>
          <cell r="C136" t="str">
            <v>SR#</v>
          </cell>
          <cell r="D136" t="str">
            <v>2016/02/16-03</v>
          </cell>
          <cell r="E136" t="str">
            <v>有償</v>
          </cell>
          <cell r="F136">
            <v>42422</v>
          </cell>
          <cell r="G136">
            <v>42422</v>
          </cell>
          <cell r="H136">
            <v>42437</v>
          </cell>
          <cell r="I136" t="str">
            <v>不明</v>
          </cell>
          <cell r="K136" t="str">
            <v>梶田</v>
          </cell>
          <cell r="L136" t="str">
            <v>-</v>
          </cell>
          <cell r="M136" t="str">
            <v>TiTAN</v>
          </cell>
          <cell r="N136" t="str">
            <v>03426Y</v>
          </cell>
          <cell r="O136" t="str">
            <v>P04723-01</v>
          </cell>
          <cell r="P136" t="str">
            <v>株式会社上條器械店　松本営業所</v>
          </cell>
          <cell r="Q136" t="str">
            <v>山下様</v>
          </cell>
          <cell r="R136" t="str">
            <v>〒399-8760 長野県松本市笹賀7600-19</v>
          </cell>
          <cell r="S136" t="str">
            <v>0263-58-1711</v>
          </cell>
          <cell r="T136" t="str">
            <v>0263-58-8952</v>
          </cell>
          <cell r="U136" t="str">
            <v>昭和伊南総合病院</v>
          </cell>
          <cell r="V136" t="str">
            <v>-</v>
          </cell>
          <cell r="W136" t="str">
            <v>-</v>
          </cell>
          <cell r="X136" t="str">
            <v>0265-82-2121</v>
          </cell>
          <cell r="Y136" t="str">
            <v>〒399-4117　長野県駒ヶ根市赤穂3230</v>
          </cell>
          <cell r="AA136" t="str">
            <v/>
          </cell>
          <cell r="AB136" t="str">
            <v/>
          </cell>
          <cell r="AC136" t="str">
            <v/>
          </cell>
          <cell r="AD136" t="str">
            <v/>
          </cell>
          <cell r="AE136" t="str">
            <v/>
          </cell>
          <cell r="AF136" t="str">
            <v/>
          </cell>
          <cell r="AG136" t="str">
            <v/>
          </cell>
          <cell r="AH136" t="str">
            <v/>
          </cell>
          <cell r="AI136" t="str">
            <v/>
          </cell>
          <cell r="AJ136" t="str">
            <v/>
          </cell>
          <cell r="AK136" t="str">
            <v/>
          </cell>
          <cell r="AL136" t="str">
            <v/>
          </cell>
          <cell r="AM136" t="str">
            <v/>
          </cell>
          <cell r="AN136" t="str">
            <v/>
          </cell>
          <cell r="AO136" t="str">
            <v/>
          </cell>
          <cell r="AP136" t="str">
            <v/>
          </cell>
          <cell r="AQ136" t="str">
            <v/>
          </cell>
          <cell r="AR136" t="str">
            <v/>
          </cell>
          <cell r="AS136" t="str">
            <v/>
          </cell>
          <cell r="AT136" t="str">
            <v/>
          </cell>
          <cell r="AU136">
            <v>38412</v>
          </cell>
        </row>
        <row r="137">
          <cell r="A137" t="str">
            <v>S16-0134</v>
          </cell>
          <cell r="B137" t="str">
            <v>巨摩共立病院_0134(2)</v>
          </cell>
          <cell r="C137" t="str">
            <v>SR#</v>
          </cell>
          <cell r="D137" t="str">
            <v>2016/02/18-02</v>
          </cell>
          <cell r="E137" t="str">
            <v>有償</v>
          </cell>
          <cell r="F137">
            <v>42422</v>
          </cell>
          <cell r="G137">
            <v>42422</v>
          </cell>
          <cell r="H137">
            <v>42437</v>
          </cell>
          <cell r="I137">
            <v>42089</v>
          </cell>
          <cell r="K137" t="str">
            <v>梶田</v>
          </cell>
          <cell r="L137" t="str">
            <v>-</v>
          </cell>
          <cell r="M137" t="str">
            <v>C60n/5-2</v>
          </cell>
          <cell r="N137" t="str">
            <v>03ZPHN</v>
          </cell>
          <cell r="O137" t="str">
            <v>P13365-01</v>
          </cell>
          <cell r="P137" t="str">
            <v>協和医科器械株式会社　甲府支店</v>
          </cell>
          <cell r="Q137" t="str">
            <v>杉山様</v>
          </cell>
          <cell r="R137" t="str">
            <v>〒400-0043　山梨県甲府市国母1-5-1</v>
          </cell>
          <cell r="S137" t="str">
            <v>055-232-0010</v>
          </cell>
          <cell r="T137" t="str">
            <v>055-232-0022</v>
          </cell>
          <cell r="U137" t="str">
            <v>巨摩共立病院</v>
          </cell>
          <cell r="V137" t="str">
            <v>-</v>
          </cell>
          <cell r="W137" t="str">
            <v>-</v>
          </cell>
          <cell r="X137" t="str">
            <v>055-283-3131</v>
          </cell>
          <cell r="Y137" t="str">
            <v xml:space="preserve">〒400-0398 山梨県南アルプス市桃園340 </v>
          </cell>
          <cell r="AA137" t="str">
            <v/>
          </cell>
          <cell r="AB137" t="str">
            <v/>
          </cell>
          <cell r="AC137" t="str">
            <v/>
          </cell>
          <cell r="AD137" t="str">
            <v/>
          </cell>
          <cell r="AE137" t="str">
            <v/>
          </cell>
          <cell r="AF137" t="str">
            <v/>
          </cell>
          <cell r="AG137" t="str">
            <v/>
          </cell>
          <cell r="AH137" t="str">
            <v/>
          </cell>
          <cell r="AI137" t="str">
            <v/>
          </cell>
          <cell r="AJ137" t="str">
            <v/>
          </cell>
          <cell r="AK137" t="str">
            <v/>
          </cell>
          <cell r="AL137" t="str">
            <v/>
          </cell>
          <cell r="AM137" t="str">
            <v/>
          </cell>
          <cell r="AN137" t="str">
            <v/>
          </cell>
          <cell r="AO137" t="str">
            <v/>
          </cell>
          <cell r="AP137" t="str">
            <v/>
          </cell>
          <cell r="AQ137" t="str">
            <v/>
          </cell>
          <cell r="AR137" t="str">
            <v/>
          </cell>
          <cell r="AS137" t="str">
            <v/>
          </cell>
          <cell r="AT137" t="str">
            <v/>
          </cell>
          <cell r="AU137">
            <v>41944</v>
          </cell>
        </row>
        <row r="138">
          <cell r="A138" t="str">
            <v>S16-0135</v>
          </cell>
          <cell r="B138" t="str">
            <v>大崎市民病院_0135 (2)</v>
          </cell>
          <cell r="C138" t="str">
            <v>SR#不要</v>
          </cell>
          <cell r="D138" t="str">
            <v>2016/02/19-05</v>
          </cell>
          <cell r="E138" t="str">
            <v>有償</v>
          </cell>
          <cell r="F138">
            <v>42422</v>
          </cell>
          <cell r="G138">
            <v>42422</v>
          </cell>
          <cell r="H138">
            <v>42674</v>
          </cell>
          <cell r="I138" t="str">
            <v>不明</v>
          </cell>
          <cell r="K138" t="str">
            <v>-</v>
          </cell>
          <cell r="L138" t="str">
            <v>-</v>
          </cell>
          <cell r="M138" t="str">
            <v>180Plus</v>
          </cell>
          <cell r="N138" t="str">
            <v>0301H6</v>
          </cell>
          <cell r="O138" t="str">
            <v>P02650-02</v>
          </cell>
          <cell r="P138" t="str">
            <v>株式会社シバタインテック</v>
          </cell>
          <cell r="Q138" t="str">
            <v>渡辺様</v>
          </cell>
          <cell r="R138" t="str">
            <v>〒983-0035　宮城県仙台市宮城野区日の出町三丁目7-6</v>
          </cell>
          <cell r="S138" t="str">
            <v>022-782-7422</v>
          </cell>
          <cell r="T138" t="str">
            <v>022-782-7866</v>
          </cell>
          <cell r="U138" t="str">
            <v>大崎市民病院</v>
          </cell>
          <cell r="X138" t="str">
            <v>0229-23-3311</v>
          </cell>
          <cell r="Y138" t="str">
            <v>〒989-6183　宮城県大崎市古川穂波三丁目8番1号</v>
          </cell>
          <cell r="AA138" t="str">
            <v/>
          </cell>
          <cell r="AB138" t="str">
            <v/>
          </cell>
          <cell r="AC138" t="str">
            <v/>
          </cell>
          <cell r="AD138" t="str">
            <v/>
          </cell>
          <cell r="AE138" t="str">
            <v/>
          </cell>
          <cell r="AF138" t="str">
            <v/>
          </cell>
          <cell r="AG138" t="str">
            <v/>
          </cell>
          <cell r="AH138" t="str">
            <v/>
          </cell>
          <cell r="AI138" t="str">
            <v/>
          </cell>
          <cell r="AJ138" t="str">
            <v/>
          </cell>
          <cell r="AK138" t="str">
            <v/>
          </cell>
          <cell r="AL138" t="str">
            <v/>
          </cell>
          <cell r="AM138" t="str">
            <v/>
          </cell>
          <cell r="AN138" t="str">
            <v/>
          </cell>
          <cell r="AO138" t="str">
            <v/>
          </cell>
          <cell r="AP138" t="str">
            <v/>
          </cell>
          <cell r="AQ138" t="str">
            <v/>
          </cell>
          <cell r="AR138" t="str">
            <v/>
          </cell>
          <cell r="AS138" t="str">
            <v/>
          </cell>
          <cell r="AT138" t="str">
            <v/>
          </cell>
          <cell r="AU138">
            <v>38869</v>
          </cell>
        </row>
        <row r="139">
          <cell r="A139" t="str">
            <v>S16-0136</v>
          </cell>
          <cell r="B139" t="str">
            <v>刈谷豊田総合病院_0136</v>
          </cell>
          <cell r="C139" t="str">
            <v>SR#不要</v>
          </cell>
          <cell r="D139" t="str">
            <v>2016/02/12-01</v>
          </cell>
          <cell r="E139" t="str">
            <v>有償</v>
          </cell>
          <cell r="F139">
            <v>42422</v>
          </cell>
          <cell r="G139">
            <v>42422</v>
          </cell>
          <cell r="H139">
            <v>42578</v>
          </cell>
          <cell r="I139" t="str">
            <v>不明</v>
          </cell>
          <cell r="K139" t="str">
            <v>-</v>
          </cell>
          <cell r="L139" t="str">
            <v>-</v>
          </cell>
          <cell r="M139" t="str">
            <v>MiniDock</v>
          </cell>
          <cell r="N139" t="str">
            <v>WT094H</v>
          </cell>
          <cell r="O139" t="str">
            <v>P12316-01</v>
          </cell>
          <cell r="P139" t="str">
            <v>富士フイルムメディカル株式会社</v>
          </cell>
          <cell r="Q139" t="str">
            <v>形山様</v>
          </cell>
          <cell r="R139" t="str">
            <v>〒460-8404　愛知県名古屋市中区栄1-12-17 富士フイルム名古屋ビル4階</v>
          </cell>
          <cell r="S139" t="str">
            <v>052-221-7871</v>
          </cell>
          <cell r="T139" t="str">
            <v>052-203-4875</v>
          </cell>
          <cell r="U139" t="str">
            <v>刈谷豊田総合病院</v>
          </cell>
          <cell r="V139" t="str">
            <v>-</v>
          </cell>
          <cell r="W139" t="str">
            <v>-</v>
          </cell>
          <cell r="X139" t="str">
            <v>0566-21-2450</v>
          </cell>
          <cell r="Y139" t="str">
            <v xml:space="preserve">〒448-8505　愛知県刈谷市住吉町5丁目15番地 </v>
          </cell>
          <cell r="AA139" t="str">
            <v/>
          </cell>
          <cell r="AB139" t="str">
            <v/>
          </cell>
          <cell r="AC139" t="str">
            <v/>
          </cell>
          <cell r="AD139" t="str">
            <v/>
          </cell>
          <cell r="AE139" t="str">
            <v/>
          </cell>
          <cell r="AF139" t="str">
            <v/>
          </cell>
          <cell r="AG139" t="str">
            <v/>
          </cell>
          <cell r="AH139" t="str">
            <v/>
          </cell>
          <cell r="AI139" t="str">
            <v/>
          </cell>
          <cell r="AJ139" t="str">
            <v/>
          </cell>
          <cell r="AK139" t="str">
            <v/>
          </cell>
          <cell r="AL139" t="str">
            <v/>
          </cell>
          <cell r="AM139" t="str">
            <v/>
          </cell>
          <cell r="AN139" t="str">
            <v/>
          </cell>
          <cell r="AO139" t="str">
            <v/>
          </cell>
          <cell r="AP139" t="str">
            <v/>
          </cell>
          <cell r="AQ139" t="str">
            <v/>
          </cell>
          <cell r="AR139" t="str">
            <v/>
          </cell>
          <cell r="AS139" t="str">
            <v/>
          </cell>
          <cell r="AT139" t="str">
            <v/>
          </cell>
          <cell r="AU139">
            <v>40513</v>
          </cell>
        </row>
        <row r="140">
          <cell r="A140" t="str">
            <v>S16-0137</v>
          </cell>
          <cell r="B140" t="str">
            <v>代替機NIM171_0137</v>
          </cell>
          <cell r="C140" t="str">
            <v>SR#4190415</v>
          </cell>
          <cell r="D140" t="str">
            <v>-</v>
          </cell>
          <cell r="E140" t="str">
            <v>無償</v>
          </cell>
          <cell r="F140">
            <v>42424</v>
          </cell>
          <cell r="G140">
            <v>42424</v>
          </cell>
          <cell r="H140">
            <v>42436</v>
          </cell>
          <cell r="I140" t="str">
            <v>不明</v>
          </cell>
          <cell r="K140" t="str">
            <v>梶田</v>
          </cell>
          <cell r="L140">
            <v>3</v>
          </cell>
          <cell r="M140" t="str">
            <v>P17/5-1</v>
          </cell>
          <cell r="N140" t="str">
            <v>03NZ9K</v>
          </cell>
          <cell r="O140" t="str">
            <v>P06528-05</v>
          </cell>
          <cell r="P140" t="str">
            <v>富士フイルムメディカル株式会社</v>
          </cell>
          <cell r="Q140" t="str">
            <v>テクニカルサポート</v>
          </cell>
          <cell r="R140" t="str">
            <v>-</v>
          </cell>
          <cell r="S140" t="str">
            <v>03-6418-7190</v>
          </cell>
          <cell r="T140" t="str">
            <v>03-6418-7162</v>
          </cell>
          <cell r="U140" t="str">
            <v>代替機NIM171</v>
          </cell>
          <cell r="V140" t="str">
            <v>-</v>
          </cell>
          <cell r="W140" t="str">
            <v>-</v>
          </cell>
          <cell r="X140" t="str">
            <v>-</v>
          </cell>
          <cell r="Y140" t="str">
            <v>-</v>
          </cell>
          <cell r="AA140" t="str">
            <v>P11882-01</v>
          </cell>
          <cell r="AB140" t="str">
            <v/>
          </cell>
          <cell r="AC140" t="str">
            <v/>
          </cell>
          <cell r="AD140" t="str">
            <v/>
          </cell>
          <cell r="AE140" t="str">
            <v/>
          </cell>
          <cell r="AF140" t="str">
            <v/>
          </cell>
          <cell r="AG140" t="str">
            <v/>
          </cell>
          <cell r="AH140" t="str">
            <v/>
          </cell>
          <cell r="AI140" t="str">
            <v/>
          </cell>
          <cell r="AJ140" t="str">
            <v/>
          </cell>
          <cell r="AK140" t="str">
            <v>LATCH KIT ASSEMBLY</v>
          </cell>
          <cell r="AL140" t="str">
            <v/>
          </cell>
          <cell r="AM140" t="str">
            <v/>
          </cell>
          <cell r="AN140" t="str">
            <v/>
          </cell>
          <cell r="AO140" t="str">
            <v/>
          </cell>
          <cell r="AP140" t="str">
            <v/>
          </cell>
          <cell r="AQ140" t="str">
            <v/>
          </cell>
          <cell r="AR140" t="str">
            <v/>
          </cell>
          <cell r="AS140" t="str">
            <v/>
          </cell>
          <cell r="AT140" t="str">
            <v/>
          </cell>
          <cell r="AU140">
            <v>40940</v>
          </cell>
        </row>
        <row r="141">
          <cell r="A141" t="str">
            <v>S16-0138</v>
          </cell>
          <cell r="B141" t="str">
            <v>聖マリアンナ医科大病院_0138 (2)</v>
          </cell>
          <cell r="C141" t="str">
            <v>SR#</v>
          </cell>
          <cell r="D141" t="str">
            <v>2016/02/23-01</v>
          </cell>
          <cell r="E141" t="str">
            <v>有償</v>
          </cell>
          <cell r="F141">
            <v>42424</v>
          </cell>
          <cell r="G141">
            <v>42424</v>
          </cell>
          <cell r="H141">
            <v>42439</v>
          </cell>
          <cell r="I141" t="str">
            <v>不明</v>
          </cell>
          <cell r="K141" t="str">
            <v>梶田</v>
          </cell>
          <cell r="L141">
            <v>3</v>
          </cell>
          <cell r="M141" t="str">
            <v>180Plus</v>
          </cell>
          <cell r="N141" t="str">
            <v>032D9L</v>
          </cell>
          <cell r="O141" t="str">
            <v>P04326-01</v>
          </cell>
          <cell r="P141" t="str">
            <v>株式会社ムトウ　川崎北支店</v>
          </cell>
          <cell r="Q141" t="str">
            <v>吉原様</v>
          </cell>
          <cell r="R141" t="str">
            <v>〒214-0014　神奈川県川崎市多摩区登戸2662-1 2F</v>
          </cell>
          <cell r="S141" t="str">
            <v>044-934-2251</v>
          </cell>
          <cell r="T141" t="str">
            <v>044-934-2253</v>
          </cell>
          <cell r="U141" t="str">
            <v>聖マリアンナ医科大学病院　修理室・別6南</v>
          </cell>
          <cell r="V141" t="str">
            <v>吉原様</v>
          </cell>
          <cell r="W141" t="str">
            <v>修理室　別6南</v>
          </cell>
          <cell r="X141" t="str">
            <v>044-977-8111</v>
          </cell>
          <cell r="Y141" t="str">
            <v xml:space="preserve"> 〒216-8511 神奈川県川崎市宮前区管生 2-16-1 </v>
          </cell>
          <cell r="AA141" t="str">
            <v>P01213-01</v>
          </cell>
          <cell r="AB141" t="str">
            <v/>
          </cell>
          <cell r="AC141" t="str">
            <v/>
          </cell>
          <cell r="AD141" t="str">
            <v/>
          </cell>
          <cell r="AE141" t="str">
            <v/>
          </cell>
          <cell r="AF141" t="str">
            <v/>
          </cell>
          <cell r="AG141" t="str">
            <v/>
          </cell>
          <cell r="AH141" t="str">
            <v/>
          </cell>
          <cell r="AI141" t="str">
            <v/>
          </cell>
          <cell r="AJ141" t="str">
            <v/>
          </cell>
          <cell r="AK141" t="str">
            <v>FLEX CIRCUIT, FAB, C1 DISPLAY</v>
          </cell>
          <cell r="AL141" t="str">
            <v/>
          </cell>
          <cell r="AM141" t="str">
            <v/>
          </cell>
          <cell r="AN141" t="str">
            <v/>
          </cell>
          <cell r="AO141" t="str">
            <v/>
          </cell>
          <cell r="AP141" t="str">
            <v/>
          </cell>
          <cell r="AQ141" t="str">
            <v/>
          </cell>
          <cell r="AR141" t="str">
            <v/>
          </cell>
          <cell r="AS141" t="str">
            <v/>
          </cell>
          <cell r="AT141" t="str">
            <v/>
          </cell>
          <cell r="AU141">
            <v>38078</v>
          </cell>
        </row>
        <row r="142">
          <cell r="A142" t="str">
            <v>S16-0139</v>
          </cell>
          <cell r="B142" t="str">
            <v>旭川医科大学病院_0139 (2)</v>
          </cell>
          <cell r="C142" t="str">
            <v>SR#</v>
          </cell>
          <cell r="D142" t="str">
            <v>2016/02/12-04</v>
          </cell>
          <cell r="E142" t="str">
            <v>有償</v>
          </cell>
          <cell r="F142">
            <v>42424</v>
          </cell>
          <cell r="G142">
            <v>42424</v>
          </cell>
          <cell r="H142">
            <v>42500</v>
          </cell>
          <cell r="I142" t="str">
            <v>不明</v>
          </cell>
          <cell r="K142" t="str">
            <v>梶田</v>
          </cell>
          <cell r="L142">
            <v>3</v>
          </cell>
          <cell r="M142" t="str">
            <v>MicroMaxx</v>
          </cell>
          <cell r="N142" t="str">
            <v>037JM5</v>
          </cell>
          <cell r="O142" t="str">
            <v>P05670-07</v>
          </cell>
          <cell r="P142" t="str">
            <v>株式会社竹山　旭川支店</v>
          </cell>
          <cell r="Q142" t="str">
            <v>中西様</v>
          </cell>
          <cell r="R142" t="str">
            <v>〒079-8402　北海道旭川市秋月2条2丁目5-22</v>
          </cell>
          <cell r="S142" t="str">
            <v>0166-73-3011</v>
          </cell>
          <cell r="T142" t="str">
            <v>0166-47-5311</v>
          </cell>
          <cell r="U142" t="str">
            <v>旭川医科大学病院　麻酔科</v>
          </cell>
          <cell r="V142" t="str">
            <v>-</v>
          </cell>
          <cell r="W142" t="str">
            <v>-</v>
          </cell>
          <cell r="X142" t="str">
            <v>0166-65-2111</v>
          </cell>
          <cell r="Y142" t="str">
            <v>〒078-8510 　北海道旭川市緑が丘東2条1丁目1-1</v>
          </cell>
          <cell r="AA142" t="str">
            <v>P05463-01</v>
          </cell>
          <cell r="AB142" t="str">
            <v>P07168-20</v>
          </cell>
          <cell r="AC142" t="str">
            <v>P05674-50</v>
          </cell>
          <cell r="AD142" t="str">
            <v/>
          </cell>
          <cell r="AE142" t="str">
            <v/>
          </cell>
          <cell r="AF142" t="str">
            <v/>
          </cell>
          <cell r="AG142" t="str">
            <v/>
          </cell>
          <cell r="AH142" t="str">
            <v/>
          </cell>
          <cell r="AI142" t="str">
            <v/>
          </cell>
          <cell r="AJ142" t="str">
            <v/>
          </cell>
          <cell r="AK142" t="str">
            <v>SERVICE ASSEMBLY DISPLAY, MICROMAXX</v>
          </cell>
          <cell r="AL142" t="str">
            <v>BATTERY PACK, 6 CELL, 11.25V, 5.2AMP-HOUR, LITHIUM-ION</v>
          </cell>
          <cell r="AM142" t="str">
            <v>HFL38/13-6 Linear Transducer (MicroMaxx)</v>
          </cell>
          <cell r="AN142" t="str">
            <v/>
          </cell>
          <cell r="AO142" t="str">
            <v/>
          </cell>
          <cell r="AP142" t="str">
            <v/>
          </cell>
          <cell r="AQ142" t="str">
            <v/>
          </cell>
          <cell r="AR142" t="str">
            <v/>
          </cell>
          <cell r="AS142" t="str">
            <v/>
          </cell>
          <cell r="AT142" t="str">
            <v/>
          </cell>
          <cell r="AU142">
            <v>39203</v>
          </cell>
        </row>
        <row r="143">
          <cell r="A143" t="str">
            <v>S16-0140</v>
          </cell>
          <cell r="B143" t="str">
            <v>聖隷三方原病院_0140 (2)</v>
          </cell>
          <cell r="C143" t="str">
            <v>SR#不要</v>
          </cell>
          <cell r="D143" t="str">
            <v>2016/02/18-01</v>
          </cell>
          <cell r="E143" t="str">
            <v>有償</v>
          </cell>
          <cell r="F143">
            <v>42424</v>
          </cell>
          <cell r="G143">
            <v>42424</v>
          </cell>
          <cell r="H143">
            <v>42426</v>
          </cell>
          <cell r="I143" t="str">
            <v>不明</v>
          </cell>
          <cell r="K143" t="str">
            <v>梶田</v>
          </cell>
          <cell r="L143" t="str">
            <v>-</v>
          </cell>
          <cell r="M143" t="str">
            <v>M-Turbo</v>
          </cell>
          <cell r="N143" t="str">
            <v>WK1RQZ</v>
          </cell>
          <cell r="O143" t="str">
            <v>P09141-26</v>
          </cell>
          <cell r="P143" t="str">
            <v>株式会社八神製作所　浜松営業所</v>
          </cell>
          <cell r="Q143" t="str">
            <v>長谷川様</v>
          </cell>
          <cell r="R143" t="str">
            <v>〒433-8119　静岡県浜松市中区高丘北2-15-6</v>
          </cell>
          <cell r="S143" t="str">
            <v>053-439-5887</v>
          </cell>
          <cell r="T143" t="str">
            <v>053-439-5897</v>
          </cell>
          <cell r="U143" t="str">
            <v>社会福祉法人　聖隷福祉事業団
総合病院　聖隷三方原病院</v>
          </cell>
          <cell r="X143" t="str">
            <v>053-436-1251</v>
          </cell>
          <cell r="Y143" t="str">
            <v>〒433-8558　静岡県浜松市北区三方原町3453</v>
          </cell>
          <cell r="AA143" t="str">
            <v/>
          </cell>
          <cell r="AB143" t="str">
            <v/>
          </cell>
          <cell r="AC143" t="str">
            <v/>
          </cell>
          <cell r="AD143" t="str">
            <v/>
          </cell>
          <cell r="AE143" t="str">
            <v/>
          </cell>
          <cell r="AF143" t="str">
            <v/>
          </cell>
          <cell r="AG143" t="str">
            <v/>
          </cell>
          <cell r="AH143" t="str">
            <v/>
          </cell>
          <cell r="AI143" t="str">
            <v/>
          </cell>
          <cell r="AJ143" t="str">
            <v/>
          </cell>
          <cell r="AK143" t="str">
            <v/>
          </cell>
          <cell r="AL143" t="str">
            <v/>
          </cell>
          <cell r="AM143" t="str">
            <v/>
          </cell>
          <cell r="AN143" t="str">
            <v/>
          </cell>
          <cell r="AO143" t="str">
            <v/>
          </cell>
          <cell r="AP143" t="str">
            <v/>
          </cell>
          <cell r="AQ143" t="str">
            <v/>
          </cell>
          <cell r="AR143" t="str">
            <v/>
          </cell>
          <cell r="AS143" t="str">
            <v/>
          </cell>
          <cell r="AT143" t="str">
            <v/>
          </cell>
          <cell r="AU143">
            <v>41426</v>
          </cell>
        </row>
        <row r="144">
          <cell r="A144" t="str">
            <v>S16-0141</v>
          </cell>
          <cell r="B144" t="str">
            <v>松江市立病院_0141</v>
          </cell>
          <cell r="C144" t="e">
            <v>#REF!</v>
          </cell>
          <cell r="D144" t="e">
            <v>#REF!</v>
          </cell>
          <cell r="E144" t="e">
            <v>#REF!</v>
          </cell>
          <cell r="F144" t="e">
            <v>#REF!</v>
          </cell>
          <cell r="G144" t="e">
            <v>#REF!</v>
          </cell>
          <cell r="H144" t="e">
            <v>#REF!</v>
          </cell>
          <cell r="I144" t="e">
            <v>#REF!</v>
          </cell>
          <cell r="K144" t="str">
            <v>-</v>
          </cell>
          <cell r="L144" t="str">
            <v>-</v>
          </cell>
          <cell r="M144" t="e">
            <v>#REF!</v>
          </cell>
          <cell r="N144" t="e">
            <v>#REF!</v>
          </cell>
          <cell r="O144" t="e">
            <v>#REF!</v>
          </cell>
          <cell r="P144" t="e">
            <v>#REF!</v>
          </cell>
          <cell r="Q144" t="e">
            <v>#REF!</v>
          </cell>
          <cell r="R144" t="str">
            <v>〒690-0038 島根県松江市平成町182-32</v>
          </cell>
          <cell r="S144" t="e">
            <v>#REF!</v>
          </cell>
          <cell r="T144" t="e">
            <v>#REF!</v>
          </cell>
          <cell r="U144" t="e">
            <v>#REF!</v>
          </cell>
          <cell r="V144" t="str">
            <v>-</v>
          </cell>
          <cell r="W144" t="str">
            <v>-</v>
          </cell>
          <cell r="X144" t="str">
            <v>0852-60-8000</v>
          </cell>
          <cell r="Y144" t="str">
            <v>〒690-8509 島根県松江市乃白町32番地1</v>
          </cell>
          <cell r="AA144" t="e">
            <v>#REF!</v>
          </cell>
          <cell r="AB144" t="e">
            <v>#REF!</v>
          </cell>
          <cell r="AC144" t="e">
            <v>#REF!</v>
          </cell>
          <cell r="AD144" t="e">
            <v>#REF!</v>
          </cell>
          <cell r="AE144" t="e">
            <v>#REF!</v>
          </cell>
          <cell r="AF144" t="e">
            <v>#REF!</v>
          </cell>
          <cell r="AG144" t="e">
            <v>#REF!</v>
          </cell>
          <cell r="AH144" t="e">
            <v>#REF!</v>
          </cell>
          <cell r="AI144" t="e">
            <v>#REF!</v>
          </cell>
          <cell r="AJ144" t="e">
            <v>#REF!</v>
          </cell>
          <cell r="AK144" t="e">
            <v>#REF!</v>
          </cell>
          <cell r="AL144" t="e">
            <v>#REF!</v>
          </cell>
          <cell r="AM144" t="e">
            <v>#REF!</v>
          </cell>
          <cell r="AN144" t="e">
            <v>#REF!</v>
          </cell>
          <cell r="AO144" t="e">
            <v>#REF!</v>
          </cell>
          <cell r="AP144" t="e">
            <v>#REF!</v>
          </cell>
          <cell r="AQ144" t="e">
            <v>#REF!</v>
          </cell>
          <cell r="AR144" t="e">
            <v>#REF!</v>
          </cell>
          <cell r="AS144" t="e">
            <v>#REF!</v>
          </cell>
          <cell r="AT144" t="e">
            <v>#REF!</v>
          </cell>
          <cell r="AU144" t="e">
            <v>#REF!</v>
          </cell>
        </row>
        <row r="145">
          <cell r="A145" t="str">
            <v>S16-0142</v>
          </cell>
          <cell r="B145" t="str">
            <v>土浦協同病院_0142 (2)</v>
          </cell>
          <cell r="C145" t="str">
            <v>SR#</v>
          </cell>
          <cell r="D145" t="str">
            <v>2016/02/22-10</v>
          </cell>
          <cell r="E145" t="str">
            <v>無償</v>
          </cell>
          <cell r="F145">
            <v>42424</v>
          </cell>
          <cell r="G145">
            <v>42424</v>
          </cell>
          <cell r="H145">
            <v>42432</v>
          </cell>
          <cell r="I145" t="str">
            <v>不明</v>
          </cell>
          <cell r="K145" t="str">
            <v>梶田</v>
          </cell>
          <cell r="L145">
            <v>3</v>
          </cell>
          <cell r="M145" t="str">
            <v>UP-25MD</v>
          </cell>
          <cell r="N145" t="str">
            <v>311975</v>
          </cell>
          <cell r="O145" t="str">
            <v>-</v>
          </cell>
          <cell r="P145" t="str">
            <v>富士フイルムメディカル株式会社</v>
          </cell>
          <cell r="Q145" t="str">
            <v>望月様</v>
          </cell>
          <cell r="R145" t="str">
            <v>〒300-0034 茨城県土浦市港町1-10-7</v>
          </cell>
          <cell r="S145" t="str">
            <v>029-821-4151</v>
          </cell>
          <cell r="T145" t="str">
            <v>029-825-1144</v>
          </cell>
          <cell r="U145" t="str">
            <v>茨城県厚生農業協同組合連合会
総合病院　土浦協同病院</v>
          </cell>
          <cell r="V145" t="str">
            <v>-</v>
          </cell>
          <cell r="W145" t="str">
            <v>-</v>
          </cell>
          <cell r="X145" t="str">
            <v>029-830-3711</v>
          </cell>
          <cell r="Y145" t="str">
            <v>〒300-0028　茨城県土浦市おおつ野4-1-1</v>
          </cell>
          <cell r="AA145" t="str">
            <v>A1842912C</v>
          </cell>
          <cell r="AB145" t="str">
            <v/>
          </cell>
          <cell r="AC145" t="str">
            <v/>
          </cell>
          <cell r="AD145" t="str">
            <v/>
          </cell>
          <cell r="AE145" t="str">
            <v/>
          </cell>
          <cell r="AF145" t="str">
            <v/>
          </cell>
          <cell r="AG145" t="str">
            <v/>
          </cell>
          <cell r="AH145" t="str">
            <v/>
          </cell>
          <cell r="AI145" t="str">
            <v/>
          </cell>
          <cell r="AJ145" t="str">
            <v/>
          </cell>
          <cell r="AK145" t="str">
            <v>Dモータ(2)ASSY</v>
          </cell>
          <cell r="AL145" t="str">
            <v/>
          </cell>
          <cell r="AM145" t="str">
            <v/>
          </cell>
          <cell r="AN145" t="str">
            <v/>
          </cell>
          <cell r="AO145" t="str">
            <v/>
          </cell>
          <cell r="AP145" t="str">
            <v/>
          </cell>
          <cell r="AQ145" t="str">
            <v/>
          </cell>
          <cell r="AR145" t="str">
            <v/>
          </cell>
          <cell r="AS145" t="str">
            <v/>
          </cell>
          <cell r="AT145" t="str">
            <v/>
          </cell>
          <cell r="AU145" t="str">
            <v>-</v>
          </cell>
        </row>
        <row r="146">
          <cell r="A146" t="str">
            <v>S16-0143</v>
          </cell>
          <cell r="B146" t="str">
            <v>母子保健総合医療センター_0143 (2)</v>
          </cell>
          <cell r="C146" t="str">
            <v>SR#</v>
          </cell>
          <cell r="D146" t="str">
            <v>2016/02/23-05</v>
          </cell>
          <cell r="E146" t="str">
            <v>無償</v>
          </cell>
          <cell r="F146">
            <v>42425</v>
          </cell>
          <cell r="G146">
            <v>42425</v>
          </cell>
          <cell r="H146">
            <v>42447</v>
          </cell>
          <cell r="I146" t="str">
            <v>不明</v>
          </cell>
          <cell r="K146" t="str">
            <v>梶田</v>
          </cell>
          <cell r="L146" t="str">
            <v>-</v>
          </cell>
          <cell r="M146" t="str">
            <v>MicroMaxx</v>
          </cell>
          <cell r="N146" t="str">
            <v>WK1DQ7</v>
          </cell>
          <cell r="O146" t="str">
            <v>P14179-03</v>
          </cell>
          <cell r="P146" t="str">
            <v>小西医療器株式会社　本社</v>
          </cell>
          <cell r="Q146" t="str">
            <v>東野様</v>
          </cell>
          <cell r="R146" t="str">
            <v>〒540-0038　大阪府大阪市中央区内淡路町2-1-5</v>
          </cell>
          <cell r="S146" t="str">
            <v>06-6941-1806</v>
          </cell>
          <cell r="T146" t="str">
            <v>06-6944-0198</v>
          </cell>
          <cell r="U146" t="str">
            <v>地方独立行政法人大阪府立病院機構
大阪府立母子保健総合医療センター</v>
          </cell>
          <cell r="V146" t="str">
            <v>-</v>
          </cell>
          <cell r="W146" t="str">
            <v>小児科</v>
          </cell>
          <cell r="X146" t="str">
            <v>0725-56-1220</v>
          </cell>
          <cell r="Y146" t="str">
            <v xml:space="preserve">〒594-1101 大阪府和泉市室堂町840 </v>
          </cell>
          <cell r="AA146" t="str">
            <v/>
          </cell>
          <cell r="AB146" t="str">
            <v/>
          </cell>
          <cell r="AC146" t="str">
            <v/>
          </cell>
          <cell r="AD146" t="str">
            <v/>
          </cell>
          <cell r="AE146" t="str">
            <v/>
          </cell>
          <cell r="AF146" t="str">
            <v/>
          </cell>
          <cell r="AG146" t="str">
            <v/>
          </cell>
          <cell r="AH146" t="str">
            <v/>
          </cell>
          <cell r="AI146" t="str">
            <v/>
          </cell>
          <cell r="AJ146" t="str">
            <v/>
          </cell>
          <cell r="AK146" t="str">
            <v/>
          </cell>
          <cell r="AL146" t="str">
            <v/>
          </cell>
          <cell r="AM146" t="str">
            <v/>
          </cell>
          <cell r="AN146" t="str">
            <v/>
          </cell>
          <cell r="AO146" t="str">
            <v/>
          </cell>
          <cell r="AP146" t="str">
            <v/>
          </cell>
          <cell r="AQ146" t="str">
            <v/>
          </cell>
          <cell r="AR146" t="str">
            <v/>
          </cell>
          <cell r="AS146" t="str">
            <v/>
          </cell>
          <cell r="AT146" t="str">
            <v/>
          </cell>
          <cell r="AU146">
            <v>41244</v>
          </cell>
        </row>
        <row r="147">
          <cell r="A147" t="str">
            <v>S16-0144</v>
          </cell>
          <cell r="B147" t="str">
            <v>東海大学医学部附属病院_0144 (2)</v>
          </cell>
          <cell r="C147" t="str">
            <v>SR#不要</v>
          </cell>
          <cell r="D147" t="str">
            <v>2016/02/19-07</v>
          </cell>
          <cell r="E147" t="str">
            <v>有償</v>
          </cell>
          <cell r="F147">
            <v>42425</v>
          </cell>
          <cell r="G147">
            <v>42425</v>
          </cell>
          <cell r="H147">
            <v>42607</v>
          </cell>
          <cell r="I147" t="str">
            <v>不明</v>
          </cell>
          <cell r="K147" t="str">
            <v>-</v>
          </cell>
          <cell r="L147" t="str">
            <v>-</v>
          </cell>
          <cell r="M147" t="str">
            <v>MicroMaxx</v>
          </cell>
          <cell r="N147" t="str">
            <v>039M68</v>
          </cell>
          <cell r="O147" t="str">
            <v>P08063-02</v>
          </cell>
          <cell r="P147" t="str">
            <v>株式会社イノメディックス　相模原営業所</v>
          </cell>
          <cell r="Q147" t="str">
            <v>梶原様</v>
          </cell>
          <cell r="R147" t="str">
            <v>〒186-0003 東京都国立市富士見台2-35-5</v>
          </cell>
          <cell r="S147" t="str">
            <v>042-752-7611</v>
          </cell>
          <cell r="T147" t="str">
            <v>042-752-2449</v>
          </cell>
          <cell r="U147" t="str">
            <v>東海大学医学部附属病院　MEセンター</v>
          </cell>
          <cell r="V147" t="str">
            <v>相馬様</v>
          </cell>
          <cell r="W147" t="str">
            <v>MEセンター</v>
          </cell>
          <cell r="X147" t="str">
            <v>0463-93-1121</v>
          </cell>
          <cell r="Y147" t="str">
            <v>〒259-1193　神奈川県伊勢原市下糟屋143</v>
          </cell>
          <cell r="AA147" t="str">
            <v/>
          </cell>
          <cell r="AB147" t="str">
            <v/>
          </cell>
          <cell r="AC147" t="str">
            <v/>
          </cell>
          <cell r="AD147" t="str">
            <v/>
          </cell>
          <cell r="AE147" t="str">
            <v/>
          </cell>
          <cell r="AF147" t="str">
            <v/>
          </cell>
          <cell r="AG147" t="str">
            <v/>
          </cell>
          <cell r="AH147" t="str">
            <v/>
          </cell>
          <cell r="AI147" t="str">
            <v/>
          </cell>
          <cell r="AJ147" t="str">
            <v/>
          </cell>
          <cell r="AK147" t="str">
            <v/>
          </cell>
          <cell r="AL147" t="str">
            <v/>
          </cell>
          <cell r="AM147" t="str">
            <v/>
          </cell>
          <cell r="AN147" t="str">
            <v/>
          </cell>
          <cell r="AO147" t="str">
            <v/>
          </cell>
          <cell r="AP147" t="str">
            <v/>
          </cell>
          <cell r="AQ147" t="str">
            <v/>
          </cell>
          <cell r="AR147" t="str">
            <v/>
          </cell>
          <cell r="AS147" t="str">
            <v/>
          </cell>
          <cell r="AT147" t="str">
            <v/>
          </cell>
          <cell r="AU147">
            <v>39387</v>
          </cell>
        </row>
        <row r="148">
          <cell r="A148" t="str">
            <v>S16-0145</v>
          </cell>
          <cell r="B148" t="str">
            <v>要町病院_0145 (2)</v>
          </cell>
          <cell r="C148" t="str">
            <v>SR#</v>
          </cell>
          <cell r="D148" t="str">
            <v>2016/02/19-01</v>
          </cell>
          <cell r="E148" t="str">
            <v>有償</v>
          </cell>
          <cell r="F148">
            <v>42425</v>
          </cell>
          <cell r="G148">
            <v>42425</v>
          </cell>
          <cell r="H148">
            <v>42445</v>
          </cell>
          <cell r="I148" t="str">
            <v>不明</v>
          </cell>
          <cell r="K148" t="str">
            <v>梶田</v>
          </cell>
          <cell r="L148">
            <v>5</v>
          </cell>
          <cell r="M148" t="str">
            <v>MicroMaxx</v>
          </cell>
          <cell r="N148" t="str">
            <v>034WM5</v>
          </cell>
          <cell r="O148" t="str">
            <v>P05670-61</v>
          </cell>
          <cell r="P148" t="str">
            <v>オリンパスメディカルサイエンス販売株式会社</v>
          </cell>
          <cell r="Q148" t="str">
            <v>石井様</v>
          </cell>
          <cell r="R148" t="str">
            <v>〒163-1412　東京都新宿区西新宿3-20-2　東京オペラシティタワー12階</v>
          </cell>
          <cell r="S148" t="str">
            <v>03-3379-6001</v>
          </cell>
          <cell r="T148" t="str">
            <v xml:space="preserve"> 03-3379-6006</v>
          </cell>
          <cell r="U148" t="str">
            <v>要町病院</v>
          </cell>
          <cell r="V148" t="str">
            <v>-</v>
          </cell>
          <cell r="W148" t="str">
            <v>-</v>
          </cell>
          <cell r="X148" t="str">
            <v>03-3957-3181</v>
          </cell>
          <cell r="Y148" t="str">
            <v>〒171-0043　東京都豊島区要町1-11-13</v>
          </cell>
          <cell r="AA148" t="str">
            <v>P00855-01</v>
          </cell>
          <cell r="AB148" t="str">
            <v>P08060-03</v>
          </cell>
          <cell r="AC148" t="str">
            <v>P07168-20</v>
          </cell>
          <cell r="AD148" t="str">
            <v>P09823-06</v>
          </cell>
          <cell r="AE148" t="str">
            <v/>
          </cell>
          <cell r="AF148" t="str">
            <v/>
          </cell>
          <cell r="AG148" t="str">
            <v/>
          </cell>
          <cell r="AH148" t="str">
            <v/>
          </cell>
          <cell r="AI148" t="str">
            <v/>
          </cell>
          <cell r="AJ148" t="str">
            <v/>
          </cell>
          <cell r="AK148" t="str">
            <v>CORDSET, 15 AMP ,C13 CONNECTOR,JAPANESE</v>
          </cell>
          <cell r="AL148" t="str">
            <v>HINGE, 6LB, TURBO, C3, C2</v>
          </cell>
          <cell r="AM148" t="str">
            <v>BATTERY PACK, 6 CELL, 11.25V, 5.2AMP-HOUR, LITHIUM-ION</v>
          </cell>
          <cell r="AN148" t="str">
            <v>LOW NOISE POWER SUPPLY,15V W/BATTERY CHARGER,75 W</v>
          </cell>
          <cell r="AO148" t="str">
            <v/>
          </cell>
          <cell r="AP148" t="str">
            <v/>
          </cell>
          <cell r="AQ148" t="str">
            <v/>
          </cell>
          <cell r="AR148" t="str">
            <v/>
          </cell>
          <cell r="AS148" t="str">
            <v/>
          </cell>
          <cell r="AT148" t="str">
            <v/>
          </cell>
          <cell r="AU148">
            <v>38565</v>
          </cell>
        </row>
        <row r="149">
          <cell r="A149" t="str">
            <v>S16-0146</v>
          </cell>
          <cell r="B149" t="str">
            <v>福井空港１_0146 (2)</v>
          </cell>
          <cell r="C149" t="str">
            <v>SR#4200407</v>
          </cell>
          <cell r="D149" t="str">
            <v>2016/02/24-03</v>
          </cell>
          <cell r="E149" t="str">
            <v>有償</v>
          </cell>
          <cell r="F149">
            <v>42426</v>
          </cell>
          <cell r="G149">
            <v>42426</v>
          </cell>
          <cell r="H149">
            <v>42453</v>
          </cell>
          <cell r="I149" t="str">
            <v>不明</v>
          </cell>
          <cell r="K149" t="str">
            <v>梶田</v>
          </cell>
          <cell r="L149">
            <v>5</v>
          </cell>
          <cell r="M149" t="str">
            <v>MicroMaxx</v>
          </cell>
          <cell r="N149" t="str">
            <v>WK0PWD</v>
          </cell>
          <cell r="O149" t="str">
            <v>P14179-03</v>
          </cell>
          <cell r="P149" t="str">
            <v>福井医療株式会社</v>
          </cell>
          <cell r="Q149" t="str">
            <v>旭様</v>
          </cell>
          <cell r="R149" t="str">
            <v>〒918-8556　福井県福井市問屋町4丁目901</v>
          </cell>
          <cell r="S149" t="str">
            <v>0776-24-0500</v>
          </cell>
          <cell r="T149" t="str">
            <v>0776-24-0021</v>
          </cell>
          <cell r="U149" t="str">
            <v>福井空港１</v>
          </cell>
          <cell r="X149" t="str">
            <v>0776-21-1111</v>
          </cell>
          <cell r="Y149" t="str">
            <v>〒910-8580 福井県福井市大手3-17-1</v>
          </cell>
          <cell r="AA149" t="str">
            <v/>
          </cell>
          <cell r="AB149" t="str">
            <v/>
          </cell>
          <cell r="AC149" t="str">
            <v/>
          </cell>
          <cell r="AD149" t="str">
            <v/>
          </cell>
          <cell r="AE149" t="str">
            <v/>
          </cell>
          <cell r="AF149" t="str">
            <v/>
          </cell>
          <cell r="AG149" t="str">
            <v/>
          </cell>
          <cell r="AH149" t="str">
            <v/>
          </cell>
          <cell r="AI149" t="str">
            <v/>
          </cell>
          <cell r="AJ149" t="str">
            <v/>
          </cell>
          <cell r="AK149" t="str">
            <v/>
          </cell>
          <cell r="AL149" t="str">
            <v/>
          </cell>
          <cell r="AM149" t="str">
            <v/>
          </cell>
          <cell r="AN149" t="str">
            <v/>
          </cell>
          <cell r="AO149" t="str">
            <v/>
          </cell>
          <cell r="AP149" t="str">
            <v/>
          </cell>
          <cell r="AQ149" t="str">
            <v/>
          </cell>
          <cell r="AR149" t="str">
            <v/>
          </cell>
          <cell r="AS149" t="str">
            <v/>
          </cell>
          <cell r="AT149" t="str">
            <v/>
          </cell>
          <cell r="AU149">
            <v>40848</v>
          </cell>
        </row>
        <row r="150">
          <cell r="A150" t="str">
            <v>S16-0147</v>
          </cell>
          <cell r="B150" t="str">
            <v>福井空港２_0147 (2)</v>
          </cell>
          <cell r="C150" t="str">
            <v>SR#4200403</v>
          </cell>
          <cell r="D150" t="str">
            <v>2016/02/24-03</v>
          </cell>
          <cell r="E150" t="str">
            <v>有償</v>
          </cell>
          <cell r="F150">
            <v>42426</v>
          </cell>
          <cell r="G150">
            <v>42426</v>
          </cell>
          <cell r="H150">
            <v>42453</v>
          </cell>
          <cell r="I150" t="str">
            <v>不明</v>
          </cell>
          <cell r="K150" t="str">
            <v>梶田</v>
          </cell>
          <cell r="L150">
            <v>5</v>
          </cell>
          <cell r="M150" t="str">
            <v>MicroMaxx</v>
          </cell>
          <cell r="N150" t="str">
            <v>WK0MX6</v>
          </cell>
          <cell r="O150" t="str">
            <v>P14179-03</v>
          </cell>
          <cell r="P150" t="str">
            <v>福井医療株式会社</v>
          </cell>
          <cell r="Q150" t="str">
            <v>旭様</v>
          </cell>
          <cell r="R150" t="str">
            <v>〒918-8556　福井県福井市問屋町4丁目901</v>
          </cell>
          <cell r="S150" t="str">
            <v>0776-24-0500</v>
          </cell>
          <cell r="T150" t="str">
            <v>0776-24-0021</v>
          </cell>
          <cell r="U150" t="str">
            <v>福井空港２</v>
          </cell>
          <cell r="X150" t="str">
            <v>0776-21-1111</v>
          </cell>
          <cell r="Y150" t="str">
            <v>〒910-8580 福井県福井市大手3-17-1</v>
          </cell>
          <cell r="AA150" t="str">
            <v/>
          </cell>
          <cell r="AB150" t="str">
            <v/>
          </cell>
          <cell r="AC150" t="str">
            <v/>
          </cell>
          <cell r="AD150" t="str">
            <v/>
          </cell>
          <cell r="AE150" t="str">
            <v/>
          </cell>
          <cell r="AF150" t="str">
            <v/>
          </cell>
          <cell r="AG150" t="str">
            <v/>
          </cell>
          <cell r="AH150" t="str">
            <v/>
          </cell>
          <cell r="AI150" t="str">
            <v/>
          </cell>
          <cell r="AJ150" t="str">
            <v/>
          </cell>
          <cell r="AK150" t="str">
            <v/>
          </cell>
          <cell r="AL150" t="str">
            <v/>
          </cell>
          <cell r="AM150" t="str">
            <v/>
          </cell>
          <cell r="AN150" t="str">
            <v/>
          </cell>
          <cell r="AO150" t="str">
            <v/>
          </cell>
          <cell r="AP150" t="str">
            <v/>
          </cell>
          <cell r="AQ150" t="str">
            <v/>
          </cell>
          <cell r="AR150" t="str">
            <v/>
          </cell>
          <cell r="AS150" t="str">
            <v/>
          </cell>
          <cell r="AT150" t="str">
            <v/>
          </cell>
          <cell r="AU150">
            <v>40848</v>
          </cell>
        </row>
        <row r="151">
          <cell r="A151" t="str">
            <v>S16-0148</v>
          </cell>
          <cell r="B151" t="str">
            <v>八鹿病院_0148 (2)</v>
          </cell>
          <cell r="C151" t="str">
            <v>SR#</v>
          </cell>
          <cell r="D151" t="str">
            <v>2016/02/19-03</v>
          </cell>
          <cell r="E151" t="str">
            <v>有償</v>
          </cell>
          <cell r="F151">
            <v>42426</v>
          </cell>
          <cell r="G151">
            <v>42426</v>
          </cell>
          <cell r="H151">
            <v>42536</v>
          </cell>
          <cell r="I151">
            <v>39356</v>
          </cell>
          <cell r="K151" t="str">
            <v>馬屋原</v>
          </cell>
          <cell r="L151">
            <v>3</v>
          </cell>
          <cell r="M151" t="str">
            <v>180Plus</v>
          </cell>
          <cell r="N151" t="str">
            <v>0387PJ</v>
          </cell>
          <cell r="O151" t="str">
            <v>P04326-04</v>
          </cell>
          <cell r="P151" t="str">
            <v>マリヤ医科興業株式会社</v>
          </cell>
          <cell r="Q151" t="str">
            <v>小山様</v>
          </cell>
          <cell r="R151" t="str">
            <v>〒668-0024　兵庫県豊岡市寿町10-10</v>
          </cell>
          <cell r="S151" t="str">
            <v>0796-22-6155</v>
          </cell>
          <cell r="T151" t="str">
            <v>0796-22-6158</v>
          </cell>
          <cell r="U151" t="str">
            <v>八鹿病院</v>
          </cell>
          <cell r="V151" t="str">
            <v>-</v>
          </cell>
          <cell r="W151" t="str">
            <v>-</v>
          </cell>
          <cell r="X151" t="str">
            <v>079-662-5555</v>
          </cell>
          <cell r="Y151" t="str">
            <v>〒667-8555　兵庫県養父市八鹿町八鹿1878-1</v>
          </cell>
          <cell r="AA151" t="str">
            <v>P00343-01</v>
          </cell>
          <cell r="AB151" t="str">
            <v/>
          </cell>
          <cell r="AC151" t="str">
            <v/>
          </cell>
          <cell r="AD151" t="str">
            <v/>
          </cell>
          <cell r="AE151" t="str">
            <v/>
          </cell>
          <cell r="AF151" t="str">
            <v/>
          </cell>
          <cell r="AG151" t="str">
            <v/>
          </cell>
          <cell r="AH151" t="str">
            <v/>
          </cell>
          <cell r="AI151" t="str">
            <v/>
          </cell>
          <cell r="AJ151" t="str">
            <v/>
          </cell>
          <cell r="AK151" t="str">
            <v>HINGE, DISPLAY</v>
          </cell>
          <cell r="AL151" t="str">
            <v/>
          </cell>
          <cell r="AM151" t="str">
            <v/>
          </cell>
          <cell r="AN151" t="str">
            <v/>
          </cell>
          <cell r="AO151" t="str">
            <v/>
          </cell>
          <cell r="AP151" t="str">
            <v/>
          </cell>
          <cell r="AQ151" t="str">
            <v/>
          </cell>
          <cell r="AR151" t="str">
            <v/>
          </cell>
          <cell r="AS151" t="str">
            <v/>
          </cell>
          <cell r="AT151" t="str">
            <v/>
          </cell>
          <cell r="AU151">
            <v>39173</v>
          </cell>
        </row>
        <row r="152">
          <cell r="A152" t="str">
            <v>S16-0149</v>
          </cell>
          <cell r="B152" t="str">
            <v>日本赤十字社医療センター_0149 (2)</v>
          </cell>
          <cell r="C152" t="str">
            <v>SR#</v>
          </cell>
          <cell r="D152" t="str">
            <v>2016/02/22-02</v>
          </cell>
          <cell r="E152" t="str">
            <v>有償</v>
          </cell>
          <cell r="F152">
            <v>42426</v>
          </cell>
          <cell r="G152">
            <v>42426</v>
          </cell>
          <cell r="H152">
            <v>42545</v>
          </cell>
          <cell r="I152" t="str">
            <v>不明</v>
          </cell>
          <cell r="K152" t="str">
            <v>馬屋原</v>
          </cell>
          <cell r="L152">
            <v>3</v>
          </cell>
          <cell r="M152" t="str">
            <v>MicroMaxx</v>
          </cell>
          <cell r="N152" t="str">
            <v>WK02Z4</v>
          </cell>
          <cell r="O152" t="str">
            <v>P08063-05</v>
          </cell>
          <cell r="P152" t="str">
            <v>株式会社栗原医療器械店</v>
          </cell>
          <cell r="Q152" t="str">
            <v>一ノ瀬様</v>
          </cell>
          <cell r="R152" t="str">
            <v>〒108-0022　東京都港区海岸3-26-1 バーク芝浦11階</v>
          </cell>
          <cell r="S152" t="str">
            <v>03-5442-2011</v>
          </cell>
          <cell r="T152" t="str">
            <v>03-5442-2009</v>
          </cell>
          <cell r="U152" t="str">
            <v>日本赤十字社医療センター</v>
          </cell>
          <cell r="V152" t="str">
            <v>-</v>
          </cell>
          <cell r="W152" t="str">
            <v>救急　D-MAT</v>
          </cell>
          <cell r="X152" t="str">
            <v>03-5442-2011</v>
          </cell>
          <cell r="Y152" t="str">
            <v>〒150-8935 東京都渋谷区広尾4-1-22</v>
          </cell>
          <cell r="AA152" t="str">
            <v>P05675-50</v>
          </cell>
          <cell r="AB152" t="str">
            <v>P11882-01</v>
          </cell>
          <cell r="AC152" t="str">
            <v>P00364-02</v>
          </cell>
          <cell r="AD152" t="str">
            <v>P07168-20</v>
          </cell>
          <cell r="AE152" t="str">
            <v/>
          </cell>
          <cell r="AF152" t="str">
            <v/>
          </cell>
          <cell r="AG152" t="str">
            <v/>
          </cell>
          <cell r="AH152" t="str">
            <v/>
          </cell>
          <cell r="AI152" t="str">
            <v/>
          </cell>
          <cell r="AJ152" t="str">
            <v/>
          </cell>
          <cell r="AK152" t="str">
            <v>C60e/5-2 ｺﾝﾍﾞｯｸｽﾌﾟﾛｰﾌﾞ</v>
          </cell>
          <cell r="AL152" t="str">
            <v>LATCH KIT</v>
          </cell>
          <cell r="AM152" t="str">
            <v>CONNECTOR, INTERPOSER</v>
          </cell>
          <cell r="AN152" t="str">
            <v>BATTERY PACK, 6 CELL, 11.25V, 5.2AMP-HOUR, LITHIUM-ION</v>
          </cell>
          <cell r="AO152" t="str">
            <v/>
          </cell>
          <cell r="AP152" t="str">
            <v/>
          </cell>
          <cell r="AQ152" t="str">
            <v/>
          </cell>
          <cell r="AR152" t="str">
            <v/>
          </cell>
          <cell r="AS152" t="str">
            <v/>
          </cell>
          <cell r="AT152" t="str">
            <v/>
          </cell>
          <cell r="AU152">
            <v>40179</v>
          </cell>
        </row>
        <row r="153">
          <cell r="A153" t="str">
            <v>S16-0150</v>
          </cell>
          <cell r="B153" t="str">
            <v>三重大学医学部附属病院_0150(2)</v>
          </cell>
          <cell r="C153" t="str">
            <v>SR#</v>
          </cell>
          <cell r="D153" t="str">
            <v>-</v>
          </cell>
          <cell r="E153" t="str">
            <v>有償</v>
          </cell>
          <cell r="F153">
            <v>42426</v>
          </cell>
          <cell r="G153">
            <v>42426</v>
          </cell>
          <cell r="H153">
            <v>42452</v>
          </cell>
          <cell r="I153" t="str">
            <v>不明</v>
          </cell>
          <cell r="K153" t="str">
            <v>梶田</v>
          </cell>
          <cell r="L153">
            <v>3</v>
          </cell>
          <cell r="M153" t="str">
            <v>NanoMaxx</v>
          </cell>
          <cell r="N153" t="str">
            <v>03HM4F</v>
          </cell>
          <cell r="O153" t="str">
            <v>P12700-01</v>
          </cell>
          <cell r="P153" t="str">
            <v>日本コヴィディエン株式会社　東海北陸営業所</v>
          </cell>
          <cell r="Q153" t="str">
            <v>佐藤様</v>
          </cell>
          <cell r="R153" t="str">
            <v>〒158-8615  東京都世田谷区用賀 4-10-5  世田谷ﾋﾞｼﾞﾈｽｽｸｴｱﾋﾙｽﾞⅣ 2F</v>
          </cell>
          <cell r="S153" t="str">
            <v>03-5717-0517</v>
          </cell>
          <cell r="T153" t="str">
            <v>03-5717-0507</v>
          </cell>
          <cell r="U153" t="str">
            <v>三重大学医学部附属病院</v>
          </cell>
          <cell r="V153" t="str">
            <v>-</v>
          </cell>
          <cell r="W153" t="str">
            <v>-</v>
          </cell>
          <cell r="X153" t="str">
            <v>059-232-1111</v>
          </cell>
          <cell r="Y153" t="str">
            <v>〒514-8507 三重県津市江戸橋2-174</v>
          </cell>
          <cell r="AA153" t="str">
            <v>P12718-02</v>
          </cell>
          <cell r="AB153" t="str">
            <v>P12889-20</v>
          </cell>
          <cell r="AC153" t="str">
            <v/>
          </cell>
          <cell r="AD153" t="str">
            <v/>
          </cell>
          <cell r="AE153" t="str">
            <v/>
          </cell>
          <cell r="AF153" t="str">
            <v/>
          </cell>
          <cell r="AG153" t="str">
            <v/>
          </cell>
          <cell r="AH153" t="str">
            <v/>
          </cell>
          <cell r="AI153" t="str">
            <v/>
          </cell>
          <cell r="AJ153" t="str">
            <v/>
          </cell>
          <cell r="AK153" t="str">
            <v>SERVICE ASSEMBLY, BACK END PCB, NANOMAXX</v>
          </cell>
          <cell r="AL153" t="str">
            <v>NANOMAXX BATTERY ASSEMBLY, NATIONAL PANASONIC CELLS</v>
          </cell>
          <cell r="AM153" t="str">
            <v/>
          </cell>
          <cell r="AN153" t="str">
            <v/>
          </cell>
          <cell r="AO153" t="str">
            <v/>
          </cell>
          <cell r="AP153" t="str">
            <v/>
          </cell>
          <cell r="AQ153" t="str">
            <v/>
          </cell>
          <cell r="AR153" t="str">
            <v/>
          </cell>
          <cell r="AS153" t="str">
            <v/>
          </cell>
          <cell r="AT153" t="str">
            <v/>
          </cell>
          <cell r="AU153">
            <v>40148</v>
          </cell>
        </row>
        <row r="154">
          <cell r="A154" t="str">
            <v>S16-0151</v>
          </cell>
          <cell r="B154" t="str">
            <v>岩田整形クリニック_0151</v>
          </cell>
          <cell r="C154" t="str">
            <v>SR#不要</v>
          </cell>
          <cell r="D154" t="str">
            <v>-</v>
          </cell>
          <cell r="E154" t="str">
            <v>有償</v>
          </cell>
          <cell r="F154">
            <v>42426</v>
          </cell>
          <cell r="G154">
            <v>42426</v>
          </cell>
          <cell r="H154">
            <v>42465</v>
          </cell>
          <cell r="I154" t="str">
            <v>不明</v>
          </cell>
          <cell r="K154" t="str">
            <v>-</v>
          </cell>
          <cell r="L154" t="str">
            <v>-</v>
          </cell>
          <cell r="M154" t="str">
            <v>TiTAN</v>
          </cell>
          <cell r="N154" t="str">
            <v>036JHX</v>
          </cell>
          <cell r="O154" t="str">
            <v>P06590-02</v>
          </cell>
          <cell r="P154" t="str">
            <v>フクダ電子神奈川販売株式会社</v>
          </cell>
          <cell r="Q154" t="str">
            <v>笹本様</v>
          </cell>
          <cell r="R154" t="str">
            <v>〒224-0037　神奈川県横浜市都筑区茅ヶ崎南2-23-14</v>
          </cell>
          <cell r="S154" t="str">
            <v>045-949-1200</v>
          </cell>
          <cell r="T154" t="str">
            <v>045-943-3520</v>
          </cell>
          <cell r="U154" t="str">
            <v>岩田整形クリニック</v>
          </cell>
          <cell r="V154" t="str">
            <v>-</v>
          </cell>
          <cell r="W154" t="str">
            <v>-</v>
          </cell>
          <cell r="X154" t="str">
            <v>0467-41-1630</v>
          </cell>
          <cell r="Y154" t="str">
            <v>〒247-0056　神奈川県鎌倉市大船1-12-17 リオンビル1階2階</v>
          </cell>
          <cell r="AA154" t="str">
            <v/>
          </cell>
          <cell r="AB154" t="str">
            <v/>
          </cell>
          <cell r="AC154" t="str">
            <v/>
          </cell>
          <cell r="AD154" t="str">
            <v/>
          </cell>
          <cell r="AE154" t="str">
            <v/>
          </cell>
          <cell r="AF154" t="str">
            <v/>
          </cell>
          <cell r="AG154" t="str">
            <v/>
          </cell>
          <cell r="AH154" t="str">
            <v/>
          </cell>
          <cell r="AI154" t="str">
            <v/>
          </cell>
          <cell r="AJ154" t="str">
            <v/>
          </cell>
          <cell r="AK154" t="str">
            <v/>
          </cell>
          <cell r="AL154" t="str">
            <v/>
          </cell>
          <cell r="AM154" t="str">
            <v/>
          </cell>
          <cell r="AN154" t="str">
            <v/>
          </cell>
          <cell r="AO154" t="str">
            <v/>
          </cell>
          <cell r="AP154" t="str">
            <v/>
          </cell>
          <cell r="AQ154" t="str">
            <v/>
          </cell>
          <cell r="AR154" t="str">
            <v/>
          </cell>
          <cell r="AS154" t="str">
            <v/>
          </cell>
          <cell r="AT154" t="str">
            <v/>
          </cell>
          <cell r="AU154">
            <v>38961</v>
          </cell>
        </row>
        <row r="155">
          <cell r="A155" t="str">
            <v>S16-0152</v>
          </cell>
          <cell r="B155" t="str">
            <v>三重大学病院_0152 (2)</v>
          </cell>
          <cell r="C155" t="str">
            <v>SR#4200417</v>
          </cell>
          <cell r="D155" t="str">
            <v>-</v>
          </cell>
          <cell r="E155" t="str">
            <v>有償</v>
          </cell>
          <cell r="F155">
            <v>42426</v>
          </cell>
          <cell r="G155">
            <v>42426</v>
          </cell>
          <cell r="H155">
            <v>42464</v>
          </cell>
          <cell r="I155" t="str">
            <v>不明</v>
          </cell>
          <cell r="K155" t="str">
            <v>梶田</v>
          </cell>
          <cell r="L155">
            <v>3</v>
          </cell>
          <cell r="M155" t="str">
            <v>iLook Stand</v>
          </cell>
          <cell r="N155" t="str">
            <v xml:space="preserve">03526P </v>
          </cell>
          <cell r="O155" t="str">
            <v>P04307-01</v>
          </cell>
          <cell r="P155" t="str">
            <v>日本コヴィディエン株式会社</v>
          </cell>
          <cell r="Q155" t="str">
            <v>佐藤様</v>
          </cell>
          <cell r="R155" t="str">
            <v>〒158-8615  東京都世田谷区用賀 4-10-5  世田谷ﾋﾞｼﾞﾈｽｽｸｴｱﾋﾙｽﾞⅣ 2F</v>
          </cell>
          <cell r="S155" t="str">
            <v>03-5717-0517</v>
          </cell>
          <cell r="T155" t="str">
            <v>03-5717-0507</v>
          </cell>
          <cell r="U155" t="str">
            <v>三重大学医学部附属病院</v>
          </cell>
          <cell r="V155" t="str">
            <v>-</v>
          </cell>
          <cell r="W155" t="str">
            <v>-</v>
          </cell>
          <cell r="X155" t="str">
            <v>059-232-1111</v>
          </cell>
          <cell r="Y155" t="str">
            <v>〒514-8507 三重県津市江戸橋2-174</v>
          </cell>
          <cell r="AA155" t="str">
            <v>P03029-02</v>
          </cell>
          <cell r="AB155" t="str">
            <v>P03466-01</v>
          </cell>
          <cell r="AC155" t="str">
            <v/>
          </cell>
          <cell r="AD155" t="str">
            <v/>
          </cell>
          <cell r="AE155" t="str">
            <v/>
          </cell>
          <cell r="AF155" t="str">
            <v/>
          </cell>
          <cell r="AG155" t="str">
            <v/>
          </cell>
          <cell r="AH155" t="str">
            <v/>
          </cell>
          <cell r="AI155" t="str">
            <v/>
          </cell>
          <cell r="AJ155" t="str">
            <v/>
          </cell>
          <cell r="AK155" t="str">
            <v>ASSEMBLY, PCB, iLOOK,STAND</v>
          </cell>
          <cell r="AL155" t="str">
            <v>PLATE, MAIN PIVOT</v>
          </cell>
          <cell r="AM155" t="str">
            <v/>
          </cell>
          <cell r="AN155" t="str">
            <v/>
          </cell>
          <cell r="AO155" t="str">
            <v/>
          </cell>
          <cell r="AP155" t="str">
            <v/>
          </cell>
          <cell r="AQ155" t="str">
            <v/>
          </cell>
          <cell r="AR155" t="str">
            <v/>
          </cell>
          <cell r="AS155" t="str">
            <v/>
          </cell>
          <cell r="AT155" t="str">
            <v/>
          </cell>
          <cell r="AU155">
            <v>38626</v>
          </cell>
        </row>
        <row r="156">
          <cell r="A156" t="str">
            <v>S16-0153</v>
          </cell>
          <cell r="B156" t="str">
            <v>筑波大学附属病院_0153 (2)</v>
          </cell>
          <cell r="C156" t="str">
            <v>SR#不要</v>
          </cell>
          <cell r="D156" t="str">
            <v>2016/02/24-02</v>
          </cell>
          <cell r="E156" t="str">
            <v>有償</v>
          </cell>
          <cell r="F156">
            <v>42429</v>
          </cell>
          <cell r="G156">
            <v>42429</v>
          </cell>
          <cell r="H156">
            <v>42676</v>
          </cell>
          <cell r="I156" t="str">
            <v>不明</v>
          </cell>
          <cell r="K156" t="str">
            <v>-</v>
          </cell>
          <cell r="L156" t="str">
            <v>-</v>
          </cell>
          <cell r="M156">
            <v>180</v>
          </cell>
          <cell r="N156" t="str">
            <v>01LBWW</v>
          </cell>
          <cell r="O156" t="str">
            <v>P01102-03</v>
          </cell>
          <cell r="P156" t="str">
            <v>株式会社栗原医療器械店　土浦支店</v>
          </cell>
          <cell r="Q156" t="str">
            <v>河合様</v>
          </cell>
          <cell r="R156" t="str">
            <v>〒300-0063　茨城県土浦市若松町1-21　</v>
          </cell>
          <cell r="S156" t="str">
            <v>029-823-2161</v>
          </cell>
          <cell r="T156" t="str">
            <v>029-822-6959</v>
          </cell>
          <cell r="U156" t="str">
            <v>筑波大学附属病院</v>
          </cell>
          <cell r="V156" t="str">
            <v>-</v>
          </cell>
          <cell r="W156" t="str">
            <v>-</v>
          </cell>
          <cell r="X156" t="str">
            <v>029-853-3900</v>
          </cell>
          <cell r="Y156" t="str">
            <v>〒305-8576　茨城県つくば市天久保2-1-1</v>
          </cell>
          <cell r="AA156" t="str">
            <v/>
          </cell>
          <cell r="AB156" t="str">
            <v/>
          </cell>
          <cell r="AC156" t="str">
            <v/>
          </cell>
          <cell r="AD156" t="str">
            <v/>
          </cell>
          <cell r="AE156" t="str">
            <v/>
          </cell>
          <cell r="AF156" t="str">
            <v/>
          </cell>
          <cell r="AG156" t="str">
            <v/>
          </cell>
          <cell r="AH156" t="str">
            <v/>
          </cell>
          <cell r="AI156" t="str">
            <v/>
          </cell>
          <cell r="AJ156" t="str">
            <v/>
          </cell>
          <cell r="AK156" t="str">
            <v/>
          </cell>
          <cell r="AL156" t="str">
            <v/>
          </cell>
          <cell r="AM156" t="str">
            <v/>
          </cell>
          <cell r="AN156" t="str">
            <v/>
          </cell>
          <cell r="AO156" t="str">
            <v/>
          </cell>
          <cell r="AP156" t="str">
            <v/>
          </cell>
          <cell r="AQ156" t="str">
            <v/>
          </cell>
          <cell r="AR156" t="str">
            <v/>
          </cell>
          <cell r="AS156" t="str">
            <v/>
          </cell>
          <cell r="AT156" t="str">
            <v/>
          </cell>
          <cell r="AU156">
            <v>36647</v>
          </cell>
        </row>
        <row r="157">
          <cell r="A157" t="str">
            <v>S16-0154</v>
          </cell>
          <cell r="B157" t="str">
            <v>武蔵野赤十字病院_0154 (2)</v>
          </cell>
          <cell r="C157" t="str">
            <v>SR#</v>
          </cell>
          <cell r="D157" t="str">
            <v>-</v>
          </cell>
          <cell r="E157" t="str">
            <v>無償</v>
          </cell>
          <cell r="F157">
            <v>42429</v>
          </cell>
          <cell r="G157">
            <v>42429</v>
          </cell>
          <cell r="H157">
            <v>42430</v>
          </cell>
          <cell r="I157" t="str">
            <v>不明</v>
          </cell>
          <cell r="K157" t="str">
            <v>梶田</v>
          </cell>
          <cell r="L157" t="str">
            <v>-</v>
          </cell>
          <cell r="M157" t="str">
            <v>M-Turbo</v>
          </cell>
          <cell r="N157" t="str">
            <v>WK3B1Z</v>
          </cell>
          <cell r="O157" t="str">
            <v>P09141-61</v>
          </cell>
          <cell r="P157" t="str">
            <v>富士フイルムメディカル株式会社</v>
          </cell>
          <cell r="Q157" t="str">
            <v>菊地様</v>
          </cell>
          <cell r="R157" t="str">
            <v xml:space="preserve">〒190-0004　東京都立川市柏町2-7-11
</v>
          </cell>
          <cell r="S157" t="str">
            <v>042-538-0180</v>
          </cell>
          <cell r="T157" t="str">
            <v>042-538-0186</v>
          </cell>
          <cell r="U157" t="str">
            <v>日本赤十字社　武蔵野赤十字病院</v>
          </cell>
          <cell r="V157" t="str">
            <v>-</v>
          </cell>
          <cell r="W157" t="str">
            <v>-</v>
          </cell>
          <cell r="X157" t="str">
            <v>0422-32-3111</v>
          </cell>
          <cell r="Y157" t="str">
            <v>〒180-8610 東京都武蔵野市境南町1-26-1</v>
          </cell>
          <cell r="AA157" t="str">
            <v/>
          </cell>
          <cell r="AB157" t="str">
            <v/>
          </cell>
          <cell r="AC157" t="str">
            <v/>
          </cell>
          <cell r="AD157" t="str">
            <v/>
          </cell>
          <cell r="AE157" t="str">
            <v/>
          </cell>
          <cell r="AF157" t="str">
            <v/>
          </cell>
          <cell r="AG157" t="str">
            <v/>
          </cell>
          <cell r="AH157" t="str">
            <v/>
          </cell>
          <cell r="AI157" t="str">
            <v/>
          </cell>
          <cell r="AJ157" t="str">
            <v/>
          </cell>
          <cell r="AK157" t="str">
            <v/>
          </cell>
          <cell r="AL157" t="str">
            <v/>
          </cell>
          <cell r="AM157" t="str">
            <v/>
          </cell>
          <cell r="AN157" t="str">
            <v/>
          </cell>
          <cell r="AO157" t="str">
            <v/>
          </cell>
          <cell r="AP157" t="str">
            <v/>
          </cell>
          <cell r="AQ157" t="str">
            <v/>
          </cell>
          <cell r="AR157" t="str">
            <v/>
          </cell>
          <cell r="AS157" t="str">
            <v/>
          </cell>
          <cell r="AT157" t="str">
            <v/>
          </cell>
          <cell r="AU157">
            <v>42217</v>
          </cell>
        </row>
        <row r="158">
          <cell r="A158" t="str">
            <v>S16-0155</v>
          </cell>
          <cell r="B158" t="str">
            <v>福島県立医科大学附属病院_0155</v>
          </cell>
          <cell r="C158" t="str">
            <v>SR#4198197</v>
          </cell>
          <cell r="D158" t="str">
            <v>2016/02/23-07</v>
          </cell>
          <cell r="E158" t="str">
            <v>無償</v>
          </cell>
          <cell r="F158">
            <v>42430</v>
          </cell>
          <cell r="G158">
            <v>42430</v>
          </cell>
          <cell r="H158">
            <v>42473</v>
          </cell>
          <cell r="I158">
            <v>42064</v>
          </cell>
          <cell r="K158" t="str">
            <v>梶田</v>
          </cell>
          <cell r="L158">
            <v>3</v>
          </cell>
          <cell r="M158" t="str">
            <v>EDGE</v>
          </cell>
          <cell r="N158" t="str">
            <v>040G1F</v>
          </cell>
          <cell r="O158" t="str">
            <v>P16360-61</v>
          </cell>
          <cell r="P158" t="str">
            <v>サンセイ医機株式会社　福島営業所</v>
          </cell>
          <cell r="Q158" t="str">
            <v>野地様</v>
          </cell>
          <cell r="R158" t="str">
            <v>〒960-1106　福島県福島市下鳥渡字八幡塚45-1</v>
          </cell>
          <cell r="S158" t="str">
            <v>024-545-3041</v>
          </cell>
          <cell r="T158" t="str">
            <v>024-544-2480</v>
          </cell>
          <cell r="U158" t="str">
            <v>福島県立医科大学附属病院　救急科</v>
          </cell>
          <cell r="V158" t="str">
            <v>荒様</v>
          </cell>
          <cell r="W158" t="str">
            <v>救急科</v>
          </cell>
          <cell r="X158" t="str">
            <v>024-547-1111</v>
          </cell>
          <cell r="Y158" t="str">
            <v>〒960-1295 福島県福島市光が丘1</v>
          </cell>
          <cell r="AA158" t="str">
            <v>P08850-02</v>
          </cell>
          <cell r="AB158" t="str">
            <v/>
          </cell>
          <cell r="AC158" t="str">
            <v/>
          </cell>
          <cell r="AD158" t="str">
            <v/>
          </cell>
          <cell r="AE158" t="str">
            <v/>
          </cell>
          <cell r="AF158" t="str">
            <v/>
          </cell>
          <cell r="AG158" t="str">
            <v/>
          </cell>
          <cell r="AH158" t="str">
            <v/>
          </cell>
          <cell r="AI158" t="str">
            <v/>
          </cell>
          <cell r="AJ158" t="str">
            <v/>
          </cell>
          <cell r="AK158" t="str">
            <v>SERVICE ASSEMBLY, POWER SUPPLY, M/S TURBO, EDGE</v>
          </cell>
          <cell r="AL158" t="str">
            <v/>
          </cell>
          <cell r="AM158" t="str">
            <v/>
          </cell>
          <cell r="AN158" t="str">
            <v/>
          </cell>
          <cell r="AO158" t="str">
            <v/>
          </cell>
          <cell r="AP158" t="str">
            <v/>
          </cell>
          <cell r="AQ158" t="str">
            <v/>
          </cell>
          <cell r="AR158" t="str">
            <v/>
          </cell>
          <cell r="AS158" t="str">
            <v/>
          </cell>
          <cell r="AT158" t="str">
            <v/>
          </cell>
          <cell r="AU158">
            <v>42036</v>
          </cell>
        </row>
        <row r="159">
          <cell r="A159" t="str">
            <v>S16-0156</v>
          </cell>
          <cell r="B159" t="str">
            <v>筑波大学病院_0156 (2)</v>
          </cell>
          <cell r="C159" t="str">
            <v>SR#不要</v>
          </cell>
          <cell r="D159" t="str">
            <v>-</v>
          </cell>
          <cell r="E159" t="str">
            <v>有償</v>
          </cell>
          <cell r="F159">
            <v>42430</v>
          </cell>
          <cell r="G159">
            <v>42430</v>
          </cell>
          <cell r="H159">
            <v>42528</v>
          </cell>
          <cell r="I159">
            <v>39391</v>
          </cell>
          <cell r="K159" t="str">
            <v>-</v>
          </cell>
          <cell r="L159" t="str">
            <v>-</v>
          </cell>
          <cell r="M159" t="str">
            <v>iLook25</v>
          </cell>
          <cell r="N159" t="str">
            <v>038LVN</v>
          </cell>
          <cell r="O159" t="str">
            <v>P04303-02</v>
          </cell>
          <cell r="P159" t="str">
            <v>日本コヴィディエン株式会社 東京第二営業所</v>
          </cell>
          <cell r="Q159" t="str">
            <v>向平様</v>
          </cell>
          <cell r="R159" t="str">
            <v>〒158-8615  東京都世田谷区用賀 4-10-5  世田谷ﾋﾞｼﾞﾈｽｽｸｴｱﾋﾙｽﾞⅣ 2F</v>
          </cell>
          <cell r="S159" t="str">
            <v>03-5717-0517</v>
          </cell>
          <cell r="T159" t="str">
            <v>03-5717-0507</v>
          </cell>
          <cell r="U159" t="str">
            <v>筑波大学附属病院</v>
          </cell>
          <cell r="V159" t="str">
            <v>-</v>
          </cell>
          <cell r="W159" t="str">
            <v>-</v>
          </cell>
          <cell r="X159" t="str">
            <v>029-853-3900</v>
          </cell>
          <cell r="Y159" t="str">
            <v>〒305-8576　茨城県つくば市天久保2-1-1</v>
          </cell>
          <cell r="AA159" t="str">
            <v/>
          </cell>
          <cell r="AB159" t="str">
            <v/>
          </cell>
          <cell r="AC159" t="str">
            <v/>
          </cell>
          <cell r="AD159" t="str">
            <v/>
          </cell>
          <cell r="AE159" t="str">
            <v/>
          </cell>
          <cell r="AF159" t="str">
            <v/>
          </cell>
          <cell r="AG159" t="str">
            <v/>
          </cell>
          <cell r="AH159" t="str">
            <v/>
          </cell>
          <cell r="AI159" t="str">
            <v/>
          </cell>
          <cell r="AJ159" t="str">
            <v/>
          </cell>
          <cell r="AK159" t="str">
            <v/>
          </cell>
          <cell r="AL159" t="str">
            <v/>
          </cell>
          <cell r="AM159" t="str">
            <v/>
          </cell>
          <cell r="AN159" t="str">
            <v/>
          </cell>
          <cell r="AO159" t="str">
            <v/>
          </cell>
          <cell r="AP159" t="str">
            <v/>
          </cell>
          <cell r="AQ159" t="str">
            <v/>
          </cell>
          <cell r="AR159" t="str">
            <v/>
          </cell>
          <cell r="AS159" t="str">
            <v/>
          </cell>
          <cell r="AT159" t="str">
            <v/>
          </cell>
          <cell r="AU159">
            <v>39264</v>
          </cell>
        </row>
        <row r="160">
          <cell r="A160" t="str">
            <v>S16-0157</v>
          </cell>
          <cell r="B160" t="str">
            <v>キッコーマン総合病院_0157 (2)</v>
          </cell>
          <cell r="C160" t="str">
            <v>SR#不要</v>
          </cell>
          <cell r="D160" t="str">
            <v>2016/02/22-11</v>
          </cell>
          <cell r="E160" t="str">
            <v>有償</v>
          </cell>
          <cell r="F160">
            <v>42430</v>
          </cell>
          <cell r="G160">
            <v>42430</v>
          </cell>
          <cell r="H160">
            <v>42696</v>
          </cell>
          <cell r="I160" t="str">
            <v>不明</v>
          </cell>
          <cell r="K160" t="str">
            <v>-</v>
          </cell>
          <cell r="L160" t="str">
            <v>-</v>
          </cell>
          <cell r="M160">
            <v>180</v>
          </cell>
          <cell r="N160" t="str">
            <v>01J4GV</v>
          </cell>
          <cell r="O160" t="str">
            <v>P01102-02</v>
          </cell>
          <cell r="P160" t="str">
            <v>株式会社MMコーポレーション</v>
          </cell>
          <cell r="Q160" t="str">
            <v>佐藤様</v>
          </cell>
          <cell r="R160" t="str">
            <v>〒278-0005 千葉県野田市宮崎100</v>
          </cell>
          <cell r="S160" t="str">
            <v>04-7137-2181</v>
          </cell>
          <cell r="T160" t="str">
            <v>04-7137-2070</v>
          </cell>
          <cell r="U160" t="str">
            <v>キッコーマン総合病院</v>
          </cell>
          <cell r="V160" t="str">
            <v>石川様</v>
          </cell>
          <cell r="W160" t="str">
            <v>内科(3F西)</v>
          </cell>
          <cell r="X160" t="str">
            <v>04-7123-5911</v>
          </cell>
          <cell r="Y160" t="str">
            <v>〒278-0005 千葉県野田市宮崎100</v>
          </cell>
          <cell r="AA160" t="str">
            <v/>
          </cell>
          <cell r="AB160" t="str">
            <v/>
          </cell>
          <cell r="AC160" t="str">
            <v/>
          </cell>
          <cell r="AD160" t="str">
            <v/>
          </cell>
          <cell r="AE160" t="str">
            <v/>
          </cell>
          <cell r="AF160" t="str">
            <v/>
          </cell>
          <cell r="AG160" t="str">
            <v/>
          </cell>
          <cell r="AH160" t="str">
            <v/>
          </cell>
          <cell r="AI160" t="str">
            <v/>
          </cell>
          <cell r="AJ160" t="str">
            <v/>
          </cell>
          <cell r="AK160" t="str">
            <v/>
          </cell>
          <cell r="AL160" t="str">
            <v/>
          </cell>
          <cell r="AM160" t="str">
            <v/>
          </cell>
          <cell r="AN160" t="str">
            <v/>
          </cell>
          <cell r="AO160" t="str">
            <v/>
          </cell>
          <cell r="AP160" t="str">
            <v/>
          </cell>
          <cell r="AQ160" t="str">
            <v/>
          </cell>
          <cell r="AR160" t="str">
            <v/>
          </cell>
          <cell r="AS160" t="str">
            <v/>
          </cell>
          <cell r="AT160" t="str">
            <v/>
          </cell>
          <cell r="AU160">
            <v>36617</v>
          </cell>
        </row>
        <row r="161">
          <cell r="A161" t="str">
            <v>S16-0158</v>
          </cell>
          <cell r="B161" t="str">
            <v>デモ機MCH6_0158(2)</v>
          </cell>
          <cell r="C161" t="str">
            <v>SR#4191331</v>
          </cell>
          <cell r="D161" t="str">
            <v>-</v>
          </cell>
          <cell r="E161" t="str">
            <v>無償</v>
          </cell>
          <cell r="F161">
            <v>42430</v>
          </cell>
          <cell r="G161">
            <v>42430</v>
          </cell>
          <cell r="H161">
            <v>42440</v>
          </cell>
          <cell r="I161" t="str">
            <v>―</v>
          </cell>
          <cell r="K161" t="str">
            <v>梶田</v>
          </cell>
          <cell r="L161">
            <v>3</v>
          </cell>
          <cell r="M161" t="str">
            <v>EDGE</v>
          </cell>
          <cell r="N161" t="str">
            <v>03VH84</v>
          </cell>
          <cell r="O161" t="str">
            <v>P16360-02</v>
          </cell>
          <cell r="P161" t="str">
            <v>富士フイルムメディカル株式会社</v>
          </cell>
          <cell r="Q161" t="str">
            <v>望月様</v>
          </cell>
          <cell r="R161" t="str">
            <v>-</v>
          </cell>
          <cell r="S161" t="str">
            <v>03-6418-7190</v>
          </cell>
          <cell r="T161" t="str">
            <v>03-6418-7162</v>
          </cell>
          <cell r="U161" t="str">
            <v>デモ機 MCH6</v>
          </cell>
          <cell r="V161" t="str">
            <v>-</v>
          </cell>
          <cell r="W161" t="str">
            <v>-</v>
          </cell>
          <cell r="X161" t="str">
            <v>-</v>
          </cell>
          <cell r="Y161" t="str">
            <v>-</v>
          </cell>
          <cell r="AA161" t="str">
            <v>P15615-03</v>
          </cell>
          <cell r="AB161" t="str">
            <v/>
          </cell>
          <cell r="AC161" t="str">
            <v/>
          </cell>
          <cell r="AD161" t="str">
            <v/>
          </cell>
          <cell r="AE161" t="str">
            <v/>
          </cell>
          <cell r="AF161" t="str">
            <v/>
          </cell>
          <cell r="AG161" t="str">
            <v/>
          </cell>
          <cell r="AH161" t="str">
            <v/>
          </cell>
          <cell r="AI161" t="str">
            <v/>
          </cell>
          <cell r="AJ161" t="str">
            <v/>
          </cell>
          <cell r="AK161" t="str">
            <v>SERVICE ASSEMBLY, MAIN PCBA, EDGE</v>
          </cell>
          <cell r="AL161" t="str">
            <v/>
          </cell>
          <cell r="AM161" t="str">
            <v/>
          </cell>
          <cell r="AN161" t="str">
            <v/>
          </cell>
          <cell r="AO161" t="str">
            <v/>
          </cell>
          <cell r="AP161" t="str">
            <v/>
          </cell>
          <cell r="AQ161" t="str">
            <v/>
          </cell>
          <cell r="AR161" t="str">
            <v/>
          </cell>
          <cell r="AS161" t="str">
            <v/>
          </cell>
          <cell r="AT161" t="str">
            <v/>
          </cell>
          <cell r="AU161">
            <v>41426</v>
          </cell>
        </row>
        <row r="162">
          <cell r="A162" t="str">
            <v>S16-0159</v>
          </cell>
          <cell r="B162" t="str">
            <v>代替機NIM177_0159 (2)</v>
          </cell>
          <cell r="C162" t="str">
            <v>SR#4191333</v>
          </cell>
          <cell r="D162" t="str">
            <v>-</v>
          </cell>
          <cell r="E162" t="str">
            <v>無償</v>
          </cell>
          <cell r="F162">
            <v>42430</v>
          </cell>
          <cell r="G162">
            <v>42430</v>
          </cell>
          <cell r="H162">
            <v>42439</v>
          </cell>
          <cell r="I162" t="str">
            <v>不明</v>
          </cell>
          <cell r="K162" t="str">
            <v>梶田</v>
          </cell>
          <cell r="L162">
            <v>3</v>
          </cell>
          <cell r="M162" t="str">
            <v>M-Turbo</v>
          </cell>
          <cell r="N162" t="str">
            <v>WK119G</v>
          </cell>
          <cell r="O162" t="str">
            <v>P09141-23</v>
          </cell>
          <cell r="P162" t="str">
            <v>富士フイルムメディカル株式会社</v>
          </cell>
          <cell r="Q162" t="str">
            <v>-</v>
          </cell>
          <cell r="R162" t="str">
            <v>-</v>
          </cell>
          <cell r="S162" t="str">
            <v>03-6418-7190</v>
          </cell>
          <cell r="T162" t="str">
            <v>03-6418-7162</v>
          </cell>
          <cell r="U162" t="str">
            <v>代替機NIM177</v>
          </cell>
          <cell r="V162" t="str">
            <v>-</v>
          </cell>
          <cell r="W162" t="str">
            <v>-</v>
          </cell>
          <cell r="X162" t="str">
            <v>-</v>
          </cell>
          <cell r="Y162" t="str">
            <v>-</v>
          </cell>
          <cell r="AA162" t="str">
            <v>P19087-02</v>
          </cell>
          <cell r="AB162" t="str">
            <v/>
          </cell>
          <cell r="AC162" t="str">
            <v/>
          </cell>
          <cell r="AD162" t="str">
            <v/>
          </cell>
          <cell r="AE162" t="str">
            <v/>
          </cell>
          <cell r="AF162" t="str">
            <v/>
          </cell>
          <cell r="AG162" t="str">
            <v/>
          </cell>
          <cell r="AH162" t="str">
            <v/>
          </cell>
          <cell r="AI162" t="str">
            <v/>
          </cell>
          <cell r="AJ162" t="str">
            <v/>
          </cell>
          <cell r="AK162" t="str">
            <v>MAIN PCBA, M-Turbo</v>
          </cell>
          <cell r="AL162" t="str">
            <v/>
          </cell>
          <cell r="AM162" t="str">
            <v/>
          </cell>
          <cell r="AN162" t="str">
            <v/>
          </cell>
          <cell r="AO162" t="str">
            <v/>
          </cell>
          <cell r="AP162" t="str">
            <v/>
          </cell>
          <cell r="AQ162" t="str">
            <v/>
          </cell>
          <cell r="AR162" t="str">
            <v/>
          </cell>
          <cell r="AS162" t="str">
            <v/>
          </cell>
          <cell r="AT162" t="str">
            <v/>
          </cell>
          <cell r="AU162">
            <v>41000</v>
          </cell>
        </row>
        <row r="163">
          <cell r="A163" t="str">
            <v>S16-0160</v>
          </cell>
          <cell r="B163" t="str">
            <v>デモ機_MAK45_0160(2)</v>
          </cell>
          <cell r="C163" t="str">
            <v>SR#4191335</v>
          </cell>
          <cell r="D163" t="str">
            <v>-</v>
          </cell>
          <cell r="E163" t="str">
            <v>無償</v>
          </cell>
          <cell r="F163">
            <v>42430</v>
          </cell>
          <cell r="G163">
            <v>42430</v>
          </cell>
          <cell r="H163">
            <v>42443</v>
          </cell>
          <cell r="I163" t="str">
            <v>-</v>
          </cell>
          <cell r="K163" t="str">
            <v>梶田</v>
          </cell>
          <cell r="L163">
            <v>3</v>
          </cell>
          <cell r="M163" t="str">
            <v>M-Turbo</v>
          </cell>
          <cell r="N163" t="str">
            <v>WK27VL</v>
          </cell>
          <cell r="O163" t="str">
            <v>P09141-27</v>
          </cell>
          <cell r="P163" t="str">
            <v>富士フイルムメディカル株式会社</v>
          </cell>
          <cell r="Q163" t="str">
            <v>マーケティング</v>
          </cell>
          <cell r="R163" t="str">
            <v>-</v>
          </cell>
          <cell r="S163" t="str">
            <v>03-6418-7190</v>
          </cell>
          <cell r="T163" t="str">
            <v>03-6418-7162</v>
          </cell>
          <cell r="U163" t="str">
            <v>デモ機MAK45</v>
          </cell>
          <cell r="V163" t="str">
            <v>-</v>
          </cell>
          <cell r="W163" t="str">
            <v>-</v>
          </cell>
          <cell r="X163" t="str">
            <v>-</v>
          </cell>
          <cell r="Y163" t="str">
            <v>-</v>
          </cell>
          <cell r="AA163" t="str">
            <v>P19087-02</v>
          </cell>
          <cell r="AB163" t="str">
            <v/>
          </cell>
          <cell r="AC163" t="str">
            <v/>
          </cell>
          <cell r="AD163" t="str">
            <v/>
          </cell>
          <cell r="AE163" t="str">
            <v/>
          </cell>
          <cell r="AF163" t="str">
            <v/>
          </cell>
          <cell r="AG163" t="str">
            <v/>
          </cell>
          <cell r="AH163" t="str">
            <v/>
          </cell>
          <cell r="AI163" t="str">
            <v/>
          </cell>
          <cell r="AJ163" t="str">
            <v/>
          </cell>
          <cell r="AK163" t="str">
            <v>MAIN PCBA, M-Turbo</v>
          </cell>
          <cell r="AL163" t="str">
            <v/>
          </cell>
          <cell r="AM163" t="str">
            <v/>
          </cell>
          <cell r="AN163" t="str">
            <v/>
          </cell>
          <cell r="AO163" t="str">
            <v/>
          </cell>
          <cell r="AP163" t="str">
            <v/>
          </cell>
          <cell r="AQ163" t="str">
            <v/>
          </cell>
          <cell r="AR163" t="str">
            <v/>
          </cell>
          <cell r="AS163" t="str">
            <v/>
          </cell>
          <cell r="AT163" t="str">
            <v/>
          </cell>
          <cell r="AU163">
            <v>41699</v>
          </cell>
        </row>
        <row r="164">
          <cell r="A164" t="str">
            <v>S16-0161</v>
          </cell>
          <cell r="B164" t="str">
            <v>名古屋第一赤十字病院_0161 (2)</v>
          </cell>
          <cell r="C164" t="str">
            <v>SR#</v>
          </cell>
          <cell r="D164" t="str">
            <v>2016/02/25-07</v>
          </cell>
          <cell r="E164" t="str">
            <v>有償</v>
          </cell>
          <cell r="F164">
            <v>42431</v>
          </cell>
          <cell r="G164">
            <v>42431</v>
          </cell>
          <cell r="H164">
            <v>42528</v>
          </cell>
          <cell r="I164">
            <v>39535</v>
          </cell>
          <cell r="K164" t="str">
            <v>馬屋原</v>
          </cell>
          <cell r="L164">
            <v>3</v>
          </cell>
          <cell r="M164" t="str">
            <v>180Plus</v>
          </cell>
          <cell r="N164" t="str">
            <v>038MQW</v>
          </cell>
          <cell r="O164" t="str">
            <v>P04327-04</v>
          </cell>
          <cell r="P164" t="str">
            <v>フクダ電子中部販売株式会社</v>
          </cell>
          <cell r="Q164" t="str">
            <v>新井様</v>
          </cell>
          <cell r="R164" t="str">
            <v>〒452-0805　愛知県名古屋市西区市場木町390 ミユキビジネスパーク三号館</v>
          </cell>
          <cell r="S164" t="str">
            <v>052-509-1101</v>
          </cell>
          <cell r="T164" t="str">
            <v>052-509-1151</v>
          </cell>
          <cell r="U164" t="str">
            <v>名古屋第一赤十字病院　総合診療科</v>
          </cell>
          <cell r="V164" t="str">
            <v>カナツキ様</v>
          </cell>
          <cell r="W164" t="str">
            <v>総合診療科</v>
          </cell>
          <cell r="X164" t="str">
            <v>052-481-5111</v>
          </cell>
          <cell r="Y164" t="str">
            <v>〒453-8511　愛知県名古屋市中村区道下3-35</v>
          </cell>
          <cell r="AA164" t="str">
            <v>P00104-02</v>
          </cell>
          <cell r="AB164" t="str">
            <v>P01213-01</v>
          </cell>
          <cell r="AC164" t="str">
            <v/>
          </cell>
          <cell r="AD164" t="str">
            <v/>
          </cell>
          <cell r="AE164" t="str">
            <v/>
          </cell>
          <cell r="AF164" t="str">
            <v/>
          </cell>
          <cell r="AG164" t="str">
            <v/>
          </cell>
          <cell r="AH164" t="str">
            <v/>
          </cell>
          <cell r="AI164" t="str">
            <v/>
          </cell>
          <cell r="AJ164" t="str">
            <v/>
          </cell>
          <cell r="AK164" t="str">
            <v>KEY, ON/OFF</v>
          </cell>
          <cell r="AL164" t="str">
            <v>FLEX CIRCUIT, FAB, C1 DISPLAY</v>
          </cell>
          <cell r="AM164" t="str">
            <v/>
          </cell>
          <cell r="AN164" t="str">
            <v/>
          </cell>
          <cell r="AO164" t="str">
            <v/>
          </cell>
          <cell r="AP164" t="str">
            <v/>
          </cell>
          <cell r="AQ164" t="str">
            <v/>
          </cell>
          <cell r="AR164" t="str">
            <v/>
          </cell>
          <cell r="AS164" t="str">
            <v/>
          </cell>
          <cell r="AT164" t="str">
            <v/>
          </cell>
          <cell r="AU164">
            <v>39326</v>
          </cell>
        </row>
        <row r="165">
          <cell r="A165" t="str">
            <v>S16-0162</v>
          </cell>
          <cell r="B165" t="str">
            <v>名古屋第二赤十字病院_0162 (2)</v>
          </cell>
          <cell r="C165" t="str">
            <v>SR#4192885</v>
          </cell>
          <cell r="D165" t="str">
            <v>-</v>
          </cell>
          <cell r="E165" t="str">
            <v>無償</v>
          </cell>
          <cell r="F165">
            <v>42431</v>
          </cell>
          <cell r="G165">
            <v>42431</v>
          </cell>
          <cell r="H165">
            <v>42452</v>
          </cell>
          <cell r="I165" t="str">
            <v>不明</v>
          </cell>
          <cell r="K165" t="str">
            <v>梶田</v>
          </cell>
          <cell r="L165">
            <v>3</v>
          </cell>
          <cell r="M165" t="str">
            <v>NanoMaxx</v>
          </cell>
          <cell r="N165" t="str">
            <v>03P5YD</v>
          </cell>
          <cell r="O165" t="str">
            <v>P12700-05</v>
          </cell>
          <cell r="P165" t="str">
            <v>日本コヴィディエン株式会社</v>
          </cell>
          <cell r="Q165" t="str">
            <v>山本様</v>
          </cell>
          <cell r="R165" t="str">
            <v>〒158-8615  東京都世田谷区用賀 4-10-5  世田谷ﾋﾞｼﾞﾈｽｽｸｴｱﾋﾙｽﾞⅣ 2F</v>
          </cell>
          <cell r="S165" t="str">
            <v>03-5717-0517</v>
          </cell>
          <cell r="T165" t="str">
            <v>03-5717-0507</v>
          </cell>
          <cell r="U165" t="str">
            <v>名古屋第二赤十字病院</v>
          </cell>
          <cell r="V165" t="str">
            <v>-</v>
          </cell>
          <cell r="W165" t="str">
            <v>-</v>
          </cell>
          <cell r="X165" t="str">
            <v>052-832-1121</v>
          </cell>
          <cell r="Y165" t="str">
            <v>〒466-8650　愛知県名古屋市昭和区妙見町2-9</v>
          </cell>
          <cell r="AA165" t="str">
            <v>P12717-01</v>
          </cell>
          <cell r="AB165" t="str">
            <v>P00163-01</v>
          </cell>
          <cell r="AC165" t="str">
            <v/>
          </cell>
          <cell r="AD165" t="str">
            <v/>
          </cell>
          <cell r="AE165" t="str">
            <v/>
          </cell>
          <cell r="AF165" t="str">
            <v/>
          </cell>
          <cell r="AG165" t="str">
            <v/>
          </cell>
          <cell r="AH165" t="str">
            <v/>
          </cell>
          <cell r="AI165" t="str">
            <v/>
          </cell>
          <cell r="AJ165" t="str">
            <v/>
          </cell>
          <cell r="AK165" t="str">
            <v>SERVICE ASSEMBLY, FRONT END PCB, NANOMAXX</v>
          </cell>
          <cell r="AL165" t="str">
            <v>BAT,3V,7MAH,BUTTON,LITH,RECHARG,PCB,ROHS</v>
          </cell>
          <cell r="AM165" t="str">
            <v/>
          </cell>
          <cell r="AN165" t="str">
            <v/>
          </cell>
          <cell r="AO165" t="str">
            <v/>
          </cell>
          <cell r="AP165" t="str">
            <v/>
          </cell>
          <cell r="AQ165" t="str">
            <v/>
          </cell>
          <cell r="AR165" t="str">
            <v/>
          </cell>
          <cell r="AS165" t="str">
            <v/>
          </cell>
          <cell r="AT165" t="str">
            <v/>
          </cell>
          <cell r="AU165">
            <v>41000</v>
          </cell>
        </row>
        <row r="166">
          <cell r="A166" t="str">
            <v>S16-0163</v>
          </cell>
          <cell r="B166" t="str">
            <v>佐野厚生総合病院_0163 (2)</v>
          </cell>
          <cell r="C166" t="str">
            <v>SR#</v>
          </cell>
          <cell r="D166" t="str">
            <v>-</v>
          </cell>
          <cell r="E166" t="str">
            <v/>
          </cell>
          <cell r="F166">
            <v>42431</v>
          </cell>
          <cell r="G166">
            <v>42431</v>
          </cell>
          <cell r="H166">
            <v>42475</v>
          </cell>
          <cell r="I166" t="str">
            <v>不明</v>
          </cell>
          <cell r="K166" t="str">
            <v>梶田</v>
          </cell>
          <cell r="L166">
            <v>3</v>
          </cell>
          <cell r="M166" t="str">
            <v>iLook25</v>
          </cell>
          <cell r="N166" t="str">
            <v>039Y67</v>
          </cell>
          <cell r="O166" t="str">
            <v>P04303-02</v>
          </cell>
          <cell r="P166" t="str">
            <v>日本コヴィディエン株式会社　北関東営業所</v>
          </cell>
          <cell r="Q166" t="str">
            <v>小林様</v>
          </cell>
          <cell r="R166" t="str">
            <v>〒158-8615  東京都世田谷区用賀 4-10-5  世田谷ﾋﾞｼﾞﾈｽｽｸｴｱﾋﾙｽﾞⅣ 2F</v>
          </cell>
          <cell r="S166" t="str">
            <v>03-5717-0517</v>
          </cell>
          <cell r="T166" t="str">
            <v>03-5717-0507</v>
          </cell>
          <cell r="U166" t="str">
            <v>佐野厚生総合病院</v>
          </cell>
          <cell r="V166" t="str">
            <v>-</v>
          </cell>
          <cell r="W166" t="str">
            <v>-</v>
          </cell>
          <cell r="X166" t="str">
            <v>0283-22-5222</v>
          </cell>
          <cell r="Y166" t="str">
            <v>〒327-8511　栃木県佐野市堀米町1728</v>
          </cell>
          <cell r="AA166" t="str">
            <v>P03156-02</v>
          </cell>
          <cell r="AB166" t="str">
            <v/>
          </cell>
          <cell r="AC166" t="str">
            <v/>
          </cell>
          <cell r="AD166" t="str">
            <v/>
          </cell>
          <cell r="AE166" t="str">
            <v/>
          </cell>
          <cell r="AF166" t="str">
            <v/>
          </cell>
          <cell r="AG166" t="str">
            <v/>
          </cell>
          <cell r="AH166" t="str">
            <v/>
          </cell>
          <cell r="AI166" t="str">
            <v/>
          </cell>
          <cell r="AJ166" t="str">
            <v/>
          </cell>
          <cell r="AK166" t="str">
            <v>SERVICE ASSEMBLY, MAIN PCB, ILOOK25</v>
          </cell>
          <cell r="AL166" t="str">
            <v/>
          </cell>
          <cell r="AM166" t="str">
            <v/>
          </cell>
          <cell r="AN166" t="str">
            <v/>
          </cell>
          <cell r="AO166" t="str">
            <v/>
          </cell>
          <cell r="AP166" t="str">
            <v/>
          </cell>
          <cell r="AQ166" t="str">
            <v/>
          </cell>
          <cell r="AR166" t="str">
            <v/>
          </cell>
          <cell r="AS166" t="str">
            <v/>
          </cell>
          <cell r="AT166" t="str">
            <v/>
          </cell>
          <cell r="AU166">
            <v>39479</v>
          </cell>
        </row>
        <row r="167">
          <cell r="A167" t="str">
            <v>S16-0164</v>
          </cell>
          <cell r="B167" t="str">
            <v>中通総合病院_0164 (2)</v>
          </cell>
          <cell r="C167" t="str">
            <v>SR#不要</v>
          </cell>
          <cell r="D167" t="str">
            <v>2016/02/29-02</v>
          </cell>
          <cell r="E167" t="str">
            <v>有償</v>
          </cell>
          <cell r="F167">
            <v>42431</v>
          </cell>
          <cell r="G167">
            <v>42431</v>
          </cell>
          <cell r="H167">
            <v>42474</v>
          </cell>
          <cell r="I167" t="str">
            <v>不明</v>
          </cell>
          <cell r="K167" t="str">
            <v>-</v>
          </cell>
          <cell r="L167" t="str">
            <v>-</v>
          </cell>
          <cell r="M167" t="str">
            <v>180Plus</v>
          </cell>
          <cell r="N167" t="str">
            <v>032N1M</v>
          </cell>
          <cell r="O167" t="str">
            <v>P04327-02</v>
          </cell>
          <cell r="P167" t="str">
            <v>オリンパスメディカルサイエンス販売株式会社</v>
          </cell>
          <cell r="Q167" t="str">
            <v>森元様</v>
          </cell>
          <cell r="R167" t="str">
            <v>〒010-0003　秋田県秋田市東通2-3-15</v>
          </cell>
          <cell r="S167" t="str">
            <v>018-831-1051</v>
          </cell>
          <cell r="T167" t="str">
            <v>018-831-1071</v>
          </cell>
          <cell r="U167" t="str">
            <v>中通総合病院　小児科病棟</v>
          </cell>
          <cell r="V167" t="str">
            <v>永山様</v>
          </cell>
          <cell r="W167" t="str">
            <v>小児科病棟</v>
          </cell>
          <cell r="X167" t="str">
            <v>018-833-1122</v>
          </cell>
          <cell r="Y167" t="str">
            <v>〒010-8577　秋田県秋田市南通みその町3-15</v>
          </cell>
          <cell r="AA167" t="str">
            <v/>
          </cell>
          <cell r="AB167" t="str">
            <v/>
          </cell>
          <cell r="AC167" t="str">
            <v/>
          </cell>
          <cell r="AD167" t="str">
            <v/>
          </cell>
          <cell r="AE167" t="str">
            <v/>
          </cell>
          <cell r="AF167" t="str">
            <v/>
          </cell>
          <cell r="AG167" t="str">
            <v/>
          </cell>
          <cell r="AH167" t="str">
            <v/>
          </cell>
          <cell r="AI167" t="str">
            <v/>
          </cell>
          <cell r="AJ167" t="str">
            <v/>
          </cell>
          <cell r="AK167" t="str">
            <v/>
          </cell>
          <cell r="AL167" t="str">
            <v/>
          </cell>
          <cell r="AM167" t="str">
            <v/>
          </cell>
          <cell r="AN167" t="str">
            <v/>
          </cell>
          <cell r="AO167" t="str">
            <v/>
          </cell>
          <cell r="AP167" t="str">
            <v/>
          </cell>
          <cell r="AQ167" t="str">
            <v/>
          </cell>
          <cell r="AR167" t="str">
            <v/>
          </cell>
          <cell r="AS167" t="str">
            <v/>
          </cell>
          <cell r="AT167" t="str">
            <v/>
          </cell>
          <cell r="AU167">
            <v>38139</v>
          </cell>
        </row>
        <row r="168">
          <cell r="A168" t="str">
            <v>S16-0165</v>
          </cell>
          <cell r="B168" t="str">
            <v>松山市民病院_0165 (2)</v>
          </cell>
          <cell r="C168" t="str">
            <v>SR#4192875</v>
          </cell>
          <cell r="D168" t="str">
            <v>-</v>
          </cell>
          <cell r="E168" t="str">
            <v>無償</v>
          </cell>
          <cell r="F168">
            <v>42431</v>
          </cell>
          <cell r="G168">
            <v>42431</v>
          </cell>
          <cell r="H168">
            <v>42485</v>
          </cell>
          <cell r="I168" t="str">
            <v>不明</v>
          </cell>
          <cell r="K168" t="str">
            <v>梶田</v>
          </cell>
          <cell r="L168">
            <v>3</v>
          </cell>
          <cell r="M168" t="str">
            <v>NanoMaxx</v>
          </cell>
          <cell r="N168" t="str">
            <v>03MGXY</v>
          </cell>
          <cell r="O168" t="str">
            <v>P12700-04</v>
          </cell>
          <cell r="P168" t="str">
            <v>日本コヴィディエン株式会社　中四国営業所</v>
          </cell>
          <cell r="Q168" t="str">
            <v>宮田様</v>
          </cell>
          <cell r="R168" t="str">
            <v>〒108-0075  東京都港区港南一丁目2番70号　品川シーズンテラス　22F</v>
          </cell>
          <cell r="S168" t="str">
            <v>03-6774-4629</v>
          </cell>
          <cell r="T168" t="str">
            <v>03-6774-4740</v>
          </cell>
          <cell r="U168" t="str">
            <v>松山市民病院</v>
          </cell>
          <cell r="V168" t="str">
            <v>-</v>
          </cell>
          <cell r="W168" t="str">
            <v>-</v>
          </cell>
          <cell r="X168" t="str">
            <v>089-943-1151</v>
          </cell>
          <cell r="Y168" t="str">
            <v xml:space="preserve">〒790-0067　愛媛県松山市大手町2-6-5 </v>
          </cell>
          <cell r="AA168" t="str">
            <v>P12745-01</v>
          </cell>
          <cell r="AB168" t="str">
            <v>P12718-02</v>
          </cell>
          <cell r="AC168" t="str">
            <v/>
          </cell>
          <cell r="AD168" t="str">
            <v/>
          </cell>
          <cell r="AE168" t="str">
            <v/>
          </cell>
          <cell r="AF168" t="str">
            <v/>
          </cell>
          <cell r="AG168" t="str">
            <v/>
          </cell>
          <cell r="AH168" t="str">
            <v/>
          </cell>
          <cell r="AI168" t="str">
            <v/>
          </cell>
          <cell r="AJ168" t="str">
            <v/>
          </cell>
          <cell r="AK168" t="str">
            <v>SERVICE ASSEMBLY, POWER SUPPLY PCB, NANOMAXX</v>
          </cell>
          <cell r="AL168" t="str">
            <v>SERVICE ASSEMBLY, BACK END PCB, NANOMAXX</v>
          </cell>
          <cell r="AM168" t="str">
            <v/>
          </cell>
          <cell r="AN168" t="str">
            <v/>
          </cell>
          <cell r="AO168" t="str">
            <v/>
          </cell>
          <cell r="AP168" t="str">
            <v/>
          </cell>
          <cell r="AQ168" t="str">
            <v/>
          </cell>
          <cell r="AR168" t="str">
            <v/>
          </cell>
          <cell r="AS168" t="str">
            <v/>
          </cell>
          <cell r="AT168" t="str">
            <v/>
          </cell>
          <cell r="AU168">
            <v>40756</v>
          </cell>
        </row>
        <row r="169">
          <cell r="A169" t="str">
            <v>S16-0166</v>
          </cell>
          <cell r="B169" t="str">
            <v>青葉ひろクリニック_0166 (2)</v>
          </cell>
          <cell r="C169" t="str">
            <v>SR#4192883</v>
          </cell>
          <cell r="D169" t="str">
            <v>2016/02/24-04</v>
          </cell>
          <cell r="E169" t="str">
            <v>無償</v>
          </cell>
          <cell r="F169">
            <v>42431</v>
          </cell>
          <cell r="G169">
            <v>42431</v>
          </cell>
          <cell r="H169">
            <v>42451</v>
          </cell>
          <cell r="I169" t="str">
            <v>不明</v>
          </cell>
          <cell r="K169" t="str">
            <v>梶田</v>
          </cell>
          <cell r="L169">
            <v>3</v>
          </cell>
          <cell r="M169" t="str">
            <v>M-Turbo</v>
          </cell>
          <cell r="N169" t="str">
            <v>WK21DZ</v>
          </cell>
          <cell r="O169" t="str">
            <v>P09141-26</v>
          </cell>
          <cell r="P169" t="str">
            <v>日立アロカメディカル株式会社　横浜営業所</v>
          </cell>
          <cell r="Q169" t="str">
            <v>泊野様</v>
          </cell>
          <cell r="R169" t="str">
            <v>〒220-0004　神奈川県横浜市北幸2-6-26 HI横浜ビル2F</v>
          </cell>
          <cell r="S169" t="str">
            <v>045-290-3261</v>
          </cell>
          <cell r="T169" t="str">
            <v>045-321-8452</v>
          </cell>
          <cell r="U169" t="str">
            <v>青葉ひろクリニック</v>
          </cell>
          <cell r="V169" t="str">
            <v>澤井院長</v>
          </cell>
          <cell r="W169" t="str">
            <v>-</v>
          </cell>
          <cell r="X169" t="str">
            <v>045-905-1381</v>
          </cell>
          <cell r="Y169" t="str">
            <v>〒225-0011　神奈川県横浜市青葉区あざみ野1-10-7</v>
          </cell>
          <cell r="AA169" t="str">
            <v>P08659-03</v>
          </cell>
          <cell r="AB169" t="str">
            <v/>
          </cell>
          <cell r="AC169" t="str">
            <v/>
          </cell>
          <cell r="AD169" t="str">
            <v/>
          </cell>
          <cell r="AE169" t="str">
            <v/>
          </cell>
          <cell r="AF169" t="str">
            <v/>
          </cell>
          <cell r="AG169" t="str">
            <v/>
          </cell>
          <cell r="AH169" t="str">
            <v/>
          </cell>
          <cell r="AI169" t="str">
            <v/>
          </cell>
          <cell r="AJ169" t="str">
            <v/>
          </cell>
          <cell r="AK169" t="str">
            <v>SERVICE ASSEMBLY, LCD DISPLAY, M-TURBO</v>
          </cell>
          <cell r="AL169" t="str">
            <v/>
          </cell>
          <cell r="AM169" t="str">
            <v/>
          </cell>
          <cell r="AN169" t="str">
            <v/>
          </cell>
          <cell r="AO169" t="str">
            <v/>
          </cell>
          <cell r="AP169" t="str">
            <v/>
          </cell>
          <cell r="AQ169" t="str">
            <v/>
          </cell>
          <cell r="AR169" t="str">
            <v/>
          </cell>
          <cell r="AS169" t="str">
            <v/>
          </cell>
          <cell r="AT169" t="str">
            <v/>
          </cell>
          <cell r="AU169">
            <v>41579</v>
          </cell>
        </row>
        <row r="170">
          <cell r="A170" t="str">
            <v>S16-0167</v>
          </cell>
          <cell r="B170" t="str">
            <v>蓮田病院_0167 (2)</v>
          </cell>
          <cell r="C170" t="str">
            <v>SR#不要</v>
          </cell>
          <cell r="D170" t="str">
            <v>2016/02/22-08</v>
          </cell>
          <cell r="E170" t="str">
            <v>有償</v>
          </cell>
          <cell r="F170">
            <v>42431</v>
          </cell>
          <cell r="G170">
            <v>42431</v>
          </cell>
          <cell r="H170">
            <v>42452</v>
          </cell>
          <cell r="I170" t="str">
            <v>不明</v>
          </cell>
          <cell r="K170" t="str">
            <v>梶田</v>
          </cell>
          <cell r="L170" t="str">
            <v>-</v>
          </cell>
          <cell r="M170" t="str">
            <v>Mini-Dock</v>
          </cell>
          <cell r="N170" t="str">
            <v>WK1Y54</v>
          </cell>
          <cell r="O170" t="str">
            <v>P12316-08</v>
          </cell>
          <cell r="P170" t="str">
            <v>株式会社栗原医療器械店　さいたま支店</v>
          </cell>
          <cell r="Q170" t="str">
            <v>田中様</v>
          </cell>
          <cell r="R170" t="str">
            <v>〒337-0051 埼玉県さいたま市見沼区東大宮6丁目3-3</v>
          </cell>
          <cell r="S170" t="str">
            <v>048-687-5210</v>
          </cell>
          <cell r="T170" t="str">
            <v>048-687-5259</v>
          </cell>
          <cell r="U170" t="str">
            <v>蓮田病院</v>
          </cell>
          <cell r="X170" t="str">
            <v>048-766-8111</v>
          </cell>
          <cell r="Y170" t="str">
            <v>〒349-0131　埼玉県蓮田市根金1662-1</v>
          </cell>
          <cell r="AA170" t="str">
            <v/>
          </cell>
          <cell r="AB170" t="str">
            <v/>
          </cell>
          <cell r="AC170" t="str">
            <v/>
          </cell>
          <cell r="AD170" t="str">
            <v/>
          </cell>
          <cell r="AE170" t="str">
            <v/>
          </cell>
          <cell r="AF170" t="str">
            <v/>
          </cell>
          <cell r="AG170" t="str">
            <v/>
          </cell>
          <cell r="AH170" t="str">
            <v/>
          </cell>
          <cell r="AI170" t="str">
            <v/>
          </cell>
          <cell r="AJ170" t="str">
            <v/>
          </cell>
          <cell r="AK170" t="str">
            <v/>
          </cell>
          <cell r="AL170" t="str">
            <v/>
          </cell>
          <cell r="AM170" t="str">
            <v/>
          </cell>
          <cell r="AN170" t="str">
            <v/>
          </cell>
          <cell r="AO170" t="str">
            <v/>
          </cell>
          <cell r="AP170" t="str">
            <v/>
          </cell>
          <cell r="AQ170" t="str">
            <v/>
          </cell>
          <cell r="AR170" t="str">
            <v/>
          </cell>
          <cell r="AS170" t="str">
            <v/>
          </cell>
          <cell r="AT170" t="str">
            <v/>
          </cell>
          <cell r="AU170">
            <v>41487</v>
          </cell>
        </row>
        <row r="171">
          <cell r="A171" t="str">
            <v>S16-0168</v>
          </cell>
          <cell r="B171" t="str">
            <v>桑名東医療センター_0168 (2)</v>
          </cell>
          <cell r="C171" t="str">
            <v>SR#</v>
          </cell>
          <cell r="D171" t="str">
            <v>2016/03/01-01</v>
          </cell>
          <cell r="E171" t="str">
            <v>有償</v>
          </cell>
          <cell r="F171">
            <v>42432</v>
          </cell>
          <cell r="G171">
            <v>42432</v>
          </cell>
          <cell r="H171">
            <v>42544</v>
          </cell>
          <cell r="I171" t="str">
            <v>不明</v>
          </cell>
          <cell r="K171" t="str">
            <v>馬屋原</v>
          </cell>
          <cell r="L171">
            <v>3</v>
          </cell>
          <cell r="M171" t="str">
            <v>S-Nerve</v>
          </cell>
          <cell r="N171" t="str">
            <v>03HKXT</v>
          </cell>
          <cell r="O171" t="str">
            <v>P12060-04</v>
          </cell>
          <cell r="P171" t="str">
            <v>株式会社八神製作所</v>
          </cell>
          <cell r="Q171" t="str">
            <v>田畑様</v>
          </cell>
          <cell r="R171" t="str">
            <v>〒510-0821　三重県四日市市久保田1-5-13</v>
          </cell>
          <cell r="S171" t="str">
            <v>059-351-1811</v>
          </cell>
          <cell r="T171" t="str">
            <v>059-351-1816</v>
          </cell>
          <cell r="U171" t="str">
            <v>桑名東医療センター</v>
          </cell>
          <cell r="V171" t="str">
            <v>田邊様</v>
          </cell>
          <cell r="W171" t="str">
            <v>手術室</v>
          </cell>
          <cell r="X171" t="str">
            <v>0594-22-1211</v>
          </cell>
          <cell r="Y171" t="str">
            <v>〒511-0061　三重県桑名市寿町3-11</v>
          </cell>
          <cell r="AA171" t="str">
            <v>P09138-02</v>
          </cell>
          <cell r="AB171" t="str">
            <v>P07753-20</v>
          </cell>
          <cell r="AC171" t="str">
            <v/>
          </cell>
          <cell r="AD171" t="str">
            <v/>
          </cell>
          <cell r="AE171" t="str">
            <v/>
          </cell>
          <cell r="AF171" t="str">
            <v/>
          </cell>
          <cell r="AG171" t="str">
            <v/>
          </cell>
          <cell r="AH171" t="str">
            <v/>
          </cell>
          <cell r="AI171" t="str">
            <v/>
          </cell>
          <cell r="AJ171" t="str">
            <v/>
          </cell>
          <cell r="AK171" t="str">
            <v>SERVICE ASSEMBLY, INTERNAL MINIDOCK, S-SERIES</v>
          </cell>
          <cell r="AL171" t="str">
            <v>BATTERY PACK, 6 CELL, 11.25V, 5.2 AMP-HOUR, LITHIUM-ION, TURBO S</v>
          </cell>
          <cell r="AM171" t="str">
            <v/>
          </cell>
          <cell r="AN171" t="str">
            <v/>
          </cell>
          <cell r="AO171" t="str">
            <v/>
          </cell>
          <cell r="AP171" t="str">
            <v/>
          </cell>
          <cell r="AQ171" t="str">
            <v/>
          </cell>
          <cell r="AR171" t="str">
            <v/>
          </cell>
          <cell r="AS171" t="str">
            <v/>
          </cell>
          <cell r="AT171" t="str">
            <v/>
          </cell>
          <cell r="AU171">
            <v>40118</v>
          </cell>
        </row>
        <row r="172">
          <cell r="A172" t="str">
            <v>S16-0169</v>
          </cell>
          <cell r="B172" t="str">
            <v>中央仁クリニック_0169 (2)</v>
          </cell>
          <cell r="C172" t="str">
            <v>SR#不要</v>
          </cell>
          <cell r="D172" t="str">
            <v>2016/02/24-01</v>
          </cell>
          <cell r="E172" t="str">
            <v>有償</v>
          </cell>
          <cell r="F172">
            <v>42432</v>
          </cell>
          <cell r="G172">
            <v>42432</v>
          </cell>
          <cell r="H172">
            <v>42457</v>
          </cell>
          <cell r="I172" t="str">
            <v>不明</v>
          </cell>
          <cell r="K172" t="str">
            <v>梶田</v>
          </cell>
          <cell r="L172" t="str">
            <v>-</v>
          </cell>
          <cell r="M172" t="str">
            <v>180Plus</v>
          </cell>
          <cell r="N172" t="str">
            <v>03DX5Y</v>
          </cell>
          <cell r="O172" t="str">
            <v>P04326-05</v>
          </cell>
          <cell r="P172" t="str">
            <v>アイティーアイ株式会社　熊本支社</v>
          </cell>
          <cell r="Q172" t="str">
            <v>石川様</v>
          </cell>
          <cell r="R172" t="str">
            <v>〒860-0826　熊本県熊本市南区平田2-12-18</v>
          </cell>
          <cell r="S172" t="str">
            <v>096-326-7551</v>
          </cell>
          <cell r="T172" t="str">
            <v>096-326-7552</v>
          </cell>
          <cell r="U172" t="str">
            <v>中央仁クリニック</v>
          </cell>
          <cell r="V172" t="str">
            <v>-</v>
          </cell>
          <cell r="W172" t="str">
            <v>-</v>
          </cell>
          <cell r="X172" t="str">
            <v>096-334-6655</v>
          </cell>
          <cell r="Y172" t="str">
            <v>〒862-0960　熊本県熊本市東区下江津8-3-23</v>
          </cell>
          <cell r="AA172" t="str">
            <v/>
          </cell>
          <cell r="AB172" t="str">
            <v/>
          </cell>
          <cell r="AC172" t="str">
            <v/>
          </cell>
          <cell r="AD172" t="str">
            <v/>
          </cell>
          <cell r="AE172" t="str">
            <v/>
          </cell>
          <cell r="AF172" t="str">
            <v/>
          </cell>
          <cell r="AG172" t="str">
            <v/>
          </cell>
          <cell r="AH172" t="str">
            <v/>
          </cell>
          <cell r="AI172" t="str">
            <v/>
          </cell>
          <cell r="AJ172" t="str">
            <v/>
          </cell>
          <cell r="AK172" t="str">
            <v/>
          </cell>
          <cell r="AL172" t="str">
            <v/>
          </cell>
          <cell r="AM172" t="str">
            <v/>
          </cell>
          <cell r="AN172" t="str">
            <v/>
          </cell>
          <cell r="AO172" t="str">
            <v/>
          </cell>
          <cell r="AP172" t="str">
            <v/>
          </cell>
          <cell r="AQ172" t="str">
            <v/>
          </cell>
          <cell r="AR172" t="str">
            <v/>
          </cell>
          <cell r="AS172" t="str">
            <v/>
          </cell>
          <cell r="AT172" t="str">
            <v/>
          </cell>
          <cell r="AU172">
            <v>39814</v>
          </cell>
        </row>
        <row r="173">
          <cell r="A173" t="str">
            <v>S16-0170</v>
          </cell>
          <cell r="B173" t="str">
            <v>江南厚生病院_0170 (2)</v>
          </cell>
          <cell r="C173" t="str">
            <v>SR#</v>
          </cell>
          <cell r="D173" t="str">
            <v>-</v>
          </cell>
          <cell r="E173" t="str">
            <v>有償</v>
          </cell>
          <cell r="F173">
            <v>42432</v>
          </cell>
          <cell r="G173">
            <v>42432</v>
          </cell>
          <cell r="H173">
            <v>42564</v>
          </cell>
          <cell r="I173" t="str">
            <v>不明</v>
          </cell>
          <cell r="K173" t="str">
            <v>高橋</v>
          </cell>
          <cell r="L173">
            <v>3</v>
          </cell>
          <cell r="M173" t="str">
            <v>UP-897MD</v>
          </cell>
          <cell r="N173" t="str">
            <v>39671</v>
          </cell>
          <cell r="O173" t="str">
            <v>-</v>
          </cell>
          <cell r="P173" t="str">
            <v>株式会社三輪器械　一宮営業所</v>
          </cell>
          <cell r="Q173" t="str">
            <v>森田様</v>
          </cell>
          <cell r="R173" t="str">
            <v>〒491-0845　愛知県一宮市下川田町1-11</v>
          </cell>
          <cell r="S173" t="str">
            <v>0586-24-3001</v>
          </cell>
          <cell r="T173" t="str">
            <v>0586-24-3022</v>
          </cell>
          <cell r="U173" t="str">
            <v>江南厚生病院</v>
          </cell>
          <cell r="V173" t="str">
            <v>-</v>
          </cell>
          <cell r="W173" t="str">
            <v>生理検査</v>
          </cell>
          <cell r="X173" t="str">
            <v>0587-51-3333</v>
          </cell>
          <cell r="Y173" t="str">
            <v>〒483-8704　愛知県江南市高屋町大松原137</v>
          </cell>
          <cell r="AA173" t="str">
            <v>X36089937</v>
          </cell>
          <cell r="AB173">
            <v>386311103</v>
          </cell>
          <cell r="AC173">
            <v>871905269</v>
          </cell>
          <cell r="AD173" t="str">
            <v/>
          </cell>
          <cell r="AE173" t="str">
            <v/>
          </cell>
          <cell r="AF173" t="str">
            <v/>
          </cell>
          <cell r="AG173" t="str">
            <v/>
          </cell>
          <cell r="AH173" t="str">
            <v/>
          </cell>
          <cell r="AI173" t="str">
            <v/>
          </cell>
          <cell r="AJ173" t="str">
            <v/>
          </cell>
          <cell r="AK173" t="str">
            <v>フロントパネルASSY（A）</v>
          </cell>
          <cell r="AL173" t="str">
            <v>用紙カッター</v>
          </cell>
          <cell r="AM173" t="str">
            <v>ダイオード　RPI-352</v>
          </cell>
          <cell r="AN173" t="str">
            <v/>
          </cell>
          <cell r="AO173" t="str">
            <v/>
          </cell>
          <cell r="AP173" t="str">
            <v/>
          </cell>
          <cell r="AQ173" t="str">
            <v/>
          </cell>
          <cell r="AR173" t="str">
            <v/>
          </cell>
          <cell r="AS173" t="str">
            <v/>
          </cell>
          <cell r="AT173" t="str">
            <v/>
          </cell>
          <cell r="AU173" t="str">
            <v>-</v>
          </cell>
        </row>
        <row r="174">
          <cell r="A174" t="str">
            <v>S16-0171</v>
          </cell>
          <cell r="B174" t="str">
            <v>呉記念クリニック_0171 (2)</v>
          </cell>
          <cell r="C174" t="str">
            <v>SR#</v>
          </cell>
          <cell r="D174" t="str">
            <v>2016/02/22-06</v>
          </cell>
          <cell r="E174" t="str">
            <v>有償</v>
          </cell>
          <cell r="F174">
            <v>42432</v>
          </cell>
          <cell r="G174">
            <v>42432</v>
          </cell>
          <cell r="H174">
            <v>42439</v>
          </cell>
          <cell r="I174" t="str">
            <v>不明</v>
          </cell>
          <cell r="K174" t="str">
            <v>梶田</v>
          </cell>
          <cell r="L174" t="str">
            <v>-</v>
          </cell>
          <cell r="M174" t="str">
            <v>MicroMaxx</v>
          </cell>
          <cell r="N174" t="str">
            <v>036K05</v>
          </cell>
          <cell r="O174" t="str">
            <v>P05670-04</v>
          </cell>
          <cell r="P174" t="str">
            <v>富士フイルムメディカル株式会社</v>
          </cell>
          <cell r="Q174" t="str">
            <v>小笠原様</v>
          </cell>
          <cell r="R174" t="str">
            <v>〒733-0035　広島県広島市西区南観音6-12-27</v>
          </cell>
          <cell r="S174" t="str">
            <v>03-6418-7190</v>
          </cell>
          <cell r="T174" t="str">
            <v>03-6418-7162</v>
          </cell>
          <cell r="U174" t="str">
            <v>呉記念クリニック</v>
          </cell>
          <cell r="V174" t="str">
            <v>栗原毅院長</v>
          </cell>
          <cell r="W174" t="str">
            <v>-</v>
          </cell>
          <cell r="X174" t="str">
            <v>0823-72-3030</v>
          </cell>
          <cell r="Y174" t="str">
            <v>〒737-0001　広島県呉市阿賀北3-4-11</v>
          </cell>
          <cell r="AA174" t="str">
            <v/>
          </cell>
          <cell r="AB174" t="str">
            <v/>
          </cell>
          <cell r="AC174" t="str">
            <v/>
          </cell>
          <cell r="AD174" t="str">
            <v/>
          </cell>
          <cell r="AE174" t="str">
            <v/>
          </cell>
          <cell r="AF174" t="str">
            <v/>
          </cell>
          <cell r="AG174" t="str">
            <v/>
          </cell>
          <cell r="AH174" t="str">
            <v/>
          </cell>
          <cell r="AI174" t="str">
            <v/>
          </cell>
          <cell r="AJ174" t="str">
            <v/>
          </cell>
          <cell r="AK174" t="str">
            <v/>
          </cell>
          <cell r="AL174" t="str">
            <v/>
          </cell>
          <cell r="AM174" t="str">
            <v/>
          </cell>
          <cell r="AN174" t="str">
            <v/>
          </cell>
          <cell r="AO174" t="str">
            <v/>
          </cell>
          <cell r="AP174" t="str">
            <v/>
          </cell>
          <cell r="AQ174" t="str">
            <v/>
          </cell>
          <cell r="AR174" t="str">
            <v/>
          </cell>
          <cell r="AS174" t="str">
            <v/>
          </cell>
          <cell r="AT174" t="str">
            <v/>
          </cell>
          <cell r="AU174">
            <v>38961</v>
          </cell>
        </row>
        <row r="175">
          <cell r="A175" t="str">
            <v>S16-0172</v>
          </cell>
          <cell r="B175" t="str">
            <v>広島大学病院_0172 (2)</v>
          </cell>
          <cell r="C175" t="str">
            <v>SR#4197513</v>
          </cell>
          <cell r="D175" t="str">
            <v>2016/02/22-05</v>
          </cell>
          <cell r="E175" t="str">
            <v>有償</v>
          </cell>
          <cell r="F175">
            <v>42432</v>
          </cell>
          <cell r="G175">
            <v>42432</v>
          </cell>
          <cell r="H175">
            <v>42475</v>
          </cell>
          <cell r="I175" t="str">
            <v>不明</v>
          </cell>
          <cell r="K175" t="str">
            <v>梶田</v>
          </cell>
          <cell r="L175">
            <v>3</v>
          </cell>
          <cell r="M175" t="str">
            <v>M-Turbo</v>
          </cell>
          <cell r="N175" t="str">
            <v>03J4VC</v>
          </cell>
          <cell r="O175" t="str">
            <v>P09141-14</v>
          </cell>
          <cell r="P175" t="str">
            <v>ティーエスアルフレッサ株式会社　広島機器試薬支店</v>
          </cell>
          <cell r="Q175" t="str">
            <v>藤木様</v>
          </cell>
          <cell r="R175" t="str">
            <v>〒733-8633　広島県広島市西区商工センター1-2-19</v>
          </cell>
          <cell r="S175" t="str">
            <v>082-501-0466</v>
          </cell>
          <cell r="T175" t="str">
            <v>082-279-7133</v>
          </cell>
          <cell r="U175" t="str">
            <v>広島大学病院　ICU</v>
          </cell>
          <cell r="V175" t="str">
            <v>岩崎先生</v>
          </cell>
          <cell r="W175" t="str">
            <v>ICU</v>
          </cell>
          <cell r="X175" t="str">
            <v>082-257-5555</v>
          </cell>
          <cell r="Y175" t="str">
            <v xml:space="preserve">〒734-8551　広島県広島市南区霞1-2-3 </v>
          </cell>
          <cell r="AA175" t="str">
            <v>P08659-03</v>
          </cell>
          <cell r="AB175" t="str">
            <v/>
          </cell>
          <cell r="AC175" t="str">
            <v/>
          </cell>
          <cell r="AD175" t="str">
            <v/>
          </cell>
          <cell r="AE175" t="str">
            <v/>
          </cell>
          <cell r="AF175" t="str">
            <v/>
          </cell>
          <cell r="AG175" t="str">
            <v/>
          </cell>
          <cell r="AH175" t="str">
            <v/>
          </cell>
          <cell r="AI175" t="str">
            <v/>
          </cell>
          <cell r="AJ175" t="str">
            <v/>
          </cell>
          <cell r="AK175" t="str">
            <v>SERVICE ASSEMBLY, LCD DISPLAY, M-TURBO</v>
          </cell>
          <cell r="AL175" t="str">
            <v/>
          </cell>
          <cell r="AM175" t="str">
            <v/>
          </cell>
          <cell r="AN175" t="str">
            <v/>
          </cell>
          <cell r="AO175" t="str">
            <v/>
          </cell>
          <cell r="AP175" t="str">
            <v/>
          </cell>
          <cell r="AQ175" t="str">
            <v/>
          </cell>
          <cell r="AR175" t="str">
            <v/>
          </cell>
          <cell r="AS175" t="str">
            <v/>
          </cell>
          <cell r="AT175" t="str">
            <v/>
          </cell>
          <cell r="AU175">
            <v>40210</v>
          </cell>
        </row>
        <row r="176">
          <cell r="A176" t="str">
            <v>S16-0173</v>
          </cell>
          <cell r="B176" t="str">
            <v>広島市民病院_0173 (2)</v>
          </cell>
          <cell r="C176" t="str">
            <v>SR#</v>
          </cell>
          <cell r="D176" t="str">
            <v>2015/12/25-01</v>
          </cell>
          <cell r="E176" t="str">
            <v>有償</v>
          </cell>
          <cell r="F176">
            <v>42432</v>
          </cell>
          <cell r="G176">
            <v>42432</v>
          </cell>
          <cell r="H176">
            <v>42535</v>
          </cell>
          <cell r="I176" t="str">
            <v>不明</v>
          </cell>
          <cell r="K176" t="str">
            <v>馬屋原</v>
          </cell>
          <cell r="L176">
            <v>3</v>
          </cell>
          <cell r="M176" t="str">
            <v>UP-897MD</v>
          </cell>
          <cell r="N176" t="str">
            <v>30358</v>
          </cell>
          <cell r="O176" t="str">
            <v>-</v>
          </cell>
          <cell r="P176" t="str">
            <v>ティーエスアルフレッサ株式会社</v>
          </cell>
          <cell r="Q176" t="str">
            <v>三刀様</v>
          </cell>
          <cell r="R176" t="str">
            <v>〒733-8633　広島県広島市西区商工センター1-2-19</v>
          </cell>
          <cell r="S176" t="str">
            <v>082-501-0466</v>
          </cell>
          <cell r="T176" t="str">
            <v>082-279-7133</v>
          </cell>
          <cell r="U176" t="str">
            <v>広島市民病院</v>
          </cell>
          <cell r="V176" t="str">
            <v>-</v>
          </cell>
          <cell r="W176" t="str">
            <v>産科</v>
          </cell>
          <cell r="X176" t="str">
            <v>082-221-2291　</v>
          </cell>
          <cell r="Y176" t="str">
            <v>〒733-8518　広島県広島市中区基町7-33</v>
          </cell>
          <cell r="AA176">
            <v>146845641</v>
          </cell>
          <cell r="AB176">
            <v>362390905</v>
          </cell>
          <cell r="AC176" t="str">
            <v/>
          </cell>
          <cell r="AD176" t="str">
            <v/>
          </cell>
          <cell r="AE176" t="str">
            <v/>
          </cell>
          <cell r="AF176" t="str">
            <v/>
          </cell>
          <cell r="AG176" t="str">
            <v/>
          </cell>
          <cell r="AH176" t="str">
            <v/>
          </cell>
          <cell r="AI176" t="str">
            <v/>
          </cell>
          <cell r="AJ176" t="str">
            <v/>
          </cell>
          <cell r="AK176" t="str">
            <v>スイッチングレギュレーター</v>
          </cell>
          <cell r="AL176" t="str">
            <v>プラテンローラー</v>
          </cell>
          <cell r="AM176" t="str">
            <v/>
          </cell>
          <cell r="AN176" t="str">
            <v/>
          </cell>
          <cell r="AO176" t="str">
            <v/>
          </cell>
          <cell r="AP176" t="str">
            <v/>
          </cell>
          <cell r="AQ176" t="str">
            <v/>
          </cell>
          <cell r="AR176" t="str">
            <v/>
          </cell>
          <cell r="AS176" t="str">
            <v/>
          </cell>
          <cell r="AT176" t="str">
            <v/>
          </cell>
          <cell r="AU176" t="str">
            <v>-</v>
          </cell>
        </row>
        <row r="177">
          <cell r="A177" t="str">
            <v>S16-0174</v>
          </cell>
          <cell r="B177" t="str">
            <v>西和医療センター_0174 (2)</v>
          </cell>
          <cell r="C177" t="str">
            <v>SR#不要</v>
          </cell>
          <cell r="D177" t="str">
            <v>2016/02/26-05</v>
          </cell>
          <cell r="E177" t="str">
            <v>有償</v>
          </cell>
          <cell r="F177">
            <v>42432</v>
          </cell>
          <cell r="G177">
            <v>42432</v>
          </cell>
          <cell r="H177">
            <v>42452</v>
          </cell>
          <cell r="I177" t="str">
            <v>不明</v>
          </cell>
          <cell r="K177" t="str">
            <v>梶田</v>
          </cell>
          <cell r="L177" t="str">
            <v>-</v>
          </cell>
          <cell r="M177" t="str">
            <v>TiTAN</v>
          </cell>
          <cell r="N177" t="str">
            <v>03DX28</v>
          </cell>
          <cell r="O177" t="str">
            <v>P06590-03</v>
          </cell>
          <cell r="P177" t="str">
            <v>フクダ電子南近畿販売株式会社</v>
          </cell>
          <cell r="Q177" t="str">
            <v>小田様</v>
          </cell>
          <cell r="R177" t="str">
            <v>〒634-0075　奈良県橿原市小房町12-37</v>
          </cell>
          <cell r="S177" t="str">
            <v>0744-24-2161</v>
          </cell>
          <cell r="T177" t="str">
            <v>072-223-8519</v>
          </cell>
          <cell r="U177" t="str">
            <v>西和医療センター</v>
          </cell>
          <cell r="V177" t="str">
            <v>堂元様</v>
          </cell>
          <cell r="W177" t="str">
            <v>内科　麻酔科</v>
          </cell>
          <cell r="X177" t="str">
            <v>0745-32-0509</v>
          </cell>
          <cell r="Y177" t="str">
            <v>〒636-0802　奈良県生駒郡三郷町三室1-14-16</v>
          </cell>
          <cell r="AA177" t="str">
            <v/>
          </cell>
          <cell r="AB177" t="str">
            <v/>
          </cell>
          <cell r="AC177" t="str">
            <v/>
          </cell>
          <cell r="AD177" t="str">
            <v/>
          </cell>
          <cell r="AE177" t="str">
            <v/>
          </cell>
          <cell r="AF177" t="str">
            <v/>
          </cell>
          <cell r="AG177" t="str">
            <v/>
          </cell>
          <cell r="AH177" t="str">
            <v/>
          </cell>
          <cell r="AI177" t="str">
            <v/>
          </cell>
          <cell r="AJ177" t="str">
            <v/>
          </cell>
          <cell r="AK177" t="str">
            <v/>
          </cell>
          <cell r="AL177" t="str">
            <v/>
          </cell>
          <cell r="AM177" t="str">
            <v/>
          </cell>
          <cell r="AN177" t="str">
            <v/>
          </cell>
          <cell r="AO177" t="str">
            <v/>
          </cell>
          <cell r="AP177" t="str">
            <v/>
          </cell>
          <cell r="AQ177" t="str">
            <v/>
          </cell>
          <cell r="AR177" t="str">
            <v/>
          </cell>
          <cell r="AS177" t="str">
            <v/>
          </cell>
          <cell r="AT177" t="str">
            <v/>
          </cell>
          <cell r="AU177">
            <v>39845</v>
          </cell>
        </row>
        <row r="178">
          <cell r="A178" t="str">
            <v>S16-0175</v>
          </cell>
          <cell r="B178" t="str">
            <v>神戸中央市民病院_0175 (2)</v>
          </cell>
          <cell r="C178" t="str">
            <v>SR#4196705</v>
          </cell>
          <cell r="D178" t="str">
            <v>2016/03/01-02</v>
          </cell>
          <cell r="E178" t="str">
            <v>無償</v>
          </cell>
          <cell r="F178">
            <v>42433</v>
          </cell>
          <cell r="G178">
            <v>42433</v>
          </cell>
          <cell r="H178">
            <v>42534</v>
          </cell>
          <cell r="I178" t="str">
            <v>不明</v>
          </cell>
          <cell r="K178" t="str">
            <v>馬屋原</v>
          </cell>
          <cell r="L178" t="str">
            <v>-</v>
          </cell>
          <cell r="M178" t="str">
            <v>NanoMaxx-Dock</v>
          </cell>
          <cell r="N178" t="str">
            <v>040QCX</v>
          </cell>
          <cell r="O178" t="str">
            <v>P13373-30</v>
          </cell>
          <cell r="P178" t="str">
            <v>宮野医療器株式会社　病院課</v>
          </cell>
          <cell r="Q178" t="str">
            <v>松本様</v>
          </cell>
          <cell r="R178" t="str">
            <v>〒650-0047　兵庫県神戸市中央区港島南町4-6-1</v>
          </cell>
          <cell r="S178" t="str">
            <v>078-302-7001</v>
          </cell>
          <cell r="T178" t="str">
            <v>078-302-9302</v>
          </cell>
          <cell r="U178" t="str">
            <v>神戸市立医療センター中央市民病院</v>
          </cell>
          <cell r="V178" t="str">
            <v>寺岡先生</v>
          </cell>
          <cell r="W178" t="str">
            <v>呼吸器内科</v>
          </cell>
          <cell r="X178" t="str">
            <v>078-302-4321</v>
          </cell>
          <cell r="Y178" t="str">
            <v xml:space="preserve">〒650-0047 兵庫県神戸市中央区港島南町2-1-1
</v>
          </cell>
          <cell r="AA178" t="str">
            <v>P13373-30</v>
          </cell>
          <cell r="AB178" t="str">
            <v/>
          </cell>
          <cell r="AC178" t="str">
            <v/>
          </cell>
          <cell r="AD178" t="str">
            <v/>
          </cell>
          <cell r="AE178" t="str">
            <v/>
          </cell>
          <cell r="AF178" t="str">
            <v/>
          </cell>
          <cell r="AG178" t="str">
            <v/>
          </cell>
          <cell r="AH178" t="str">
            <v/>
          </cell>
          <cell r="AI178" t="str">
            <v/>
          </cell>
          <cell r="AJ178" t="str">
            <v/>
          </cell>
          <cell r="AK178" t="str">
            <v>NANOMAXX DOCK, JAPAN</v>
          </cell>
          <cell r="AL178" t="str">
            <v/>
          </cell>
          <cell r="AM178" t="str">
            <v/>
          </cell>
          <cell r="AN178" t="str">
            <v/>
          </cell>
          <cell r="AO178" t="str">
            <v/>
          </cell>
          <cell r="AP178" t="str">
            <v/>
          </cell>
          <cell r="AQ178" t="str">
            <v/>
          </cell>
          <cell r="AR178" t="str">
            <v/>
          </cell>
          <cell r="AS178" t="str">
            <v/>
          </cell>
          <cell r="AT178" t="str">
            <v/>
          </cell>
          <cell r="AU178">
            <v>42064</v>
          </cell>
        </row>
        <row r="179">
          <cell r="A179" t="str">
            <v>S16-0176</v>
          </cell>
          <cell r="B179" t="str">
            <v>アステム中古品販売_0176 (2)</v>
          </cell>
          <cell r="C179" t="str">
            <v>SR#4197507</v>
          </cell>
          <cell r="D179" t="str">
            <v>-</v>
          </cell>
          <cell r="E179" t="str">
            <v>有償</v>
          </cell>
          <cell r="F179">
            <v>42433</v>
          </cell>
          <cell r="G179">
            <v>42433</v>
          </cell>
          <cell r="H179">
            <v>42454</v>
          </cell>
          <cell r="I179" t="str">
            <v>不明</v>
          </cell>
          <cell r="K179" t="str">
            <v>梶田</v>
          </cell>
          <cell r="L179">
            <v>5</v>
          </cell>
          <cell r="M179" t="str">
            <v>M-Turbo</v>
          </cell>
          <cell r="N179" t="str">
            <v>039YB5</v>
          </cell>
          <cell r="O179" t="str">
            <v>P09141-01</v>
          </cell>
          <cell r="P179" t="str">
            <v>株式会社アステム　本社</v>
          </cell>
          <cell r="Q179" t="str">
            <v>渡邊様</v>
          </cell>
          <cell r="R179" t="str">
            <v>〒820-0101　福岡県飯塚市綱分761-19</v>
          </cell>
          <cell r="S179" t="str">
            <v>092-477-5757</v>
          </cell>
          <cell r="T179" t="str">
            <v>092-48-4512</v>
          </cell>
          <cell r="U179" t="str">
            <v>株式会社アステム　中古品販売</v>
          </cell>
          <cell r="V179" t="str">
            <v>-</v>
          </cell>
          <cell r="W179" t="str">
            <v>-</v>
          </cell>
          <cell r="X179" t="str">
            <v>-</v>
          </cell>
          <cell r="Y179" t="str">
            <v>-</v>
          </cell>
          <cell r="AA179" t="str">
            <v>P19060-02</v>
          </cell>
          <cell r="AB179" t="str">
            <v>P07168-20</v>
          </cell>
          <cell r="AC179" t="str">
            <v>P09823-06</v>
          </cell>
          <cell r="AD179" t="str">
            <v>P00855-01</v>
          </cell>
          <cell r="AE179" t="str">
            <v/>
          </cell>
          <cell r="AF179" t="str">
            <v/>
          </cell>
          <cell r="AG179" t="str">
            <v/>
          </cell>
          <cell r="AH179" t="str">
            <v/>
          </cell>
          <cell r="AI179" t="str">
            <v/>
          </cell>
          <cell r="AJ179" t="str">
            <v/>
          </cell>
          <cell r="AK179" t="str">
            <v>MAIN PCBA, M-Turbo</v>
          </cell>
          <cell r="AL179" t="str">
            <v>BATTERY PACK, 6 CELL, 11.25V, 5.2AMP-HOUR, LITHIUM-ION</v>
          </cell>
          <cell r="AM179" t="str">
            <v>LOW NOISE POWER SUPPLY,15V W/BATTERY CHARGER,75 W</v>
          </cell>
          <cell r="AN179" t="str">
            <v>CORDSET, 15 AMP ,C13 CONNECTOR,JAPANESE</v>
          </cell>
          <cell r="AO179" t="str">
            <v/>
          </cell>
          <cell r="AP179" t="str">
            <v/>
          </cell>
          <cell r="AQ179" t="str">
            <v/>
          </cell>
          <cell r="AR179" t="str">
            <v/>
          </cell>
          <cell r="AS179" t="str">
            <v/>
          </cell>
          <cell r="AT179" t="str">
            <v/>
          </cell>
          <cell r="AU179">
            <v>39417</v>
          </cell>
        </row>
        <row r="180">
          <cell r="A180" t="str">
            <v>S16-0177</v>
          </cell>
          <cell r="B180" t="str">
            <v>東京女子医科大学東医療センター_0177 (2)</v>
          </cell>
          <cell r="C180" t="str">
            <v>SR#</v>
          </cell>
          <cell r="D180" t="str">
            <v>2016/02/24-05</v>
          </cell>
          <cell r="E180" t="str">
            <v>有償</v>
          </cell>
          <cell r="F180">
            <v>42436</v>
          </cell>
          <cell r="G180">
            <v>42436</v>
          </cell>
          <cell r="H180">
            <v>42468</v>
          </cell>
          <cell r="I180" t="str">
            <v>不明</v>
          </cell>
          <cell r="K180" t="str">
            <v>梶田</v>
          </cell>
          <cell r="L180">
            <v>3</v>
          </cell>
          <cell r="M180" t="str">
            <v>MicroMaxx</v>
          </cell>
          <cell r="N180" t="str">
            <v>03DXD7</v>
          </cell>
          <cell r="O180" t="str">
            <v>P08063-05</v>
          </cell>
          <cell r="P180" t="str">
            <v>株式会社イノメディックス　小石川営業所</v>
          </cell>
          <cell r="Q180" t="str">
            <v>王塚様</v>
          </cell>
          <cell r="R180" t="str">
            <v>〒112-0002　東京都文京区小石川4-17-15</v>
          </cell>
          <cell r="S180" t="str">
            <v>03-3814-3644</v>
          </cell>
          <cell r="T180" t="str">
            <v>03-3815-8811</v>
          </cell>
          <cell r="U180" t="str">
            <v>東京女子医科大学東医療センター</v>
          </cell>
          <cell r="V180" t="str">
            <v>本間先生</v>
          </cell>
          <cell r="W180" t="str">
            <v>小児科</v>
          </cell>
          <cell r="X180" t="str">
            <v>03-3810-1111</v>
          </cell>
          <cell r="Y180" t="str">
            <v>〒116-8567　東京都荒川区西尾久2-1-10</v>
          </cell>
          <cell r="AA180" t="str">
            <v>P05463-01</v>
          </cell>
          <cell r="AB180" t="str">
            <v>P07168-20</v>
          </cell>
          <cell r="AC180" t="str">
            <v/>
          </cell>
          <cell r="AD180" t="str">
            <v/>
          </cell>
          <cell r="AE180" t="str">
            <v/>
          </cell>
          <cell r="AF180" t="str">
            <v/>
          </cell>
          <cell r="AG180" t="str">
            <v/>
          </cell>
          <cell r="AH180" t="str">
            <v/>
          </cell>
          <cell r="AI180" t="str">
            <v/>
          </cell>
          <cell r="AJ180" t="str">
            <v/>
          </cell>
          <cell r="AK180" t="str">
            <v>SERVICE ASSEMBLY DISPLAY, MICROMAXX</v>
          </cell>
          <cell r="AL180" t="str">
            <v>BATTERY PACK, 6 CELL, 11.25V, 5.2AMP-HOUR, LITHIUM-ION</v>
          </cell>
          <cell r="AM180" t="str">
            <v/>
          </cell>
          <cell r="AN180" t="str">
            <v/>
          </cell>
          <cell r="AO180" t="str">
            <v/>
          </cell>
          <cell r="AP180" t="str">
            <v/>
          </cell>
          <cell r="AQ180" t="str">
            <v/>
          </cell>
          <cell r="AR180" t="str">
            <v/>
          </cell>
          <cell r="AS180" t="str">
            <v/>
          </cell>
          <cell r="AT180" t="str">
            <v/>
          </cell>
          <cell r="AU180">
            <v>39845</v>
          </cell>
        </row>
        <row r="181">
          <cell r="A181" t="str">
            <v>S16-0178</v>
          </cell>
          <cell r="B181" t="str">
            <v>ソニックジャパン_0178 (2)</v>
          </cell>
          <cell r="C181" t="str">
            <v>SR#</v>
          </cell>
          <cell r="D181" t="str">
            <v>-</v>
          </cell>
          <cell r="E181" t="str">
            <v>有償</v>
          </cell>
          <cell r="F181">
            <v>42436</v>
          </cell>
          <cell r="G181">
            <v>42436</v>
          </cell>
          <cell r="H181">
            <v>42482</v>
          </cell>
          <cell r="I181" t="str">
            <v>不明</v>
          </cell>
          <cell r="K181" t="str">
            <v>梶田</v>
          </cell>
          <cell r="L181">
            <v>3</v>
          </cell>
          <cell r="M181" t="str">
            <v>NanoMaxx</v>
          </cell>
          <cell r="N181" t="str">
            <v>03HQ8J</v>
          </cell>
          <cell r="O181" t="str">
            <v>P12700-02</v>
          </cell>
          <cell r="P181" t="str">
            <v>ソニックジャパン株式会社</v>
          </cell>
          <cell r="Q181" t="str">
            <v>茅野様</v>
          </cell>
          <cell r="R181" t="str">
            <v>〒113-0033　東京都文京区本郷2-25-5　角地ビル4F</v>
          </cell>
          <cell r="S181" t="str">
            <v>03-3815-1400</v>
          </cell>
          <cell r="T181" t="str">
            <v>03-3815-1408</v>
          </cell>
          <cell r="U181" t="str">
            <v>SJデモ機</v>
          </cell>
          <cell r="V181" t="str">
            <v>-</v>
          </cell>
          <cell r="W181" t="str">
            <v>-</v>
          </cell>
          <cell r="X181" t="str">
            <v>-</v>
          </cell>
          <cell r="Y181" t="str">
            <v>-</v>
          </cell>
          <cell r="AA181" t="str">
            <v>P12718-02</v>
          </cell>
          <cell r="AB181" t="str">
            <v>P15112-01</v>
          </cell>
          <cell r="AC181" t="str">
            <v/>
          </cell>
          <cell r="AD181" t="str">
            <v/>
          </cell>
          <cell r="AE181" t="str">
            <v/>
          </cell>
          <cell r="AF181" t="str">
            <v/>
          </cell>
          <cell r="AG181" t="str">
            <v/>
          </cell>
          <cell r="AH181" t="str">
            <v/>
          </cell>
          <cell r="AI181" t="str">
            <v/>
          </cell>
          <cell r="AJ181" t="str">
            <v/>
          </cell>
          <cell r="AK181" t="str">
            <v>SERVICE ASSEMBLY, BACK END PCB, NANOMAXX</v>
          </cell>
          <cell r="AL181" t="str">
            <v>POWER ADAPTER CABLE</v>
          </cell>
          <cell r="AM181" t="str">
            <v/>
          </cell>
          <cell r="AN181" t="str">
            <v/>
          </cell>
          <cell r="AO181" t="str">
            <v/>
          </cell>
          <cell r="AP181" t="str">
            <v/>
          </cell>
          <cell r="AQ181" t="str">
            <v/>
          </cell>
          <cell r="AR181" t="str">
            <v/>
          </cell>
          <cell r="AS181" t="str">
            <v/>
          </cell>
          <cell r="AT181" t="str">
            <v/>
          </cell>
          <cell r="AU181">
            <v>40330</v>
          </cell>
        </row>
        <row r="182">
          <cell r="A182" t="str">
            <v>S16-0179</v>
          </cell>
          <cell r="B182" t="str">
            <v>重井附属病院_0179 (2)</v>
          </cell>
          <cell r="C182" t="str">
            <v>SR#4192881</v>
          </cell>
          <cell r="D182" t="str">
            <v>2016/02/08-04</v>
          </cell>
          <cell r="E182" t="str">
            <v>無償</v>
          </cell>
          <cell r="F182">
            <v>42436</v>
          </cell>
          <cell r="G182">
            <v>42436</v>
          </cell>
          <cell r="H182">
            <v>42471</v>
          </cell>
          <cell r="I182">
            <v>40724</v>
          </cell>
          <cell r="K182">
            <v>0</v>
          </cell>
          <cell r="M182" t="str">
            <v>M-Turbo</v>
          </cell>
          <cell r="N182" t="str">
            <v>WG00KJ</v>
          </cell>
          <cell r="O182" t="str">
            <v>P09141-21</v>
          </cell>
          <cell r="P182" t="str">
            <v>ティーエスアルフレッサ株式会社　岡山機器試薬</v>
          </cell>
          <cell r="Q182" t="str">
            <v>間様</v>
          </cell>
          <cell r="R182" t="str">
            <v>〒701-0165　岡山県岡山市北区大内田 828-4</v>
          </cell>
          <cell r="S182" t="str">
            <v>086-293-7710</v>
          </cell>
          <cell r="T182" t="str">
            <v>086-293-7705</v>
          </cell>
          <cell r="U182" t="str">
            <v>重井医学研究所附属病院</v>
          </cell>
          <cell r="V182" t="str">
            <v>-</v>
          </cell>
          <cell r="W182" t="str">
            <v>-</v>
          </cell>
          <cell r="X182" t="str">
            <v>086-282-5311</v>
          </cell>
          <cell r="Y182" t="str">
            <v>〒701-0202 岡山県岡山市南区山田2117</v>
          </cell>
          <cell r="AA182" t="str">
            <v>P19087-02</v>
          </cell>
          <cell r="AB182" t="str">
            <v/>
          </cell>
          <cell r="AC182" t="str">
            <v/>
          </cell>
          <cell r="AD182" t="str">
            <v/>
          </cell>
          <cell r="AE182" t="str">
            <v/>
          </cell>
          <cell r="AF182" t="str">
            <v/>
          </cell>
          <cell r="AG182" t="str">
            <v/>
          </cell>
          <cell r="AH182" t="str">
            <v/>
          </cell>
          <cell r="AI182" t="str">
            <v/>
          </cell>
          <cell r="AJ182" t="str">
            <v/>
          </cell>
          <cell r="AK182" t="str">
            <v>MAIN PCBA, M-Turbo</v>
          </cell>
          <cell r="AL182" t="str">
            <v/>
          </cell>
          <cell r="AM182" t="str">
            <v/>
          </cell>
          <cell r="AN182" t="str">
            <v/>
          </cell>
          <cell r="AO182" t="str">
            <v/>
          </cell>
          <cell r="AP182" t="str">
            <v/>
          </cell>
          <cell r="AQ182" t="str">
            <v/>
          </cell>
          <cell r="AR182" t="str">
            <v/>
          </cell>
          <cell r="AS182" t="str">
            <v/>
          </cell>
          <cell r="AT182" t="str">
            <v/>
          </cell>
          <cell r="AU182">
            <v>40664</v>
          </cell>
        </row>
        <row r="183">
          <cell r="A183" t="str">
            <v>S16-0180</v>
          </cell>
          <cell r="B183" t="str">
            <v xml:space="preserve">松山市民病院_0165 </v>
          </cell>
          <cell r="C183" t="str">
            <v>SR#不要</v>
          </cell>
          <cell r="D183" t="str">
            <v>2016/02/26-02</v>
          </cell>
          <cell r="E183" t="str">
            <v/>
          </cell>
          <cell r="F183">
            <v>42436</v>
          </cell>
          <cell r="G183">
            <v>42436</v>
          </cell>
          <cell r="H183">
            <v>42458</v>
          </cell>
          <cell r="I183" t="str">
            <v>不明</v>
          </cell>
          <cell r="K183" t="str">
            <v>-</v>
          </cell>
          <cell r="L183" t="str">
            <v>-</v>
          </cell>
          <cell r="M183" t="str">
            <v>iLook15</v>
          </cell>
          <cell r="N183" t="str">
            <v>033YQV</v>
          </cell>
          <cell r="O183" t="str">
            <v>P04628-02</v>
          </cell>
          <cell r="P183" t="str">
            <v>アイティーアイ株式会社　長崎支店</v>
          </cell>
          <cell r="Q183" t="str">
            <v>山本様</v>
          </cell>
          <cell r="R183" t="str">
            <v>〒851-0134　長崎県長崎市田中町596-1</v>
          </cell>
          <cell r="S183" t="str">
            <v>095-833-0011</v>
          </cell>
          <cell r="T183" t="str">
            <v>095-833-0012</v>
          </cell>
          <cell r="U183" t="str">
            <v>谷川放射線科胃腸科医院</v>
          </cell>
          <cell r="V183" t="str">
            <v>米田様</v>
          </cell>
          <cell r="W183" t="str">
            <v>-</v>
          </cell>
          <cell r="X183" t="str">
            <v>095-844-0417</v>
          </cell>
          <cell r="Y183" t="str">
            <v>〒852-8137　長崎県長崎市若葉町6-1</v>
          </cell>
          <cell r="AA183" t="str">
            <v/>
          </cell>
          <cell r="AB183" t="str">
            <v/>
          </cell>
          <cell r="AC183" t="str">
            <v/>
          </cell>
          <cell r="AD183" t="str">
            <v/>
          </cell>
          <cell r="AE183" t="str">
            <v/>
          </cell>
          <cell r="AF183" t="str">
            <v/>
          </cell>
          <cell r="AG183" t="str">
            <v/>
          </cell>
          <cell r="AH183" t="str">
            <v/>
          </cell>
          <cell r="AI183" t="str">
            <v/>
          </cell>
          <cell r="AJ183" t="str">
            <v/>
          </cell>
          <cell r="AK183" t="str">
            <v/>
          </cell>
          <cell r="AL183" t="str">
            <v/>
          </cell>
          <cell r="AM183" t="str">
            <v/>
          </cell>
          <cell r="AN183" t="str">
            <v/>
          </cell>
          <cell r="AO183" t="str">
            <v/>
          </cell>
          <cell r="AP183" t="str">
            <v/>
          </cell>
          <cell r="AQ183" t="str">
            <v/>
          </cell>
          <cell r="AR183" t="str">
            <v/>
          </cell>
          <cell r="AS183" t="str">
            <v/>
          </cell>
          <cell r="AT183" t="str">
            <v/>
          </cell>
          <cell r="AU183">
            <v>38412</v>
          </cell>
        </row>
        <row r="184">
          <cell r="A184" t="str">
            <v>S16-0181</v>
          </cell>
          <cell r="B184" t="str">
            <v>国立相模原病院_0181 (2)</v>
          </cell>
          <cell r="C184" t="str">
            <v>SR#4196701</v>
          </cell>
          <cell r="D184" t="str">
            <v>-</v>
          </cell>
          <cell r="E184" t="str">
            <v>無償</v>
          </cell>
          <cell r="F184">
            <v>42436</v>
          </cell>
          <cell r="G184">
            <v>42436</v>
          </cell>
          <cell r="H184">
            <v>42500</v>
          </cell>
          <cell r="I184" t="str">
            <v>不明</v>
          </cell>
          <cell r="K184" t="str">
            <v>梶田</v>
          </cell>
          <cell r="L184">
            <v>3</v>
          </cell>
          <cell r="M184" t="str">
            <v>X-Porte</v>
          </cell>
          <cell r="N184" t="str">
            <v>040CCR</v>
          </cell>
          <cell r="O184" t="str">
            <v>P19320-51</v>
          </cell>
          <cell r="P184" t="str">
            <v>富士フイルムメディカル株式会社</v>
          </cell>
          <cell r="Q184" t="str">
            <v>芝滝様</v>
          </cell>
          <cell r="R184" t="str">
            <v>〒222-0033　神奈川県横浜市港北区新横浜2-8-11</v>
          </cell>
          <cell r="S184" t="str">
            <v>045-471-7311</v>
          </cell>
          <cell r="T184" t="str">
            <v>045-472-6321</v>
          </cell>
          <cell r="U184" t="str">
            <v>国立相模原病院</v>
          </cell>
          <cell r="V184" t="str">
            <v>-</v>
          </cell>
          <cell r="W184" t="str">
            <v>-</v>
          </cell>
          <cell r="X184" t="str">
            <v>042-742-8311</v>
          </cell>
          <cell r="Y184" t="str">
            <v>〒252-0392 神奈川県相模原市南区桜台18-1</v>
          </cell>
          <cell r="AA184" t="str">
            <v xml:space="preserve">P18673-01N </v>
          </cell>
          <cell r="AB184" t="str">
            <v xml:space="preserve">P14027-01N </v>
          </cell>
          <cell r="AC184" t="str">
            <v/>
          </cell>
          <cell r="AD184" t="str">
            <v/>
          </cell>
          <cell r="AE184" t="str">
            <v/>
          </cell>
          <cell r="AF184" t="str">
            <v/>
          </cell>
          <cell r="AG184" t="str">
            <v/>
          </cell>
          <cell r="AH184" t="str">
            <v/>
          </cell>
          <cell r="AI184" t="str">
            <v/>
          </cell>
          <cell r="AJ184" t="str">
            <v/>
          </cell>
          <cell r="AK184" t="str">
            <v xml:space="preserve">X-PORTE ENGINE, CW, JAPAN </v>
          </cell>
          <cell r="AL184" t="str">
            <v>CONTROL PANEL, X-PORTE</v>
          </cell>
          <cell r="AM184" t="str">
            <v/>
          </cell>
          <cell r="AN184" t="str">
            <v/>
          </cell>
          <cell r="AO184" t="str">
            <v/>
          </cell>
          <cell r="AP184" t="str">
            <v/>
          </cell>
          <cell r="AQ184" t="str">
            <v/>
          </cell>
          <cell r="AR184" t="str">
            <v/>
          </cell>
          <cell r="AS184" t="str">
            <v/>
          </cell>
          <cell r="AT184" t="str">
            <v/>
          </cell>
          <cell r="AU184">
            <v>42005</v>
          </cell>
        </row>
        <row r="185">
          <cell r="A185" t="str">
            <v>S16-0182</v>
          </cell>
          <cell r="B185" t="str">
            <v>聖隷浜松病院_0182</v>
          </cell>
          <cell r="C185" t="e">
            <v>#REF!</v>
          </cell>
          <cell r="D185" t="e">
            <v>#REF!</v>
          </cell>
          <cell r="E185" t="e">
            <v>#REF!</v>
          </cell>
          <cell r="F185" t="e">
            <v>#REF!</v>
          </cell>
          <cell r="G185" t="e">
            <v>#REF!</v>
          </cell>
          <cell r="H185" t="e">
            <v>#REF!</v>
          </cell>
          <cell r="I185" t="e">
            <v>#REF!</v>
          </cell>
          <cell r="K185" t="e">
            <v>#REF!</v>
          </cell>
          <cell r="M185" t="e">
            <v>#REF!</v>
          </cell>
          <cell r="N185" t="e">
            <v>#REF!</v>
          </cell>
          <cell r="O185" t="e">
            <v>#REF!</v>
          </cell>
          <cell r="P185" t="e">
            <v>#REF!</v>
          </cell>
          <cell r="Q185" t="e">
            <v>#REF!</v>
          </cell>
          <cell r="S185" t="e">
            <v>#REF!</v>
          </cell>
          <cell r="T185" t="e">
            <v>#REF!</v>
          </cell>
          <cell r="U185" t="e">
            <v>#REF!</v>
          </cell>
          <cell r="X185" t="str">
            <v>053-474-2222</v>
          </cell>
          <cell r="Y185" t="str">
            <v>〒430-8558　静岡県浜松市中区住吉2-12-12</v>
          </cell>
          <cell r="AA185" t="e">
            <v>#REF!</v>
          </cell>
          <cell r="AB185" t="e">
            <v>#REF!</v>
          </cell>
          <cell r="AC185" t="e">
            <v>#REF!</v>
          </cell>
          <cell r="AD185" t="e">
            <v>#REF!</v>
          </cell>
          <cell r="AE185" t="e">
            <v>#REF!</v>
          </cell>
          <cell r="AF185" t="e">
            <v>#REF!</v>
          </cell>
          <cell r="AG185" t="e">
            <v>#REF!</v>
          </cell>
          <cell r="AH185" t="e">
            <v>#REF!</v>
          </cell>
          <cell r="AI185" t="e">
            <v>#REF!</v>
          </cell>
          <cell r="AJ185" t="e">
            <v>#REF!</v>
          </cell>
          <cell r="AK185" t="e">
            <v>#REF!</v>
          </cell>
          <cell r="AL185" t="e">
            <v>#REF!</v>
          </cell>
          <cell r="AM185" t="e">
            <v>#REF!</v>
          </cell>
          <cell r="AN185" t="e">
            <v>#REF!</v>
          </cell>
          <cell r="AO185" t="e">
            <v>#REF!</v>
          </cell>
          <cell r="AP185" t="e">
            <v>#REF!</v>
          </cell>
          <cell r="AQ185" t="e">
            <v>#REF!</v>
          </cell>
          <cell r="AR185" t="e">
            <v>#REF!</v>
          </cell>
          <cell r="AS185" t="e">
            <v>#REF!</v>
          </cell>
          <cell r="AT185" t="e">
            <v>#REF!</v>
          </cell>
          <cell r="AU185" t="e">
            <v>#REF!</v>
          </cell>
        </row>
        <row r="186">
          <cell r="A186" t="str">
            <v>S16-0183</v>
          </cell>
          <cell r="B186" t="str">
            <v>那須赤十字病院_0183 (2)</v>
          </cell>
          <cell r="C186" t="str">
            <v>SR#</v>
          </cell>
          <cell r="D186" t="str">
            <v>2016/03/02-05</v>
          </cell>
          <cell r="E186" t="str">
            <v>有償</v>
          </cell>
          <cell r="F186">
            <v>42437</v>
          </cell>
          <cell r="G186">
            <v>42437</v>
          </cell>
          <cell r="H186">
            <v>42459</v>
          </cell>
          <cell r="I186">
            <v>40248</v>
          </cell>
          <cell r="K186" t="str">
            <v>梶田</v>
          </cell>
          <cell r="L186">
            <v>3</v>
          </cell>
          <cell r="M186" t="str">
            <v>180Plus</v>
          </cell>
          <cell r="N186" t="str">
            <v>03DJ6L</v>
          </cell>
          <cell r="O186" t="str">
            <v>P04326-05</v>
          </cell>
          <cell r="P186" t="str">
            <v>サンメディックス株式会社　宇都宮支店</v>
          </cell>
          <cell r="Q186" t="str">
            <v>荒井様</v>
          </cell>
          <cell r="R186" t="str">
            <v>〒320-0074　栃木県宇都宮市細谷町388-1</v>
          </cell>
          <cell r="S186" t="str">
            <v>028-616-1580</v>
          </cell>
          <cell r="T186" t="str">
            <v>028-623-7350</v>
          </cell>
          <cell r="U186" t="str">
            <v>那須赤十字病院</v>
          </cell>
          <cell r="V186" t="str">
            <v>梶野様</v>
          </cell>
          <cell r="W186" t="str">
            <v>臨床工学部</v>
          </cell>
          <cell r="X186" t="str">
            <v>0287-23-1122</v>
          </cell>
          <cell r="Y186" t="str">
            <v>〒324-8686　栃木県大田原市中田原1081-4</v>
          </cell>
          <cell r="AA186" t="str">
            <v>P01213-01</v>
          </cell>
          <cell r="AB186" t="str">
            <v>P00538-03</v>
          </cell>
          <cell r="AC186" t="str">
            <v/>
          </cell>
          <cell r="AD186" t="str">
            <v/>
          </cell>
          <cell r="AE186" t="str">
            <v/>
          </cell>
          <cell r="AF186" t="str">
            <v/>
          </cell>
          <cell r="AG186" t="str">
            <v/>
          </cell>
          <cell r="AH186" t="str">
            <v/>
          </cell>
          <cell r="AI186" t="str">
            <v/>
          </cell>
          <cell r="AJ186" t="str">
            <v/>
          </cell>
          <cell r="AK186" t="str">
            <v>FLEX CIRCUIT, FAB, C1 DISPLAY</v>
          </cell>
          <cell r="AL186" t="str">
            <v>POWER SUPPLY, 85-264 VAC, 50-60HZ, 16V, 45W, 180</v>
          </cell>
          <cell r="AM186" t="str">
            <v/>
          </cell>
          <cell r="AN186" t="str">
            <v/>
          </cell>
          <cell r="AO186" t="str">
            <v/>
          </cell>
          <cell r="AP186" t="str">
            <v/>
          </cell>
          <cell r="AQ186" t="str">
            <v/>
          </cell>
          <cell r="AR186" t="str">
            <v/>
          </cell>
          <cell r="AS186" t="str">
            <v/>
          </cell>
          <cell r="AT186" t="str">
            <v/>
          </cell>
          <cell r="AU186">
            <v>39783</v>
          </cell>
        </row>
        <row r="187">
          <cell r="A187" t="str">
            <v>S16-0184</v>
          </cell>
          <cell r="B187" t="str">
            <v>市立奈良病院_0184 (2)</v>
          </cell>
          <cell r="C187" t="str">
            <v>SR#4211157</v>
          </cell>
          <cell r="D187" t="str">
            <v>2016/03/04-03</v>
          </cell>
          <cell r="E187" t="str">
            <v>無償</v>
          </cell>
          <cell r="F187">
            <v>42437</v>
          </cell>
          <cell r="G187">
            <v>42437</v>
          </cell>
          <cell r="H187">
            <v>42530</v>
          </cell>
          <cell r="I187" t="str">
            <v>不明</v>
          </cell>
          <cell r="K187" t="str">
            <v>馬屋原</v>
          </cell>
          <cell r="L187">
            <v>3</v>
          </cell>
          <cell r="M187" t="str">
            <v>M-Turbo</v>
          </cell>
          <cell r="N187" t="str">
            <v>03KXVX</v>
          </cell>
          <cell r="O187" t="str">
            <v>P09141-20</v>
          </cell>
          <cell r="P187" t="str">
            <v>宮野医療器株式会社</v>
          </cell>
          <cell r="Q187" t="str">
            <v>今井様</v>
          </cell>
          <cell r="R187" t="str">
            <v>〒630-8453　奈良県奈良市西九条町2-10-6</v>
          </cell>
          <cell r="S187" t="str">
            <v>0742-64-4500</v>
          </cell>
          <cell r="T187" t="str">
            <v>0742-64-4502</v>
          </cell>
          <cell r="U187" t="str">
            <v>市立奈良病院　総合診療科</v>
          </cell>
          <cell r="V187" t="str">
            <v>-</v>
          </cell>
          <cell r="W187" t="str">
            <v>総合診療科</v>
          </cell>
          <cell r="X187" t="str">
            <v>0742-24-1251</v>
          </cell>
          <cell r="Y187" t="str">
            <v>〒630-8305　奈良県奈良市東紀寺町1-50-1</v>
          </cell>
          <cell r="AA187" t="str">
            <v>P19060-02</v>
          </cell>
          <cell r="AB187" t="str">
            <v/>
          </cell>
          <cell r="AC187" t="str">
            <v/>
          </cell>
          <cell r="AD187" t="str">
            <v/>
          </cell>
          <cell r="AE187" t="str">
            <v/>
          </cell>
          <cell r="AF187" t="str">
            <v/>
          </cell>
          <cell r="AG187" t="str">
            <v/>
          </cell>
          <cell r="AH187" t="str">
            <v/>
          </cell>
          <cell r="AI187" t="str">
            <v/>
          </cell>
          <cell r="AJ187" t="str">
            <v/>
          </cell>
          <cell r="AK187" t="str">
            <v>MAIN PCBA, M-Turbo</v>
          </cell>
          <cell r="AL187" t="str">
            <v/>
          </cell>
          <cell r="AM187" t="str">
            <v/>
          </cell>
          <cell r="AN187" t="str">
            <v/>
          </cell>
          <cell r="AO187" t="str">
            <v/>
          </cell>
          <cell r="AP187" t="str">
            <v/>
          </cell>
          <cell r="AQ187" t="str">
            <v/>
          </cell>
          <cell r="AR187" t="str">
            <v/>
          </cell>
          <cell r="AS187" t="str">
            <v/>
          </cell>
          <cell r="AT187" t="str">
            <v/>
          </cell>
          <cell r="AU187">
            <v>40575</v>
          </cell>
        </row>
        <row r="188">
          <cell r="A188" t="str">
            <v>S16-0185</v>
          </cell>
          <cell r="B188" t="str">
            <v>三重中央医療センター_0185 (2)</v>
          </cell>
          <cell r="C188" t="str">
            <v>SR#</v>
          </cell>
          <cell r="D188" t="str">
            <v>2016/03/04-01</v>
          </cell>
          <cell r="E188" t="str">
            <v>有償</v>
          </cell>
          <cell r="F188">
            <v>42437</v>
          </cell>
          <cell r="G188">
            <v>42437</v>
          </cell>
          <cell r="H188">
            <v>42536</v>
          </cell>
          <cell r="I188" t="str">
            <v>不明</v>
          </cell>
          <cell r="K188" t="str">
            <v>馬屋原</v>
          </cell>
          <cell r="L188">
            <v>3</v>
          </cell>
          <cell r="M188">
            <v>180</v>
          </cell>
          <cell r="N188" t="str">
            <v>01J3VV</v>
          </cell>
          <cell r="O188" t="str">
            <v>P01102-01</v>
          </cell>
          <cell r="P188" t="str">
            <v>中辻医科器械株式会社</v>
          </cell>
          <cell r="Q188" t="str">
            <v>米川様　→　佐藤様</v>
          </cell>
          <cell r="R188" t="str">
            <v>〒514-0816　三重県津市高茶屋上野町1336-1</v>
          </cell>
          <cell r="S188" t="str">
            <v>059-234-2600</v>
          </cell>
          <cell r="T188" t="str">
            <v>059-234-2603</v>
          </cell>
          <cell r="U188" t="str">
            <v>三重中央医療センター</v>
          </cell>
          <cell r="V188" t="str">
            <v>-</v>
          </cell>
          <cell r="W188" t="str">
            <v>呼吸器病棟（7F棟)</v>
          </cell>
          <cell r="X188" t="str">
            <v>059-259-1211</v>
          </cell>
          <cell r="Y188" t="str">
            <v>〒514-1101　三重県津市久居明神町2158-5</v>
          </cell>
          <cell r="AA188" t="str">
            <v>P00364</v>
          </cell>
          <cell r="AB188" t="str">
            <v>P00611</v>
          </cell>
          <cell r="AC188" t="str">
            <v>P00343</v>
          </cell>
          <cell r="AD188" t="str">
            <v>P00104</v>
          </cell>
          <cell r="AE188" t="str">
            <v>P01213</v>
          </cell>
          <cell r="AF188" t="str">
            <v/>
          </cell>
          <cell r="AG188" t="str">
            <v/>
          </cell>
          <cell r="AH188" t="str">
            <v/>
          </cell>
          <cell r="AI188" t="str">
            <v/>
          </cell>
          <cell r="AJ188" t="str">
            <v/>
          </cell>
          <cell r="AK188" t="str">
            <v>CONNECTOR, INTERPOSER</v>
          </cell>
          <cell r="AL188" t="str">
            <v>ASSEMBLY, FLEX CIRCUIT, FRAME</v>
          </cell>
          <cell r="AM188" t="str">
            <v>HINGE, DISPLAY</v>
          </cell>
          <cell r="AN188" t="str">
            <v>KEY, ON/OFF</v>
          </cell>
          <cell r="AO188" t="str">
            <v>FLEX CIRCUIT, FAB, C1 DISPLAY</v>
          </cell>
          <cell r="AP188" t="str">
            <v/>
          </cell>
          <cell r="AQ188" t="str">
            <v/>
          </cell>
          <cell r="AR188" t="str">
            <v/>
          </cell>
          <cell r="AS188" t="str">
            <v/>
          </cell>
          <cell r="AT188" t="str">
            <v/>
          </cell>
          <cell r="AU188">
            <v>36586</v>
          </cell>
        </row>
        <row r="189">
          <cell r="A189" t="str">
            <v>S16-0186</v>
          </cell>
          <cell r="B189" t="str">
            <v>河西田林病院_0186 (2)</v>
          </cell>
          <cell r="C189" t="str">
            <v>SR#4193201</v>
          </cell>
          <cell r="D189" t="str">
            <v>-</v>
          </cell>
          <cell r="E189" t="str">
            <v>無償</v>
          </cell>
          <cell r="F189">
            <v>42437</v>
          </cell>
          <cell r="G189">
            <v>42437</v>
          </cell>
          <cell r="H189">
            <v>42485</v>
          </cell>
          <cell r="I189">
            <v>41760</v>
          </cell>
          <cell r="K189" t="str">
            <v>梶田</v>
          </cell>
          <cell r="L189">
            <v>3</v>
          </cell>
          <cell r="M189" t="str">
            <v>NanoMaxx</v>
          </cell>
          <cell r="N189" t="str">
            <v>03W007</v>
          </cell>
          <cell r="O189" t="str">
            <v>P12700-06</v>
          </cell>
          <cell r="P189" t="str">
            <v>日本コヴィディエン株式会社　大阪営業所</v>
          </cell>
          <cell r="Q189" t="str">
            <v>道本様</v>
          </cell>
          <cell r="R189" t="str">
            <v>〒108-0075  東京都港区港南一丁目2番70号　品川シーズンテラス　22F</v>
          </cell>
          <cell r="S189" t="str">
            <v>03-6774-4629</v>
          </cell>
          <cell r="T189" t="str">
            <v>03-6774-4740</v>
          </cell>
          <cell r="U189" t="str">
            <v>青松会　河西田村病院</v>
          </cell>
          <cell r="V189" t="str">
            <v>-</v>
          </cell>
          <cell r="W189" t="str">
            <v>-</v>
          </cell>
          <cell r="X189" t="str">
            <v>073-455-1015</v>
          </cell>
          <cell r="Y189" t="str">
            <v>〒640-8413　和歌山県和歌山市島橋東の丁1-11</v>
          </cell>
          <cell r="AA189" t="str">
            <v>P12718-02</v>
          </cell>
          <cell r="AB189" t="str">
            <v>P12745-01</v>
          </cell>
          <cell r="AC189" t="str">
            <v>P12717-01</v>
          </cell>
          <cell r="AD189" t="str">
            <v/>
          </cell>
          <cell r="AE189" t="str">
            <v/>
          </cell>
          <cell r="AF189" t="str">
            <v/>
          </cell>
          <cell r="AG189" t="str">
            <v/>
          </cell>
          <cell r="AH189" t="str">
            <v/>
          </cell>
          <cell r="AI189" t="str">
            <v/>
          </cell>
          <cell r="AJ189" t="str">
            <v/>
          </cell>
          <cell r="AK189" t="str">
            <v>SERVICE ASSEMBLY, BACK END PCB, NANOMAXX</v>
          </cell>
          <cell r="AL189" t="str">
            <v>SERVICE ASSEMBLY, POWER SUPPLY PCB, NANOMAXX</v>
          </cell>
          <cell r="AM189" t="str">
            <v>SERVICE ASSEMBLY, FRONT END PCB, NANOMAXX</v>
          </cell>
          <cell r="AN189" t="str">
            <v/>
          </cell>
          <cell r="AO189" t="str">
            <v/>
          </cell>
          <cell r="AP189" t="str">
            <v/>
          </cell>
          <cell r="AQ189" t="str">
            <v/>
          </cell>
          <cell r="AR189" t="str">
            <v/>
          </cell>
          <cell r="AS189" t="str">
            <v/>
          </cell>
          <cell r="AT189" t="str">
            <v/>
          </cell>
          <cell r="AU189">
            <v>41579</v>
          </cell>
        </row>
        <row r="190">
          <cell r="A190" t="str">
            <v>S16-0187</v>
          </cell>
          <cell r="B190" t="str">
            <v>相澤病院_0187 (2)</v>
          </cell>
          <cell r="C190" t="str">
            <v>SR#不要</v>
          </cell>
          <cell r="D190" t="str">
            <v>-</v>
          </cell>
          <cell r="E190" t="str">
            <v/>
          </cell>
          <cell r="F190">
            <v>42437</v>
          </cell>
          <cell r="G190">
            <v>42437</v>
          </cell>
          <cell r="H190">
            <v>42669</v>
          </cell>
          <cell r="I190" t="str">
            <v>不明</v>
          </cell>
          <cell r="K190" t="str">
            <v>高橋</v>
          </cell>
          <cell r="L190">
            <v>3</v>
          </cell>
          <cell r="M190" t="str">
            <v>iLook25</v>
          </cell>
          <cell r="N190" t="str">
            <v>032B31</v>
          </cell>
          <cell r="O190" t="str">
            <v>P04303-01</v>
          </cell>
          <cell r="P190" t="str">
            <v>日本コヴィディエン株式会社　北関東営業所</v>
          </cell>
          <cell r="Q190" t="str">
            <v>福岡様</v>
          </cell>
          <cell r="R190" t="str">
            <v>〒108-0075  東京都港区港南一丁目2番70号　品川シーズンテラス　22F</v>
          </cell>
          <cell r="S190" t="str">
            <v>03-5717-0517</v>
          </cell>
          <cell r="T190" t="str">
            <v>03-5717-0507</v>
          </cell>
          <cell r="U190" t="str">
            <v>相澤病院</v>
          </cell>
          <cell r="V190" t="str">
            <v>-</v>
          </cell>
          <cell r="W190" t="str">
            <v>-</v>
          </cell>
          <cell r="X190" t="str">
            <v>0263-33-8600</v>
          </cell>
          <cell r="Y190" t="str">
            <v>〒390-8510　長野県松本市本庄2-5-1</v>
          </cell>
          <cell r="AA190" t="str">
            <v>P03157-02</v>
          </cell>
          <cell r="AB190" t="str">
            <v/>
          </cell>
          <cell r="AC190" t="str">
            <v/>
          </cell>
          <cell r="AD190" t="str">
            <v/>
          </cell>
          <cell r="AE190" t="str">
            <v/>
          </cell>
          <cell r="AF190" t="str">
            <v/>
          </cell>
          <cell r="AG190" t="str">
            <v/>
          </cell>
          <cell r="AH190" t="str">
            <v/>
          </cell>
          <cell r="AI190" t="str">
            <v/>
          </cell>
          <cell r="AJ190" t="str">
            <v/>
          </cell>
          <cell r="AK190" t="str">
            <v>SERVICE ASSEMBLY, L25 TRANSDUCER, ILOOK</v>
          </cell>
          <cell r="AL190" t="str">
            <v/>
          </cell>
          <cell r="AM190" t="str">
            <v/>
          </cell>
          <cell r="AN190" t="str">
            <v/>
          </cell>
          <cell r="AO190" t="str">
            <v/>
          </cell>
          <cell r="AP190" t="str">
            <v/>
          </cell>
          <cell r="AQ190" t="str">
            <v/>
          </cell>
          <cell r="AR190" t="str">
            <v/>
          </cell>
          <cell r="AS190" t="str">
            <v/>
          </cell>
          <cell r="AT190" t="str">
            <v/>
          </cell>
          <cell r="AU190">
            <v>38261</v>
          </cell>
        </row>
        <row r="191">
          <cell r="A191" t="str">
            <v>S16-0188</v>
          </cell>
          <cell r="B191" t="str">
            <v>湘南藤沢徳州会病院1_0188 (2)</v>
          </cell>
          <cell r="C191" t="str">
            <v>SR#不要</v>
          </cell>
          <cell r="D191" t="str">
            <v>-</v>
          </cell>
          <cell r="E191" t="str">
            <v>有償</v>
          </cell>
          <cell r="F191">
            <v>42439</v>
          </cell>
          <cell r="G191">
            <v>42439</v>
          </cell>
          <cell r="H191">
            <v>42464</v>
          </cell>
          <cell r="I191">
            <v>39716</v>
          </cell>
          <cell r="K191" t="str">
            <v>-</v>
          </cell>
          <cell r="L191" t="str">
            <v>-</v>
          </cell>
          <cell r="M191" t="str">
            <v>iLook25</v>
          </cell>
          <cell r="N191" t="str">
            <v>03B4FJ</v>
          </cell>
          <cell r="O191" t="str">
            <v>P04303-02</v>
          </cell>
          <cell r="P191" t="str">
            <v>日本コヴィディエン株式会社</v>
          </cell>
          <cell r="Q191" t="str">
            <v>大山様</v>
          </cell>
          <cell r="R191" t="str">
            <v>〒108-0075  東京都港区港南一丁目2番70号　品川シーズンテラス　22F</v>
          </cell>
          <cell r="S191" t="str">
            <v>03-6774-4629</v>
          </cell>
          <cell r="T191" t="str">
            <v>03-6774-4740</v>
          </cell>
          <cell r="U191" t="str">
            <v>湘南徳洲会病院1</v>
          </cell>
          <cell r="V191" t="str">
            <v>-</v>
          </cell>
          <cell r="W191" t="str">
            <v>-</v>
          </cell>
          <cell r="X191" t="str">
            <v>0466-35-1177</v>
          </cell>
          <cell r="Y191" t="str">
            <v>〒251-0041　神奈川県藤沢市辻堂神台1-5-1</v>
          </cell>
          <cell r="AA191" t="str">
            <v/>
          </cell>
          <cell r="AB191" t="str">
            <v/>
          </cell>
          <cell r="AC191" t="str">
            <v/>
          </cell>
          <cell r="AD191" t="str">
            <v/>
          </cell>
          <cell r="AE191" t="str">
            <v/>
          </cell>
          <cell r="AF191" t="str">
            <v/>
          </cell>
          <cell r="AG191" t="str">
            <v/>
          </cell>
          <cell r="AH191" t="str">
            <v/>
          </cell>
          <cell r="AI191" t="str">
            <v/>
          </cell>
          <cell r="AJ191" t="str">
            <v/>
          </cell>
          <cell r="AK191" t="str">
            <v/>
          </cell>
          <cell r="AL191" t="str">
            <v/>
          </cell>
          <cell r="AM191" t="str">
            <v/>
          </cell>
          <cell r="AN191" t="str">
            <v/>
          </cell>
          <cell r="AO191" t="str">
            <v/>
          </cell>
          <cell r="AP191" t="str">
            <v/>
          </cell>
          <cell r="AQ191" t="str">
            <v/>
          </cell>
          <cell r="AR191" t="str">
            <v/>
          </cell>
          <cell r="AS191" t="str">
            <v/>
          </cell>
          <cell r="AT191" t="str">
            <v/>
          </cell>
          <cell r="AU191">
            <v>39630</v>
          </cell>
        </row>
        <row r="192">
          <cell r="A192" t="str">
            <v>S16-0189</v>
          </cell>
          <cell r="B192" t="str">
            <v>湘南藤沢徳州会病院2_0189 (2)</v>
          </cell>
          <cell r="C192" t="str">
            <v>SR#不要</v>
          </cell>
          <cell r="D192" t="str">
            <v>-</v>
          </cell>
          <cell r="E192" t="str">
            <v>有償</v>
          </cell>
          <cell r="F192">
            <v>42439</v>
          </cell>
          <cell r="G192">
            <v>42439</v>
          </cell>
          <cell r="H192">
            <v>42464</v>
          </cell>
          <cell r="I192">
            <v>38967</v>
          </cell>
          <cell r="K192" t="str">
            <v>-</v>
          </cell>
          <cell r="L192" t="str">
            <v>-</v>
          </cell>
          <cell r="M192" t="str">
            <v>iLook25</v>
          </cell>
          <cell r="N192" t="str">
            <v>0359WR</v>
          </cell>
          <cell r="O192" t="str">
            <v>P04303-01</v>
          </cell>
          <cell r="P192" t="str">
            <v>日本コヴィディエン株式会社</v>
          </cell>
          <cell r="Q192" t="str">
            <v>大山様</v>
          </cell>
          <cell r="R192" t="str">
            <v>〒108-0075  東京都港区港南一丁目2番70号　品川シーズンテラス　22F</v>
          </cell>
          <cell r="S192" t="str">
            <v>03-6774-4629</v>
          </cell>
          <cell r="T192" t="str">
            <v>03-6774-4740</v>
          </cell>
          <cell r="U192" t="str">
            <v>湘南藤沢徳州会病院2</v>
          </cell>
          <cell r="V192" t="str">
            <v>-</v>
          </cell>
          <cell r="W192" t="str">
            <v>-</v>
          </cell>
          <cell r="X192" t="str">
            <v>0466-35-1177</v>
          </cell>
          <cell r="Y192" t="str">
            <v>〒251-0041　神奈川県藤沢市辻堂神台1-5-1</v>
          </cell>
          <cell r="AA192" t="str">
            <v/>
          </cell>
          <cell r="AB192" t="str">
            <v/>
          </cell>
          <cell r="AC192" t="str">
            <v/>
          </cell>
          <cell r="AD192" t="str">
            <v/>
          </cell>
          <cell r="AE192" t="str">
            <v/>
          </cell>
          <cell r="AF192" t="str">
            <v/>
          </cell>
          <cell r="AG192" t="str">
            <v/>
          </cell>
          <cell r="AH192" t="str">
            <v/>
          </cell>
          <cell r="AI192" t="str">
            <v/>
          </cell>
          <cell r="AJ192" t="str">
            <v/>
          </cell>
          <cell r="AK192" t="str">
            <v/>
          </cell>
          <cell r="AL192" t="str">
            <v/>
          </cell>
          <cell r="AM192" t="str">
            <v/>
          </cell>
          <cell r="AN192" t="str">
            <v/>
          </cell>
          <cell r="AO192" t="str">
            <v/>
          </cell>
          <cell r="AP192" t="str">
            <v/>
          </cell>
          <cell r="AQ192" t="str">
            <v/>
          </cell>
          <cell r="AR192" t="str">
            <v/>
          </cell>
          <cell r="AS192" t="str">
            <v/>
          </cell>
          <cell r="AT192" t="str">
            <v/>
          </cell>
          <cell r="AU192">
            <v>38718</v>
          </cell>
        </row>
        <row r="193">
          <cell r="A193" t="str">
            <v>S16-0190</v>
          </cell>
          <cell r="B193" t="str">
            <v>東京医科大学病院_0190</v>
          </cell>
          <cell r="C193" t="str">
            <v>SR#不要</v>
          </cell>
          <cell r="D193" t="str">
            <v>-</v>
          </cell>
          <cell r="E193" t="str">
            <v/>
          </cell>
          <cell r="F193">
            <v>42439</v>
          </cell>
          <cell r="G193">
            <v>42439</v>
          </cell>
          <cell r="H193">
            <v>42472</v>
          </cell>
          <cell r="I193">
            <v>38702</v>
          </cell>
          <cell r="K193" t="str">
            <v>-</v>
          </cell>
          <cell r="L193" t="str">
            <v>-</v>
          </cell>
          <cell r="M193" t="str">
            <v>iLook25</v>
          </cell>
          <cell r="N193" t="str">
            <v>033QNF</v>
          </cell>
          <cell r="O193" t="str">
            <v>P04303-01</v>
          </cell>
          <cell r="P193" t="str">
            <v>日本コヴィディエン株式会社　東京第一営業所</v>
          </cell>
          <cell r="Q193" t="str">
            <v>岩田様</v>
          </cell>
          <cell r="R193" t="str">
            <v>〒108-0075  東京都港区港南一丁目2番70号　品川シーズンテラス　22F</v>
          </cell>
          <cell r="S193" t="str">
            <v>03-6774-4629</v>
          </cell>
          <cell r="T193" t="str">
            <v>03-6774-4740</v>
          </cell>
          <cell r="U193" t="str">
            <v>東京医科大学病院</v>
          </cell>
          <cell r="V193" t="str">
            <v>-</v>
          </cell>
          <cell r="W193" t="str">
            <v>-</v>
          </cell>
          <cell r="X193" t="str">
            <v>03-3342-6111</v>
          </cell>
          <cell r="Y193" t="str">
            <v>〒160-0023　東京都新宿区西新宿6-7-1</v>
          </cell>
          <cell r="AA193" t="str">
            <v/>
          </cell>
          <cell r="AB193" t="str">
            <v/>
          </cell>
          <cell r="AC193" t="str">
            <v/>
          </cell>
          <cell r="AD193" t="str">
            <v/>
          </cell>
          <cell r="AE193" t="str">
            <v/>
          </cell>
          <cell r="AF193" t="str">
            <v/>
          </cell>
          <cell r="AG193" t="str">
            <v/>
          </cell>
          <cell r="AH193" t="str">
            <v/>
          </cell>
          <cell r="AI193" t="str">
            <v/>
          </cell>
          <cell r="AJ193" t="str">
            <v/>
          </cell>
          <cell r="AK193" t="str">
            <v/>
          </cell>
          <cell r="AL193" t="str">
            <v/>
          </cell>
          <cell r="AM193" t="str">
            <v/>
          </cell>
          <cell r="AN193" t="str">
            <v/>
          </cell>
          <cell r="AO193" t="str">
            <v/>
          </cell>
          <cell r="AP193" t="str">
            <v/>
          </cell>
          <cell r="AQ193" t="str">
            <v/>
          </cell>
          <cell r="AR193" t="str">
            <v/>
          </cell>
          <cell r="AS193" t="str">
            <v/>
          </cell>
          <cell r="AT193" t="str">
            <v/>
          </cell>
          <cell r="AU193">
            <v>38718</v>
          </cell>
        </row>
        <row r="194">
          <cell r="A194" t="str">
            <v>S16-0191</v>
          </cell>
          <cell r="B194" t="str">
            <v>新潟市民病院_0191 (2)</v>
          </cell>
          <cell r="C194" t="str">
            <v>SR#不要</v>
          </cell>
          <cell r="D194" t="str">
            <v>2016/02/19-06</v>
          </cell>
          <cell r="E194" t="str">
            <v>有償</v>
          </cell>
          <cell r="F194">
            <v>42440</v>
          </cell>
          <cell r="G194">
            <v>42440</v>
          </cell>
          <cell r="H194">
            <v>42473</v>
          </cell>
          <cell r="I194" t="str">
            <v>不明</v>
          </cell>
          <cell r="K194" t="str">
            <v>梶田</v>
          </cell>
          <cell r="L194">
            <v>3</v>
          </cell>
          <cell r="M194" t="str">
            <v>UP-897MD</v>
          </cell>
          <cell r="N194" t="str">
            <v>33374</v>
          </cell>
          <cell r="O194" t="str">
            <v>―</v>
          </cell>
          <cell r="P194" t="str">
            <v>源川医科器械株式会社　商品センター</v>
          </cell>
          <cell r="Q194" t="str">
            <v>五十嵐様</v>
          </cell>
          <cell r="R194" t="str">
            <v>〒950-0141　新潟県新潟市江南区亀田工業団地2-2528-38</v>
          </cell>
          <cell r="S194" t="str">
            <v>025-385-8303</v>
          </cell>
          <cell r="T194" t="str">
            <v>025-385-8305</v>
          </cell>
          <cell r="U194" t="str">
            <v>新潟市民病院　乳腺外来</v>
          </cell>
          <cell r="V194" t="str">
            <v>-</v>
          </cell>
          <cell r="W194" t="str">
            <v>乳腺外来</v>
          </cell>
          <cell r="X194" t="str">
            <v>025-281-5151</v>
          </cell>
          <cell r="Y194" t="str">
            <v>〒950−1197　新潟県新潟市中央区鐘木463-7</v>
          </cell>
          <cell r="AA194" t="str">
            <v/>
          </cell>
          <cell r="AB194" t="str">
            <v/>
          </cell>
          <cell r="AC194" t="str">
            <v/>
          </cell>
          <cell r="AD194" t="str">
            <v/>
          </cell>
          <cell r="AE194" t="str">
            <v/>
          </cell>
          <cell r="AF194" t="str">
            <v/>
          </cell>
          <cell r="AG194" t="str">
            <v/>
          </cell>
          <cell r="AH194" t="str">
            <v/>
          </cell>
          <cell r="AI194" t="str">
            <v/>
          </cell>
          <cell r="AJ194" t="str">
            <v/>
          </cell>
          <cell r="AK194" t="str">
            <v/>
          </cell>
          <cell r="AL194" t="str">
            <v/>
          </cell>
          <cell r="AM194" t="str">
            <v/>
          </cell>
          <cell r="AN194" t="str">
            <v/>
          </cell>
          <cell r="AO194" t="str">
            <v/>
          </cell>
          <cell r="AP194" t="str">
            <v/>
          </cell>
          <cell r="AQ194" t="str">
            <v/>
          </cell>
          <cell r="AR194" t="str">
            <v/>
          </cell>
          <cell r="AS194" t="str">
            <v/>
          </cell>
          <cell r="AT194" t="str">
            <v/>
          </cell>
          <cell r="AU194" t="str">
            <v>―</v>
          </cell>
        </row>
        <row r="195">
          <cell r="A195" t="str">
            <v>S16-0192</v>
          </cell>
          <cell r="B195" t="str">
            <v>熊本赤十字病院_0192 (2)</v>
          </cell>
          <cell r="C195" t="str">
            <v>SR#4200413</v>
          </cell>
          <cell r="D195" t="str">
            <v>2016/03/03-02</v>
          </cell>
          <cell r="E195" t="str">
            <v>有償</v>
          </cell>
          <cell r="F195">
            <v>42440</v>
          </cell>
          <cell r="G195">
            <v>42440</v>
          </cell>
          <cell r="H195">
            <v>42454</v>
          </cell>
          <cell r="I195" t="str">
            <v>不明</v>
          </cell>
          <cell r="K195" t="str">
            <v>梶田</v>
          </cell>
          <cell r="L195">
            <v>3</v>
          </cell>
          <cell r="M195" t="str">
            <v>180Plus</v>
          </cell>
          <cell r="N195" t="str">
            <v>03C7DC</v>
          </cell>
          <cell r="O195" t="str">
            <v>P04326-05</v>
          </cell>
          <cell r="P195" t="str">
            <v>山下医科器械株式会社　熊本支店</v>
          </cell>
          <cell r="Q195" t="str">
            <v>古賀様</v>
          </cell>
          <cell r="R195" t="str">
            <v>〒860-0831 熊本県熊本市中央区八王寺町39-12</v>
          </cell>
          <cell r="S195" t="str">
            <v>096-378-5911</v>
          </cell>
          <cell r="T195" t="str">
            <v>096-378-8622</v>
          </cell>
          <cell r="U195" t="str">
            <v>熊本赤十字病院</v>
          </cell>
          <cell r="V195" t="str">
            <v>-</v>
          </cell>
          <cell r="W195" t="str">
            <v>-</v>
          </cell>
          <cell r="X195" t="str">
            <v>096-384-2111</v>
          </cell>
          <cell r="Y195" t="str">
            <v xml:space="preserve">〒861-8520 熊本県熊本市東区長嶺南2-1-1
</v>
          </cell>
          <cell r="AA195" t="str">
            <v>Ｐ00538-03</v>
          </cell>
          <cell r="AB195" t="str">
            <v>Ｐ00343-01</v>
          </cell>
          <cell r="AC195" t="str">
            <v>P00104-02</v>
          </cell>
          <cell r="AD195" t="str">
            <v>P01213-01</v>
          </cell>
          <cell r="AE195" t="str">
            <v/>
          </cell>
          <cell r="AF195" t="str">
            <v/>
          </cell>
          <cell r="AG195" t="str">
            <v/>
          </cell>
          <cell r="AH195" t="str">
            <v/>
          </cell>
          <cell r="AI195" t="str">
            <v/>
          </cell>
          <cell r="AJ195" t="str">
            <v/>
          </cell>
          <cell r="AK195" t="str">
            <v>POWER SUPPLY</v>
          </cell>
          <cell r="AL195" t="str">
            <v>HINGE, DISPLAY ×2</v>
          </cell>
          <cell r="AM195" t="str">
            <v>KEY, ON/OFF</v>
          </cell>
          <cell r="AN195" t="str">
            <v>FLEX CIRCUIT, FAB, C1 DISPLAY</v>
          </cell>
          <cell r="AO195" t="str">
            <v/>
          </cell>
          <cell r="AP195" t="str">
            <v/>
          </cell>
          <cell r="AQ195" t="str">
            <v/>
          </cell>
          <cell r="AR195" t="str">
            <v/>
          </cell>
          <cell r="AS195" t="str">
            <v/>
          </cell>
          <cell r="AT195" t="str">
            <v/>
          </cell>
          <cell r="AU195">
            <v>39539</v>
          </cell>
        </row>
        <row r="196">
          <cell r="A196" t="str">
            <v>S16-0193</v>
          </cell>
          <cell r="B196" t="str">
            <v>ソニックジャパンデモ機_0193 (2)</v>
          </cell>
          <cell r="C196" t="str">
            <v>SR#</v>
          </cell>
          <cell r="D196" t="str">
            <v>-</v>
          </cell>
          <cell r="E196" t="str">
            <v>有償</v>
          </cell>
          <cell r="F196">
            <v>42443</v>
          </cell>
          <cell r="G196">
            <v>42443</v>
          </cell>
          <cell r="H196">
            <v>42482</v>
          </cell>
          <cell r="I196" t="str">
            <v>不明</v>
          </cell>
          <cell r="K196" t="str">
            <v>梶田</v>
          </cell>
          <cell r="L196">
            <v>3</v>
          </cell>
          <cell r="M196" t="str">
            <v>S-Nerve</v>
          </cell>
          <cell r="N196" t="str">
            <v>03Q9BN</v>
          </cell>
          <cell r="O196" t="str">
            <v>P12085-10</v>
          </cell>
          <cell r="P196" t="str">
            <v>ソニックジャパン株式会社</v>
          </cell>
          <cell r="Q196" t="str">
            <v>茅野様</v>
          </cell>
          <cell r="R196" t="str">
            <v>〒113-0033　東京都文京区本郷2-25-5　角地ビル4F</v>
          </cell>
          <cell r="S196" t="str">
            <v>03-3815-1400</v>
          </cell>
          <cell r="T196" t="str">
            <v>03-3815-1408</v>
          </cell>
          <cell r="U196" t="str">
            <v>SJデモ機</v>
          </cell>
          <cell r="V196" t="str">
            <v>-</v>
          </cell>
          <cell r="W196" t="str">
            <v>-</v>
          </cell>
          <cell r="X196" t="str">
            <v>-</v>
          </cell>
          <cell r="Y196" t="str">
            <v>-</v>
          </cell>
          <cell r="AA196" t="str">
            <v>P07753-20</v>
          </cell>
          <cell r="AB196" t="str">
            <v/>
          </cell>
          <cell r="AC196" t="str">
            <v/>
          </cell>
          <cell r="AD196" t="str">
            <v/>
          </cell>
          <cell r="AE196" t="str">
            <v/>
          </cell>
          <cell r="AF196" t="str">
            <v/>
          </cell>
          <cell r="AG196" t="str">
            <v/>
          </cell>
          <cell r="AH196" t="str">
            <v/>
          </cell>
          <cell r="AI196" t="str">
            <v/>
          </cell>
          <cell r="AJ196" t="str">
            <v/>
          </cell>
          <cell r="AK196" t="str">
            <v>BATTERY PACK, 6 CELL, 11.25V, 5.2 AMP-HOUR, LITHIUM-ION, TURBO S</v>
          </cell>
          <cell r="AL196" t="str">
            <v/>
          </cell>
          <cell r="AM196" t="str">
            <v/>
          </cell>
          <cell r="AN196" t="str">
            <v/>
          </cell>
          <cell r="AO196" t="str">
            <v/>
          </cell>
          <cell r="AP196" t="str">
            <v/>
          </cell>
          <cell r="AQ196" t="str">
            <v/>
          </cell>
          <cell r="AR196" t="str">
            <v/>
          </cell>
          <cell r="AS196" t="str">
            <v/>
          </cell>
          <cell r="AT196" t="str">
            <v/>
          </cell>
          <cell r="AU196">
            <v>41030</v>
          </cell>
        </row>
        <row r="197">
          <cell r="A197" t="str">
            <v>S16-0194</v>
          </cell>
          <cell r="B197" t="str">
            <v>都立小児総合医療センター_0194 (2)</v>
          </cell>
          <cell r="C197" t="str">
            <v>SR#4194141</v>
          </cell>
          <cell r="D197" t="str">
            <v>2016/03/08-03</v>
          </cell>
          <cell r="E197" t="str">
            <v>無償</v>
          </cell>
          <cell r="F197">
            <v>42443</v>
          </cell>
          <cell r="G197">
            <v>42443</v>
          </cell>
          <cell r="H197">
            <v>42447</v>
          </cell>
          <cell r="I197" t="str">
            <v>不明</v>
          </cell>
          <cell r="K197" t="str">
            <v>梶田</v>
          </cell>
          <cell r="L197">
            <v>3</v>
          </cell>
          <cell r="M197" t="str">
            <v>EDGE</v>
          </cell>
          <cell r="N197" t="str">
            <v>03Z85L</v>
          </cell>
          <cell r="O197" t="str">
            <v>P16360-60</v>
          </cell>
          <cell r="P197" t="str">
            <v>富士フイルムメディカル株式会社　西東京営業所</v>
          </cell>
          <cell r="Q197" t="str">
            <v>菊池様</v>
          </cell>
          <cell r="R197" t="str">
            <v xml:space="preserve">〒190-0004　東京都立川市柏町2-7-11 </v>
          </cell>
          <cell r="S197" t="str">
            <v>042-538-0180</v>
          </cell>
          <cell r="T197" t="str">
            <v>042-538-0186</v>
          </cell>
          <cell r="U197" t="str">
            <v>都立小児総合医療センター</v>
          </cell>
          <cell r="V197" t="str">
            <v>-</v>
          </cell>
          <cell r="W197" t="str">
            <v>-</v>
          </cell>
          <cell r="X197" t="str">
            <v>042-300-5111</v>
          </cell>
          <cell r="Y197" t="str">
            <v>〒183-8561  東京都府中市武蔵台 2-8-29</v>
          </cell>
          <cell r="AA197" t="str">
            <v>P00163-01</v>
          </cell>
          <cell r="AB197" t="str">
            <v/>
          </cell>
          <cell r="AC197" t="str">
            <v/>
          </cell>
          <cell r="AD197" t="str">
            <v/>
          </cell>
          <cell r="AE197" t="str">
            <v/>
          </cell>
          <cell r="AF197" t="str">
            <v/>
          </cell>
          <cell r="AG197" t="str">
            <v/>
          </cell>
          <cell r="AH197" t="str">
            <v/>
          </cell>
          <cell r="AI197" t="str">
            <v/>
          </cell>
          <cell r="AJ197" t="str">
            <v/>
          </cell>
          <cell r="AK197" t="str">
            <v>BAT,3V,7MAH,BUTTON,LITH,RECHARG,PCB,ROHS</v>
          </cell>
          <cell r="AL197" t="str">
            <v/>
          </cell>
          <cell r="AM197" t="str">
            <v/>
          </cell>
          <cell r="AN197" t="str">
            <v/>
          </cell>
          <cell r="AO197" t="str">
            <v/>
          </cell>
          <cell r="AP197" t="str">
            <v/>
          </cell>
          <cell r="AQ197" t="str">
            <v/>
          </cell>
          <cell r="AR197" t="str">
            <v/>
          </cell>
          <cell r="AS197" t="str">
            <v/>
          </cell>
          <cell r="AT197" t="str">
            <v/>
          </cell>
          <cell r="AU197">
            <v>41944</v>
          </cell>
        </row>
        <row r="198">
          <cell r="A198" t="str">
            <v>S16-0195</v>
          </cell>
          <cell r="B198" t="str">
            <v>旭川医科大学病院_0195 (2)</v>
          </cell>
          <cell r="C198" t="str">
            <v>SR#</v>
          </cell>
          <cell r="D198" t="str">
            <v>2016/03/04-04</v>
          </cell>
          <cell r="E198" t="str">
            <v>有償</v>
          </cell>
          <cell r="F198">
            <v>42443</v>
          </cell>
          <cell r="G198">
            <v>42443</v>
          </cell>
          <cell r="H198">
            <v>42536</v>
          </cell>
          <cell r="I198" t="str">
            <v>不明</v>
          </cell>
          <cell r="K198" t="str">
            <v>馬屋原</v>
          </cell>
          <cell r="L198">
            <v>3</v>
          </cell>
          <cell r="M198" t="str">
            <v>180Ⅱ</v>
          </cell>
          <cell r="N198" t="str">
            <v>030HGF</v>
          </cell>
          <cell r="O198" t="str">
            <v>P02997-01</v>
          </cell>
          <cell r="P198" t="str">
            <v>株式会社竹山　旭川支店</v>
          </cell>
          <cell r="Q198" t="str">
            <v>中西様</v>
          </cell>
          <cell r="R198" t="str">
            <v>〒079-8402　北海道旭川市秋月2条2丁目5-22</v>
          </cell>
          <cell r="S198" t="str">
            <v>0166-73-3011</v>
          </cell>
          <cell r="T198" t="str">
            <v>0166-47-5311</v>
          </cell>
          <cell r="U198" t="str">
            <v>旭川医科大学病院</v>
          </cell>
          <cell r="V198" t="str">
            <v>田中師長</v>
          </cell>
          <cell r="W198" t="str">
            <v>6F東病棟</v>
          </cell>
          <cell r="X198" t="str">
            <v>0166-65-2111</v>
          </cell>
          <cell r="Y198" t="str">
            <v xml:space="preserve">〒078-8510　北海道旭川市緑が丘東2条1丁目1番1号 </v>
          </cell>
          <cell r="AA198" t="str">
            <v>P00104-02</v>
          </cell>
          <cell r="AB198" t="str">
            <v>P00343-01</v>
          </cell>
          <cell r="AC198" t="str">
            <v/>
          </cell>
          <cell r="AD198" t="str">
            <v/>
          </cell>
          <cell r="AE198" t="str">
            <v/>
          </cell>
          <cell r="AF198" t="str">
            <v/>
          </cell>
          <cell r="AG198" t="str">
            <v/>
          </cell>
          <cell r="AH198" t="str">
            <v/>
          </cell>
          <cell r="AI198" t="str">
            <v/>
          </cell>
          <cell r="AJ198" t="str">
            <v/>
          </cell>
          <cell r="AK198" t="str">
            <v>KEY, ON/OFF</v>
          </cell>
          <cell r="AL198" t="str">
            <v>HINGE, DISPLAY</v>
          </cell>
          <cell r="AM198" t="str">
            <v/>
          </cell>
          <cell r="AN198" t="str">
            <v/>
          </cell>
          <cell r="AO198" t="str">
            <v/>
          </cell>
          <cell r="AP198" t="str">
            <v/>
          </cell>
          <cell r="AQ198" t="str">
            <v/>
          </cell>
          <cell r="AR198" t="str">
            <v/>
          </cell>
          <cell r="AS198" t="str">
            <v/>
          </cell>
          <cell r="AT198" t="str">
            <v/>
          </cell>
          <cell r="AU198">
            <v>37500</v>
          </cell>
        </row>
        <row r="199">
          <cell r="A199" t="str">
            <v>S16-0196</v>
          </cell>
          <cell r="B199" t="str">
            <v>関西医科大学滝井病院_0196 (2)</v>
          </cell>
          <cell r="C199" t="str">
            <v>SR#</v>
          </cell>
          <cell r="D199" t="str">
            <v>-</v>
          </cell>
          <cell r="E199" t="str">
            <v>有償</v>
          </cell>
          <cell r="F199">
            <v>42443</v>
          </cell>
          <cell r="G199">
            <v>42443</v>
          </cell>
          <cell r="H199">
            <v>42471</v>
          </cell>
          <cell r="I199" t="str">
            <v>不明</v>
          </cell>
          <cell r="K199" t="str">
            <v>梶田</v>
          </cell>
          <cell r="L199" t="str">
            <v>-</v>
          </cell>
          <cell r="M199" t="str">
            <v>TiTAN</v>
          </cell>
          <cell r="N199" t="str">
            <v>0341TQ</v>
          </cell>
          <cell r="O199" t="str">
            <v>P04338-02</v>
          </cell>
          <cell r="P199" t="str">
            <v>株式会社城南メディカル</v>
          </cell>
          <cell r="Q199" t="str">
            <v>西田様</v>
          </cell>
          <cell r="R199" t="str">
            <v>〒601-8141 京都府京都市南区上鳥羽卯ノ花48-1</v>
          </cell>
          <cell r="S199" t="str">
            <v>075-691-6700</v>
          </cell>
          <cell r="T199" t="str">
            <v>075-691-1161</v>
          </cell>
          <cell r="U199" t="str">
            <v>関西医科大学滝井病院</v>
          </cell>
          <cell r="V199" t="str">
            <v>-</v>
          </cell>
          <cell r="W199" t="str">
            <v>-</v>
          </cell>
          <cell r="X199" t="str">
            <v>06-6992-1001</v>
          </cell>
          <cell r="Y199" t="str">
            <v>〒570-8507 大阪府守口市文園町10-15</v>
          </cell>
          <cell r="AA199" t="str">
            <v/>
          </cell>
          <cell r="AB199" t="str">
            <v/>
          </cell>
          <cell r="AC199" t="str">
            <v/>
          </cell>
          <cell r="AD199" t="str">
            <v/>
          </cell>
          <cell r="AE199" t="str">
            <v/>
          </cell>
          <cell r="AF199" t="str">
            <v/>
          </cell>
          <cell r="AG199" t="str">
            <v/>
          </cell>
          <cell r="AH199" t="str">
            <v/>
          </cell>
          <cell r="AI199" t="str">
            <v/>
          </cell>
          <cell r="AJ199" t="str">
            <v/>
          </cell>
          <cell r="AK199" t="str">
            <v/>
          </cell>
          <cell r="AL199" t="str">
            <v/>
          </cell>
          <cell r="AM199" t="str">
            <v/>
          </cell>
          <cell r="AN199" t="str">
            <v/>
          </cell>
          <cell r="AO199" t="str">
            <v/>
          </cell>
          <cell r="AP199" t="str">
            <v/>
          </cell>
          <cell r="AQ199" t="str">
            <v/>
          </cell>
          <cell r="AR199" t="str">
            <v/>
          </cell>
          <cell r="AS199" t="str">
            <v/>
          </cell>
          <cell r="AT199" t="str">
            <v/>
          </cell>
          <cell r="AU199">
            <v>38412</v>
          </cell>
        </row>
        <row r="200">
          <cell r="A200" t="str">
            <v>S16-0197</v>
          </cell>
          <cell r="B200" t="str">
            <v>麻見江ホスピタル_0197 (2)</v>
          </cell>
          <cell r="C200" t="str">
            <v>SR#</v>
          </cell>
          <cell r="D200" t="str">
            <v>2016/02/25-02</v>
          </cell>
          <cell r="E200" t="str">
            <v>有償</v>
          </cell>
          <cell r="F200">
            <v>42443</v>
          </cell>
          <cell r="G200">
            <v>42443</v>
          </cell>
          <cell r="H200">
            <v>42467</v>
          </cell>
          <cell r="I200">
            <v>40389</v>
          </cell>
          <cell r="K200" t="str">
            <v>梶田</v>
          </cell>
          <cell r="L200" t="str">
            <v>-</v>
          </cell>
          <cell r="M200" t="str">
            <v>MicroMaxx</v>
          </cell>
          <cell r="N200" t="str">
            <v>WK03NG</v>
          </cell>
          <cell r="O200" t="str">
            <v>P08063-05</v>
          </cell>
          <cell r="P200" t="str">
            <v>フクダ電子西関東販売株式会社</v>
          </cell>
          <cell r="Q200" t="str">
            <v>渡辺様</v>
          </cell>
          <cell r="R200" t="str">
            <v>〒336-0031　埼玉県さいたま市南区鹿手袋4-5-10</v>
          </cell>
          <cell r="S200" t="str">
            <v>048-710-2265</v>
          </cell>
          <cell r="T200" t="str">
            <v>048-710-2268</v>
          </cell>
          <cell r="U200" t="str">
            <v>麻見江ホスピタル</v>
          </cell>
          <cell r="V200" t="str">
            <v>山崎様</v>
          </cell>
          <cell r="W200" t="str">
            <v>総務</v>
          </cell>
          <cell r="X200" t="str">
            <v>049-296-1155</v>
          </cell>
          <cell r="Y200" t="str">
            <v>〒350-0302　埼玉県比企郡鳩山町大字大橋1066</v>
          </cell>
          <cell r="AA200" t="str">
            <v/>
          </cell>
          <cell r="AB200" t="str">
            <v/>
          </cell>
          <cell r="AC200" t="str">
            <v/>
          </cell>
          <cell r="AD200" t="str">
            <v/>
          </cell>
          <cell r="AE200" t="str">
            <v/>
          </cell>
          <cell r="AF200" t="str">
            <v/>
          </cell>
          <cell r="AG200" t="str">
            <v/>
          </cell>
          <cell r="AH200" t="str">
            <v/>
          </cell>
          <cell r="AI200" t="str">
            <v/>
          </cell>
          <cell r="AJ200" t="str">
            <v/>
          </cell>
          <cell r="AK200" t="str">
            <v/>
          </cell>
          <cell r="AL200" t="str">
            <v/>
          </cell>
          <cell r="AM200" t="str">
            <v/>
          </cell>
          <cell r="AN200" t="str">
            <v/>
          </cell>
          <cell r="AO200" t="str">
            <v/>
          </cell>
          <cell r="AP200" t="str">
            <v/>
          </cell>
          <cell r="AQ200" t="str">
            <v/>
          </cell>
          <cell r="AR200" t="str">
            <v/>
          </cell>
          <cell r="AS200" t="str">
            <v/>
          </cell>
          <cell r="AT200" t="str">
            <v/>
          </cell>
          <cell r="AU200">
            <v>40238</v>
          </cell>
        </row>
        <row r="201">
          <cell r="A201" t="str">
            <v>S16-0198</v>
          </cell>
          <cell r="B201" t="str">
            <v>コヴィディエンデモ機_0198 (2)</v>
          </cell>
          <cell r="C201" t="str">
            <v>SR#</v>
          </cell>
          <cell r="D201" t="str">
            <v>-</v>
          </cell>
          <cell r="E201" t="str">
            <v/>
          </cell>
          <cell r="F201">
            <v>42443</v>
          </cell>
          <cell r="G201">
            <v>42443</v>
          </cell>
          <cell r="H201">
            <v>42452</v>
          </cell>
          <cell r="I201" t="str">
            <v>不明</v>
          </cell>
          <cell r="K201" t="str">
            <v>梶田</v>
          </cell>
          <cell r="L201">
            <v>3</v>
          </cell>
          <cell r="M201" t="str">
            <v>iLook25</v>
          </cell>
          <cell r="N201" t="str">
            <v>0379YP</v>
          </cell>
          <cell r="O201" t="str">
            <v>P04303-02</v>
          </cell>
          <cell r="P201" t="str">
            <v>日本コヴィディエン株式会社　メディカルデバイスサービス課</v>
          </cell>
          <cell r="Q201" t="str">
            <v>坂井様</v>
          </cell>
          <cell r="R201" t="str">
            <v>〒108-0075　東京都港区港南一丁目2番70号　品川シーズンテラス　22F</v>
          </cell>
          <cell r="S201" t="str">
            <v>03-6774-4629</v>
          </cell>
          <cell r="T201" t="str">
            <v>03-6774-4740</v>
          </cell>
          <cell r="U201" t="str">
            <v>日本コヴィディエン株式会社 デモ機</v>
          </cell>
          <cell r="V201" t="str">
            <v>-</v>
          </cell>
          <cell r="W201" t="str">
            <v>-</v>
          </cell>
          <cell r="X201" t="str">
            <v>-</v>
          </cell>
          <cell r="Y201" t="str">
            <v>-</v>
          </cell>
          <cell r="AA201" t="str">
            <v>P01911-04</v>
          </cell>
          <cell r="AB201" t="str">
            <v/>
          </cell>
          <cell r="AC201" t="str">
            <v/>
          </cell>
          <cell r="AD201" t="str">
            <v/>
          </cell>
          <cell r="AE201" t="str">
            <v/>
          </cell>
          <cell r="AF201" t="str">
            <v/>
          </cell>
          <cell r="AG201" t="str">
            <v/>
          </cell>
          <cell r="AH201" t="str">
            <v/>
          </cell>
          <cell r="AI201" t="str">
            <v/>
          </cell>
          <cell r="AJ201" t="str">
            <v/>
          </cell>
          <cell r="AK201" t="str">
            <v>BATTERY PACK, 3 CELL, LITHIUM-ION, ILOOK, HIGH CAPACITY</v>
          </cell>
          <cell r="AL201" t="str">
            <v/>
          </cell>
          <cell r="AM201" t="str">
            <v/>
          </cell>
          <cell r="AN201" t="str">
            <v/>
          </cell>
          <cell r="AO201" t="str">
            <v/>
          </cell>
          <cell r="AP201" t="str">
            <v/>
          </cell>
          <cell r="AQ201" t="str">
            <v/>
          </cell>
          <cell r="AR201" t="str">
            <v/>
          </cell>
          <cell r="AS201" t="str">
            <v/>
          </cell>
          <cell r="AT201" t="str">
            <v/>
          </cell>
          <cell r="AU201">
            <v>38991</v>
          </cell>
        </row>
        <row r="202">
          <cell r="A202" t="str">
            <v>S16-0199</v>
          </cell>
          <cell r="B202" t="str">
            <v>立川病院_0199 (2)</v>
          </cell>
          <cell r="C202" t="str">
            <v>SR#不要</v>
          </cell>
          <cell r="D202" t="str">
            <v>-</v>
          </cell>
          <cell r="E202" t="str">
            <v/>
          </cell>
          <cell r="F202">
            <v>42443</v>
          </cell>
          <cell r="G202">
            <v>42443</v>
          </cell>
          <cell r="H202">
            <v>42468</v>
          </cell>
          <cell r="I202">
            <v>38887</v>
          </cell>
          <cell r="K202" t="str">
            <v>梶田</v>
          </cell>
          <cell r="L202">
            <v>3</v>
          </cell>
          <cell r="M202" t="str">
            <v>iLook25</v>
          </cell>
          <cell r="N202" t="str">
            <v>034WD9</v>
          </cell>
          <cell r="O202" t="str">
            <v>P04303-01</v>
          </cell>
          <cell r="P202" t="str">
            <v>日本コヴィディエン株式会社　東京第二営業所</v>
          </cell>
          <cell r="Q202" t="str">
            <v>久保様</v>
          </cell>
          <cell r="R202" t="str">
            <v>〒108-0075  東京都港区港南一丁目2番70号　品川シーズンテラス　22F</v>
          </cell>
          <cell r="S202" t="str">
            <v>03-6774-4629</v>
          </cell>
          <cell r="T202" t="str">
            <v>03-6774-4740</v>
          </cell>
          <cell r="U202" t="str">
            <v>立川病院</v>
          </cell>
          <cell r="V202" t="str">
            <v>-</v>
          </cell>
          <cell r="W202" t="str">
            <v>-</v>
          </cell>
          <cell r="X202" t="str">
            <v>042-523-3131</v>
          </cell>
          <cell r="Y202" t="str">
            <v>〒190-8531　東京都立川市錦町4-2-22</v>
          </cell>
          <cell r="Z202" t="str">
            <v/>
          </cell>
          <cell r="AA202" t="str">
            <v>P01139-07</v>
          </cell>
          <cell r="AB202" t="str">
            <v>P02347-02</v>
          </cell>
          <cell r="AC202" t="str">
            <v/>
          </cell>
          <cell r="AD202" t="str">
            <v/>
          </cell>
          <cell r="AE202" t="str">
            <v/>
          </cell>
          <cell r="AF202" t="str">
            <v/>
          </cell>
          <cell r="AG202" t="str">
            <v/>
          </cell>
          <cell r="AH202" t="str">
            <v/>
          </cell>
          <cell r="AI202" t="str">
            <v/>
          </cell>
          <cell r="AJ202" t="str">
            <v/>
          </cell>
          <cell r="AK202" t="str">
            <v>POWER SUPPLY / BATTERY CHARGER, ILOOK, TITAN, MMX</v>
          </cell>
          <cell r="AL202" t="str">
            <v>ASSEMBLY, PCB, ILOOK, DOCK CONNECTOR</v>
          </cell>
          <cell r="AM202" t="str">
            <v/>
          </cell>
          <cell r="AN202" t="str">
            <v/>
          </cell>
          <cell r="AO202" t="str">
            <v/>
          </cell>
          <cell r="AP202" t="str">
            <v/>
          </cell>
          <cell r="AQ202" t="str">
            <v/>
          </cell>
          <cell r="AR202" t="str">
            <v/>
          </cell>
          <cell r="AS202" t="str">
            <v/>
          </cell>
          <cell r="AT202" t="str">
            <v/>
          </cell>
          <cell r="AU202">
            <v>38565</v>
          </cell>
        </row>
        <row r="203">
          <cell r="A203" t="str">
            <v>S16-0200</v>
          </cell>
          <cell r="B203" t="str">
            <v>橋本市民病院_0200 (2)</v>
          </cell>
          <cell r="C203" t="str">
            <v>SR#不要</v>
          </cell>
          <cell r="D203" t="str">
            <v>2016/03/07-02</v>
          </cell>
          <cell r="E203" t="str">
            <v>有償</v>
          </cell>
          <cell r="F203">
            <v>42443</v>
          </cell>
          <cell r="G203">
            <v>42443</v>
          </cell>
          <cell r="H203">
            <v>42643</v>
          </cell>
          <cell r="I203" t="str">
            <v>不明</v>
          </cell>
          <cell r="K203" t="str">
            <v>-</v>
          </cell>
          <cell r="L203" t="str">
            <v>-</v>
          </cell>
          <cell r="M203" t="str">
            <v>180Plus</v>
          </cell>
          <cell r="N203" t="str">
            <v>0336M8</v>
          </cell>
          <cell r="O203" t="str">
            <v>P04326-03</v>
          </cell>
          <cell r="P203" t="str">
            <v>セイコーメディカル株式会社</v>
          </cell>
          <cell r="Q203" t="str">
            <v>東様</v>
          </cell>
          <cell r="R203" t="str">
            <v>〒640-8287 和歌山県和歌山市築港6丁目9番地の10</v>
          </cell>
          <cell r="S203" t="str">
            <v>073-435-2333</v>
          </cell>
          <cell r="T203" t="str">
            <v>073-435-2223</v>
          </cell>
          <cell r="U203" t="str">
            <v>橋本市民病院</v>
          </cell>
          <cell r="V203" t="str">
            <v>-</v>
          </cell>
          <cell r="W203" t="str">
            <v>-</v>
          </cell>
          <cell r="X203" t="str">
            <v>0736-37-1200</v>
          </cell>
          <cell r="Y203" t="str">
            <v>〒648-0005　和歌山県橋本市小峰台二丁目8番地の1</v>
          </cell>
          <cell r="AA203" t="str">
            <v/>
          </cell>
          <cell r="AB203" t="str">
            <v/>
          </cell>
          <cell r="AC203" t="str">
            <v/>
          </cell>
          <cell r="AD203" t="str">
            <v/>
          </cell>
          <cell r="AE203" t="str">
            <v/>
          </cell>
          <cell r="AF203" t="str">
            <v/>
          </cell>
          <cell r="AG203" t="str">
            <v/>
          </cell>
          <cell r="AH203" t="str">
            <v/>
          </cell>
          <cell r="AI203" t="str">
            <v/>
          </cell>
          <cell r="AJ203" t="str">
            <v/>
          </cell>
          <cell r="AK203" t="str">
            <v/>
          </cell>
          <cell r="AL203" t="str">
            <v/>
          </cell>
          <cell r="AM203" t="str">
            <v/>
          </cell>
          <cell r="AN203" t="str">
            <v/>
          </cell>
          <cell r="AO203" t="str">
            <v/>
          </cell>
          <cell r="AP203" t="str">
            <v/>
          </cell>
          <cell r="AQ203" t="str">
            <v/>
          </cell>
          <cell r="AR203" t="str">
            <v/>
          </cell>
          <cell r="AS203" t="str">
            <v/>
          </cell>
          <cell r="AT203" t="str">
            <v/>
          </cell>
          <cell r="AU203">
            <v>38261</v>
          </cell>
        </row>
        <row r="204">
          <cell r="A204" t="str">
            <v>S16-0201</v>
          </cell>
          <cell r="B204" t="str">
            <v>福山医療センター_0201</v>
          </cell>
          <cell r="C204" t="str">
            <v>SR#不要</v>
          </cell>
          <cell r="D204" t="str">
            <v>2016/03/08-05</v>
          </cell>
          <cell r="E204" t="str">
            <v>有償</v>
          </cell>
          <cell r="F204">
            <v>42444</v>
          </cell>
          <cell r="G204">
            <v>42444</v>
          </cell>
          <cell r="H204">
            <v>42468</v>
          </cell>
          <cell r="I204" t="str">
            <v>不明</v>
          </cell>
          <cell r="K204" t="str">
            <v>-</v>
          </cell>
          <cell r="L204" t="str">
            <v>-</v>
          </cell>
          <cell r="M204" t="str">
            <v>C60/5-2</v>
          </cell>
          <cell r="N204" t="str">
            <v>035L4P</v>
          </cell>
          <cell r="O204" t="str">
            <v>P04332-02</v>
          </cell>
          <cell r="P204" t="str">
            <v>五洋医療器株式会社</v>
          </cell>
          <cell r="Q204" t="str">
            <v>福尾様</v>
          </cell>
          <cell r="R204" t="str">
            <v>〒721-0961　広島県福山市明神町2-2-30</v>
          </cell>
          <cell r="S204" t="str">
            <v>084-926-5050</v>
          </cell>
          <cell r="T204" t="str">
            <v>084-926-5032</v>
          </cell>
          <cell r="U204" t="str">
            <v>福山医療センター　4病棟</v>
          </cell>
          <cell r="V204" t="str">
            <v>-</v>
          </cell>
          <cell r="W204" t="str">
            <v>4病棟</v>
          </cell>
          <cell r="X204" t="str">
            <v>084-922-0001</v>
          </cell>
          <cell r="Y204" t="str">
            <v>〒720-0825　広島県福山市沖野上町4-14-17</v>
          </cell>
          <cell r="AA204" t="str">
            <v/>
          </cell>
          <cell r="AB204" t="str">
            <v/>
          </cell>
          <cell r="AC204" t="str">
            <v/>
          </cell>
          <cell r="AD204" t="str">
            <v/>
          </cell>
          <cell r="AE204" t="str">
            <v/>
          </cell>
          <cell r="AF204" t="str">
            <v/>
          </cell>
          <cell r="AG204" t="str">
            <v/>
          </cell>
          <cell r="AH204" t="str">
            <v/>
          </cell>
          <cell r="AI204" t="str">
            <v/>
          </cell>
          <cell r="AJ204" t="str">
            <v/>
          </cell>
          <cell r="AK204" t="str">
            <v/>
          </cell>
          <cell r="AL204" t="str">
            <v/>
          </cell>
          <cell r="AM204" t="str">
            <v/>
          </cell>
          <cell r="AN204" t="str">
            <v/>
          </cell>
          <cell r="AO204" t="str">
            <v/>
          </cell>
          <cell r="AP204" t="str">
            <v/>
          </cell>
          <cell r="AQ204" t="str">
            <v/>
          </cell>
          <cell r="AR204" t="str">
            <v/>
          </cell>
          <cell r="AS204" t="str">
            <v/>
          </cell>
          <cell r="AT204" t="str">
            <v/>
          </cell>
          <cell r="AU204">
            <v>38749</v>
          </cell>
        </row>
        <row r="205">
          <cell r="A205" t="str">
            <v>S16-0202</v>
          </cell>
          <cell r="B205" t="str">
            <v>デモ機MAE10_0202 (2)</v>
          </cell>
          <cell r="C205" t="str">
            <v>SR# 不要</v>
          </cell>
          <cell r="D205" t="str">
            <v>-</v>
          </cell>
          <cell r="E205" t="str">
            <v>無償</v>
          </cell>
          <cell r="F205">
            <v>42444</v>
          </cell>
          <cell r="G205">
            <v>42444</v>
          </cell>
          <cell r="H205">
            <v>42471</v>
          </cell>
          <cell r="I205" t="str">
            <v>－</v>
          </cell>
          <cell r="K205" t="str">
            <v>梶田</v>
          </cell>
          <cell r="L205">
            <v>3</v>
          </cell>
          <cell r="M205" t="str">
            <v>NanoMaxx</v>
          </cell>
          <cell r="N205" t="str">
            <v>03YDJ5</v>
          </cell>
          <cell r="O205" t="str">
            <v>P12700-07</v>
          </cell>
          <cell r="P205" t="str">
            <v>富士フイルムメディカル株式会社</v>
          </cell>
          <cell r="Q205" t="str">
            <v>マーケティング</v>
          </cell>
          <cell r="R205" t="str">
            <v>-</v>
          </cell>
          <cell r="S205" t="str">
            <v>03-6418-7190</v>
          </cell>
          <cell r="T205" t="str">
            <v>03-6418-7162</v>
          </cell>
          <cell r="U205" t="str">
            <v>デモ機MAE10</v>
          </cell>
          <cell r="V205" t="str">
            <v>-</v>
          </cell>
          <cell r="W205" t="str">
            <v>-</v>
          </cell>
          <cell r="X205" t="str">
            <v>-</v>
          </cell>
          <cell r="Y205" t="str">
            <v>-</v>
          </cell>
          <cell r="AA205" t="str">
            <v/>
          </cell>
          <cell r="AB205" t="str">
            <v/>
          </cell>
          <cell r="AC205" t="str">
            <v/>
          </cell>
          <cell r="AD205" t="str">
            <v/>
          </cell>
          <cell r="AE205" t="str">
            <v/>
          </cell>
          <cell r="AF205" t="str">
            <v/>
          </cell>
          <cell r="AG205" t="str">
            <v/>
          </cell>
          <cell r="AH205" t="str">
            <v/>
          </cell>
          <cell r="AI205" t="str">
            <v/>
          </cell>
          <cell r="AJ205" t="str">
            <v/>
          </cell>
          <cell r="AK205" t="str">
            <v/>
          </cell>
          <cell r="AL205" t="str">
            <v/>
          </cell>
          <cell r="AM205" t="str">
            <v/>
          </cell>
          <cell r="AN205" t="str">
            <v/>
          </cell>
          <cell r="AO205" t="str">
            <v/>
          </cell>
          <cell r="AP205" t="str">
            <v/>
          </cell>
          <cell r="AQ205" t="str">
            <v/>
          </cell>
          <cell r="AR205" t="str">
            <v/>
          </cell>
          <cell r="AS205" t="str">
            <v/>
          </cell>
          <cell r="AT205" t="str">
            <v/>
          </cell>
          <cell r="AU205">
            <v>41791</v>
          </cell>
        </row>
        <row r="206">
          <cell r="A206" t="str">
            <v>S16-0203</v>
          </cell>
          <cell r="B206" t="str">
            <v>サンフラワーマタニティ_0203</v>
          </cell>
          <cell r="C206" t="str">
            <v>SR#不要</v>
          </cell>
          <cell r="D206" t="str">
            <v>2016/03/14-01</v>
          </cell>
          <cell r="E206" t="str">
            <v>有償</v>
          </cell>
          <cell r="F206">
            <v>42444</v>
          </cell>
          <cell r="G206">
            <v>42444</v>
          </cell>
          <cell r="H206">
            <v>42471</v>
          </cell>
          <cell r="I206" t="str">
            <v>不明</v>
          </cell>
          <cell r="K206" t="str">
            <v>梶田</v>
          </cell>
          <cell r="L206" t="str">
            <v>-</v>
          </cell>
          <cell r="M206">
            <v>180</v>
          </cell>
          <cell r="N206" t="str">
            <v>01J409</v>
          </cell>
          <cell r="O206" t="str">
            <v>P01102-01</v>
          </cell>
          <cell r="P206" t="str">
            <v>尾路医科器械株式会社</v>
          </cell>
          <cell r="Q206" t="str">
            <v>鎌田様</v>
          </cell>
          <cell r="R206" t="str">
            <v>〒760-0008　香川県高松市中野町12-6</v>
          </cell>
          <cell r="S206" t="str">
            <v>087-862-6381</v>
          </cell>
          <cell r="T206" t="str">
            <v>087-833-3251</v>
          </cell>
          <cell r="U206" t="str">
            <v>サンフラワーマタニティ</v>
          </cell>
          <cell r="V206" t="str">
            <v>下津様</v>
          </cell>
          <cell r="W206" t="str">
            <v>助産師</v>
          </cell>
          <cell r="X206" t="str">
            <v>087-868-4103</v>
          </cell>
          <cell r="Y206" t="str">
            <v>〒761-8073　香川県高松市太田下町3017-3</v>
          </cell>
          <cell r="AA206" t="str">
            <v/>
          </cell>
          <cell r="AB206" t="str">
            <v/>
          </cell>
          <cell r="AC206" t="str">
            <v/>
          </cell>
          <cell r="AD206" t="str">
            <v/>
          </cell>
          <cell r="AE206" t="str">
            <v/>
          </cell>
          <cell r="AF206" t="str">
            <v/>
          </cell>
          <cell r="AG206" t="str">
            <v/>
          </cell>
          <cell r="AH206" t="str">
            <v/>
          </cell>
          <cell r="AI206" t="str">
            <v/>
          </cell>
          <cell r="AJ206" t="str">
            <v/>
          </cell>
          <cell r="AK206" t="str">
            <v/>
          </cell>
          <cell r="AL206" t="str">
            <v/>
          </cell>
          <cell r="AM206" t="str">
            <v/>
          </cell>
          <cell r="AN206" t="str">
            <v/>
          </cell>
          <cell r="AO206" t="str">
            <v/>
          </cell>
          <cell r="AP206" t="str">
            <v/>
          </cell>
          <cell r="AQ206" t="str">
            <v/>
          </cell>
          <cell r="AR206" t="str">
            <v/>
          </cell>
          <cell r="AS206" t="str">
            <v/>
          </cell>
          <cell r="AT206" t="str">
            <v/>
          </cell>
          <cell r="AU206">
            <v>36586</v>
          </cell>
        </row>
        <row r="207">
          <cell r="A207" t="str">
            <v>S16-0204</v>
          </cell>
          <cell r="B207" t="str">
            <v>広島市民病院_0204 (2)</v>
          </cell>
          <cell r="C207" t="str">
            <v>SR#4196627</v>
          </cell>
          <cell r="D207" t="str">
            <v>2016/03/11-01</v>
          </cell>
          <cell r="E207" t="str">
            <v>無償</v>
          </cell>
          <cell r="F207">
            <v>42444</v>
          </cell>
          <cell r="G207">
            <v>42444</v>
          </cell>
          <cell r="H207">
            <v>42475</v>
          </cell>
          <cell r="I207">
            <v>41660</v>
          </cell>
          <cell r="K207" t="str">
            <v>梶田</v>
          </cell>
          <cell r="L207">
            <v>3</v>
          </cell>
          <cell r="M207" t="str">
            <v>S-Nerve</v>
          </cell>
          <cell r="N207" t="str">
            <v>03W01N</v>
          </cell>
          <cell r="O207" t="str">
            <v>P12060-11</v>
          </cell>
          <cell r="P207" t="str">
            <v>ティーエスアルフレッサ株式会社　広島機器試薬支店</v>
          </cell>
          <cell r="Q207" t="str">
            <v>香山様</v>
          </cell>
          <cell r="R207" t="str">
            <v>〒733-8633　広島県広島市西区商工センター1-2-19</v>
          </cell>
          <cell r="S207" t="str">
            <v>082-501-0466</v>
          </cell>
          <cell r="T207" t="str">
            <v>082-279-7133</v>
          </cell>
          <cell r="U207" t="str">
            <v>広島市民病院　麻酔科</v>
          </cell>
          <cell r="V207" t="str">
            <v>ME竹内様</v>
          </cell>
          <cell r="W207" t="str">
            <v>麻酔科（CEセンター)</v>
          </cell>
          <cell r="X207" t="str">
            <v>082-221-2291</v>
          </cell>
          <cell r="Y207" t="str">
            <v>〒730-8518　広島県広島市中区基町7-33</v>
          </cell>
          <cell r="AA207" t="str">
            <v>P09135-03</v>
          </cell>
          <cell r="AB207" t="str">
            <v>P08850-02</v>
          </cell>
          <cell r="AC207" t="str">
            <v>P00364-02</v>
          </cell>
          <cell r="AD207" t="str">
            <v/>
          </cell>
          <cell r="AE207" t="str">
            <v/>
          </cell>
          <cell r="AF207" t="str">
            <v/>
          </cell>
          <cell r="AG207" t="str">
            <v/>
          </cell>
          <cell r="AH207" t="str">
            <v/>
          </cell>
          <cell r="AI207" t="str">
            <v/>
          </cell>
          <cell r="AJ207" t="str">
            <v/>
          </cell>
          <cell r="AK207" t="str">
            <v>SERVICE ASSEMBLY MAIN PCBA, S-SERIES</v>
          </cell>
          <cell r="AL207" t="str">
            <v>SERVICE ASSEMBLY, POWER SUPPLY, M/S TURBO, EDGE</v>
          </cell>
          <cell r="AM207" t="str">
            <v>CONNECTOR, INTERPOSER</v>
          </cell>
          <cell r="AN207" t="str">
            <v/>
          </cell>
          <cell r="AO207" t="str">
            <v/>
          </cell>
          <cell r="AP207" t="str">
            <v/>
          </cell>
          <cell r="AQ207" t="str">
            <v/>
          </cell>
          <cell r="AR207" t="str">
            <v/>
          </cell>
          <cell r="AS207" t="str">
            <v/>
          </cell>
          <cell r="AT207" t="str">
            <v/>
          </cell>
          <cell r="AU207">
            <v>41518</v>
          </cell>
        </row>
        <row r="208">
          <cell r="A208" t="str">
            <v>S16-0205</v>
          </cell>
          <cell r="B208" t="str">
            <v>兵庫中央病院_0205 (2)</v>
          </cell>
          <cell r="C208" t="str">
            <v>SR#不要</v>
          </cell>
          <cell r="D208" t="str">
            <v>2016/03/09-01</v>
          </cell>
          <cell r="E208" t="str">
            <v>有償</v>
          </cell>
          <cell r="F208">
            <v>42444</v>
          </cell>
          <cell r="G208">
            <v>42444</v>
          </cell>
          <cell r="H208">
            <v>42508</v>
          </cell>
          <cell r="I208" t="str">
            <v>不明</v>
          </cell>
          <cell r="K208" t="str">
            <v>梶田</v>
          </cell>
          <cell r="L208" t="str">
            <v>-</v>
          </cell>
          <cell r="M208" t="str">
            <v>UP-895MD</v>
          </cell>
          <cell r="N208" t="str">
            <v>40832</v>
          </cell>
          <cell r="O208" t="str">
            <v>-</v>
          </cell>
          <cell r="P208" t="str">
            <v>宮野医療器株式会社　中兵庫営業所</v>
          </cell>
          <cell r="Q208" t="str">
            <v>平野様</v>
          </cell>
          <cell r="R208" t="str">
            <v>〒669-3304　兵庫県丹波市柏原町上小倉152-1</v>
          </cell>
          <cell r="S208" t="str">
            <v>0795-72-2288</v>
          </cell>
          <cell r="T208" t="str">
            <v>0795-72-2644</v>
          </cell>
          <cell r="U208" t="str">
            <v>兵庫中央病院</v>
          </cell>
          <cell r="V208" t="str">
            <v>-</v>
          </cell>
          <cell r="W208" t="str">
            <v>-</v>
          </cell>
          <cell r="X208" t="str">
            <v>079-563-2121</v>
          </cell>
          <cell r="Y208" t="str">
            <v>〒669-1592　兵庫県三田市大原1314</v>
          </cell>
          <cell r="AA208" t="str">
            <v/>
          </cell>
          <cell r="AB208" t="str">
            <v/>
          </cell>
          <cell r="AC208" t="str">
            <v/>
          </cell>
          <cell r="AD208" t="str">
            <v/>
          </cell>
          <cell r="AE208" t="str">
            <v/>
          </cell>
          <cell r="AF208" t="str">
            <v/>
          </cell>
          <cell r="AG208" t="str">
            <v/>
          </cell>
          <cell r="AH208" t="str">
            <v/>
          </cell>
          <cell r="AI208" t="str">
            <v/>
          </cell>
          <cell r="AJ208" t="str">
            <v/>
          </cell>
          <cell r="AK208" t="str">
            <v/>
          </cell>
          <cell r="AL208" t="str">
            <v/>
          </cell>
          <cell r="AM208" t="str">
            <v/>
          </cell>
          <cell r="AN208" t="str">
            <v/>
          </cell>
          <cell r="AO208" t="str">
            <v/>
          </cell>
          <cell r="AP208" t="str">
            <v/>
          </cell>
          <cell r="AQ208" t="str">
            <v/>
          </cell>
          <cell r="AR208" t="str">
            <v/>
          </cell>
          <cell r="AS208" t="str">
            <v/>
          </cell>
          <cell r="AT208" t="str">
            <v/>
          </cell>
          <cell r="AU208" t="str">
            <v>-</v>
          </cell>
        </row>
        <row r="209">
          <cell r="A209" t="str">
            <v>S16-0206</v>
          </cell>
          <cell r="B209" t="str">
            <v>越谷市立病院_0206 (2)</v>
          </cell>
          <cell r="C209" t="str">
            <v>SR#</v>
          </cell>
          <cell r="D209" t="str">
            <v>2016/03/11-02</v>
          </cell>
          <cell r="E209" t="str">
            <v>有償</v>
          </cell>
          <cell r="F209">
            <v>42445</v>
          </cell>
          <cell r="G209">
            <v>42445</v>
          </cell>
          <cell r="H209">
            <v>42473</v>
          </cell>
          <cell r="I209">
            <v>40086</v>
          </cell>
          <cell r="K209" t="str">
            <v>-</v>
          </cell>
          <cell r="L209" t="str">
            <v>-</v>
          </cell>
          <cell r="M209" t="str">
            <v>MicroMaxx</v>
          </cell>
          <cell r="N209" t="str">
            <v>03GPHT</v>
          </cell>
          <cell r="O209" t="str">
            <v>P08063-05</v>
          </cell>
          <cell r="P209" t="str">
            <v>フクダ電子西関東販売株式会社</v>
          </cell>
          <cell r="Q209" t="str">
            <v>渡辺様</v>
          </cell>
          <cell r="R209" t="str">
            <v>〒3346-0031　埼玉県さいたま市南区鹿手袋4-5-10</v>
          </cell>
          <cell r="S209" t="str">
            <v>048-710-2265</v>
          </cell>
          <cell r="T209" t="str">
            <v>048-710-2268</v>
          </cell>
          <cell r="U209" t="str">
            <v>越谷市立病院</v>
          </cell>
          <cell r="V209" t="str">
            <v>工藤様</v>
          </cell>
          <cell r="W209" t="str">
            <v>医用工学</v>
          </cell>
          <cell r="X209" t="str">
            <v>048-965-2221</v>
          </cell>
          <cell r="Y209" t="str">
            <v>〒343-0023　埼玉県越谷市東越谷10-47-1</v>
          </cell>
          <cell r="AA209" t="str">
            <v/>
          </cell>
          <cell r="AB209" t="str">
            <v/>
          </cell>
          <cell r="AC209" t="str">
            <v/>
          </cell>
          <cell r="AD209" t="str">
            <v/>
          </cell>
          <cell r="AE209" t="str">
            <v/>
          </cell>
          <cell r="AF209" t="str">
            <v/>
          </cell>
          <cell r="AG209" t="str">
            <v/>
          </cell>
          <cell r="AH209" t="str">
            <v/>
          </cell>
          <cell r="AI209" t="str">
            <v/>
          </cell>
          <cell r="AJ209" t="str">
            <v/>
          </cell>
          <cell r="AK209" t="str">
            <v/>
          </cell>
          <cell r="AL209" t="str">
            <v/>
          </cell>
          <cell r="AM209" t="str">
            <v/>
          </cell>
          <cell r="AN209" t="str">
            <v/>
          </cell>
          <cell r="AO209" t="str">
            <v/>
          </cell>
          <cell r="AP209" t="str">
            <v/>
          </cell>
          <cell r="AQ209" t="str">
            <v/>
          </cell>
          <cell r="AR209" t="str">
            <v/>
          </cell>
          <cell r="AS209" t="str">
            <v/>
          </cell>
          <cell r="AT209" t="str">
            <v/>
          </cell>
          <cell r="AU209">
            <v>40026</v>
          </cell>
        </row>
        <row r="210">
          <cell r="A210" t="str">
            <v>S16-0207</v>
          </cell>
          <cell r="B210" t="str">
            <v>聖隷浜松病院_0207 (2)</v>
          </cell>
          <cell r="C210" t="str">
            <v>SR#不要</v>
          </cell>
          <cell r="D210" t="str">
            <v>-</v>
          </cell>
          <cell r="E210" t="str">
            <v>有償</v>
          </cell>
          <cell r="F210">
            <v>42445</v>
          </cell>
          <cell r="G210">
            <v>42445</v>
          </cell>
          <cell r="H210">
            <v>42501</v>
          </cell>
          <cell r="I210" t="str">
            <v>不明</v>
          </cell>
          <cell r="K210" t="str">
            <v>梶田</v>
          </cell>
          <cell r="L210" t="str">
            <v>-</v>
          </cell>
          <cell r="M210" t="str">
            <v>Mini-Dock</v>
          </cell>
          <cell r="N210" t="str">
            <v>WK1NT1</v>
          </cell>
          <cell r="O210" t="str">
            <v>P12133-01</v>
          </cell>
          <cell r="P210" t="str">
            <v>株式会社八神製作所　浜松営業所</v>
          </cell>
          <cell r="Q210" t="str">
            <v>片山様</v>
          </cell>
          <cell r="R210" t="str">
            <v>〒433-8119　静岡県浜松市中区高丘北2-15-6</v>
          </cell>
          <cell r="S210" t="str">
            <v>053-439-5887</v>
          </cell>
          <cell r="T210" t="str">
            <v>053-439-5897</v>
          </cell>
          <cell r="U210" t="str">
            <v>聖隷浜松病院　CE救急</v>
          </cell>
          <cell r="V210" t="str">
            <v>三浦様</v>
          </cell>
          <cell r="W210" t="str">
            <v>CE救急</v>
          </cell>
          <cell r="X210" t="str">
            <v>053-474-2222</v>
          </cell>
          <cell r="Y210" t="str">
            <v>〒430-8558　静岡県浜松市中区住吉2-12-12</v>
          </cell>
          <cell r="AA210" t="str">
            <v>P12133-01</v>
          </cell>
          <cell r="AB210" t="str">
            <v>P09823-06</v>
          </cell>
          <cell r="AC210" t="str">
            <v/>
          </cell>
          <cell r="AD210" t="str">
            <v/>
          </cell>
          <cell r="AE210" t="str">
            <v/>
          </cell>
          <cell r="AF210" t="str">
            <v/>
          </cell>
          <cell r="AG210" t="str">
            <v/>
          </cell>
          <cell r="AH210" t="str">
            <v/>
          </cell>
          <cell r="AI210" t="str">
            <v/>
          </cell>
          <cell r="AJ210" t="str">
            <v/>
          </cell>
          <cell r="AK210" t="str">
            <v>MDS（E）　MIIDOCK</v>
          </cell>
          <cell r="AL210" t="str">
            <v>LOW NOISE POWER SUPPLY,15V W/BATTERY CHARGER,75 W</v>
          </cell>
          <cell r="AM210" t="str">
            <v/>
          </cell>
          <cell r="AN210" t="str">
            <v/>
          </cell>
          <cell r="AO210" t="str">
            <v/>
          </cell>
          <cell r="AP210" t="str">
            <v/>
          </cell>
          <cell r="AQ210" t="str">
            <v/>
          </cell>
          <cell r="AR210" t="str">
            <v/>
          </cell>
          <cell r="AS210" t="str">
            <v/>
          </cell>
          <cell r="AT210" t="str">
            <v/>
          </cell>
          <cell r="AU210">
            <v>40057</v>
          </cell>
        </row>
        <row r="211">
          <cell r="A211" t="str">
            <v>S16-0208</v>
          </cell>
          <cell r="B211" t="str">
            <v>東戸塚記念病院_0208 (2)</v>
          </cell>
          <cell r="C211" t="str">
            <v>SR#不要</v>
          </cell>
          <cell r="D211" t="str">
            <v>-</v>
          </cell>
          <cell r="E211" t="str">
            <v>有償</v>
          </cell>
          <cell r="F211">
            <v>42445</v>
          </cell>
          <cell r="G211">
            <v>42445</v>
          </cell>
          <cell r="H211">
            <v>42626</v>
          </cell>
          <cell r="I211" t="str">
            <v>不明</v>
          </cell>
          <cell r="K211" t="str">
            <v>高橋</v>
          </cell>
          <cell r="L211">
            <v>3</v>
          </cell>
          <cell r="M211" t="str">
            <v>V-Universal Stand</v>
          </cell>
          <cell r="N211" t="str">
            <v>WK14XM</v>
          </cell>
          <cell r="O211" t="str">
            <v>P13383-25</v>
          </cell>
          <cell r="P211" t="str">
            <v>日本コヴィディエン株式会社　神奈川営業所</v>
          </cell>
          <cell r="Q211" t="str">
            <v>大塚様</v>
          </cell>
          <cell r="R211" t="str">
            <v>〒108-0075  東京都港区港南一丁目2番70号　品川シーズンテラス　22F</v>
          </cell>
          <cell r="S211" t="str">
            <v>03-5717-0517</v>
          </cell>
          <cell r="T211" t="str">
            <v>03-5717-0507</v>
          </cell>
          <cell r="U211" t="str">
            <v>東戸塚記念病院　明理会</v>
          </cell>
          <cell r="V211" t="str">
            <v>-</v>
          </cell>
          <cell r="W211" t="str">
            <v>-</v>
          </cell>
          <cell r="X211" t="str">
            <v>045-825-2111</v>
          </cell>
          <cell r="Y211" t="str">
            <v xml:space="preserve">〒244-0801 神奈川県横浜市戸塚区品濃町548-7 </v>
          </cell>
          <cell r="AA211" t="str">
            <v/>
          </cell>
          <cell r="AB211" t="str">
            <v/>
          </cell>
          <cell r="AC211" t="str">
            <v/>
          </cell>
          <cell r="AD211" t="str">
            <v/>
          </cell>
          <cell r="AE211" t="str">
            <v/>
          </cell>
          <cell r="AF211" t="str">
            <v/>
          </cell>
          <cell r="AG211" t="str">
            <v/>
          </cell>
          <cell r="AH211" t="str">
            <v/>
          </cell>
          <cell r="AI211" t="str">
            <v/>
          </cell>
          <cell r="AJ211" t="str">
            <v/>
          </cell>
          <cell r="AK211" t="str">
            <v/>
          </cell>
          <cell r="AL211" t="str">
            <v/>
          </cell>
          <cell r="AM211" t="str">
            <v/>
          </cell>
          <cell r="AN211" t="str">
            <v/>
          </cell>
          <cell r="AO211" t="str">
            <v/>
          </cell>
          <cell r="AP211" t="str">
            <v/>
          </cell>
          <cell r="AQ211" t="str">
            <v/>
          </cell>
          <cell r="AR211" t="str">
            <v/>
          </cell>
          <cell r="AS211" t="str">
            <v/>
          </cell>
          <cell r="AT211" t="str">
            <v/>
          </cell>
          <cell r="AU211">
            <v>41091</v>
          </cell>
        </row>
        <row r="212">
          <cell r="A212" t="str">
            <v>S16-0209</v>
          </cell>
          <cell r="B212" t="str">
            <v>邑久光明園_0209 (2)</v>
          </cell>
          <cell r="C212" t="str">
            <v>SR#4200401</v>
          </cell>
          <cell r="D212" t="str">
            <v>2016/03/15-02</v>
          </cell>
          <cell r="E212" t="str">
            <v>有償</v>
          </cell>
          <cell r="F212">
            <v>42445</v>
          </cell>
          <cell r="G212">
            <v>42445</v>
          </cell>
          <cell r="H212">
            <v>42453</v>
          </cell>
          <cell r="I212" t="str">
            <v>不明</v>
          </cell>
          <cell r="K212" t="str">
            <v>梶田</v>
          </cell>
          <cell r="L212">
            <v>5</v>
          </cell>
          <cell r="M212" t="str">
            <v>TiTAN</v>
          </cell>
          <cell r="N212" t="str">
            <v>03JH8D</v>
          </cell>
          <cell r="O212" t="str">
            <v>P06590-03</v>
          </cell>
          <cell r="P212" t="str">
            <v>日立アロカメディカル株式会社</v>
          </cell>
          <cell r="Q212" t="str">
            <v>佐藤様</v>
          </cell>
          <cell r="R212" t="str">
            <v>〒700-0923　岡山県岡山市北区大元駅前3-40</v>
          </cell>
          <cell r="S212" t="str">
            <v xml:space="preserve">086-235-0202 </v>
          </cell>
          <cell r="T212" t="str">
            <v>086-234-2211</v>
          </cell>
          <cell r="U212" t="str">
            <v>邑久光明園</v>
          </cell>
          <cell r="V212" t="str">
            <v>-</v>
          </cell>
          <cell r="W212" t="str">
            <v>-</v>
          </cell>
          <cell r="X212" t="str">
            <v>0869-25-0011</v>
          </cell>
          <cell r="Y212" t="str">
            <v xml:space="preserve">〒701-4593 岡山県瀬戸内市邑久町虫明6253 </v>
          </cell>
          <cell r="AA212" t="str">
            <v/>
          </cell>
          <cell r="AB212" t="str">
            <v/>
          </cell>
          <cell r="AC212" t="str">
            <v/>
          </cell>
          <cell r="AD212" t="str">
            <v/>
          </cell>
          <cell r="AE212" t="str">
            <v/>
          </cell>
          <cell r="AF212" t="str">
            <v/>
          </cell>
          <cell r="AG212" t="str">
            <v/>
          </cell>
          <cell r="AH212" t="str">
            <v/>
          </cell>
          <cell r="AI212" t="str">
            <v/>
          </cell>
          <cell r="AJ212" t="str">
            <v/>
          </cell>
          <cell r="AK212" t="str">
            <v/>
          </cell>
          <cell r="AL212" t="str">
            <v/>
          </cell>
          <cell r="AM212" t="str">
            <v/>
          </cell>
          <cell r="AN212" t="str">
            <v/>
          </cell>
          <cell r="AO212" t="str">
            <v/>
          </cell>
          <cell r="AP212" t="str">
            <v/>
          </cell>
          <cell r="AQ212" t="str">
            <v/>
          </cell>
          <cell r="AR212" t="str">
            <v/>
          </cell>
          <cell r="AS212" t="str">
            <v/>
          </cell>
          <cell r="AT212" t="str">
            <v/>
          </cell>
          <cell r="AU212">
            <v>40330</v>
          </cell>
        </row>
        <row r="213">
          <cell r="A213" t="str">
            <v>S16-0210</v>
          </cell>
          <cell r="B213" t="str">
            <v>中野江古田病院_0210</v>
          </cell>
          <cell r="C213" t="e">
            <v>#REF!</v>
          </cell>
          <cell r="D213" t="e">
            <v>#REF!</v>
          </cell>
          <cell r="E213" t="e">
            <v>#REF!</v>
          </cell>
          <cell r="F213" t="e">
            <v>#REF!</v>
          </cell>
          <cell r="G213" t="e">
            <v>#REF!</v>
          </cell>
          <cell r="H213" t="e">
            <v>#REF!</v>
          </cell>
          <cell r="I213" t="e">
            <v>#REF!</v>
          </cell>
          <cell r="K213" t="e">
            <v>#REF!</v>
          </cell>
          <cell r="M213" t="e">
            <v>#REF!</v>
          </cell>
          <cell r="N213" t="e">
            <v>#REF!</v>
          </cell>
          <cell r="O213" t="e">
            <v>#REF!</v>
          </cell>
          <cell r="P213" t="e">
            <v>#REF!</v>
          </cell>
          <cell r="Q213" t="e">
            <v>#REF!</v>
          </cell>
          <cell r="S213" t="e">
            <v>#REF!</v>
          </cell>
          <cell r="T213" t="e">
            <v>#REF!</v>
          </cell>
          <cell r="U213" t="e">
            <v>#REF!</v>
          </cell>
          <cell r="X213" t="str">
            <v xml:space="preserve">03-3387-7321
</v>
          </cell>
          <cell r="Y213" t="str">
            <v>〒165-0022　東京都中野区江古田4-19-9</v>
          </cell>
          <cell r="AA213" t="e">
            <v>#REF!</v>
          </cell>
          <cell r="AB213" t="e">
            <v>#REF!</v>
          </cell>
          <cell r="AC213" t="e">
            <v>#REF!</v>
          </cell>
          <cell r="AD213" t="e">
            <v>#REF!</v>
          </cell>
          <cell r="AE213" t="e">
            <v>#REF!</v>
          </cell>
          <cell r="AF213" t="e">
            <v>#REF!</v>
          </cell>
          <cell r="AG213" t="e">
            <v>#REF!</v>
          </cell>
          <cell r="AH213" t="e">
            <v>#REF!</v>
          </cell>
          <cell r="AI213" t="e">
            <v>#REF!</v>
          </cell>
          <cell r="AJ213" t="e">
            <v>#REF!</v>
          </cell>
          <cell r="AK213" t="e">
            <v>#REF!</v>
          </cell>
          <cell r="AL213" t="e">
            <v>#REF!</v>
          </cell>
          <cell r="AM213" t="e">
            <v>#REF!</v>
          </cell>
          <cell r="AN213" t="e">
            <v>#REF!</v>
          </cell>
          <cell r="AO213" t="e">
            <v>#REF!</v>
          </cell>
          <cell r="AP213" t="e">
            <v>#REF!</v>
          </cell>
          <cell r="AQ213" t="e">
            <v>#REF!</v>
          </cell>
          <cell r="AR213" t="e">
            <v>#REF!</v>
          </cell>
          <cell r="AS213" t="e">
            <v>#REF!</v>
          </cell>
          <cell r="AT213" t="e">
            <v>#REF!</v>
          </cell>
          <cell r="AU213" t="e">
            <v>#REF!</v>
          </cell>
        </row>
        <row r="214">
          <cell r="A214" t="str">
            <v>S16-0211</v>
          </cell>
          <cell r="B214" t="str">
            <v>兵庫医科大学病院_0211 (2)</v>
          </cell>
          <cell r="C214" t="str">
            <v>SR#不要</v>
          </cell>
          <cell r="D214" t="str">
            <v>-</v>
          </cell>
          <cell r="E214" t="str">
            <v>有償</v>
          </cell>
          <cell r="F214">
            <v>42446</v>
          </cell>
          <cell r="G214">
            <v>42446</v>
          </cell>
          <cell r="H214">
            <v>42502</v>
          </cell>
          <cell r="I214" t="str">
            <v>不明</v>
          </cell>
          <cell r="K214" t="str">
            <v>-</v>
          </cell>
          <cell r="L214" t="str">
            <v>-</v>
          </cell>
          <cell r="M214" t="str">
            <v>TiTAN</v>
          </cell>
          <cell r="N214" t="str">
            <v>03356D</v>
          </cell>
          <cell r="O214" t="str">
            <v>P04338-01</v>
          </cell>
          <cell r="P214" t="str">
            <v>日立アロカメディカル株式会社</v>
          </cell>
          <cell r="Q214" t="str">
            <v>吉崎様</v>
          </cell>
          <cell r="R214" t="str">
            <v>〒198-8577　東京都青梅市今井3-7-19</v>
          </cell>
          <cell r="S214" t="str">
            <v>0428-32-3140</v>
          </cell>
          <cell r="T214" t="str">
            <v>0428-32-3152</v>
          </cell>
          <cell r="U214" t="str">
            <v>兵庫医科大学病院</v>
          </cell>
          <cell r="V214" t="str">
            <v>-</v>
          </cell>
          <cell r="W214" t="str">
            <v>-</v>
          </cell>
          <cell r="X214" t="str">
            <v>0798-45-6111</v>
          </cell>
          <cell r="Y214" t="str">
            <v>〒663-8501　兵庫県西宮市武庫川町1-1</v>
          </cell>
          <cell r="AA214" t="str">
            <v/>
          </cell>
          <cell r="AB214" t="str">
            <v/>
          </cell>
          <cell r="AC214" t="str">
            <v/>
          </cell>
          <cell r="AD214" t="str">
            <v/>
          </cell>
          <cell r="AE214" t="str">
            <v/>
          </cell>
          <cell r="AF214" t="str">
            <v/>
          </cell>
          <cell r="AG214" t="str">
            <v/>
          </cell>
          <cell r="AH214" t="str">
            <v/>
          </cell>
          <cell r="AI214" t="str">
            <v/>
          </cell>
          <cell r="AJ214" t="str">
            <v/>
          </cell>
          <cell r="AK214" t="str">
            <v/>
          </cell>
          <cell r="AL214" t="str">
            <v/>
          </cell>
          <cell r="AM214" t="str">
            <v/>
          </cell>
          <cell r="AN214" t="str">
            <v/>
          </cell>
          <cell r="AO214" t="str">
            <v/>
          </cell>
          <cell r="AP214" t="str">
            <v/>
          </cell>
          <cell r="AQ214" t="str">
            <v/>
          </cell>
          <cell r="AR214" t="str">
            <v/>
          </cell>
          <cell r="AS214" t="str">
            <v/>
          </cell>
          <cell r="AT214" t="str">
            <v/>
          </cell>
          <cell r="AU214">
            <v>38261</v>
          </cell>
        </row>
        <row r="215">
          <cell r="A215" t="str">
            <v>S16-0212</v>
          </cell>
          <cell r="B215" t="str">
            <v>市立札幌病院_0212 (2)</v>
          </cell>
          <cell r="C215" t="str">
            <v>SR#4200391</v>
          </cell>
          <cell r="D215" t="str">
            <v>2016/01/27-06</v>
          </cell>
          <cell r="E215" t="str">
            <v>無償</v>
          </cell>
          <cell r="F215">
            <v>42446</v>
          </cell>
          <cell r="G215">
            <v>42446</v>
          </cell>
          <cell r="H215">
            <v>42457</v>
          </cell>
          <cell r="I215" t="str">
            <v>不明</v>
          </cell>
          <cell r="K215" t="str">
            <v>梶田</v>
          </cell>
          <cell r="L215">
            <v>5</v>
          </cell>
          <cell r="M215" t="str">
            <v>M-Turbo</v>
          </cell>
          <cell r="N215" t="str">
            <v>WK2H6N</v>
          </cell>
          <cell r="O215" t="str">
            <v>P09141-28</v>
          </cell>
          <cell r="P215" t="str">
            <v>株式会社ムトウ</v>
          </cell>
          <cell r="Q215" t="str">
            <v>山本様</v>
          </cell>
          <cell r="R215" t="str">
            <v>〒001-0011　北海道札幌市北区北11条西4丁目1-15</v>
          </cell>
          <cell r="S215" t="str">
            <v>011-746-5111</v>
          </cell>
          <cell r="T215" t="str">
            <v>011-717-0547</v>
          </cell>
          <cell r="U215" t="str">
            <v>市立札幌病院</v>
          </cell>
          <cell r="X215" t="str">
            <v>011-728-6164</v>
          </cell>
          <cell r="Y215" t="str">
            <v xml:space="preserve">〒060-8604　北海道札幌市中央区北11条西13丁目1-1  </v>
          </cell>
          <cell r="AA215" t="str">
            <v/>
          </cell>
          <cell r="AB215" t="str">
            <v/>
          </cell>
          <cell r="AC215" t="str">
            <v/>
          </cell>
          <cell r="AD215" t="str">
            <v/>
          </cell>
          <cell r="AE215" t="str">
            <v/>
          </cell>
          <cell r="AF215" t="str">
            <v/>
          </cell>
          <cell r="AG215" t="str">
            <v/>
          </cell>
          <cell r="AH215" t="str">
            <v/>
          </cell>
          <cell r="AI215" t="str">
            <v/>
          </cell>
          <cell r="AJ215" t="str">
            <v/>
          </cell>
          <cell r="AK215" t="str">
            <v/>
          </cell>
          <cell r="AL215" t="str">
            <v/>
          </cell>
          <cell r="AM215" t="str">
            <v/>
          </cell>
          <cell r="AN215" t="str">
            <v/>
          </cell>
          <cell r="AO215" t="str">
            <v/>
          </cell>
          <cell r="AP215" t="str">
            <v/>
          </cell>
          <cell r="AQ215" t="str">
            <v/>
          </cell>
          <cell r="AR215" t="str">
            <v/>
          </cell>
          <cell r="AS215" t="str">
            <v/>
          </cell>
          <cell r="AT215" t="str">
            <v/>
          </cell>
          <cell r="AU215">
            <v>41852</v>
          </cell>
        </row>
        <row r="216">
          <cell r="A216" t="str">
            <v>S16-0213</v>
          </cell>
          <cell r="B216" t="str">
            <v>デモ機EST20_0213 (2)</v>
          </cell>
          <cell r="C216" t="str">
            <v>SR#4196625</v>
          </cell>
          <cell r="D216" t="str">
            <v>-</v>
          </cell>
          <cell r="E216" t="str">
            <v>無償</v>
          </cell>
          <cell r="F216">
            <v>42446</v>
          </cell>
          <cell r="G216">
            <v>42446</v>
          </cell>
          <cell r="H216">
            <v>42527</v>
          </cell>
          <cell r="I216" t="str">
            <v>-</v>
          </cell>
          <cell r="K216" t="str">
            <v>梶田</v>
          </cell>
          <cell r="L216">
            <v>3</v>
          </cell>
          <cell r="M216" t="str">
            <v>Triple Transducer Connect</v>
          </cell>
          <cell r="N216" t="str">
            <v>WK0BF5</v>
          </cell>
          <cell r="O216" t="str">
            <v>P05680-05</v>
          </cell>
          <cell r="P216" t="str">
            <v>富士フイルムメディカル株式会社</v>
          </cell>
          <cell r="Q216" t="str">
            <v>-</v>
          </cell>
          <cell r="R216" t="str">
            <v>-</v>
          </cell>
          <cell r="S216" t="str">
            <v>03-6418-7190</v>
          </cell>
          <cell r="T216" t="str">
            <v>03-6418-7162</v>
          </cell>
          <cell r="U216" t="str">
            <v>デモ機EST20</v>
          </cell>
          <cell r="V216" t="str">
            <v>-</v>
          </cell>
          <cell r="W216" t="str">
            <v>-</v>
          </cell>
          <cell r="X216" t="str">
            <v>-</v>
          </cell>
          <cell r="Y216" t="str">
            <v>-</v>
          </cell>
          <cell r="AA216" t="str">
            <v>P15470-02</v>
          </cell>
          <cell r="AB216" t="str">
            <v/>
          </cell>
          <cell r="AC216" t="str">
            <v/>
          </cell>
          <cell r="AD216" t="str">
            <v/>
          </cell>
          <cell r="AE216" t="str">
            <v/>
          </cell>
          <cell r="AF216" t="str">
            <v/>
          </cell>
          <cell r="AG216" t="str">
            <v/>
          </cell>
          <cell r="AH216" t="str">
            <v/>
          </cell>
          <cell r="AI216" t="str">
            <v/>
          </cell>
          <cell r="AJ216" t="str">
            <v/>
          </cell>
          <cell r="AK216" t="str">
            <v xml:space="preserve">ASSEMBLY, CABLE, TTC, COAX, ROHS </v>
          </cell>
          <cell r="AL216" t="str">
            <v/>
          </cell>
          <cell r="AM216" t="str">
            <v/>
          </cell>
          <cell r="AN216" t="str">
            <v/>
          </cell>
          <cell r="AO216" t="str">
            <v/>
          </cell>
          <cell r="AP216" t="str">
            <v/>
          </cell>
          <cell r="AQ216" t="str">
            <v/>
          </cell>
          <cell r="AR216" t="str">
            <v/>
          </cell>
          <cell r="AS216" t="str">
            <v/>
          </cell>
          <cell r="AT216" t="str">
            <v/>
          </cell>
          <cell r="AU216">
            <v>40513</v>
          </cell>
        </row>
        <row r="217">
          <cell r="A217" t="str">
            <v>S16-0214</v>
          </cell>
          <cell r="B217" t="str">
            <v>近森病院_0214 (2)</v>
          </cell>
          <cell r="C217" t="str">
            <v>SR#</v>
          </cell>
          <cell r="D217" t="str">
            <v>2016/03/14-03</v>
          </cell>
          <cell r="E217" t="str">
            <v>有償</v>
          </cell>
          <cell r="F217">
            <v>42447</v>
          </cell>
          <cell r="G217">
            <v>42447</v>
          </cell>
          <cell r="H217">
            <v>42486</v>
          </cell>
          <cell r="I217" t="str">
            <v>不明</v>
          </cell>
          <cell r="K217" t="str">
            <v>梶田</v>
          </cell>
          <cell r="L217">
            <v>3</v>
          </cell>
          <cell r="M217" t="str">
            <v>180Plus</v>
          </cell>
          <cell r="N217" t="str">
            <v>03FN0L</v>
          </cell>
          <cell r="O217" t="str">
            <v>P04326-05</v>
          </cell>
          <cell r="P217" t="str">
            <v>株式会社シーメック</v>
          </cell>
          <cell r="Q217" t="str">
            <v>西岡様</v>
          </cell>
          <cell r="R217" t="str">
            <v>〒780-0087　高知県高知市南久保9-8</v>
          </cell>
          <cell r="S217" t="str">
            <v>088-880-0666</v>
          </cell>
          <cell r="T217" t="str">
            <v>088-880-0668</v>
          </cell>
          <cell r="U217" t="str">
            <v>近森病院　ER</v>
          </cell>
          <cell r="V217" t="str">
            <v>-</v>
          </cell>
          <cell r="W217" t="str">
            <v>ER</v>
          </cell>
          <cell r="X217" t="str">
            <v>088-822-5231</v>
          </cell>
          <cell r="Y217" t="str">
            <v>〒780-8522 高知県高知市大川筋1-1-16</v>
          </cell>
          <cell r="AA217" t="str">
            <v>P01213-01</v>
          </cell>
          <cell r="AB217" t="str">
            <v>P00343-01</v>
          </cell>
          <cell r="AC217" t="str">
            <v/>
          </cell>
          <cell r="AD217" t="str">
            <v/>
          </cell>
          <cell r="AE217" t="str">
            <v/>
          </cell>
          <cell r="AF217" t="str">
            <v/>
          </cell>
          <cell r="AG217" t="str">
            <v/>
          </cell>
          <cell r="AH217" t="str">
            <v/>
          </cell>
          <cell r="AI217" t="str">
            <v/>
          </cell>
          <cell r="AJ217" t="str">
            <v/>
          </cell>
          <cell r="AK217" t="str">
            <v>FLEX CIRCUIT, FAB, C1 DISPLAY</v>
          </cell>
          <cell r="AL217" t="str">
            <v>HINGE, DISPLAY</v>
          </cell>
          <cell r="AM217" t="str">
            <v/>
          </cell>
          <cell r="AN217" t="str">
            <v/>
          </cell>
          <cell r="AO217" t="str">
            <v/>
          </cell>
          <cell r="AP217" t="str">
            <v/>
          </cell>
          <cell r="AQ217" t="str">
            <v/>
          </cell>
          <cell r="AR217" t="str">
            <v/>
          </cell>
          <cell r="AS217" t="str">
            <v/>
          </cell>
          <cell r="AT217" t="str">
            <v/>
          </cell>
          <cell r="AU217">
            <v>39873</v>
          </cell>
        </row>
        <row r="218">
          <cell r="A218" t="str">
            <v>S16-0215</v>
          </cell>
          <cell r="B218" t="str">
            <v>デモ機MAK39_0215 (2)</v>
          </cell>
          <cell r="C218" t="str">
            <v>SR#4196623</v>
          </cell>
          <cell r="D218" t="str">
            <v>-</v>
          </cell>
          <cell r="E218" t="str">
            <v>無償</v>
          </cell>
          <cell r="F218">
            <v>42451</v>
          </cell>
          <cell r="G218">
            <v>42451</v>
          </cell>
          <cell r="H218">
            <v>42467</v>
          </cell>
          <cell r="I218" t="str">
            <v>―</v>
          </cell>
          <cell r="K218" t="str">
            <v>梶田</v>
          </cell>
          <cell r="L218">
            <v>3</v>
          </cell>
          <cell r="M218" t="str">
            <v>M-Turbo</v>
          </cell>
          <cell r="N218" t="str">
            <v>03L0B0</v>
          </cell>
          <cell r="O218" t="str">
            <v>P09141-20</v>
          </cell>
          <cell r="P218" t="str">
            <v>富士フイルムメディカル株式会社</v>
          </cell>
          <cell r="Q218" t="str">
            <v>マーケティング</v>
          </cell>
          <cell r="R218" t="str">
            <v>-</v>
          </cell>
          <cell r="S218" t="str">
            <v>03-6418-7190</v>
          </cell>
          <cell r="T218" t="str">
            <v>03-6418-7162</v>
          </cell>
          <cell r="U218" t="str">
            <v>デモ機MAK39</v>
          </cell>
          <cell r="V218" t="str">
            <v>-</v>
          </cell>
          <cell r="W218" t="str">
            <v>-</v>
          </cell>
          <cell r="X218" t="str">
            <v>-</v>
          </cell>
          <cell r="Y218" t="str">
            <v>-</v>
          </cell>
          <cell r="AA218" t="str">
            <v>P19060-02</v>
          </cell>
          <cell r="AB218" t="str">
            <v/>
          </cell>
          <cell r="AC218" t="str">
            <v/>
          </cell>
          <cell r="AD218" t="str">
            <v/>
          </cell>
          <cell r="AE218" t="str">
            <v/>
          </cell>
          <cell r="AF218" t="str">
            <v/>
          </cell>
          <cell r="AG218" t="str">
            <v/>
          </cell>
          <cell r="AH218" t="str">
            <v/>
          </cell>
          <cell r="AI218" t="str">
            <v/>
          </cell>
          <cell r="AJ218" t="str">
            <v/>
          </cell>
          <cell r="AK218" t="str">
            <v>MAIN PCBA, M-Turbo</v>
          </cell>
          <cell r="AL218" t="str">
            <v/>
          </cell>
          <cell r="AM218" t="str">
            <v/>
          </cell>
          <cell r="AN218" t="str">
            <v/>
          </cell>
          <cell r="AO218" t="str">
            <v/>
          </cell>
          <cell r="AP218" t="str">
            <v/>
          </cell>
          <cell r="AQ218" t="str">
            <v/>
          </cell>
          <cell r="AR218" t="str">
            <v/>
          </cell>
          <cell r="AS218" t="str">
            <v/>
          </cell>
          <cell r="AT218" t="str">
            <v/>
          </cell>
          <cell r="AU218">
            <v>40575</v>
          </cell>
        </row>
        <row r="219">
          <cell r="A219" t="str">
            <v>S16-0216</v>
          </cell>
          <cell r="B219" t="str">
            <v>NTT西日本大阪病院_0216 (2)</v>
          </cell>
          <cell r="C219" t="str">
            <v>SR#不要</v>
          </cell>
          <cell r="D219" t="str">
            <v>2016/02/19-02</v>
          </cell>
          <cell r="E219" t="str">
            <v>無償</v>
          </cell>
          <cell r="F219">
            <v>42451</v>
          </cell>
          <cell r="G219">
            <v>42451</v>
          </cell>
          <cell r="H219">
            <v>42509</v>
          </cell>
          <cell r="I219" t="str">
            <v>不明</v>
          </cell>
          <cell r="K219" t="str">
            <v>梶田</v>
          </cell>
          <cell r="L219">
            <v>3</v>
          </cell>
          <cell r="M219" t="str">
            <v>M-Turbo</v>
          </cell>
          <cell r="N219" t="str">
            <v>WK2FFB</v>
          </cell>
          <cell r="O219" t="str">
            <v>P09141-28</v>
          </cell>
          <cell r="P219" t="str">
            <v>株式会社MMコーポレーション　南大阪支店</v>
          </cell>
          <cell r="Q219" t="str">
            <v>久積様</v>
          </cell>
          <cell r="R219" t="str">
            <v>〒591-8025　大阪府堺市北区長曽根町1663</v>
          </cell>
          <cell r="S219" t="str">
            <v>072-240-1699</v>
          </cell>
          <cell r="T219" t="str">
            <v>072-240-1691</v>
          </cell>
          <cell r="U219" t="str">
            <v>NTT西日本大阪病院</v>
          </cell>
          <cell r="V219" t="str">
            <v>多胡様</v>
          </cell>
          <cell r="W219" t="str">
            <v>ME</v>
          </cell>
          <cell r="X219" t="str">
            <v>06-6773-7061</v>
          </cell>
          <cell r="Y219" t="str">
            <v>〒543-8922　大阪府大阪市天王寺区鳥ヶ辻2-6-40</v>
          </cell>
          <cell r="AA219" t="str">
            <v>P07168-20</v>
          </cell>
          <cell r="AB219" t="str">
            <v>P18035-01</v>
          </cell>
          <cell r="AC219" t="str">
            <v>P19080-01</v>
          </cell>
          <cell r="AD219" t="str">
            <v>P19133-01</v>
          </cell>
          <cell r="AE219" t="str">
            <v/>
          </cell>
          <cell r="AF219" t="str">
            <v/>
          </cell>
          <cell r="AG219" t="str">
            <v/>
          </cell>
          <cell r="AH219" t="str">
            <v/>
          </cell>
          <cell r="AI219" t="str">
            <v/>
          </cell>
          <cell r="AJ219" t="str">
            <v/>
          </cell>
          <cell r="AK219" t="str">
            <v>BATTERY PACK, 6 CELL, 11.25V, 5.2AMP-HOUR, LITHIUM-ION</v>
          </cell>
          <cell r="AL219" t="str">
            <v>Kycon Connecto</v>
          </cell>
          <cell r="AM219" t="str">
            <v>Connector Brackets</v>
          </cell>
          <cell r="AN219" t="str">
            <v>Bracket screws　×2</v>
          </cell>
          <cell r="AO219" t="str">
            <v/>
          </cell>
          <cell r="AP219" t="str">
            <v/>
          </cell>
          <cell r="AQ219" t="str">
            <v/>
          </cell>
          <cell r="AR219" t="str">
            <v/>
          </cell>
          <cell r="AS219" t="str">
            <v/>
          </cell>
          <cell r="AT219" t="str">
            <v/>
          </cell>
          <cell r="AU219">
            <v>41821</v>
          </cell>
        </row>
        <row r="220">
          <cell r="A220" t="str">
            <v>S16-0217</v>
          </cell>
          <cell r="B220" t="str">
            <v>杏林大学病院_0217 (2)</v>
          </cell>
          <cell r="C220" t="str">
            <v>SR#不要</v>
          </cell>
          <cell r="D220" t="str">
            <v>-</v>
          </cell>
          <cell r="E220" t="str">
            <v/>
          </cell>
          <cell r="F220">
            <v>42451</v>
          </cell>
          <cell r="G220">
            <v>42451</v>
          </cell>
          <cell r="H220">
            <v>42460</v>
          </cell>
          <cell r="I220" t="str">
            <v>2006年12月</v>
          </cell>
          <cell r="K220" t="str">
            <v>-</v>
          </cell>
          <cell r="L220" t="str">
            <v>-</v>
          </cell>
          <cell r="M220" t="str">
            <v>iLook25</v>
          </cell>
          <cell r="N220" t="str">
            <v>0368GF</v>
          </cell>
          <cell r="O220" t="str">
            <v>P04303-02</v>
          </cell>
          <cell r="P220" t="str">
            <v>日本コヴィディエン株式会社　東京第二営業所</v>
          </cell>
          <cell r="Q220" t="str">
            <v>谷口様</v>
          </cell>
          <cell r="R220" t="str">
            <v>〒108-0075　　東京都港区港南一丁目2番70号　品川シーズンテラス　22F</v>
          </cell>
          <cell r="S220" t="str">
            <v>03-6774-4629</v>
          </cell>
          <cell r="T220" t="str">
            <v>03-6774-4740</v>
          </cell>
          <cell r="U220" t="str">
            <v>杏林学園杏林大学医学部付属病院</v>
          </cell>
          <cell r="V220" t="str">
            <v>-</v>
          </cell>
          <cell r="W220" t="str">
            <v>-</v>
          </cell>
          <cell r="X220" t="str">
            <v>0422-47-5511</v>
          </cell>
          <cell r="Y220" t="str">
            <v>〒181-8611東京都三鷹市新川6-20-2</v>
          </cell>
          <cell r="AA220" t="str">
            <v/>
          </cell>
          <cell r="AB220" t="str">
            <v/>
          </cell>
          <cell r="AC220" t="str">
            <v/>
          </cell>
          <cell r="AD220" t="str">
            <v/>
          </cell>
          <cell r="AE220" t="str">
            <v/>
          </cell>
          <cell r="AF220" t="str">
            <v/>
          </cell>
          <cell r="AG220" t="str">
            <v/>
          </cell>
          <cell r="AH220" t="str">
            <v/>
          </cell>
          <cell r="AI220" t="str">
            <v/>
          </cell>
          <cell r="AJ220" t="str">
            <v/>
          </cell>
          <cell r="AK220" t="str">
            <v/>
          </cell>
          <cell r="AL220" t="str">
            <v/>
          </cell>
          <cell r="AM220" t="str">
            <v/>
          </cell>
          <cell r="AN220" t="str">
            <v/>
          </cell>
          <cell r="AO220" t="str">
            <v/>
          </cell>
          <cell r="AP220" t="str">
            <v/>
          </cell>
          <cell r="AQ220" t="str">
            <v/>
          </cell>
          <cell r="AR220" t="str">
            <v/>
          </cell>
          <cell r="AS220" t="str">
            <v/>
          </cell>
          <cell r="AT220" t="str">
            <v/>
          </cell>
          <cell r="AU220">
            <v>38899</v>
          </cell>
        </row>
        <row r="221">
          <cell r="A221" t="str">
            <v>S16-0218</v>
          </cell>
          <cell r="B221" t="str">
            <v>松波総合病院_0218 (2)</v>
          </cell>
          <cell r="C221" t="str">
            <v>SR#</v>
          </cell>
          <cell r="D221" t="str">
            <v>2016/03/15-04</v>
          </cell>
          <cell r="E221" t="str">
            <v>有償</v>
          </cell>
          <cell r="F221">
            <v>42451</v>
          </cell>
          <cell r="G221">
            <v>42451</v>
          </cell>
          <cell r="H221">
            <v>42634</v>
          </cell>
          <cell r="I221" t="str">
            <v>不明</v>
          </cell>
          <cell r="K221" t="str">
            <v>-</v>
          </cell>
          <cell r="L221" t="str">
            <v>-</v>
          </cell>
          <cell r="M221" t="str">
            <v>L38e/10-5</v>
          </cell>
          <cell r="N221" t="str">
            <v>03892R</v>
          </cell>
          <cell r="O221" t="str">
            <v>P05673-05</v>
          </cell>
          <cell r="P221" t="str">
            <v>フクダ電子三岐販売株式会社</v>
          </cell>
          <cell r="Q221" t="str">
            <v>波多野様</v>
          </cell>
          <cell r="R221" t="str">
            <v>〒500-8442　岐阜県岐阜市正法寺町3</v>
          </cell>
          <cell r="S221" t="str">
            <v>058-272-9611</v>
          </cell>
          <cell r="T221" t="str">
            <v>052-272-9618</v>
          </cell>
          <cell r="U221" t="str">
            <v>松波総合病院</v>
          </cell>
          <cell r="V221" t="str">
            <v>-</v>
          </cell>
          <cell r="W221" t="str">
            <v>-</v>
          </cell>
          <cell r="X221" t="str">
            <v>058-388-0111</v>
          </cell>
          <cell r="Y221" t="str">
            <v>〒501-6062 岐阜県羽島郡笠松町田代185-1</v>
          </cell>
          <cell r="AA221" t="str">
            <v/>
          </cell>
          <cell r="AB221" t="str">
            <v/>
          </cell>
          <cell r="AC221" t="str">
            <v/>
          </cell>
          <cell r="AD221" t="str">
            <v/>
          </cell>
          <cell r="AE221" t="str">
            <v/>
          </cell>
          <cell r="AF221" t="str">
            <v/>
          </cell>
          <cell r="AG221" t="str">
            <v/>
          </cell>
          <cell r="AH221" t="str">
            <v/>
          </cell>
          <cell r="AI221" t="str">
            <v/>
          </cell>
          <cell r="AJ221" t="str">
            <v/>
          </cell>
          <cell r="AK221" t="str">
            <v/>
          </cell>
          <cell r="AL221" t="str">
            <v/>
          </cell>
          <cell r="AM221" t="str">
            <v/>
          </cell>
          <cell r="AN221" t="str">
            <v/>
          </cell>
          <cell r="AO221" t="str">
            <v/>
          </cell>
          <cell r="AP221" t="str">
            <v/>
          </cell>
          <cell r="AQ221" t="str">
            <v/>
          </cell>
          <cell r="AR221" t="str">
            <v/>
          </cell>
          <cell r="AS221" t="str">
            <v/>
          </cell>
          <cell r="AT221" t="str">
            <v/>
          </cell>
          <cell r="AU221">
            <v>39142</v>
          </cell>
        </row>
        <row r="222">
          <cell r="A222" t="str">
            <v>S16-0219</v>
          </cell>
          <cell r="B222" t="str">
            <v>東住吉森本病院_0219（2）</v>
          </cell>
          <cell r="C222" t="str">
            <v>SR#不要</v>
          </cell>
          <cell r="D222" t="str">
            <v>2016/03/18-04</v>
          </cell>
          <cell r="E222" t="str">
            <v>有償</v>
          </cell>
          <cell r="F222">
            <v>42451</v>
          </cell>
          <cell r="G222">
            <v>42451</v>
          </cell>
          <cell r="H222">
            <v>42458</v>
          </cell>
          <cell r="I222" t="str">
            <v>不明</v>
          </cell>
          <cell r="K222">
            <v>0</v>
          </cell>
          <cell r="M222" t="str">
            <v>AC電源アダプタ</v>
          </cell>
          <cell r="N222" t="str">
            <v>2010-08</v>
          </cell>
          <cell r="O222" t="str">
            <v>P09823-05</v>
          </cell>
          <cell r="P222" t="str">
            <v>株式会社富士フィルムソノサイト・ジャパン</v>
          </cell>
          <cell r="Q222" t="str">
            <v>吉田様</v>
          </cell>
          <cell r="S222" t="str">
            <v>03-6418-7190</v>
          </cell>
          <cell r="T222" t="str">
            <v>03-6418-7162</v>
          </cell>
          <cell r="U222" t="str">
            <v>東住吉森本病院</v>
          </cell>
          <cell r="V222" t="str">
            <v>-</v>
          </cell>
          <cell r="W222" t="str">
            <v>-</v>
          </cell>
          <cell r="X222" t="str">
            <v>06-6606-0010</v>
          </cell>
          <cell r="Y222" t="str">
            <v>〒546-0014 大阪市東住吉区鷹合3丁目2番66号</v>
          </cell>
          <cell r="AA222" t="str">
            <v/>
          </cell>
          <cell r="AB222" t="str">
            <v/>
          </cell>
          <cell r="AC222" t="str">
            <v/>
          </cell>
          <cell r="AD222" t="str">
            <v/>
          </cell>
          <cell r="AE222" t="str">
            <v/>
          </cell>
          <cell r="AF222" t="str">
            <v/>
          </cell>
          <cell r="AG222" t="str">
            <v/>
          </cell>
          <cell r="AH222" t="str">
            <v/>
          </cell>
          <cell r="AI222" t="str">
            <v/>
          </cell>
          <cell r="AJ222" t="str">
            <v/>
          </cell>
          <cell r="AK222" t="str">
            <v/>
          </cell>
          <cell r="AL222" t="str">
            <v/>
          </cell>
          <cell r="AM222" t="str">
            <v/>
          </cell>
          <cell r="AN222" t="str">
            <v/>
          </cell>
          <cell r="AO222" t="str">
            <v/>
          </cell>
          <cell r="AP222" t="str">
            <v/>
          </cell>
          <cell r="AQ222" t="str">
            <v/>
          </cell>
          <cell r="AR222" t="str">
            <v/>
          </cell>
          <cell r="AS222" t="str">
            <v/>
          </cell>
          <cell r="AT222" t="str">
            <v/>
          </cell>
          <cell r="AU222">
            <v>40391</v>
          </cell>
        </row>
        <row r="223">
          <cell r="A223" t="str">
            <v>S16-0220</v>
          </cell>
          <cell r="B223" t="str">
            <v>代替機NIM187_0220 (2)</v>
          </cell>
          <cell r="C223" t="str">
            <v>SR#4198199</v>
          </cell>
          <cell r="D223" t="str">
            <v>-</v>
          </cell>
          <cell r="E223" t="str">
            <v>無償</v>
          </cell>
          <cell r="F223">
            <v>42451</v>
          </cell>
          <cell r="G223">
            <v>42451</v>
          </cell>
          <cell r="H223">
            <v>42552</v>
          </cell>
          <cell r="I223" t="str">
            <v>-</v>
          </cell>
          <cell r="K223">
            <v>0</v>
          </cell>
          <cell r="M223" t="str">
            <v>S-Nerve</v>
          </cell>
          <cell r="N223" t="str">
            <v>03WV74</v>
          </cell>
          <cell r="O223" t="str">
            <v>P12060-11</v>
          </cell>
          <cell r="P223" t="str">
            <v>富士フイルムメディカル株式会社</v>
          </cell>
          <cell r="Q223" t="str">
            <v>テクニカルサポート</v>
          </cell>
          <cell r="R223" t="str">
            <v>-</v>
          </cell>
          <cell r="S223" t="str">
            <v>03-6418-7190</v>
          </cell>
          <cell r="T223" t="str">
            <v>03-6418-7162</v>
          </cell>
          <cell r="U223" t="str">
            <v>代替機NIM187</v>
          </cell>
          <cell r="V223" t="str">
            <v>-</v>
          </cell>
          <cell r="W223" t="str">
            <v>-</v>
          </cell>
          <cell r="X223" t="str">
            <v>-</v>
          </cell>
          <cell r="Y223" t="str">
            <v>-</v>
          </cell>
          <cell r="AA223" t="str">
            <v>P09135-03</v>
          </cell>
          <cell r="AB223" t="str">
            <v>P08850-02</v>
          </cell>
          <cell r="AC223" t="str">
            <v/>
          </cell>
          <cell r="AD223" t="str">
            <v/>
          </cell>
          <cell r="AE223" t="str">
            <v/>
          </cell>
          <cell r="AF223" t="str">
            <v/>
          </cell>
          <cell r="AG223" t="str">
            <v/>
          </cell>
          <cell r="AH223" t="str">
            <v/>
          </cell>
          <cell r="AI223" t="str">
            <v/>
          </cell>
          <cell r="AJ223" t="str">
            <v/>
          </cell>
          <cell r="AK223" t="str">
            <v>SERVICE ASSEMBLY MAIN PCBA, S-SERIES</v>
          </cell>
          <cell r="AL223" t="str">
            <v>SERVICE ASSEMBLY, POWER SUPPLY, M/S TURBO, EDGE</v>
          </cell>
          <cell r="AM223" t="str">
            <v/>
          </cell>
          <cell r="AN223" t="str">
            <v/>
          </cell>
          <cell r="AO223" t="str">
            <v/>
          </cell>
          <cell r="AP223" t="str">
            <v/>
          </cell>
          <cell r="AQ223" t="str">
            <v/>
          </cell>
          <cell r="AR223" t="str">
            <v/>
          </cell>
          <cell r="AS223" t="str">
            <v/>
          </cell>
          <cell r="AT223" t="str">
            <v/>
          </cell>
          <cell r="AU223">
            <v>41609</v>
          </cell>
        </row>
        <row r="224">
          <cell r="A224" t="str">
            <v>S16-0221</v>
          </cell>
          <cell r="B224" t="str">
            <v>東京女子医大_0221 (2)</v>
          </cell>
          <cell r="C224" t="str">
            <v>SR#不要</v>
          </cell>
          <cell r="D224" t="str">
            <v>-</v>
          </cell>
          <cell r="E224" t="str">
            <v>有償</v>
          </cell>
          <cell r="F224">
            <v>42452</v>
          </cell>
          <cell r="G224">
            <v>42452</v>
          </cell>
          <cell r="H224">
            <v>42681</v>
          </cell>
          <cell r="I224">
            <v>38932</v>
          </cell>
          <cell r="K224" t="str">
            <v>-</v>
          </cell>
          <cell r="L224" t="str">
            <v>-</v>
          </cell>
          <cell r="M224" t="str">
            <v>iLook25</v>
          </cell>
          <cell r="N224" t="str">
            <v>034WH1</v>
          </cell>
          <cell r="O224" t="str">
            <v>P04303-01</v>
          </cell>
          <cell r="P224" t="str">
            <v>日本コヴィディエン株式会社　首都圏透析営業所</v>
          </cell>
          <cell r="Q224" t="str">
            <v>藤原様</v>
          </cell>
          <cell r="R224" t="str">
            <v xml:space="preserve"> 〒108-0075  東京都港区港南一丁目2番70号　品川シーズンテラス　22F</v>
          </cell>
          <cell r="S224" t="str">
            <v>03-6774-4629</v>
          </cell>
          <cell r="T224" t="str">
            <v>03-6774-4740</v>
          </cell>
          <cell r="U224" t="str">
            <v>東京女子医科大学病院</v>
          </cell>
          <cell r="V224" t="str">
            <v>-</v>
          </cell>
          <cell r="X224" t="str">
            <v>03-3353-8111</v>
          </cell>
          <cell r="Y224" t="str">
            <v xml:space="preserve">〒162-8666　東京都 新宿区 河田町 8-1 </v>
          </cell>
          <cell r="AA224" t="str">
            <v/>
          </cell>
          <cell r="AB224" t="str">
            <v/>
          </cell>
          <cell r="AC224" t="str">
            <v/>
          </cell>
          <cell r="AD224" t="str">
            <v/>
          </cell>
          <cell r="AE224" t="str">
            <v/>
          </cell>
          <cell r="AF224" t="str">
            <v/>
          </cell>
          <cell r="AG224" t="str">
            <v/>
          </cell>
          <cell r="AH224" t="str">
            <v/>
          </cell>
          <cell r="AI224" t="str">
            <v/>
          </cell>
          <cell r="AJ224" t="str">
            <v/>
          </cell>
          <cell r="AK224" t="str">
            <v/>
          </cell>
          <cell r="AL224" t="str">
            <v/>
          </cell>
          <cell r="AM224" t="str">
            <v/>
          </cell>
          <cell r="AN224" t="str">
            <v/>
          </cell>
          <cell r="AO224" t="str">
            <v/>
          </cell>
          <cell r="AP224" t="str">
            <v/>
          </cell>
          <cell r="AQ224" t="str">
            <v/>
          </cell>
          <cell r="AR224" t="str">
            <v/>
          </cell>
          <cell r="AS224" t="str">
            <v/>
          </cell>
          <cell r="AT224" t="str">
            <v/>
          </cell>
          <cell r="AU224">
            <v>38565</v>
          </cell>
        </row>
        <row r="225">
          <cell r="A225" t="str">
            <v>S16-0222</v>
          </cell>
          <cell r="B225" t="str">
            <v>新潟病院_0222 (2)</v>
          </cell>
          <cell r="C225" t="str">
            <v>SR#4198203</v>
          </cell>
          <cell r="D225" t="str">
            <v>-</v>
          </cell>
          <cell r="E225" t="str">
            <v>無償</v>
          </cell>
          <cell r="F225">
            <v>42452</v>
          </cell>
          <cell r="G225">
            <v>42452</v>
          </cell>
          <cell r="H225">
            <v>42473</v>
          </cell>
          <cell r="I225">
            <v>41715</v>
          </cell>
          <cell r="K225" t="str">
            <v>梶田</v>
          </cell>
          <cell r="L225">
            <v>3</v>
          </cell>
          <cell r="M225" t="str">
            <v>NanoMaxx</v>
          </cell>
          <cell r="N225" t="str">
            <v>03WRP9</v>
          </cell>
          <cell r="O225" t="str">
            <v>P12700-06</v>
          </cell>
          <cell r="P225" t="str">
            <v>日本コヴィディエン株式会社　北関東営業所</v>
          </cell>
          <cell r="Q225" t="str">
            <v>太田様</v>
          </cell>
          <cell r="R225" t="str">
            <v xml:space="preserve"> 〒108-0075  東京都港区港南一丁目2番70号　品川シーズンテラス　22F</v>
          </cell>
          <cell r="S225" t="str">
            <v>03-6774-4629</v>
          </cell>
          <cell r="T225" t="str">
            <v>03-6774-4740</v>
          </cell>
          <cell r="U225" t="str">
            <v>新潟病院　国立病院機構</v>
          </cell>
          <cell r="V225" t="str">
            <v>-</v>
          </cell>
          <cell r="W225" t="str">
            <v>-</v>
          </cell>
          <cell r="X225" t="str">
            <v>0257-22-2126</v>
          </cell>
          <cell r="Y225" t="str">
            <v>〒945-8585　新潟県柏崎市赤坂町3-52</v>
          </cell>
          <cell r="AA225" t="str">
            <v>P09732-02</v>
          </cell>
          <cell r="AB225" t="str">
            <v/>
          </cell>
          <cell r="AC225" t="str">
            <v/>
          </cell>
          <cell r="AD225" t="str">
            <v/>
          </cell>
          <cell r="AE225" t="str">
            <v/>
          </cell>
          <cell r="AF225" t="str">
            <v/>
          </cell>
          <cell r="AG225" t="str">
            <v/>
          </cell>
          <cell r="AH225" t="str">
            <v/>
          </cell>
          <cell r="AI225" t="str">
            <v/>
          </cell>
          <cell r="AJ225" t="str">
            <v/>
          </cell>
          <cell r="AK225" t="str">
            <v>ASSEMBLY, 8.4", SCREENED LCD WITH TOUCHSCREEN, IN PLANT COSTED</v>
          </cell>
          <cell r="AL225" t="str">
            <v/>
          </cell>
          <cell r="AM225" t="str">
            <v/>
          </cell>
          <cell r="AN225" t="str">
            <v/>
          </cell>
          <cell r="AO225" t="str">
            <v/>
          </cell>
          <cell r="AP225" t="str">
            <v/>
          </cell>
          <cell r="AQ225" t="str">
            <v/>
          </cell>
          <cell r="AR225" t="str">
            <v/>
          </cell>
          <cell r="AS225" t="str">
            <v/>
          </cell>
          <cell r="AT225" t="str">
            <v/>
          </cell>
          <cell r="AU225">
            <v>41579</v>
          </cell>
        </row>
        <row r="226">
          <cell r="A226" t="str">
            <v>S16-0223</v>
          </cell>
          <cell r="B226" t="str">
            <v>中通総合病院_0223 (2)</v>
          </cell>
          <cell r="C226" t="str">
            <v>SR#4209281</v>
          </cell>
          <cell r="D226" t="str">
            <v>-</v>
          </cell>
          <cell r="E226" t="str">
            <v>無償</v>
          </cell>
          <cell r="F226">
            <v>42452</v>
          </cell>
          <cell r="G226">
            <v>42452</v>
          </cell>
          <cell r="H226">
            <v>42529</v>
          </cell>
          <cell r="I226" t="str">
            <v>不明</v>
          </cell>
          <cell r="K226" t="str">
            <v>馬屋原</v>
          </cell>
          <cell r="L226">
            <v>3</v>
          </cell>
          <cell r="M226" t="str">
            <v>NanoMaxx</v>
          </cell>
          <cell r="N226" t="str">
            <v>03TTFV</v>
          </cell>
          <cell r="O226" t="str">
            <v>P12700-06</v>
          </cell>
          <cell r="P226" t="str">
            <v>日本コヴィディエン株式会社　東日本透析営業所</v>
          </cell>
          <cell r="Q226" t="str">
            <v>高松様</v>
          </cell>
          <cell r="R226" t="str">
            <v xml:space="preserve"> 〒108-0075  東京都港区港南一丁目2番70号　品川シーズンテラス　22F</v>
          </cell>
          <cell r="S226" t="str">
            <v>03-6774-4629</v>
          </cell>
          <cell r="T226" t="str">
            <v>03-6774-4740</v>
          </cell>
          <cell r="U226" t="str">
            <v>中通総合病院</v>
          </cell>
          <cell r="V226" t="str">
            <v>-</v>
          </cell>
          <cell r="W226" t="str">
            <v>-</v>
          </cell>
          <cell r="X226" t="str">
            <v>018-833-1122</v>
          </cell>
          <cell r="Y226" t="str">
            <v>〒010-8577　秋田県秋田市南通みその町3-15</v>
          </cell>
          <cell r="AA226" t="str">
            <v>P12718-02</v>
          </cell>
          <cell r="AB226" t="str">
            <v/>
          </cell>
          <cell r="AC226" t="str">
            <v/>
          </cell>
          <cell r="AD226" t="str">
            <v/>
          </cell>
          <cell r="AE226" t="str">
            <v/>
          </cell>
          <cell r="AF226" t="str">
            <v/>
          </cell>
          <cell r="AG226" t="str">
            <v/>
          </cell>
          <cell r="AH226" t="str">
            <v/>
          </cell>
          <cell r="AI226" t="str">
            <v/>
          </cell>
          <cell r="AJ226" t="str">
            <v/>
          </cell>
          <cell r="AK226" t="str">
            <v>SERVICE ASSEMBLY, BACK END PCB, NANOMAXX</v>
          </cell>
          <cell r="AL226" t="str">
            <v/>
          </cell>
          <cell r="AM226" t="str">
            <v/>
          </cell>
          <cell r="AN226" t="str">
            <v/>
          </cell>
          <cell r="AO226" t="str">
            <v/>
          </cell>
          <cell r="AP226" t="str">
            <v/>
          </cell>
          <cell r="AQ226" t="str">
            <v/>
          </cell>
          <cell r="AR226" t="str">
            <v/>
          </cell>
          <cell r="AS226" t="str">
            <v/>
          </cell>
          <cell r="AT226" t="str">
            <v/>
          </cell>
          <cell r="AU226">
            <v>41334</v>
          </cell>
        </row>
        <row r="227">
          <cell r="A227" t="str">
            <v>S16-0224</v>
          </cell>
          <cell r="B227" t="str">
            <v>東京労災病院_0224 (2)</v>
          </cell>
          <cell r="C227" t="str">
            <v>SR#</v>
          </cell>
          <cell r="D227" t="str">
            <v>-</v>
          </cell>
          <cell r="E227" t="str">
            <v/>
          </cell>
          <cell r="F227">
            <v>42453</v>
          </cell>
          <cell r="G227">
            <v>42453</v>
          </cell>
          <cell r="H227">
            <v>42502</v>
          </cell>
          <cell r="I227">
            <v>40290</v>
          </cell>
          <cell r="K227" t="str">
            <v>梶田</v>
          </cell>
          <cell r="L227">
            <v>3</v>
          </cell>
          <cell r="M227" t="str">
            <v>iLook25</v>
          </cell>
          <cell r="N227" t="str">
            <v>03DWRY</v>
          </cell>
          <cell r="O227" t="str">
            <v>P04303-02</v>
          </cell>
          <cell r="P227" t="str">
            <v>日本コヴィディエン株式会社　　東京第一営業所</v>
          </cell>
          <cell r="Q227" t="str">
            <v>堀江様</v>
          </cell>
          <cell r="R227" t="str">
            <v xml:space="preserve"> 〒108-0075  東京都港区港南一丁目2番70号　品川シーズンテラス　22F</v>
          </cell>
          <cell r="S227" t="str">
            <v>03-6774-4629</v>
          </cell>
          <cell r="T227" t="str">
            <v>03-6774-4740</v>
          </cell>
          <cell r="U227" t="str">
            <v>東京労災病院（大田区）</v>
          </cell>
          <cell r="V227" t="str">
            <v>-</v>
          </cell>
          <cell r="W227" t="str">
            <v>-</v>
          </cell>
          <cell r="X227" t="str">
            <v>03-3742-7301</v>
          </cell>
          <cell r="Y227" t="str">
            <v>〒143-0013 東京都大田区大森南4-13-21</v>
          </cell>
          <cell r="AA227" t="str">
            <v>P00855-01</v>
          </cell>
          <cell r="AB227" t="str">
            <v/>
          </cell>
          <cell r="AC227" t="str">
            <v/>
          </cell>
          <cell r="AD227" t="str">
            <v/>
          </cell>
          <cell r="AE227" t="str">
            <v/>
          </cell>
          <cell r="AF227" t="str">
            <v/>
          </cell>
          <cell r="AG227" t="str">
            <v/>
          </cell>
          <cell r="AH227" t="str">
            <v/>
          </cell>
          <cell r="AI227" t="str">
            <v/>
          </cell>
          <cell r="AJ227" t="str">
            <v/>
          </cell>
          <cell r="AK227" t="str">
            <v>CORDSET, 15 AMP ,C13 CONNECTOR,JAPANESE</v>
          </cell>
          <cell r="AL227" t="str">
            <v/>
          </cell>
          <cell r="AM227" t="str">
            <v/>
          </cell>
          <cell r="AN227" t="str">
            <v/>
          </cell>
          <cell r="AO227" t="str">
            <v/>
          </cell>
          <cell r="AP227" t="str">
            <v/>
          </cell>
          <cell r="AQ227" t="str">
            <v/>
          </cell>
          <cell r="AR227" t="str">
            <v/>
          </cell>
          <cell r="AS227" t="str">
            <v/>
          </cell>
          <cell r="AT227" t="str">
            <v/>
          </cell>
          <cell r="AU227">
            <v>39814</v>
          </cell>
        </row>
        <row r="228">
          <cell r="A228" t="str">
            <v>S16-0225</v>
          </cell>
          <cell r="B228" t="str">
            <v>広島赤十字原爆病院_0225 (2)</v>
          </cell>
          <cell r="C228" t="str">
            <v>SR#</v>
          </cell>
          <cell r="D228" t="str">
            <v>2016/03/11-05</v>
          </cell>
          <cell r="E228" t="str">
            <v>有償</v>
          </cell>
          <cell r="F228">
            <v>42453</v>
          </cell>
          <cell r="G228">
            <v>42453</v>
          </cell>
          <cell r="H228">
            <v>42458</v>
          </cell>
          <cell r="I228" t="str">
            <v>不明</v>
          </cell>
          <cell r="K228" t="str">
            <v>高橋</v>
          </cell>
          <cell r="L228">
            <v>5</v>
          </cell>
          <cell r="M228">
            <v>180</v>
          </cell>
          <cell r="N228" t="str">
            <v>01J3NF</v>
          </cell>
          <cell r="O228" t="str">
            <v>P01102-01</v>
          </cell>
          <cell r="P228" t="str">
            <v>ティーエスアルフレッサ株式会社　広島機器試薬支店</v>
          </cell>
          <cell r="Q228" t="str">
            <v>黒田様</v>
          </cell>
          <cell r="R228" t="str">
            <v>〒733-8633　広島県広島市西区商工センター1-2-19</v>
          </cell>
          <cell r="S228" t="str">
            <v>082-501-0466</v>
          </cell>
          <cell r="T228" t="str">
            <v>082-279-7133</v>
          </cell>
          <cell r="U228" t="str">
            <v>広島赤十字原爆病院</v>
          </cell>
          <cell r="V228" t="str">
            <v>松島様</v>
          </cell>
          <cell r="W228" t="str">
            <v>臨床工学課</v>
          </cell>
          <cell r="X228" t="str">
            <v>082-241-3111</v>
          </cell>
          <cell r="Y228" t="str">
            <v>〒733-8619　広島県広島市中央区千田町1-9-6</v>
          </cell>
          <cell r="AA228" t="str">
            <v/>
          </cell>
          <cell r="AB228" t="str">
            <v/>
          </cell>
          <cell r="AC228" t="str">
            <v/>
          </cell>
          <cell r="AD228" t="str">
            <v/>
          </cell>
          <cell r="AE228" t="str">
            <v/>
          </cell>
          <cell r="AF228" t="str">
            <v/>
          </cell>
          <cell r="AG228" t="str">
            <v/>
          </cell>
          <cell r="AH228" t="str">
            <v/>
          </cell>
          <cell r="AI228" t="str">
            <v/>
          </cell>
          <cell r="AJ228" t="str">
            <v/>
          </cell>
          <cell r="AK228" t="str">
            <v/>
          </cell>
          <cell r="AL228" t="str">
            <v/>
          </cell>
          <cell r="AM228" t="str">
            <v/>
          </cell>
          <cell r="AN228" t="str">
            <v/>
          </cell>
          <cell r="AO228" t="str">
            <v/>
          </cell>
          <cell r="AP228" t="str">
            <v/>
          </cell>
          <cell r="AQ228" t="str">
            <v/>
          </cell>
          <cell r="AR228" t="str">
            <v/>
          </cell>
          <cell r="AS228" t="str">
            <v/>
          </cell>
          <cell r="AT228" t="str">
            <v/>
          </cell>
          <cell r="AU228">
            <v>36557</v>
          </cell>
        </row>
        <row r="229">
          <cell r="A229" t="str">
            <v>S16-0226</v>
          </cell>
          <cell r="B229" t="str">
            <v>聖隷浜松病院_0226 (2)</v>
          </cell>
          <cell r="C229" t="str">
            <v>SR#</v>
          </cell>
          <cell r="D229" t="str">
            <v>2016/03/18-06</v>
          </cell>
          <cell r="E229" t="str">
            <v>有償</v>
          </cell>
          <cell r="F229">
            <v>42453</v>
          </cell>
          <cell r="G229">
            <v>42453</v>
          </cell>
          <cell r="H229">
            <v>42509</v>
          </cell>
          <cell r="I229" t="str">
            <v>不明</v>
          </cell>
          <cell r="K229" t="str">
            <v>梶田</v>
          </cell>
          <cell r="L229">
            <v>3</v>
          </cell>
          <cell r="M229" t="str">
            <v>MicroMaxx</v>
          </cell>
          <cell r="N229" t="str">
            <v>WK02VJ</v>
          </cell>
          <cell r="O229" t="str">
            <v>P08063-05</v>
          </cell>
          <cell r="P229" t="str">
            <v>株式会社八神製作所　浜松営業所</v>
          </cell>
          <cell r="Q229" t="str">
            <v>片山様</v>
          </cell>
          <cell r="R229" t="str">
            <v>〒433-8119　浜松市中区高丘北二丁目15番6号</v>
          </cell>
          <cell r="S229" t="str">
            <v>053-439-5887</v>
          </cell>
          <cell r="T229" t="str">
            <v xml:space="preserve"> 053-439-5897</v>
          </cell>
          <cell r="U229" t="str">
            <v>聖隷浜松病院 NICU</v>
          </cell>
          <cell r="V229" t="str">
            <v>-</v>
          </cell>
          <cell r="W229" t="str">
            <v>-</v>
          </cell>
          <cell r="X229" t="str">
            <v>053-474-2222</v>
          </cell>
          <cell r="Y229" t="str">
            <v>〒430-8558　静岡県浜松市中区住吉2-12-12</v>
          </cell>
          <cell r="AA229" t="str">
            <v>P05471-01</v>
          </cell>
          <cell r="AB229" t="str">
            <v/>
          </cell>
          <cell r="AC229" t="str">
            <v/>
          </cell>
          <cell r="AD229" t="str">
            <v/>
          </cell>
          <cell r="AE229" t="str">
            <v/>
          </cell>
          <cell r="AF229" t="str">
            <v/>
          </cell>
          <cell r="AG229" t="str">
            <v/>
          </cell>
          <cell r="AH229" t="str">
            <v/>
          </cell>
          <cell r="AI229" t="str">
            <v/>
          </cell>
          <cell r="AJ229" t="str">
            <v/>
          </cell>
          <cell r="AK229" t="str">
            <v>SERVICE ASSEMBLY, POWER SUPPLY, MICROMAXX</v>
          </cell>
          <cell r="AL229" t="str">
            <v/>
          </cell>
          <cell r="AM229" t="str">
            <v/>
          </cell>
          <cell r="AN229" t="str">
            <v/>
          </cell>
          <cell r="AO229" t="str">
            <v/>
          </cell>
          <cell r="AP229" t="str">
            <v/>
          </cell>
          <cell r="AQ229" t="str">
            <v/>
          </cell>
          <cell r="AR229" t="str">
            <v/>
          </cell>
          <cell r="AS229" t="str">
            <v/>
          </cell>
          <cell r="AT229" t="str">
            <v/>
          </cell>
          <cell r="AU229">
            <v>40179</v>
          </cell>
        </row>
        <row r="230">
          <cell r="A230" t="str">
            <v>S16-0227</v>
          </cell>
          <cell r="B230" t="str">
            <v>聖路国際加病院_0227 (2)</v>
          </cell>
          <cell r="C230" t="str">
            <v>SR#</v>
          </cell>
          <cell r="D230" t="str">
            <v>2016/03/18-05</v>
          </cell>
          <cell r="E230" t="str">
            <v>有償</v>
          </cell>
          <cell r="F230">
            <v>42453</v>
          </cell>
          <cell r="G230">
            <v>42453</v>
          </cell>
          <cell r="H230">
            <v>42628</v>
          </cell>
          <cell r="I230" t="str">
            <v>不明</v>
          </cell>
          <cell r="K230" t="str">
            <v>高橋</v>
          </cell>
          <cell r="L230">
            <v>3</v>
          </cell>
          <cell r="M230" t="str">
            <v>TiTAN</v>
          </cell>
          <cell r="N230" t="str">
            <v>033Z7J</v>
          </cell>
          <cell r="O230" t="str">
            <v>P04723-01</v>
          </cell>
          <cell r="P230" t="str">
            <v>株式会社ライフメッド（本郷本社）</v>
          </cell>
          <cell r="Q230" t="str">
            <v>長山様</v>
          </cell>
          <cell r="R230" t="str">
            <v>〒113-0033　東京都文京区本郷2-17-17</v>
          </cell>
          <cell r="S230" t="str">
            <v>03-3814-7511</v>
          </cell>
          <cell r="T230" t="str">
            <v>03-3812-7561</v>
          </cell>
          <cell r="U230" t="str">
            <v>聖路加国際病院</v>
          </cell>
          <cell r="V230" t="str">
            <v>栗田様</v>
          </cell>
          <cell r="W230" t="str">
            <v>CE</v>
          </cell>
          <cell r="X230" t="str">
            <v>03-5550-7010</v>
          </cell>
          <cell r="Y230" t="str">
            <v>〒104-8550 東京都中央区明石町10-1</v>
          </cell>
          <cell r="AA230" t="str">
            <v>P03861-02</v>
          </cell>
          <cell r="AB230" t="str">
            <v>P07168-20</v>
          </cell>
          <cell r="AC230" t="str">
            <v/>
          </cell>
          <cell r="AD230" t="str">
            <v/>
          </cell>
          <cell r="AE230" t="str">
            <v/>
          </cell>
          <cell r="AF230" t="str">
            <v/>
          </cell>
          <cell r="AG230" t="str">
            <v/>
          </cell>
          <cell r="AH230" t="str">
            <v/>
          </cell>
          <cell r="AI230" t="str">
            <v/>
          </cell>
          <cell r="AJ230" t="str">
            <v/>
          </cell>
          <cell r="AK230" t="str">
            <v>SERVICE ASSEMBLY DISPLAY, TITAN</v>
          </cell>
          <cell r="AL230" t="str">
            <v>BATTERY PACK, 6 CELL, 11.25V, 5.2AMP-HOUR, LITHIUM-ION</v>
          </cell>
          <cell r="AM230" t="str">
            <v/>
          </cell>
          <cell r="AN230" t="str">
            <v/>
          </cell>
          <cell r="AO230" t="str">
            <v/>
          </cell>
          <cell r="AP230" t="str">
            <v/>
          </cell>
          <cell r="AQ230" t="str">
            <v/>
          </cell>
          <cell r="AR230" t="str">
            <v/>
          </cell>
          <cell r="AS230" t="str">
            <v/>
          </cell>
          <cell r="AT230" t="str">
            <v/>
          </cell>
          <cell r="AU230">
            <v>38384</v>
          </cell>
        </row>
        <row r="231">
          <cell r="A231" t="str">
            <v>S16-0228</v>
          </cell>
          <cell r="B231" t="str">
            <v>イノメディックス中古販売_0228 (2)</v>
          </cell>
          <cell r="C231" t="str">
            <v>SR#4202127</v>
          </cell>
          <cell r="D231" t="str">
            <v>-</v>
          </cell>
          <cell r="E231" t="str">
            <v>有償</v>
          </cell>
          <cell r="F231">
            <v>42453</v>
          </cell>
          <cell r="G231">
            <v>42453</v>
          </cell>
          <cell r="H231">
            <v>42496</v>
          </cell>
          <cell r="I231" t="str">
            <v>不明</v>
          </cell>
          <cell r="K231" t="str">
            <v>高橋</v>
          </cell>
          <cell r="L231">
            <v>5</v>
          </cell>
          <cell r="M231" t="str">
            <v>M-Turbo</v>
          </cell>
          <cell r="N231" t="str">
            <v>WK1F3R</v>
          </cell>
          <cell r="O231" t="str">
            <v>P09141-25</v>
          </cell>
          <cell r="P231" t="str">
            <v>株式会社イノメディックス　本郷営業所</v>
          </cell>
          <cell r="Q231" t="str">
            <v>阿久津様</v>
          </cell>
          <cell r="R231" t="str">
            <v>〒113-0034 東京都文京区湯島2-16-11</v>
          </cell>
          <cell r="S231" t="str">
            <v>03-3815-8921</v>
          </cell>
          <cell r="T231" t="str">
            <v>03-3815-8638</v>
          </cell>
          <cell r="U231" t="str">
            <v>IMXデモ機（販売先：日本医科大学付属病院）</v>
          </cell>
          <cell r="V231" t="str">
            <v>-</v>
          </cell>
          <cell r="W231" t="str">
            <v>-</v>
          </cell>
          <cell r="X231" t="str">
            <v>03-3822-2131</v>
          </cell>
          <cell r="Y231" t="str">
            <v>〒113-8603　東京都文京区千駄木1-1-5</v>
          </cell>
          <cell r="AA231" t="str">
            <v/>
          </cell>
          <cell r="AB231" t="str">
            <v>P19133-01</v>
          </cell>
          <cell r="AC231" t="str">
            <v>P19080-01</v>
          </cell>
          <cell r="AD231" t="str">
            <v>P18035-01</v>
          </cell>
          <cell r="AE231" t="str">
            <v>P08306-01</v>
          </cell>
          <cell r="AF231" t="str">
            <v>P11882-01</v>
          </cell>
          <cell r="AG231" t="str">
            <v/>
          </cell>
          <cell r="AH231" t="str">
            <v>P07168-20</v>
          </cell>
          <cell r="AI231" t="str">
            <v>P09823-06</v>
          </cell>
          <cell r="AJ231" t="str">
            <v>P00855-01</v>
          </cell>
          <cell r="AK231" t="str">
            <v/>
          </cell>
          <cell r="AL231" t="str">
            <v>SCREW, DELTA PT 20 X 6MM　（2式）</v>
          </cell>
          <cell r="AM231" t="str">
            <v>5 PIN CIRCULAR DIN,SN CONTACTS</v>
          </cell>
          <cell r="AN231" t="str">
            <v>CONNECTOR BRACKET</v>
          </cell>
          <cell r="AO231" t="str">
            <v>CONN,COMPRSSION</v>
          </cell>
          <cell r="AP231" t="str">
            <v>LATCH KIT　（2式）</v>
          </cell>
          <cell r="AQ231" t="str">
            <v/>
          </cell>
          <cell r="AR231" t="str">
            <v>BATTERY PACK, 6 CELL, 11.25V, 5.2AMP-HOUR, LITHIUM-ION</v>
          </cell>
          <cell r="AS231" t="str">
            <v>LOW NOISE POWER SUPPLY,15V W/BATTERY CHARGER,75 W</v>
          </cell>
          <cell r="AT231" t="str">
            <v>CORDSET</v>
          </cell>
          <cell r="AU231">
            <v>41244</v>
          </cell>
        </row>
        <row r="232">
          <cell r="A232" t="str">
            <v>S16-0229</v>
          </cell>
          <cell r="B232" t="str">
            <v>広島赤十字・原爆病院_0229 (2)</v>
          </cell>
          <cell r="C232" t="str">
            <v>SR#</v>
          </cell>
          <cell r="D232" t="str">
            <v>2016/03/14-04</v>
          </cell>
          <cell r="E232" t="str">
            <v>有償</v>
          </cell>
          <cell r="F232">
            <v>42454</v>
          </cell>
          <cell r="G232">
            <v>42454</v>
          </cell>
          <cell r="H232">
            <v>42458</v>
          </cell>
          <cell r="I232" t="str">
            <v>不明</v>
          </cell>
          <cell r="K232" t="str">
            <v>高橋</v>
          </cell>
          <cell r="L232">
            <v>5</v>
          </cell>
          <cell r="M232" t="str">
            <v>MicroMaxx</v>
          </cell>
          <cell r="N232" t="str">
            <v>03BMX9</v>
          </cell>
          <cell r="O232" t="str">
            <v>P08063-03</v>
          </cell>
          <cell r="P232" t="str">
            <v>共和医理器株式会社　広島支店</v>
          </cell>
          <cell r="Q232" t="str">
            <v>岡峯様</v>
          </cell>
          <cell r="R232" t="str">
            <v>〒733-0833　広島県広島市西区商工センター2-1-2</v>
          </cell>
          <cell r="S232" t="str">
            <v>082-270-1520</v>
          </cell>
          <cell r="T232" t="str">
            <v>082-270-1553</v>
          </cell>
          <cell r="U232" t="str">
            <v>広島赤十字・原爆病院</v>
          </cell>
          <cell r="X232" t="str">
            <v>082-241-3111</v>
          </cell>
          <cell r="Y232" t="str">
            <v xml:space="preserve">〒730-8619　広島県広島市中区千田町1-9-6  </v>
          </cell>
          <cell r="AA232" t="str">
            <v/>
          </cell>
          <cell r="AB232" t="str">
            <v/>
          </cell>
          <cell r="AC232" t="str">
            <v/>
          </cell>
          <cell r="AD232" t="str">
            <v/>
          </cell>
          <cell r="AE232" t="str">
            <v/>
          </cell>
          <cell r="AF232" t="str">
            <v/>
          </cell>
          <cell r="AG232" t="str">
            <v/>
          </cell>
          <cell r="AH232" t="str">
            <v/>
          </cell>
          <cell r="AI232" t="str">
            <v/>
          </cell>
          <cell r="AJ232" t="str">
            <v/>
          </cell>
          <cell r="AK232" t="str">
            <v/>
          </cell>
          <cell r="AL232" t="str">
            <v/>
          </cell>
          <cell r="AM232" t="str">
            <v/>
          </cell>
          <cell r="AN232" t="str">
            <v/>
          </cell>
          <cell r="AO232" t="str">
            <v/>
          </cell>
          <cell r="AP232" t="str">
            <v/>
          </cell>
          <cell r="AQ232" t="str">
            <v/>
          </cell>
          <cell r="AR232" t="str">
            <v/>
          </cell>
          <cell r="AS232" t="str">
            <v/>
          </cell>
          <cell r="AT232" t="str">
            <v/>
          </cell>
          <cell r="AU232">
            <v>39508</v>
          </cell>
        </row>
        <row r="233">
          <cell r="A233" t="str">
            <v>S16-0230</v>
          </cell>
          <cell r="B233" t="str">
            <v>市立札幌病院_0230</v>
          </cell>
          <cell r="C233" t="e">
            <v>#REF!</v>
          </cell>
          <cell r="D233" t="e">
            <v>#REF!</v>
          </cell>
          <cell r="E233" t="e">
            <v>#REF!</v>
          </cell>
          <cell r="F233" t="e">
            <v>#REF!</v>
          </cell>
          <cell r="G233" t="e">
            <v>#REF!</v>
          </cell>
          <cell r="H233" t="e">
            <v>#REF!</v>
          </cell>
          <cell r="I233" t="e">
            <v>#REF!</v>
          </cell>
          <cell r="K233" t="str">
            <v>高橋</v>
          </cell>
          <cell r="L233">
            <v>5</v>
          </cell>
          <cell r="M233" t="e">
            <v>#REF!</v>
          </cell>
          <cell r="N233" t="e">
            <v>#REF!</v>
          </cell>
          <cell r="O233" t="e">
            <v>#REF!</v>
          </cell>
          <cell r="P233" t="e">
            <v>#REF!</v>
          </cell>
          <cell r="Q233" t="e">
            <v>#REF!</v>
          </cell>
          <cell r="R233" t="str">
            <v>〒001-0011　北海道札幌市北区北11条西4丁目1-15</v>
          </cell>
          <cell r="S233" t="e">
            <v>#REF!</v>
          </cell>
          <cell r="T233" t="e">
            <v>#REF!</v>
          </cell>
          <cell r="U233" t="e">
            <v>#REF!</v>
          </cell>
          <cell r="X233" t="str">
            <v>011-728-6164</v>
          </cell>
          <cell r="Y233" t="str">
            <v xml:space="preserve">〒060-8604　北海道札幌市中央区北11条西13丁目1-1  </v>
          </cell>
          <cell r="AA233" t="e">
            <v>#REF!</v>
          </cell>
          <cell r="AB233" t="e">
            <v>#REF!</v>
          </cell>
          <cell r="AC233" t="e">
            <v>#REF!</v>
          </cell>
          <cell r="AD233" t="e">
            <v>#REF!</v>
          </cell>
          <cell r="AE233" t="e">
            <v>#REF!</v>
          </cell>
          <cell r="AF233" t="e">
            <v>#REF!</v>
          </cell>
          <cell r="AG233" t="e">
            <v>#REF!</v>
          </cell>
          <cell r="AH233" t="e">
            <v>#REF!</v>
          </cell>
          <cell r="AI233" t="e">
            <v>#REF!</v>
          </cell>
          <cell r="AJ233" t="e">
            <v>#REF!</v>
          </cell>
          <cell r="AK233" t="e">
            <v>#REF!</v>
          </cell>
          <cell r="AL233" t="e">
            <v>#REF!</v>
          </cell>
          <cell r="AM233" t="e">
            <v>#REF!</v>
          </cell>
          <cell r="AN233" t="e">
            <v>#REF!</v>
          </cell>
          <cell r="AO233" t="e">
            <v>#REF!</v>
          </cell>
          <cell r="AP233" t="e">
            <v>#REF!</v>
          </cell>
          <cell r="AQ233" t="e">
            <v>#REF!</v>
          </cell>
          <cell r="AR233" t="e">
            <v>#REF!</v>
          </cell>
          <cell r="AS233" t="e">
            <v>#REF!</v>
          </cell>
          <cell r="AT233" t="e">
            <v>#REF!</v>
          </cell>
          <cell r="AU233" t="e">
            <v>#REF!</v>
          </cell>
        </row>
        <row r="234">
          <cell r="A234" t="str">
            <v>S16-0231</v>
          </cell>
          <cell r="B234" t="str">
            <v>中川内科クリニック_0231 (2)</v>
          </cell>
          <cell r="C234" t="str">
            <v>SR#不要</v>
          </cell>
          <cell r="D234" t="str">
            <v>2016/01/07-03</v>
          </cell>
          <cell r="E234" t="str">
            <v>無償</v>
          </cell>
          <cell r="F234">
            <v>42457</v>
          </cell>
          <cell r="G234">
            <v>42457</v>
          </cell>
          <cell r="H234">
            <v>42480</v>
          </cell>
          <cell r="I234" t="str">
            <v>不明</v>
          </cell>
          <cell r="K234" t="str">
            <v>梶田</v>
          </cell>
          <cell r="L234" t="str">
            <v>-</v>
          </cell>
          <cell r="M234" t="str">
            <v>MicroMaxx</v>
          </cell>
          <cell r="N234" t="str">
            <v>WK0BQ0</v>
          </cell>
          <cell r="O234" t="str">
            <v>P08063-05</v>
          </cell>
          <cell r="P234" t="str">
            <v>株式会社富士フィルムソノサイト・ジャパン</v>
          </cell>
          <cell r="Q234" t="str">
            <v>吉田様</v>
          </cell>
          <cell r="R234" t="str">
            <v>〒106-0031  東京都港区西麻布2-26-30 富士フイルム西麻布ビル</v>
          </cell>
          <cell r="S234" t="str">
            <v>03-6418-7190</v>
          </cell>
          <cell r="T234" t="str">
            <v>03-6418-7162</v>
          </cell>
          <cell r="U234" t="str">
            <v>中川内科クリニック</v>
          </cell>
          <cell r="V234" t="str">
            <v>-</v>
          </cell>
          <cell r="W234" t="str">
            <v>-</v>
          </cell>
          <cell r="X234" t="str">
            <v>078-731-0185</v>
          </cell>
          <cell r="Y234" t="str">
            <v>〒654-0054　兵庫県神戸市須磨区須磨本町1-4-10</v>
          </cell>
          <cell r="AA234" t="str">
            <v/>
          </cell>
          <cell r="AB234" t="str">
            <v/>
          </cell>
          <cell r="AC234" t="str">
            <v/>
          </cell>
          <cell r="AD234" t="str">
            <v/>
          </cell>
          <cell r="AE234" t="str">
            <v/>
          </cell>
          <cell r="AF234" t="str">
            <v/>
          </cell>
          <cell r="AG234" t="str">
            <v/>
          </cell>
          <cell r="AH234" t="str">
            <v/>
          </cell>
          <cell r="AI234" t="str">
            <v/>
          </cell>
          <cell r="AJ234" t="str">
            <v/>
          </cell>
          <cell r="AK234" t="str">
            <v/>
          </cell>
          <cell r="AL234" t="str">
            <v/>
          </cell>
          <cell r="AM234" t="str">
            <v/>
          </cell>
          <cell r="AN234" t="str">
            <v/>
          </cell>
          <cell r="AO234" t="str">
            <v/>
          </cell>
          <cell r="AP234" t="str">
            <v/>
          </cell>
          <cell r="AQ234" t="str">
            <v/>
          </cell>
          <cell r="AR234" t="str">
            <v/>
          </cell>
          <cell r="AS234" t="str">
            <v/>
          </cell>
          <cell r="AT234" t="str">
            <v/>
          </cell>
          <cell r="AU234">
            <v>40575</v>
          </cell>
        </row>
        <row r="235">
          <cell r="A235" t="str">
            <v>S16-0232</v>
          </cell>
          <cell r="B235" t="str">
            <v>有限会社藤原畜産_0232 (2)</v>
          </cell>
          <cell r="C235" t="str">
            <v>SR#</v>
          </cell>
          <cell r="D235" t="str">
            <v>2016/03/15-06</v>
          </cell>
          <cell r="E235" t="str">
            <v>有償</v>
          </cell>
          <cell r="F235">
            <v>42457</v>
          </cell>
          <cell r="G235">
            <v>42457</v>
          </cell>
          <cell r="H235">
            <v>42475</v>
          </cell>
          <cell r="I235" t="str">
            <v>不明</v>
          </cell>
          <cell r="K235" t="str">
            <v>-</v>
          </cell>
          <cell r="L235" t="str">
            <v>-</v>
          </cell>
          <cell r="M235">
            <v>180</v>
          </cell>
          <cell r="N235" t="str">
            <v>01G30D</v>
          </cell>
          <cell r="O235" t="str">
            <v>P01102-01</v>
          </cell>
          <cell r="P235" t="str">
            <v>イワタニ・ケンボロー株式会社</v>
          </cell>
          <cell r="Q235" t="str">
            <v>杉下様</v>
          </cell>
          <cell r="R235" t="str">
            <v>〒020-0874　岩手県盛岡市南大通1-8-7　CFC 第1ビル5階</v>
          </cell>
          <cell r="S235" t="str">
            <v>019-604-6888</v>
          </cell>
          <cell r="T235" t="str">
            <v>019-626-1095</v>
          </cell>
          <cell r="U235" t="str">
            <v>有限会社　藤原畜産</v>
          </cell>
          <cell r="V235" t="str">
            <v>-</v>
          </cell>
          <cell r="W235" t="str">
            <v>-</v>
          </cell>
          <cell r="X235" t="str">
            <v>0183-62-5227</v>
          </cell>
          <cell r="Y235" t="str">
            <v>〒012-1111　秋田県雄勝郡羽後町嶋田新田字三吉前83</v>
          </cell>
          <cell r="AA235" t="str">
            <v/>
          </cell>
          <cell r="AB235" t="str">
            <v/>
          </cell>
          <cell r="AC235" t="str">
            <v/>
          </cell>
          <cell r="AD235" t="str">
            <v/>
          </cell>
          <cell r="AE235" t="str">
            <v/>
          </cell>
          <cell r="AF235" t="str">
            <v/>
          </cell>
          <cell r="AG235" t="str">
            <v/>
          </cell>
          <cell r="AH235" t="str">
            <v/>
          </cell>
          <cell r="AI235" t="str">
            <v/>
          </cell>
          <cell r="AJ235" t="str">
            <v/>
          </cell>
          <cell r="AK235" t="str">
            <v/>
          </cell>
          <cell r="AL235" t="str">
            <v/>
          </cell>
          <cell r="AM235" t="str">
            <v/>
          </cell>
          <cell r="AN235" t="str">
            <v/>
          </cell>
          <cell r="AO235" t="str">
            <v/>
          </cell>
          <cell r="AP235" t="str">
            <v/>
          </cell>
          <cell r="AQ235" t="str">
            <v/>
          </cell>
          <cell r="AR235" t="str">
            <v/>
          </cell>
          <cell r="AS235" t="str">
            <v/>
          </cell>
          <cell r="AT235" t="str">
            <v/>
          </cell>
          <cell r="AU235">
            <v>37316</v>
          </cell>
        </row>
        <row r="236">
          <cell r="A236" t="str">
            <v>S16-0233</v>
          </cell>
          <cell r="B236" t="str">
            <v>大分医療センター_0233 (2)</v>
          </cell>
          <cell r="C236" t="str">
            <v>SR#不要</v>
          </cell>
          <cell r="D236" t="str">
            <v>-</v>
          </cell>
          <cell r="E236" t="str">
            <v>有償</v>
          </cell>
          <cell r="F236">
            <v>42457</v>
          </cell>
          <cell r="G236">
            <v>42457</v>
          </cell>
          <cell r="H236">
            <v>42460</v>
          </cell>
          <cell r="I236" t="str">
            <v>不明</v>
          </cell>
          <cell r="K236" t="str">
            <v>-</v>
          </cell>
          <cell r="L236" t="str">
            <v>-</v>
          </cell>
          <cell r="M236" t="str">
            <v>MicroMaxx</v>
          </cell>
          <cell r="N236" t="str">
            <v>035BHN</v>
          </cell>
          <cell r="O236" t="str">
            <v>P05670-02</v>
          </cell>
          <cell r="P236" t="str">
            <v>富士フイルムメディカル株式会社</v>
          </cell>
          <cell r="Q236" t="str">
            <v>久間様</v>
          </cell>
          <cell r="S236" t="str">
            <v>03-6418-7190</v>
          </cell>
          <cell r="T236" t="str">
            <v>03-6418-7162</v>
          </cell>
          <cell r="U236" t="str">
            <v>大分医療センター</v>
          </cell>
          <cell r="AA236" t="str">
            <v/>
          </cell>
          <cell r="AB236" t="str">
            <v/>
          </cell>
          <cell r="AC236" t="str">
            <v/>
          </cell>
          <cell r="AD236" t="str">
            <v/>
          </cell>
          <cell r="AE236" t="str">
            <v/>
          </cell>
          <cell r="AF236" t="str">
            <v/>
          </cell>
          <cell r="AG236" t="str">
            <v/>
          </cell>
          <cell r="AH236" t="str">
            <v/>
          </cell>
          <cell r="AI236" t="str">
            <v/>
          </cell>
          <cell r="AJ236" t="str">
            <v/>
          </cell>
          <cell r="AK236" t="str">
            <v/>
          </cell>
          <cell r="AL236" t="str">
            <v/>
          </cell>
          <cell r="AM236" t="str">
            <v/>
          </cell>
          <cell r="AN236" t="str">
            <v/>
          </cell>
          <cell r="AO236" t="str">
            <v/>
          </cell>
          <cell r="AP236" t="str">
            <v/>
          </cell>
          <cell r="AQ236" t="str">
            <v/>
          </cell>
          <cell r="AR236" t="str">
            <v/>
          </cell>
          <cell r="AS236" t="str">
            <v/>
          </cell>
          <cell r="AT236" t="str">
            <v/>
          </cell>
          <cell r="AU236">
            <v>38657</v>
          </cell>
        </row>
        <row r="237">
          <cell r="A237" t="str">
            <v>S16-0234</v>
          </cell>
          <cell r="B237" t="str">
            <v>富良野ｽﾜｲﾝﾌｧｰﾑ_0234 (2)</v>
          </cell>
          <cell r="C237" t="str">
            <v>SR#</v>
          </cell>
          <cell r="D237" t="str">
            <v>-</v>
          </cell>
          <cell r="E237" t="str">
            <v>有償</v>
          </cell>
          <cell r="F237">
            <v>42458</v>
          </cell>
          <cell r="G237">
            <v>42458</v>
          </cell>
          <cell r="H237">
            <v>42475</v>
          </cell>
          <cell r="I237" t="str">
            <v>不明</v>
          </cell>
          <cell r="K237" t="str">
            <v>梶田</v>
          </cell>
          <cell r="L237">
            <v>3</v>
          </cell>
          <cell r="M237" t="str">
            <v>SonoHeart</v>
          </cell>
          <cell r="N237" t="str">
            <v>03021K</v>
          </cell>
          <cell r="O237" t="str">
            <v>P02522-05</v>
          </cell>
          <cell r="P237" t="str">
            <v>株式会社　竹山　旭川支店</v>
          </cell>
          <cell r="Q237" t="str">
            <v>安田様</v>
          </cell>
          <cell r="R237" t="str">
            <v>〒079-8402　北海道旭川市秋月2条2丁目5-22</v>
          </cell>
          <cell r="S237" t="str">
            <v>0166-73-3011</v>
          </cell>
          <cell r="T237" t="str">
            <v>0166-47-5311</v>
          </cell>
          <cell r="U237" t="str">
            <v>富良野スワインファーム有限会社</v>
          </cell>
          <cell r="V237" t="str">
            <v>-</v>
          </cell>
          <cell r="W237" t="str">
            <v>-</v>
          </cell>
          <cell r="X237" t="str">
            <v>0167-28-2404</v>
          </cell>
          <cell r="Y237" t="str">
            <v>〒076-0201　北海道富良野市西達布</v>
          </cell>
          <cell r="AA237" t="str">
            <v>P01795-02</v>
          </cell>
          <cell r="AB237" t="str">
            <v>P02837-01</v>
          </cell>
          <cell r="AC237" t="str">
            <v/>
          </cell>
          <cell r="AD237" t="str">
            <v/>
          </cell>
          <cell r="AE237" t="str">
            <v/>
          </cell>
          <cell r="AF237" t="str">
            <v/>
          </cell>
          <cell r="AG237" t="str">
            <v/>
          </cell>
          <cell r="AH237" t="str">
            <v/>
          </cell>
          <cell r="AI237" t="str">
            <v/>
          </cell>
          <cell r="AJ237" t="str">
            <v/>
          </cell>
          <cell r="AK237" t="str">
            <v>ASSEMBLY, PCB, DOCK INTERFACE W/ FAN SPEED CTL</v>
          </cell>
          <cell r="AL237" t="str">
            <v>SERVICE ASSEMBLY, CONTROL PANEL, C1.99, JAPANESE</v>
          </cell>
          <cell r="AM237" t="str">
            <v/>
          </cell>
          <cell r="AN237" t="str">
            <v/>
          </cell>
          <cell r="AO237" t="str">
            <v/>
          </cell>
          <cell r="AP237" t="str">
            <v/>
          </cell>
          <cell r="AQ237" t="str">
            <v/>
          </cell>
          <cell r="AR237" t="str">
            <v/>
          </cell>
          <cell r="AS237" t="str">
            <v/>
          </cell>
          <cell r="AT237" t="str">
            <v/>
          </cell>
          <cell r="AU237">
            <v>37316</v>
          </cell>
        </row>
        <row r="238">
          <cell r="A238" t="str">
            <v>S16-0235</v>
          </cell>
          <cell r="B238" t="str">
            <v>新潟大学医歯学総合病院_0235 (2)</v>
          </cell>
          <cell r="C238" t="str">
            <v>SR#</v>
          </cell>
          <cell r="D238" t="str">
            <v>2016/03/18-03</v>
          </cell>
          <cell r="E238" t="str">
            <v>無償</v>
          </cell>
          <cell r="F238">
            <v>42459</v>
          </cell>
          <cell r="G238">
            <v>42459</v>
          </cell>
          <cell r="H238">
            <v>42481</v>
          </cell>
          <cell r="I238" t="str">
            <v>不明</v>
          </cell>
          <cell r="K238" t="str">
            <v>梶田</v>
          </cell>
          <cell r="L238">
            <v>3</v>
          </cell>
          <cell r="M238" t="str">
            <v>M-Turbo</v>
          </cell>
          <cell r="N238" t="str">
            <v>WK216X</v>
          </cell>
          <cell r="O238" t="str">
            <v>P16693-02</v>
          </cell>
          <cell r="P238" t="str">
            <v>源川医科器械株式会社</v>
          </cell>
          <cell r="Q238" t="str">
            <v>遠藤様</v>
          </cell>
          <cell r="R238" t="str">
            <v>〒951-8567　新潟県新潟市中央区東中通2-279</v>
          </cell>
          <cell r="S238" t="str">
            <v>025-229-7769</v>
          </cell>
          <cell r="T238" t="str">
            <v>025-229-7777</v>
          </cell>
          <cell r="U238" t="str">
            <v>新潟大学医歯学総合病院　救命センター</v>
          </cell>
          <cell r="V238" t="str">
            <v>遠藤教授</v>
          </cell>
          <cell r="W238" t="str">
            <v>救命センター</v>
          </cell>
          <cell r="X238" t="str">
            <v>025-223-6161</v>
          </cell>
          <cell r="Y238" t="str">
            <v>〒951-8520　新潟県新潟市中央区旭町通1-754</v>
          </cell>
          <cell r="AA238" t="str">
            <v>P18035-01</v>
          </cell>
          <cell r="AB238" t="str">
            <v>P19080-01</v>
          </cell>
          <cell r="AC238" t="str">
            <v>P19133-01</v>
          </cell>
          <cell r="AD238" t="str">
            <v/>
          </cell>
          <cell r="AE238" t="str">
            <v/>
          </cell>
          <cell r="AF238" t="str">
            <v/>
          </cell>
          <cell r="AG238" t="str">
            <v/>
          </cell>
          <cell r="AH238" t="str">
            <v/>
          </cell>
          <cell r="AI238" t="str">
            <v/>
          </cell>
          <cell r="AJ238" t="str">
            <v/>
          </cell>
          <cell r="AK238" t="str">
            <v>Kycon Connecto</v>
          </cell>
          <cell r="AL238" t="str">
            <v>Connector Brackets</v>
          </cell>
          <cell r="AM238" t="str">
            <v>Bracket screws　×2</v>
          </cell>
          <cell r="AN238" t="str">
            <v/>
          </cell>
          <cell r="AO238" t="str">
            <v/>
          </cell>
          <cell r="AP238" t="str">
            <v/>
          </cell>
          <cell r="AQ238" t="str">
            <v/>
          </cell>
          <cell r="AR238" t="str">
            <v/>
          </cell>
          <cell r="AS238" t="str">
            <v/>
          </cell>
          <cell r="AT238" t="str">
            <v/>
          </cell>
          <cell r="AU238">
            <v>41579</v>
          </cell>
        </row>
        <row r="239">
          <cell r="A239" t="str">
            <v>S16-0236</v>
          </cell>
          <cell r="B239" t="str">
            <v>富士市立中央病院_0236 (2)</v>
          </cell>
          <cell r="C239" t="str">
            <v>SR#</v>
          </cell>
          <cell r="D239" t="str">
            <v>2016/03/23-02</v>
          </cell>
          <cell r="E239" t="str">
            <v>有償</v>
          </cell>
          <cell r="F239">
            <v>42459</v>
          </cell>
          <cell r="G239">
            <v>42459</v>
          </cell>
          <cell r="H239">
            <v>42577</v>
          </cell>
          <cell r="I239" t="str">
            <v>不明</v>
          </cell>
          <cell r="K239" t="str">
            <v>高橋</v>
          </cell>
          <cell r="L239">
            <v>3</v>
          </cell>
          <cell r="M239" t="str">
            <v>180Plus</v>
          </cell>
          <cell r="N239" t="str">
            <v xml:space="preserve">034GDC </v>
          </cell>
          <cell r="O239" t="str">
            <v>P04326-03</v>
          </cell>
          <cell r="P239" t="str">
            <v>協和医科器械株式会社　沼津支店</v>
          </cell>
          <cell r="Q239" t="str">
            <v>川口様</v>
          </cell>
          <cell r="R239" t="str">
            <v>〒410-0022　静岡県沼津市大岡2391-7</v>
          </cell>
          <cell r="S239" t="str">
            <v>055-926-1100</v>
          </cell>
          <cell r="T239" t="str">
            <v>055-926-1105</v>
          </cell>
          <cell r="U239" t="str">
            <v>富士市立中央病院　内科外来</v>
          </cell>
          <cell r="V239" t="str">
            <v>佐野看護長</v>
          </cell>
          <cell r="W239" t="str">
            <v>内科外科</v>
          </cell>
          <cell r="X239" t="str">
            <v>0545-52-1131</v>
          </cell>
          <cell r="Y239" t="str">
            <v>〒417-8567　静岡県富士市高島町50</v>
          </cell>
          <cell r="AA239" t="str">
            <v>P02844-04</v>
          </cell>
          <cell r="AB239" t="str">
            <v>P00343-01</v>
          </cell>
          <cell r="AC239" t="str">
            <v>P01213-01</v>
          </cell>
          <cell r="AD239" t="str">
            <v/>
          </cell>
          <cell r="AE239" t="str">
            <v/>
          </cell>
          <cell r="AF239" t="str">
            <v/>
          </cell>
          <cell r="AG239" t="str">
            <v/>
          </cell>
          <cell r="AH239" t="str">
            <v/>
          </cell>
          <cell r="AI239" t="str">
            <v/>
          </cell>
          <cell r="AJ239" t="str">
            <v/>
          </cell>
          <cell r="AK239" t="str">
            <v>SERVICE ASSEMBLY, PCB C1.99 MAIN, JAPANESEE</v>
          </cell>
          <cell r="AL239" t="str">
            <v>HINGE, DISPLAY</v>
          </cell>
          <cell r="AM239" t="str">
            <v>FLEX CIRCUIT, FAB, C1 DISPLAY</v>
          </cell>
          <cell r="AN239" t="str">
            <v/>
          </cell>
          <cell r="AO239" t="str">
            <v/>
          </cell>
          <cell r="AP239" t="str">
            <v/>
          </cell>
          <cell r="AQ239" t="str">
            <v/>
          </cell>
          <cell r="AR239" t="str">
            <v/>
          </cell>
          <cell r="AS239" t="str">
            <v/>
          </cell>
          <cell r="AT239" t="str">
            <v/>
          </cell>
          <cell r="AU239">
            <v>38534</v>
          </cell>
        </row>
        <row r="240">
          <cell r="A240" t="str">
            <v>S16-0237</v>
          </cell>
          <cell r="B240" t="str">
            <v>紀南病院_0237 (2)</v>
          </cell>
          <cell r="C240" t="str">
            <v>SR#</v>
          </cell>
          <cell r="D240" t="str">
            <v>2016/03/25-08</v>
          </cell>
          <cell r="E240" t="str">
            <v>有償</v>
          </cell>
          <cell r="F240">
            <v>42460</v>
          </cell>
          <cell r="G240">
            <v>42460</v>
          </cell>
          <cell r="H240">
            <v>42541</v>
          </cell>
          <cell r="I240" t="str">
            <v>不明</v>
          </cell>
          <cell r="K240" t="str">
            <v>馬屋原</v>
          </cell>
          <cell r="L240">
            <v>3</v>
          </cell>
          <cell r="M240" t="str">
            <v>180Ⅱ</v>
          </cell>
          <cell r="N240" t="str">
            <v>0206N7</v>
          </cell>
          <cell r="O240" t="str">
            <v>P02456-02</v>
          </cell>
          <cell r="P240" t="str">
            <v>中辻医科器械株式会社</v>
          </cell>
          <cell r="Q240" t="str">
            <v>岡様</v>
          </cell>
          <cell r="R240" t="str">
            <v>〒514-0816　三重県津市高茶屋小森上野町1336-1</v>
          </cell>
          <cell r="S240" t="str">
            <v>059-234-2600</v>
          </cell>
          <cell r="T240" t="str">
            <v>059-234-9197</v>
          </cell>
          <cell r="U240" t="str">
            <v>紀南病院</v>
          </cell>
          <cell r="V240" t="str">
            <v>-</v>
          </cell>
          <cell r="W240" t="str">
            <v>-</v>
          </cell>
          <cell r="X240" t="str">
            <v>05979-2-1333</v>
          </cell>
          <cell r="Y240" t="str">
            <v>〒519-5293 三重県南牟婁郡御浜町阿田和4750</v>
          </cell>
          <cell r="AA240" t="str">
            <v>P00104-02</v>
          </cell>
          <cell r="AB240" t="str">
            <v>P01213-01</v>
          </cell>
          <cell r="AC240" t="str">
            <v>P00343-01</v>
          </cell>
          <cell r="AE240" t="str">
            <v/>
          </cell>
          <cell r="AF240" t="str">
            <v/>
          </cell>
          <cell r="AG240" t="str">
            <v/>
          </cell>
          <cell r="AH240" t="str">
            <v/>
          </cell>
          <cell r="AI240" t="str">
            <v/>
          </cell>
          <cell r="AJ240" t="str">
            <v/>
          </cell>
          <cell r="AK240" t="str">
            <v>KEY, ON/OFF</v>
          </cell>
          <cell r="AL240" t="str">
            <v>FLEX CIRCUIT, FAB, C1 DISPLAY</v>
          </cell>
          <cell r="AM240" t="str">
            <v>HINGE, DISPLAY</v>
          </cell>
          <cell r="AO240" t="str">
            <v/>
          </cell>
          <cell r="AP240" t="str">
            <v/>
          </cell>
          <cell r="AQ240" t="str">
            <v/>
          </cell>
          <cell r="AR240" t="str">
            <v/>
          </cell>
          <cell r="AS240" t="str">
            <v/>
          </cell>
          <cell r="AT240" t="str">
            <v/>
          </cell>
          <cell r="AU240">
            <v>37226</v>
          </cell>
        </row>
        <row r="241">
          <cell r="A241" t="str">
            <v>S16-0238</v>
          </cell>
          <cell r="B241" t="str">
            <v>岡山労災病院_0238 (2)</v>
          </cell>
          <cell r="C241" t="str">
            <v>SR#</v>
          </cell>
          <cell r="D241" t="str">
            <v>-</v>
          </cell>
          <cell r="E241" t="str">
            <v>有償</v>
          </cell>
          <cell r="F241">
            <v>42460</v>
          </cell>
          <cell r="G241">
            <v>42460</v>
          </cell>
          <cell r="H241">
            <v>42480</v>
          </cell>
          <cell r="I241">
            <v>40391</v>
          </cell>
          <cell r="K241" t="str">
            <v>梶田</v>
          </cell>
          <cell r="L241">
            <v>3</v>
          </cell>
          <cell r="M241" t="str">
            <v>V-Universal Stand</v>
          </cell>
          <cell r="N241" t="str">
            <v>WM062M</v>
          </cell>
          <cell r="O241" t="str">
            <v>P13383-20</v>
          </cell>
          <cell r="P241" t="str">
            <v>日本コヴィディエン株式会社　中四国営業所</v>
          </cell>
          <cell r="Q241" t="str">
            <v>工藤様</v>
          </cell>
          <cell r="R241" t="str">
            <v>〒108-0075　　東京都港区港南一丁目2番70号　品川シーズンテラス　22F</v>
          </cell>
          <cell r="S241" t="str">
            <v>03-6774-4629</v>
          </cell>
          <cell r="T241" t="str">
            <v>03-6774-4740</v>
          </cell>
          <cell r="U241" t="str">
            <v>岡山ろうさい病院</v>
          </cell>
          <cell r="V241" t="str">
            <v>-</v>
          </cell>
          <cell r="W241" t="str">
            <v>-</v>
          </cell>
          <cell r="X241" t="str">
            <v>086-262-1031</v>
          </cell>
          <cell r="Y241" t="str">
            <v>〒702-8055　岡山県岡山市南区築港緑町1-10-25</v>
          </cell>
          <cell r="AA241" t="str">
            <v>P09823-06</v>
          </cell>
          <cell r="AB241" t="str">
            <v>P00855-01</v>
          </cell>
          <cell r="AC241" t="str">
            <v/>
          </cell>
          <cell r="AD241" t="str">
            <v/>
          </cell>
          <cell r="AE241" t="str">
            <v/>
          </cell>
          <cell r="AF241" t="str">
            <v/>
          </cell>
          <cell r="AG241" t="str">
            <v/>
          </cell>
          <cell r="AH241" t="str">
            <v/>
          </cell>
          <cell r="AI241" t="str">
            <v/>
          </cell>
          <cell r="AJ241" t="str">
            <v/>
          </cell>
          <cell r="AK241" t="str">
            <v>LOW NOISE POWER SUPPLY,15V W/BATTERY CHARGER,75 W</v>
          </cell>
          <cell r="AL241" t="str">
            <v>CORDSET, 15 AMP ,C13 CONNECTOR,JAPANESE</v>
          </cell>
          <cell r="AM241" t="str">
            <v/>
          </cell>
          <cell r="AN241" t="str">
            <v/>
          </cell>
          <cell r="AO241" t="str">
            <v/>
          </cell>
          <cell r="AP241" t="str">
            <v/>
          </cell>
          <cell r="AQ241" t="str">
            <v/>
          </cell>
          <cell r="AR241" t="str">
            <v/>
          </cell>
          <cell r="AS241" t="str">
            <v/>
          </cell>
          <cell r="AT241" t="str">
            <v/>
          </cell>
          <cell r="AU241">
            <v>40269</v>
          </cell>
        </row>
        <row r="242">
          <cell r="A242" t="str">
            <v>S16-0239</v>
          </cell>
          <cell r="B242" t="str">
            <v>大阪医科大学病院_0239</v>
          </cell>
          <cell r="C242" t="str">
            <v>SR#不要</v>
          </cell>
          <cell r="D242" t="str">
            <v>-</v>
          </cell>
          <cell r="E242" t="str">
            <v>有償</v>
          </cell>
          <cell r="F242">
            <v>42460</v>
          </cell>
          <cell r="G242">
            <v>42460</v>
          </cell>
          <cell r="H242">
            <v>42472</v>
          </cell>
          <cell r="I242">
            <v>40248</v>
          </cell>
          <cell r="K242" t="str">
            <v>-</v>
          </cell>
          <cell r="L242" t="str">
            <v>-</v>
          </cell>
          <cell r="M242" t="str">
            <v>iLook25</v>
          </cell>
          <cell r="N242" t="str">
            <v>038569</v>
          </cell>
          <cell r="O242" t="str">
            <v>P04303-02</v>
          </cell>
          <cell r="P242" t="str">
            <v>日本コヴィディエン株式会社　大阪営業所</v>
          </cell>
          <cell r="Q242" t="str">
            <v>草野様</v>
          </cell>
          <cell r="R242" t="str">
            <v>〒108-0075　　東京都港区港南一丁目2番70号　品川シーズンテラス　22F</v>
          </cell>
          <cell r="S242" t="str">
            <v>03-6774-4629</v>
          </cell>
          <cell r="T242" t="str">
            <v>03-6774-4740</v>
          </cell>
          <cell r="U242" t="str">
            <v>大阪医科大学附属病院</v>
          </cell>
          <cell r="V242" t="str">
            <v>-</v>
          </cell>
          <cell r="W242" t="str">
            <v>-</v>
          </cell>
          <cell r="X242" t="str">
            <v>0726-83-1221</v>
          </cell>
          <cell r="Y242" t="str">
            <v>〒569-8686　大阪府高槻市大学町2-7</v>
          </cell>
          <cell r="AA242" t="str">
            <v/>
          </cell>
          <cell r="AB242" t="str">
            <v/>
          </cell>
          <cell r="AC242" t="str">
            <v/>
          </cell>
          <cell r="AD242" t="str">
            <v/>
          </cell>
          <cell r="AE242" t="str">
            <v/>
          </cell>
          <cell r="AF242" t="str">
            <v/>
          </cell>
          <cell r="AG242" t="str">
            <v/>
          </cell>
          <cell r="AH242" t="str">
            <v/>
          </cell>
          <cell r="AI242" t="str">
            <v/>
          </cell>
          <cell r="AJ242" t="str">
            <v/>
          </cell>
          <cell r="AK242" t="str">
            <v/>
          </cell>
          <cell r="AL242" t="str">
            <v/>
          </cell>
          <cell r="AM242" t="str">
            <v/>
          </cell>
          <cell r="AN242" t="str">
            <v/>
          </cell>
          <cell r="AO242" t="str">
            <v/>
          </cell>
          <cell r="AP242" t="str">
            <v/>
          </cell>
          <cell r="AQ242" t="str">
            <v/>
          </cell>
          <cell r="AR242" t="str">
            <v/>
          </cell>
          <cell r="AS242" t="str">
            <v/>
          </cell>
          <cell r="AT242" t="str">
            <v/>
          </cell>
          <cell r="AU242">
            <v>39114</v>
          </cell>
        </row>
        <row r="243">
          <cell r="A243" t="str">
            <v>S16-0240</v>
          </cell>
          <cell r="B243" t="str">
            <v>群馬大学医学部附属病院_0240 (2)</v>
          </cell>
          <cell r="C243" t="str">
            <v>SR#4198201</v>
          </cell>
          <cell r="D243" t="str">
            <v>2016/03/24-01</v>
          </cell>
          <cell r="E243" t="str">
            <v>無償</v>
          </cell>
          <cell r="F243">
            <v>42460</v>
          </cell>
          <cell r="G243">
            <v>42460</v>
          </cell>
          <cell r="H243">
            <v>42482</v>
          </cell>
          <cell r="I243" t="str">
            <v>不明</v>
          </cell>
          <cell r="K243" t="str">
            <v>梶田</v>
          </cell>
          <cell r="L243">
            <v>3</v>
          </cell>
          <cell r="M243" t="str">
            <v>S-Nerve</v>
          </cell>
          <cell r="N243" t="str">
            <v>03MGCJ</v>
          </cell>
          <cell r="O243" t="str">
            <v>P12060-07</v>
          </cell>
          <cell r="P243" t="str">
            <v>株式会社栗原医療器械店　前橋支店</v>
          </cell>
          <cell r="Q243" t="str">
            <v>荒木様</v>
          </cell>
          <cell r="R243" t="str">
            <v>〒371-0044　群馬県前橋市荒牧町2-39-7</v>
          </cell>
          <cell r="S243" t="str">
            <v>027-232-9691</v>
          </cell>
          <cell r="T243" t="str">
            <v>027-233-3168</v>
          </cell>
          <cell r="U243" t="str">
            <v>群馬大学医学部附属病院</v>
          </cell>
          <cell r="V243" t="str">
            <v>-</v>
          </cell>
          <cell r="W243" t="str">
            <v>-</v>
          </cell>
          <cell r="X243" t="str">
            <v>027-220-7111</v>
          </cell>
          <cell r="Y243" t="str">
            <v>〒371-8511　群馬県前橋市昭和町3-39-15</v>
          </cell>
          <cell r="AA243" t="str">
            <v>P09135-03</v>
          </cell>
          <cell r="AB243" t="str">
            <v>P18035-01</v>
          </cell>
          <cell r="AC243" t="str">
            <v>P19080-01</v>
          </cell>
          <cell r="AD243" t="str">
            <v>P19133-01</v>
          </cell>
          <cell r="AE243" t="str">
            <v/>
          </cell>
          <cell r="AF243" t="str">
            <v/>
          </cell>
          <cell r="AG243" t="str">
            <v/>
          </cell>
          <cell r="AH243" t="str">
            <v/>
          </cell>
          <cell r="AI243" t="str">
            <v/>
          </cell>
          <cell r="AJ243" t="str">
            <v/>
          </cell>
          <cell r="AK243" t="str">
            <v>SERVICE ASSEMBLY MAIN PCBA, S-SERIES</v>
          </cell>
          <cell r="AL243" t="str">
            <v>Kycon Connecto</v>
          </cell>
          <cell r="AM243" t="str">
            <v>Connector Brackets</v>
          </cell>
          <cell r="AN243" t="str">
            <v>Bracket screws　×2</v>
          </cell>
          <cell r="AO243" t="str">
            <v/>
          </cell>
          <cell r="AP243" t="str">
            <v/>
          </cell>
          <cell r="AQ243" t="str">
            <v/>
          </cell>
          <cell r="AR243" t="str">
            <v/>
          </cell>
          <cell r="AS243" t="str">
            <v/>
          </cell>
          <cell r="AT243" t="str">
            <v/>
          </cell>
          <cell r="AU243">
            <v>40787</v>
          </cell>
        </row>
        <row r="244">
          <cell r="A244" t="str">
            <v>S16-0241</v>
          </cell>
          <cell r="B244" t="str">
            <v>恵泉クリニック_0241</v>
          </cell>
          <cell r="C244" t="e">
            <v>#REF!</v>
          </cell>
          <cell r="D244" t="e">
            <v>#REF!</v>
          </cell>
          <cell r="E244" t="e">
            <v>#REF!</v>
          </cell>
          <cell r="F244" t="e">
            <v>#REF!</v>
          </cell>
          <cell r="G244" t="e">
            <v>#REF!</v>
          </cell>
          <cell r="H244" t="e">
            <v>#REF!</v>
          </cell>
          <cell r="I244" t="e">
            <v>#REF!</v>
          </cell>
          <cell r="K244" t="e">
            <v>#REF!</v>
          </cell>
          <cell r="M244" t="e">
            <v>#REF!</v>
          </cell>
          <cell r="N244" t="e">
            <v>#REF!</v>
          </cell>
          <cell r="O244" t="e">
            <v>#REF!</v>
          </cell>
          <cell r="P244" t="e">
            <v>#REF!</v>
          </cell>
          <cell r="Q244" t="e">
            <v>#REF!</v>
          </cell>
          <cell r="S244" t="e">
            <v>#REF!</v>
          </cell>
          <cell r="T244" t="e">
            <v>#REF!</v>
          </cell>
          <cell r="U244" t="e">
            <v>#REF!</v>
          </cell>
          <cell r="AA244" t="e">
            <v>#REF!</v>
          </cell>
          <cell r="AB244" t="e">
            <v>#REF!</v>
          </cell>
          <cell r="AC244" t="e">
            <v>#REF!</v>
          </cell>
          <cell r="AD244" t="e">
            <v>#REF!</v>
          </cell>
          <cell r="AE244" t="e">
            <v>#REF!</v>
          </cell>
          <cell r="AF244" t="e">
            <v>#REF!</v>
          </cell>
          <cell r="AG244" t="e">
            <v>#REF!</v>
          </cell>
          <cell r="AH244" t="e">
            <v>#REF!</v>
          </cell>
          <cell r="AI244" t="e">
            <v>#REF!</v>
          </cell>
          <cell r="AJ244" t="e">
            <v>#REF!</v>
          </cell>
          <cell r="AK244" t="e">
            <v>#REF!</v>
          </cell>
          <cell r="AL244" t="e">
            <v>#REF!</v>
          </cell>
          <cell r="AM244" t="e">
            <v>#REF!</v>
          </cell>
          <cell r="AN244" t="e">
            <v>#REF!</v>
          </cell>
          <cell r="AO244" t="e">
            <v>#REF!</v>
          </cell>
          <cell r="AP244" t="e">
            <v>#REF!</v>
          </cell>
          <cell r="AQ244" t="e">
            <v>#REF!</v>
          </cell>
          <cell r="AR244" t="e">
            <v>#REF!</v>
          </cell>
          <cell r="AS244" t="e">
            <v>#REF!</v>
          </cell>
          <cell r="AT244" t="e">
            <v>#REF!</v>
          </cell>
          <cell r="AU244" t="e">
            <v>#REF!</v>
          </cell>
        </row>
        <row r="245">
          <cell r="A245" t="str">
            <v>S16-0242</v>
          </cell>
          <cell r="B245" t="str">
            <v>中野江古田病院_0242 (2)</v>
          </cell>
          <cell r="C245" t="str">
            <v>SR#</v>
          </cell>
          <cell r="D245" t="str">
            <v>2016/03/16-01</v>
          </cell>
          <cell r="E245" t="str">
            <v>有償</v>
          </cell>
          <cell r="F245">
            <v>42461</v>
          </cell>
          <cell r="G245">
            <v>42461</v>
          </cell>
          <cell r="H245">
            <v>42473</v>
          </cell>
          <cell r="I245" t="str">
            <v>不明</v>
          </cell>
          <cell r="K245" t="str">
            <v>-</v>
          </cell>
          <cell r="L245" t="str">
            <v>-</v>
          </cell>
          <cell r="M245" t="str">
            <v>ECGケーブル</v>
          </cell>
          <cell r="N245" t="str">
            <v>00017W</v>
          </cell>
          <cell r="O245" t="str">
            <v>P12640-01</v>
          </cell>
          <cell r="P245" t="str">
            <v>-</v>
          </cell>
          <cell r="Q245" t="str">
            <v>-</v>
          </cell>
          <cell r="S245" t="str">
            <v>03-3387-7321</v>
          </cell>
          <cell r="T245" t="str">
            <v>03-3387-7332</v>
          </cell>
          <cell r="U245" t="str">
            <v>中野江古田病院</v>
          </cell>
          <cell r="V245" t="str">
            <v>-</v>
          </cell>
          <cell r="W245" t="str">
            <v>-</v>
          </cell>
          <cell r="X245" t="str">
            <v xml:space="preserve">03-3387-7321
</v>
          </cell>
          <cell r="Y245" t="str">
            <v>〒165-0022　東京都中野区江古田4-19-9</v>
          </cell>
          <cell r="AA245" t="str">
            <v/>
          </cell>
          <cell r="AB245" t="str">
            <v/>
          </cell>
          <cell r="AC245" t="str">
            <v/>
          </cell>
          <cell r="AD245" t="str">
            <v/>
          </cell>
          <cell r="AE245" t="str">
            <v/>
          </cell>
          <cell r="AF245" t="str">
            <v/>
          </cell>
          <cell r="AG245" t="str">
            <v/>
          </cell>
          <cell r="AH245" t="str">
            <v/>
          </cell>
          <cell r="AI245" t="str">
            <v/>
          </cell>
          <cell r="AJ245" t="str">
            <v/>
          </cell>
          <cell r="AK245" t="str">
            <v/>
          </cell>
          <cell r="AL245" t="str">
            <v/>
          </cell>
          <cell r="AM245" t="str">
            <v/>
          </cell>
          <cell r="AN245" t="str">
            <v/>
          </cell>
          <cell r="AO245" t="str">
            <v/>
          </cell>
          <cell r="AP245" t="str">
            <v/>
          </cell>
          <cell r="AQ245" t="str">
            <v/>
          </cell>
          <cell r="AR245" t="str">
            <v/>
          </cell>
          <cell r="AS245" t="str">
            <v/>
          </cell>
          <cell r="AT245" t="str">
            <v/>
          </cell>
          <cell r="AU245">
            <v>40238</v>
          </cell>
        </row>
        <row r="246">
          <cell r="A246" t="str">
            <v>S16-0243</v>
          </cell>
          <cell r="B246" t="str">
            <v>島田総合病院_0243 (2)</v>
          </cell>
          <cell r="C246" t="str">
            <v>SR#不要</v>
          </cell>
          <cell r="D246" t="str">
            <v>2016/03/03-03</v>
          </cell>
          <cell r="E246" t="str">
            <v>有償</v>
          </cell>
          <cell r="F246">
            <v>42461</v>
          </cell>
          <cell r="G246">
            <v>42461</v>
          </cell>
          <cell r="H246">
            <v>42523</v>
          </cell>
          <cell r="I246" t="str">
            <v>-</v>
          </cell>
          <cell r="K246" t="str">
            <v>-</v>
          </cell>
          <cell r="L246" t="str">
            <v>-</v>
          </cell>
          <cell r="M246" t="str">
            <v>MicroMaxx</v>
          </cell>
          <cell r="N246" t="str">
            <v>034GD1</v>
          </cell>
          <cell r="O246" t="str">
            <v>P05670-01</v>
          </cell>
          <cell r="P246" t="str">
            <v>島田総合病院　超音波検査室</v>
          </cell>
          <cell r="Q246" t="str">
            <v>原様</v>
          </cell>
          <cell r="R246" t="str">
            <v>〒288-0053　千葉県銚子市東町5-3</v>
          </cell>
          <cell r="S246" t="str">
            <v>0479-22-5401</v>
          </cell>
          <cell r="T246" t="str">
            <v>0479-23-3613</v>
          </cell>
          <cell r="U246" t="str">
            <v>島田総合病院</v>
          </cell>
          <cell r="V246" t="str">
            <v>-</v>
          </cell>
          <cell r="W246" t="str">
            <v>-</v>
          </cell>
          <cell r="X246" t="str">
            <v>-</v>
          </cell>
          <cell r="Y246" t="str">
            <v>（施設直接）</v>
          </cell>
          <cell r="AA246" t="str">
            <v/>
          </cell>
          <cell r="AB246" t="str">
            <v/>
          </cell>
          <cell r="AC246" t="str">
            <v/>
          </cell>
          <cell r="AD246" t="str">
            <v/>
          </cell>
          <cell r="AE246" t="str">
            <v/>
          </cell>
          <cell r="AF246" t="str">
            <v/>
          </cell>
          <cell r="AG246" t="str">
            <v/>
          </cell>
          <cell r="AH246" t="str">
            <v/>
          </cell>
          <cell r="AI246" t="str">
            <v/>
          </cell>
          <cell r="AJ246" t="str">
            <v/>
          </cell>
          <cell r="AK246" t="str">
            <v/>
          </cell>
          <cell r="AL246" t="str">
            <v/>
          </cell>
          <cell r="AM246" t="str">
            <v/>
          </cell>
          <cell r="AN246" t="str">
            <v/>
          </cell>
          <cell r="AO246" t="str">
            <v/>
          </cell>
          <cell r="AP246" t="str">
            <v/>
          </cell>
          <cell r="AQ246" t="str">
            <v/>
          </cell>
          <cell r="AR246" t="str">
            <v/>
          </cell>
          <cell r="AS246" t="str">
            <v/>
          </cell>
          <cell r="AT246" t="str">
            <v/>
          </cell>
          <cell r="AU246">
            <v>38565</v>
          </cell>
        </row>
        <row r="247">
          <cell r="A247" t="str">
            <v>S16-0244</v>
          </cell>
          <cell r="B247" t="str">
            <v>国立宮崎東病院_0244 (2)</v>
          </cell>
          <cell r="C247" t="str">
            <v>SR#不要</v>
          </cell>
          <cell r="D247" t="str">
            <v>2016/03/28-03</v>
          </cell>
          <cell r="E247" t="str">
            <v>有償</v>
          </cell>
          <cell r="F247">
            <v>42461</v>
          </cell>
          <cell r="G247">
            <v>42461</v>
          </cell>
          <cell r="H247">
            <v>42510</v>
          </cell>
          <cell r="I247">
            <v>40118</v>
          </cell>
          <cell r="K247" t="str">
            <v>-</v>
          </cell>
          <cell r="L247" t="str">
            <v>-</v>
          </cell>
          <cell r="M247" t="str">
            <v>M-Turbo</v>
          </cell>
          <cell r="N247" t="str">
            <v>03GJ8Z</v>
          </cell>
          <cell r="O247" t="str">
            <v>P019141-11</v>
          </cell>
          <cell r="P247" t="str">
            <v>株式会社アステム　宮崎支店</v>
          </cell>
          <cell r="Q247" t="str">
            <v>タカイネ様</v>
          </cell>
          <cell r="R247" t="str">
            <v>〒880-0814　宮崎県宮崎市江平中町5-1</v>
          </cell>
          <cell r="S247" t="str">
            <v>0985-24-6474</v>
          </cell>
          <cell r="T247" t="str">
            <v>0985-24-3120</v>
          </cell>
          <cell r="U247" t="str">
            <v>国立宮崎東病院</v>
          </cell>
          <cell r="V247" t="str">
            <v>-</v>
          </cell>
          <cell r="W247" t="str">
            <v>-</v>
          </cell>
          <cell r="X247" t="str">
            <v>0985-56-2311</v>
          </cell>
          <cell r="Y247" t="str">
            <v>〒880-0911 宮崎県宮崎市大字田吉4374-1</v>
          </cell>
          <cell r="AA247" t="str">
            <v/>
          </cell>
          <cell r="AB247" t="str">
            <v/>
          </cell>
          <cell r="AC247" t="str">
            <v/>
          </cell>
          <cell r="AD247" t="str">
            <v/>
          </cell>
          <cell r="AE247" t="str">
            <v/>
          </cell>
          <cell r="AF247" t="str">
            <v/>
          </cell>
          <cell r="AG247" t="str">
            <v/>
          </cell>
          <cell r="AH247" t="str">
            <v/>
          </cell>
          <cell r="AI247" t="str">
            <v/>
          </cell>
          <cell r="AJ247" t="str">
            <v/>
          </cell>
          <cell r="AK247" t="str">
            <v/>
          </cell>
          <cell r="AL247" t="str">
            <v/>
          </cell>
          <cell r="AM247" t="str">
            <v/>
          </cell>
          <cell r="AN247" t="str">
            <v/>
          </cell>
          <cell r="AO247" t="str">
            <v/>
          </cell>
          <cell r="AP247" t="str">
            <v/>
          </cell>
          <cell r="AQ247" t="str">
            <v/>
          </cell>
          <cell r="AR247" t="str">
            <v/>
          </cell>
          <cell r="AS247" t="str">
            <v/>
          </cell>
          <cell r="AT247" t="str">
            <v/>
          </cell>
          <cell r="AU247">
            <v>40026</v>
          </cell>
        </row>
        <row r="248">
          <cell r="A248" t="str">
            <v>S16-0245</v>
          </cell>
          <cell r="B248" t="str">
            <v>代替機NIM15_0245 (2)</v>
          </cell>
          <cell r="C248" t="str">
            <v>SR#不要</v>
          </cell>
          <cell r="D248" t="str">
            <v>-</v>
          </cell>
          <cell r="E248" t="str">
            <v>無償</v>
          </cell>
          <cell r="F248">
            <v>42461</v>
          </cell>
          <cell r="G248">
            <v>42461</v>
          </cell>
          <cell r="H248">
            <v>42471</v>
          </cell>
          <cell r="I248" t="str">
            <v>-</v>
          </cell>
          <cell r="K248" t="str">
            <v>梶田</v>
          </cell>
          <cell r="L248" t="str">
            <v>-</v>
          </cell>
          <cell r="M248" t="str">
            <v>180Plus</v>
          </cell>
          <cell r="N248" t="str">
            <v>032B3W</v>
          </cell>
          <cell r="O248" t="str">
            <v>P04327-01</v>
          </cell>
          <cell r="P248" t="str">
            <v>富士フイルムメディカル株式会社</v>
          </cell>
          <cell r="Q248" t="str">
            <v>テクニカルサポート</v>
          </cell>
          <cell r="R248" t="str">
            <v>-</v>
          </cell>
          <cell r="S248" t="str">
            <v>03-6418-7190</v>
          </cell>
          <cell r="T248" t="str">
            <v>03-6418-7162</v>
          </cell>
          <cell r="U248" t="str">
            <v>代替機NIM15</v>
          </cell>
          <cell r="V248" t="str">
            <v>-</v>
          </cell>
          <cell r="W248" t="str">
            <v>-</v>
          </cell>
          <cell r="X248" t="str">
            <v>-</v>
          </cell>
          <cell r="Y248" t="str">
            <v>-</v>
          </cell>
          <cell r="AA248" t="str">
            <v/>
          </cell>
          <cell r="AB248" t="str">
            <v/>
          </cell>
          <cell r="AC248" t="str">
            <v/>
          </cell>
          <cell r="AD248" t="str">
            <v/>
          </cell>
          <cell r="AE248" t="str">
            <v/>
          </cell>
          <cell r="AF248" t="str">
            <v/>
          </cell>
          <cell r="AG248" t="str">
            <v/>
          </cell>
          <cell r="AH248" t="str">
            <v/>
          </cell>
          <cell r="AI248" t="str">
            <v/>
          </cell>
          <cell r="AJ248" t="str">
            <v/>
          </cell>
          <cell r="AK248" t="str">
            <v/>
          </cell>
          <cell r="AL248" t="str">
            <v/>
          </cell>
          <cell r="AM248" t="str">
            <v/>
          </cell>
          <cell r="AN248" t="str">
            <v/>
          </cell>
          <cell r="AO248" t="str">
            <v/>
          </cell>
          <cell r="AP248" t="str">
            <v/>
          </cell>
          <cell r="AQ248" t="str">
            <v/>
          </cell>
          <cell r="AR248" t="str">
            <v/>
          </cell>
          <cell r="AS248" t="str">
            <v/>
          </cell>
          <cell r="AT248" t="str">
            <v/>
          </cell>
          <cell r="AU248">
            <v>38108</v>
          </cell>
        </row>
        <row r="249">
          <cell r="A249" t="str">
            <v>S16-0246</v>
          </cell>
          <cell r="B249" t="str">
            <v>榛原総合病院_0246 (2)</v>
          </cell>
          <cell r="C249" t="str">
            <v>SR#</v>
          </cell>
          <cell r="D249" t="str">
            <v>2016/03/28-05</v>
          </cell>
          <cell r="E249" t="str">
            <v>有償</v>
          </cell>
          <cell r="F249">
            <v>42461</v>
          </cell>
          <cell r="G249">
            <v>42461</v>
          </cell>
          <cell r="H249">
            <v>42479</v>
          </cell>
          <cell r="I249" t="str">
            <v>不明</v>
          </cell>
          <cell r="K249" t="str">
            <v>梶田</v>
          </cell>
          <cell r="L249">
            <v>3</v>
          </cell>
          <cell r="M249" t="str">
            <v>180Ⅱ</v>
          </cell>
          <cell r="N249" t="str">
            <v>0300VT</v>
          </cell>
          <cell r="O249" t="str">
            <v>P02456-02</v>
          </cell>
          <cell r="P249" t="str">
            <v>協和医科器械株式会社　焼津支店</v>
          </cell>
          <cell r="Q249" t="str">
            <v>山本様</v>
          </cell>
          <cell r="R249" t="str">
            <v>〒425-0066　静岡県焼津市大島817-1</v>
          </cell>
          <cell r="S249" t="str">
            <v>054-623-2222</v>
          </cell>
          <cell r="T249" t="str">
            <v>054-623-2919</v>
          </cell>
          <cell r="U249" t="str">
            <v>榛原総合病院　南4</v>
          </cell>
          <cell r="V249" t="str">
            <v>-</v>
          </cell>
          <cell r="W249" t="str">
            <v>南4</v>
          </cell>
          <cell r="X249" t="str">
            <v>0548-22-1131</v>
          </cell>
          <cell r="Y249" t="str">
            <v>〒421-0493　静岡県牧之原市細江2887-1</v>
          </cell>
          <cell r="AA249" t="str">
            <v>P00104-02</v>
          </cell>
          <cell r="AB249" t="str">
            <v>P00340-01</v>
          </cell>
          <cell r="AC249" t="str">
            <v>P01213-01</v>
          </cell>
          <cell r="AD249" t="str">
            <v/>
          </cell>
          <cell r="AE249" t="str">
            <v/>
          </cell>
          <cell r="AF249" t="str">
            <v/>
          </cell>
          <cell r="AG249" t="str">
            <v/>
          </cell>
          <cell r="AH249" t="str">
            <v/>
          </cell>
          <cell r="AI249" t="str">
            <v/>
          </cell>
          <cell r="AJ249" t="str">
            <v/>
          </cell>
          <cell r="AK249" t="str">
            <v>KEY, ON/OFF</v>
          </cell>
          <cell r="AL249" t="str">
            <v>LENS, DISPLAY</v>
          </cell>
          <cell r="AM249" t="str">
            <v>FLEX CIRCUIT, FAB, C1 DISPLAY</v>
          </cell>
          <cell r="AN249" t="str">
            <v/>
          </cell>
          <cell r="AO249" t="str">
            <v/>
          </cell>
          <cell r="AP249" t="str">
            <v/>
          </cell>
          <cell r="AQ249" t="str">
            <v/>
          </cell>
          <cell r="AR249" t="str">
            <v/>
          </cell>
          <cell r="AS249" t="str">
            <v/>
          </cell>
          <cell r="AT249" t="str">
            <v/>
          </cell>
          <cell r="AU249">
            <v>37257</v>
          </cell>
        </row>
        <row r="250">
          <cell r="A250" t="str">
            <v>S16-0247</v>
          </cell>
          <cell r="B250" t="str">
            <v>代替機NIM183_0247 (2)</v>
          </cell>
          <cell r="C250" t="str">
            <v>SR#4199817</v>
          </cell>
          <cell r="D250" t="str">
            <v>-</v>
          </cell>
          <cell r="E250" t="str">
            <v>無償</v>
          </cell>
          <cell r="F250">
            <v>42461</v>
          </cell>
          <cell r="G250">
            <v>42461</v>
          </cell>
          <cell r="H250">
            <v>42474</v>
          </cell>
          <cell r="I250" t="str">
            <v>-</v>
          </cell>
          <cell r="K250" t="str">
            <v>梶田</v>
          </cell>
          <cell r="L250">
            <v>3</v>
          </cell>
          <cell r="M250" t="str">
            <v>M-Turbo</v>
          </cell>
          <cell r="N250" t="str">
            <v>WK240R</v>
          </cell>
          <cell r="O250" t="str">
            <v>P09141-26</v>
          </cell>
          <cell r="P250" t="str">
            <v>富士フイルムメディカル株式会社</v>
          </cell>
          <cell r="Q250" t="str">
            <v>テクニカルサポート</v>
          </cell>
          <cell r="S250" t="str">
            <v>03-6418-7190</v>
          </cell>
          <cell r="T250" t="str">
            <v>03-6418-7162</v>
          </cell>
          <cell r="U250" t="str">
            <v>代替機NIM183</v>
          </cell>
          <cell r="AA250" t="str">
            <v>P18035-01</v>
          </cell>
          <cell r="AB250" t="str">
            <v>P19080-01</v>
          </cell>
          <cell r="AC250" t="str">
            <v>P19133-01</v>
          </cell>
          <cell r="AD250" t="str">
            <v/>
          </cell>
          <cell r="AE250" t="str">
            <v/>
          </cell>
          <cell r="AF250" t="str">
            <v/>
          </cell>
          <cell r="AG250" t="str">
            <v/>
          </cell>
          <cell r="AH250" t="str">
            <v/>
          </cell>
          <cell r="AI250" t="str">
            <v/>
          </cell>
          <cell r="AJ250" t="str">
            <v/>
          </cell>
          <cell r="AK250" t="str">
            <v>Kycon Connecto</v>
          </cell>
          <cell r="AL250" t="str">
            <v>Connector Brackets</v>
          </cell>
          <cell r="AM250" t="str">
            <v>Bracket screws　×2</v>
          </cell>
          <cell r="AN250" t="str">
            <v/>
          </cell>
          <cell r="AO250" t="str">
            <v/>
          </cell>
          <cell r="AP250" t="str">
            <v/>
          </cell>
          <cell r="AQ250" t="str">
            <v/>
          </cell>
          <cell r="AR250" t="str">
            <v/>
          </cell>
          <cell r="AS250" t="str">
            <v/>
          </cell>
          <cell r="AT250" t="str">
            <v/>
          </cell>
          <cell r="AU250">
            <v>41609</v>
          </cell>
        </row>
        <row r="251">
          <cell r="A251" t="str">
            <v>S16-0248</v>
          </cell>
          <cell r="B251" t="str">
            <v>聖マリアンナ医科大学病院_0248 (2)</v>
          </cell>
          <cell r="C251" t="str">
            <v>SR#不要</v>
          </cell>
          <cell r="D251" t="str">
            <v>-</v>
          </cell>
          <cell r="E251" t="str">
            <v/>
          </cell>
          <cell r="F251">
            <v>42464</v>
          </cell>
          <cell r="G251">
            <v>42464</v>
          </cell>
          <cell r="H251">
            <v>42502</v>
          </cell>
          <cell r="I251">
            <v>38967</v>
          </cell>
          <cell r="K251" t="str">
            <v>梶田</v>
          </cell>
          <cell r="L251">
            <v>5</v>
          </cell>
          <cell r="M251" t="str">
            <v>iLook25</v>
          </cell>
          <cell r="N251" t="str">
            <v>035JW4</v>
          </cell>
          <cell r="O251" t="str">
            <v>P04303-01</v>
          </cell>
          <cell r="P251" t="str">
            <v>日本コヴィディエン株式会社　神奈川営業所</v>
          </cell>
          <cell r="Q251" t="str">
            <v>小山様</v>
          </cell>
          <cell r="R251" t="str">
            <v>〒108-0075　　東京都港区港南一丁目2番70号　品川シーズンテラス　22F</v>
          </cell>
          <cell r="S251" t="str">
            <v>03-6774-4629</v>
          </cell>
          <cell r="T251" t="str">
            <v>03-6774-4740</v>
          </cell>
          <cell r="U251" t="str">
            <v>聖マリアンナ医科大学病院</v>
          </cell>
          <cell r="V251" t="str">
            <v>-</v>
          </cell>
          <cell r="W251" t="str">
            <v>-</v>
          </cell>
          <cell r="X251" t="str">
            <v>044-977-8111</v>
          </cell>
          <cell r="Y251" t="str">
            <v>〒216-8511 神奈川県川崎市宮前区菅生 2-16-1</v>
          </cell>
          <cell r="AA251" t="str">
            <v>P03029 -02</v>
          </cell>
          <cell r="AB251" t="str">
            <v>P01911-04</v>
          </cell>
          <cell r="AC251" t="str">
            <v/>
          </cell>
          <cell r="AD251" t="str">
            <v/>
          </cell>
          <cell r="AE251" t="str">
            <v/>
          </cell>
          <cell r="AF251" t="str">
            <v/>
          </cell>
          <cell r="AG251" t="str">
            <v/>
          </cell>
          <cell r="AH251" t="str">
            <v/>
          </cell>
          <cell r="AI251" t="str">
            <v/>
          </cell>
          <cell r="AJ251" t="str">
            <v/>
          </cell>
          <cell r="AK251" t="str">
            <v>ASSEMBLY, PCB, iLOOK,STAND</v>
          </cell>
          <cell r="AL251" t="str">
            <v>BATTERY PACK, 3 CELL, LITHIUM-ION, ILOOK, HIGH CAPACITY</v>
          </cell>
          <cell r="AM251" t="str">
            <v/>
          </cell>
          <cell r="AN251" t="str">
            <v/>
          </cell>
          <cell r="AO251" t="str">
            <v/>
          </cell>
          <cell r="AP251" t="str">
            <v/>
          </cell>
          <cell r="AQ251" t="str">
            <v/>
          </cell>
          <cell r="AR251" t="str">
            <v/>
          </cell>
          <cell r="AS251" t="str">
            <v/>
          </cell>
          <cell r="AT251" t="str">
            <v/>
          </cell>
          <cell r="AU251">
            <v>38718</v>
          </cell>
        </row>
        <row r="252">
          <cell r="A252" t="str">
            <v>S16-0249</v>
          </cell>
          <cell r="B252" t="str">
            <v>国際親善総合病院_0249 (2)</v>
          </cell>
          <cell r="C252" t="str">
            <v>SR#不要</v>
          </cell>
          <cell r="D252" t="str">
            <v>2016/03/28-04</v>
          </cell>
          <cell r="E252" t="str">
            <v>有償</v>
          </cell>
          <cell r="F252">
            <v>42464</v>
          </cell>
          <cell r="G252">
            <v>42464</v>
          </cell>
          <cell r="H252">
            <v>42513</v>
          </cell>
          <cell r="I252" t="str">
            <v>不明</v>
          </cell>
          <cell r="K252" t="str">
            <v>梶田</v>
          </cell>
          <cell r="L252" t="str">
            <v>-</v>
          </cell>
          <cell r="M252" t="str">
            <v>SonoHeart</v>
          </cell>
          <cell r="N252" t="str">
            <v>01LC19</v>
          </cell>
          <cell r="O252" t="str">
            <v>P01349-01</v>
          </cell>
          <cell r="P252" t="str">
            <v>株式会社イノメディックス　横浜営業所</v>
          </cell>
          <cell r="Q252" t="str">
            <v>鈴木様</v>
          </cell>
          <cell r="R252" t="str">
            <v>〒224-0041 神奈川県横浜市都筑区仲町台5-2-43</v>
          </cell>
          <cell r="S252" t="str">
            <v>045-942-6271</v>
          </cell>
          <cell r="T252" t="str">
            <v>045-949-6271</v>
          </cell>
          <cell r="U252" t="str">
            <v>国際親善総合病院</v>
          </cell>
          <cell r="V252" t="str">
            <v>桑原直樹様</v>
          </cell>
          <cell r="W252" t="str">
            <v>医療機器管理科</v>
          </cell>
          <cell r="X252" t="str">
            <v>045-813-0221</v>
          </cell>
          <cell r="Y252" t="str">
            <v>〒245-0006 神奈川県横浜市泉区西が岡1-28-1</v>
          </cell>
          <cell r="AA252" t="str">
            <v/>
          </cell>
          <cell r="AB252" t="str">
            <v/>
          </cell>
          <cell r="AC252" t="str">
            <v/>
          </cell>
          <cell r="AD252" t="str">
            <v/>
          </cell>
          <cell r="AE252" t="str">
            <v/>
          </cell>
          <cell r="AF252" t="str">
            <v/>
          </cell>
          <cell r="AG252" t="str">
            <v/>
          </cell>
          <cell r="AH252" t="str">
            <v/>
          </cell>
          <cell r="AI252" t="str">
            <v/>
          </cell>
          <cell r="AJ252" t="str">
            <v/>
          </cell>
          <cell r="AK252" t="str">
            <v/>
          </cell>
          <cell r="AL252" t="str">
            <v/>
          </cell>
          <cell r="AM252" t="str">
            <v/>
          </cell>
          <cell r="AN252" t="str">
            <v/>
          </cell>
          <cell r="AO252" t="str">
            <v/>
          </cell>
          <cell r="AP252" t="str">
            <v/>
          </cell>
          <cell r="AQ252" t="str">
            <v/>
          </cell>
          <cell r="AR252" t="str">
            <v/>
          </cell>
          <cell r="AS252" t="str">
            <v/>
          </cell>
          <cell r="AT252" t="str">
            <v/>
          </cell>
          <cell r="AU252">
            <v>36739</v>
          </cell>
        </row>
        <row r="253">
          <cell r="A253" t="str">
            <v>S16-0250</v>
          </cell>
          <cell r="B253" t="str">
            <v>九州中央病院_0250 (2)</v>
          </cell>
          <cell r="C253" t="str">
            <v>SR#不要</v>
          </cell>
          <cell r="D253" t="str">
            <v>2016/03/30-03</v>
          </cell>
          <cell r="E253" t="str">
            <v>有償</v>
          </cell>
          <cell r="F253">
            <v>42464</v>
          </cell>
          <cell r="G253">
            <v>42464</v>
          </cell>
          <cell r="H253">
            <v>42698</v>
          </cell>
          <cell r="I253" t="str">
            <v>不明</v>
          </cell>
          <cell r="K253" t="str">
            <v>-</v>
          </cell>
          <cell r="L253" t="str">
            <v>-</v>
          </cell>
          <cell r="M253" t="str">
            <v>C60e/5-2</v>
          </cell>
          <cell r="N253" t="str">
            <v>03C4DD</v>
          </cell>
          <cell r="O253" t="str">
            <v>P05675-08</v>
          </cell>
          <cell r="P253" t="str">
            <v>株式会社キシヤ</v>
          </cell>
          <cell r="Q253" t="str">
            <v>松尾様</v>
          </cell>
          <cell r="R253" t="str">
            <v>〒812-0062 福岡県福岡市東区松島1丁目41番21号</v>
          </cell>
          <cell r="S253" t="str">
            <v>092-622-8000</v>
          </cell>
          <cell r="T253" t="str">
            <v>092-623-1313</v>
          </cell>
          <cell r="U253" t="str">
            <v>九州中央病院</v>
          </cell>
          <cell r="V253" t="str">
            <v>-</v>
          </cell>
          <cell r="W253" t="str">
            <v>-</v>
          </cell>
          <cell r="X253" t="str">
            <v>092-541-4936</v>
          </cell>
          <cell r="Y253" t="str">
            <v>〒815-8588　福岡県福岡市南区塩原3丁目23-1</v>
          </cell>
          <cell r="AA253" t="str">
            <v/>
          </cell>
          <cell r="AB253" t="str">
            <v/>
          </cell>
          <cell r="AC253" t="str">
            <v/>
          </cell>
          <cell r="AD253" t="str">
            <v/>
          </cell>
          <cell r="AE253" t="str">
            <v/>
          </cell>
          <cell r="AF253" t="str">
            <v/>
          </cell>
          <cell r="AG253" t="str">
            <v/>
          </cell>
          <cell r="AH253" t="str">
            <v/>
          </cell>
          <cell r="AI253" t="str">
            <v/>
          </cell>
          <cell r="AJ253" t="str">
            <v/>
          </cell>
          <cell r="AK253" t="str">
            <v/>
          </cell>
          <cell r="AL253" t="str">
            <v/>
          </cell>
          <cell r="AM253" t="str">
            <v/>
          </cell>
          <cell r="AN253" t="str">
            <v/>
          </cell>
          <cell r="AO253" t="str">
            <v/>
          </cell>
          <cell r="AP253" t="str">
            <v/>
          </cell>
          <cell r="AQ253" t="str">
            <v/>
          </cell>
          <cell r="AR253" t="str">
            <v/>
          </cell>
          <cell r="AS253" t="str">
            <v/>
          </cell>
          <cell r="AT253" t="str">
            <v/>
          </cell>
          <cell r="AU253">
            <v>39600</v>
          </cell>
        </row>
        <row r="254">
          <cell r="A254" t="str">
            <v>S16-0251</v>
          </cell>
          <cell r="B254" t="str">
            <v>新潟市民病院_0251 (2)</v>
          </cell>
          <cell r="C254" t="str">
            <v>SR#不要</v>
          </cell>
          <cell r="D254" t="str">
            <v>2016/03/28-07</v>
          </cell>
          <cell r="E254" t="str">
            <v/>
          </cell>
          <cell r="F254">
            <v>42464</v>
          </cell>
          <cell r="G254">
            <v>42464</v>
          </cell>
          <cell r="H254">
            <v>42513</v>
          </cell>
          <cell r="I254" t="str">
            <v>不明</v>
          </cell>
          <cell r="K254" t="str">
            <v>梶田</v>
          </cell>
          <cell r="L254">
            <v>3</v>
          </cell>
          <cell r="M254" t="str">
            <v>UP-20</v>
          </cell>
          <cell r="N254" t="str">
            <v>36679</v>
          </cell>
          <cell r="O254" t="str">
            <v>-</v>
          </cell>
          <cell r="P254" t="str">
            <v>源川医科器械株式会社　</v>
          </cell>
          <cell r="Q254" t="str">
            <v>五十嵐様</v>
          </cell>
          <cell r="R254" t="str">
            <v>〒950-0141　新潟県新潟市江南区亀田工業団地2-2528-38</v>
          </cell>
          <cell r="S254" t="str">
            <v>025-385-8303</v>
          </cell>
          <cell r="T254" t="str">
            <v>025-385-8305</v>
          </cell>
          <cell r="U254" t="str">
            <v>新潟市民病院　手術室</v>
          </cell>
          <cell r="V254" t="str">
            <v>-</v>
          </cell>
          <cell r="W254" t="str">
            <v>手術室</v>
          </cell>
          <cell r="X254" t="str">
            <v>025-281-5151</v>
          </cell>
          <cell r="Y254" t="str">
            <v>〒950−1197　新潟県新潟市中央区鐘木463-7</v>
          </cell>
          <cell r="AA254" t="str">
            <v>―</v>
          </cell>
          <cell r="AB254" t="str">
            <v>―</v>
          </cell>
          <cell r="AC254" t="str">
            <v>―</v>
          </cell>
          <cell r="AD254" t="str">
            <v>―</v>
          </cell>
          <cell r="AE254" t="str">
            <v/>
          </cell>
          <cell r="AF254" t="str">
            <v/>
          </cell>
          <cell r="AG254" t="str">
            <v/>
          </cell>
          <cell r="AH254" t="str">
            <v/>
          </cell>
          <cell r="AI254" t="str">
            <v/>
          </cell>
          <cell r="AJ254" t="str">
            <v/>
          </cell>
          <cell r="AK254" t="str">
            <v>トレイガイドクミタテ</v>
          </cell>
          <cell r="AL254" t="str">
            <v>駆動モータ</v>
          </cell>
          <cell r="AM254" t="str">
            <v>DCファン</v>
          </cell>
          <cell r="AN254" t="str">
            <v>フロンtパネル</v>
          </cell>
          <cell r="AO254" t="str">
            <v/>
          </cell>
          <cell r="AP254" t="str">
            <v/>
          </cell>
          <cell r="AQ254" t="str">
            <v/>
          </cell>
          <cell r="AR254" t="str">
            <v/>
          </cell>
          <cell r="AS254" t="str">
            <v/>
          </cell>
          <cell r="AT254" t="str">
            <v/>
          </cell>
          <cell r="AU254" t="str">
            <v>-</v>
          </cell>
        </row>
        <row r="255">
          <cell r="A255" t="str">
            <v>S16-0252</v>
          </cell>
          <cell r="B255" t="str">
            <v>デモ機HNB41_0252 (2)</v>
          </cell>
          <cell r="C255" t="str">
            <v>SR#不要</v>
          </cell>
          <cell r="D255" t="str">
            <v>-</v>
          </cell>
          <cell r="E255" t="str">
            <v>無償</v>
          </cell>
          <cell r="F255">
            <v>42465</v>
          </cell>
          <cell r="G255">
            <v>42465</v>
          </cell>
          <cell r="H255">
            <v>42479</v>
          </cell>
          <cell r="I255" t="str">
            <v>－</v>
          </cell>
          <cell r="K255">
            <v>0</v>
          </cell>
          <cell r="M255" t="str">
            <v>UP-897MD</v>
          </cell>
          <cell r="N255" t="str">
            <v>31818</v>
          </cell>
          <cell r="O255">
            <v>0</v>
          </cell>
          <cell r="P255" t="str">
            <v>富士フイルムメディカル株式会社</v>
          </cell>
          <cell r="Q255" t="str">
            <v>マーケティング</v>
          </cell>
          <cell r="S255" t="str">
            <v>03-6418-7190</v>
          </cell>
          <cell r="T255" t="str">
            <v>03-6418-7162</v>
          </cell>
          <cell r="U255" t="str">
            <v>デモ機HNB41</v>
          </cell>
          <cell r="AA255" t="str">
            <v>―</v>
          </cell>
          <cell r="AB255" t="str">
            <v>―</v>
          </cell>
          <cell r="AC255" t="str">
            <v>―</v>
          </cell>
          <cell r="AD255" t="str">
            <v/>
          </cell>
          <cell r="AE255" t="str">
            <v/>
          </cell>
          <cell r="AF255" t="str">
            <v/>
          </cell>
          <cell r="AG255" t="str">
            <v/>
          </cell>
          <cell r="AH255" t="str">
            <v/>
          </cell>
          <cell r="AI255" t="str">
            <v/>
          </cell>
          <cell r="AJ255" t="str">
            <v/>
          </cell>
          <cell r="AK255" t="str">
            <v>ジクウケ</v>
          </cell>
          <cell r="AL255" t="str">
            <v>ドアパネル</v>
          </cell>
          <cell r="AM255" t="str">
            <v>プラテン</v>
          </cell>
          <cell r="AN255" t="str">
            <v/>
          </cell>
          <cell r="AO255" t="str">
            <v/>
          </cell>
          <cell r="AP255" t="str">
            <v/>
          </cell>
          <cell r="AQ255" t="str">
            <v/>
          </cell>
          <cell r="AR255" t="str">
            <v/>
          </cell>
          <cell r="AS255" t="str">
            <v/>
          </cell>
          <cell r="AT255" t="str">
            <v/>
          </cell>
          <cell r="AU255">
            <v>0</v>
          </cell>
        </row>
        <row r="256">
          <cell r="A256" t="str">
            <v>S16-0253</v>
          </cell>
          <cell r="B256" t="str">
            <v>宮崎医療センター病院_0253 (2)</v>
          </cell>
          <cell r="C256" t="str">
            <v>SR#</v>
          </cell>
          <cell r="D256" t="str">
            <v>-</v>
          </cell>
          <cell r="E256" t="str">
            <v>有償</v>
          </cell>
          <cell r="F256">
            <v>42466</v>
          </cell>
          <cell r="G256">
            <v>42466</v>
          </cell>
          <cell r="H256">
            <v>42530</v>
          </cell>
          <cell r="I256">
            <v>38663</v>
          </cell>
          <cell r="K256" t="str">
            <v>馬屋原</v>
          </cell>
          <cell r="L256">
            <v>3</v>
          </cell>
          <cell r="M256" t="str">
            <v>TiTAN</v>
          </cell>
          <cell r="N256" t="str">
            <v>032N7J</v>
          </cell>
          <cell r="O256" t="str">
            <v>P04338-01</v>
          </cell>
          <cell r="P256" t="str">
            <v>株式会社日立製作所</v>
          </cell>
          <cell r="Q256" t="str">
            <v>吉崎様</v>
          </cell>
          <cell r="R256" t="str">
            <v>〒198-8577　東京都青梅市今井3-7-19</v>
          </cell>
          <cell r="S256" t="str">
            <v>0428-32-3140</v>
          </cell>
          <cell r="T256" t="str">
            <v>0428-32-3152</v>
          </cell>
          <cell r="U256" t="str">
            <v>宮崎医療センター病院</v>
          </cell>
          <cell r="V256" t="str">
            <v>谷口様</v>
          </cell>
          <cell r="W256" t="str">
            <v>-</v>
          </cell>
          <cell r="X256" t="str">
            <v>0985-26-2800</v>
          </cell>
          <cell r="Y256" t="str">
            <v>〒880-0003　宮崎県宮崎市高松町2-16</v>
          </cell>
          <cell r="AA256" t="str">
            <v>P03861-02</v>
          </cell>
          <cell r="AB256" t="str">
            <v/>
          </cell>
          <cell r="AC256" t="str">
            <v/>
          </cell>
          <cell r="AD256" t="str">
            <v/>
          </cell>
          <cell r="AE256" t="str">
            <v/>
          </cell>
          <cell r="AF256" t="str">
            <v/>
          </cell>
          <cell r="AG256" t="str">
            <v/>
          </cell>
          <cell r="AH256" t="str">
            <v/>
          </cell>
          <cell r="AI256" t="str">
            <v/>
          </cell>
          <cell r="AJ256" t="str">
            <v/>
          </cell>
          <cell r="AK256" t="str">
            <v>SERVICE ASSEMBLY DISPLAY, TITAN</v>
          </cell>
          <cell r="AL256" t="str">
            <v/>
          </cell>
          <cell r="AM256" t="str">
            <v/>
          </cell>
          <cell r="AN256" t="str">
            <v/>
          </cell>
          <cell r="AO256" t="str">
            <v/>
          </cell>
          <cell r="AP256" t="str">
            <v/>
          </cell>
          <cell r="AQ256" t="str">
            <v/>
          </cell>
          <cell r="AR256" t="str">
            <v/>
          </cell>
          <cell r="AS256" t="str">
            <v/>
          </cell>
          <cell r="AT256" t="str">
            <v/>
          </cell>
          <cell r="AU256">
            <v>38139</v>
          </cell>
        </row>
        <row r="257">
          <cell r="A257" t="str">
            <v>S16-0254</v>
          </cell>
          <cell r="B257" t="str">
            <v>兵庫中央病院_0254 (2)</v>
          </cell>
          <cell r="C257" t="str">
            <v>SR#</v>
          </cell>
          <cell r="D257" t="str">
            <v>2016/03/09-01</v>
          </cell>
          <cell r="E257" t="str">
            <v>有償</v>
          </cell>
          <cell r="F257">
            <v>42466</v>
          </cell>
          <cell r="G257">
            <v>42466</v>
          </cell>
          <cell r="H257">
            <v>42508</v>
          </cell>
          <cell r="I257" t="str">
            <v>不明</v>
          </cell>
          <cell r="K257" t="str">
            <v>梶田</v>
          </cell>
          <cell r="L257">
            <v>3</v>
          </cell>
          <cell r="M257" t="str">
            <v>180Plus</v>
          </cell>
          <cell r="N257" t="str">
            <v>03354L</v>
          </cell>
          <cell r="O257" t="str">
            <v>P04327-03</v>
          </cell>
          <cell r="P257" t="str">
            <v>宮野医療器株式会社　中兵庫営業所</v>
          </cell>
          <cell r="Q257" t="str">
            <v>平野様</v>
          </cell>
          <cell r="R257" t="str">
            <v>〒669-3304　兵庫県丹波市柏原町上小倉152-1</v>
          </cell>
          <cell r="S257" t="str">
            <v>0795-72-2288</v>
          </cell>
          <cell r="T257" t="str">
            <v>0795-72-2644</v>
          </cell>
          <cell r="U257" t="str">
            <v>兵庫中央病院</v>
          </cell>
          <cell r="V257" t="str">
            <v>-</v>
          </cell>
          <cell r="W257" t="str">
            <v>-</v>
          </cell>
          <cell r="X257" t="str">
            <v>079-563-2121</v>
          </cell>
          <cell r="Y257" t="str">
            <v>〒669-1592　兵庫県三田市大原1314</v>
          </cell>
          <cell r="AA257" t="str">
            <v>P02837-01</v>
          </cell>
          <cell r="AB257" t="str">
            <v>P00340-02</v>
          </cell>
          <cell r="AC257" t="str">
            <v/>
          </cell>
          <cell r="AD257" t="str">
            <v/>
          </cell>
          <cell r="AE257" t="str">
            <v/>
          </cell>
          <cell r="AF257" t="str">
            <v/>
          </cell>
          <cell r="AG257" t="str">
            <v/>
          </cell>
          <cell r="AH257" t="str">
            <v/>
          </cell>
          <cell r="AI257" t="str">
            <v/>
          </cell>
          <cell r="AJ257" t="str">
            <v/>
          </cell>
          <cell r="AK257" t="str">
            <v>SERVICE ASSEMBLY, CONTROL PANEL, C1.99, JAPANESE</v>
          </cell>
          <cell r="AL257" t="str">
            <v>LENS, DISPLAY</v>
          </cell>
          <cell r="AM257" t="str">
            <v/>
          </cell>
          <cell r="AN257" t="str">
            <v/>
          </cell>
          <cell r="AO257" t="str">
            <v/>
          </cell>
          <cell r="AP257" t="str">
            <v/>
          </cell>
          <cell r="AQ257" t="str">
            <v/>
          </cell>
          <cell r="AR257" t="str">
            <v/>
          </cell>
          <cell r="AS257" t="str">
            <v/>
          </cell>
          <cell r="AT257" t="str">
            <v/>
          </cell>
          <cell r="AU257">
            <v>38292</v>
          </cell>
        </row>
        <row r="258">
          <cell r="A258" t="str">
            <v>S16-0255</v>
          </cell>
          <cell r="B258" t="str">
            <v>倉敷中央病院_0255 (2)</v>
          </cell>
          <cell r="C258" t="str">
            <v>SR#4199813</v>
          </cell>
          <cell r="D258" t="str">
            <v>2016/04/01-04</v>
          </cell>
          <cell r="E258" t="str">
            <v>無償</v>
          </cell>
          <cell r="F258">
            <v>42467</v>
          </cell>
          <cell r="G258">
            <v>42467</v>
          </cell>
          <cell r="H258">
            <v>42488</v>
          </cell>
          <cell r="I258" t="str">
            <v>不明</v>
          </cell>
          <cell r="K258" t="str">
            <v>梶田</v>
          </cell>
          <cell r="L258">
            <v>3</v>
          </cell>
          <cell r="M258" t="str">
            <v>M-Turbo</v>
          </cell>
          <cell r="N258" t="str">
            <v>WK2H8V</v>
          </cell>
          <cell r="O258" t="str">
            <v>P16693-04</v>
          </cell>
          <cell r="P258" t="str">
            <v>株式会社カワニシ　倉敷サービスセンター</v>
          </cell>
          <cell r="Q258" t="str">
            <v>岩見様</v>
          </cell>
          <cell r="R258" t="str">
            <v xml:space="preserve">〒700-8528　岡山県岡山市北区今1-4-31 </v>
          </cell>
          <cell r="S258" t="str">
            <v>086-241-1112</v>
          </cell>
          <cell r="T258" t="str">
            <v>086-241-5943</v>
          </cell>
          <cell r="U258" t="str">
            <v>倉敷中央病院　通院治療1階</v>
          </cell>
          <cell r="V258" t="str">
            <v>-</v>
          </cell>
          <cell r="W258" t="str">
            <v>-</v>
          </cell>
          <cell r="X258" t="str">
            <v>086-422-0210</v>
          </cell>
          <cell r="Y258" t="str">
            <v>〒710-8602　岡山県倉敷市美和1-1-1</v>
          </cell>
          <cell r="AA258" t="str">
            <v>P19087-02</v>
          </cell>
          <cell r="AB258" t="str">
            <v/>
          </cell>
          <cell r="AC258" t="str">
            <v/>
          </cell>
          <cell r="AD258" t="str">
            <v/>
          </cell>
          <cell r="AE258" t="str">
            <v/>
          </cell>
          <cell r="AF258" t="str">
            <v/>
          </cell>
          <cell r="AG258" t="str">
            <v/>
          </cell>
          <cell r="AH258" t="str">
            <v/>
          </cell>
          <cell r="AI258" t="str">
            <v/>
          </cell>
          <cell r="AJ258" t="str">
            <v/>
          </cell>
          <cell r="AK258" t="str">
            <v>MAIN PCBA, M-Turbo</v>
          </cell>
          <cell r="AL258" t="str">
            <v/>
          </cell>
          <cell r="AM258" t="str">
            <v/>
          </cell>
          <cell r="AN258" t="str">
            <v/>
          </cell>
          <cell r="AO258" t="str">
            <v/>
          </cell>
          <cell r="AP258" t="str">
            <v/>
          </cell>
          <cell r="AQ258" t="str">
            <v/>
          </cell>
          <cell r="AR258" t="str">
            <v/>
          </cell>
          <cell r="AS258" t="str">
            <v/>
          </cell>
          <cell r="AT258" t="str">
            <v/>
          </cell>
          <cell r="AU258">
            <v>41852</v>
          </cell>
        </row>
        <row r="259">
          <cell r="A259" t="str">
            <v>S16-0256</v>
          </cell>
          <cell r="B259" t="str">
            <v>順天堂高齢者医療センター_0256</v>
          </cell>
          <cell r="C259" t="e">
            <v>#REF!</v>
          </cell>
          <cell r="D259" t="e">
            <v>#REF!</v>
          </cell>
          <cell r="E259" t="e">
            <v>#REF!</v>
          </cell>
          <cell r="F259" t="e">
            <v>#REF!</v>
          </cell>
          <cell r="G259" t="e">
            <v>#REF!</v>
          </cell>
          <cell r="H259" t="e">
            <v>#REF!</v>
          </cell>
          <cell r="I259" t="e">
            <v>#REF!</v>
          </cell>
          <cell r="K259" t="e">
            <v>#REF!</v>
          </cell>
          <cell r="M259" t="e">
            <v>#REF!</v>
          </cell>
          <cell r="N259" t="e">
            <v>#REF!</v>
          </cell>
          <cell r="O259" t="e">
            <v>#REF!</v>
          </cell>
          <cell r="P259" t="e">
            <v>#REF!</v>
          </cell>
          <cell r="Q259" t="e">
            <v>#REF!</v>
          </cell>
          <cell r="S259" t="e">
            <v>#REF!</v>
          </cell>
          <cell r="T259" t="e">
            <v>#REF!</v>
          </cell>
          <cell r="U259" t="e">
            <v>#REF!</v>
          </cell>
          <cell r="AA259" t="e">
            <v>#REF!</v>
          </cell>
          <cell r="AB259" t="e">
            <v>#REF!</v>
          </cell>
          <cell r="AC259" t="e">
            <v>#REF!</v>
          </cell>
          <cell r="AD259" t="e">
            <v>#REF!</v>
          </cell>
          <cell r="AE259" t="e">
            <v>#REF!</v>
          </cell>
          <cell r="AF259" t="e">
            <v>#REF!</v>
          </cell>
          <cell r="AG259" t="e">
            <v>#REF!</v>
          </cell>
          <cell r="AH259" t="e">
            <v>#REF!</v>
          </cell>
          <cell r="AI259" t="e">
            <v>#REF!</v>
          </cell>
          <cell r="AJ259" t="e">
            <v>#REF!</v>
          </cell>
          <cell r="AK259" t="e">
            <v>#REF!</v>
          </cell>
          <cell r="AL259" t="e">
            <v>#REF!</v>
          </cell>
          <cell r="AM259" t="e">
            <v>#REF!</v>
          </cell>
          <cell r="AN259" t="e">
            <v>#REF!</v>
          </cell>
          <cell r="AO259" t="e">
            <v>#REF!</v>
          </cell>
          <cell r="AP259" t="e">
            <v>#REF!</v>
          </cell>
          <cell r="AQ259" t="e">
            <v>#REF!</v>
          </cell>
          <cell r="AR259" t="e">
            <v>#REF!</v>
          </cell>
          <cell r="AS259" t="e">
            <v>#REF!</v>
          </cell>
          <cell r="AT259" t="e">
            <v>#REF!</v>
          </cell>
          <cell r="AU259" t="e">
            <v>#REF!</v>
          </cell>
        </row>
        <row r="260">
          <cell r="A260" t="str">
            <v>S16-0257</v>
          </cell>
          <cell r="B260" t="str">
            <v>市立豊中病院_0257 (2)</v>
          </cell>
          <cell r="C260" t="str">
            <v>SR#</v>
          </cell>
          <cell r="D260" t="str">
            <v>2016/04/06-06</v>
          </cell>
          <cell r="E260" t="str">
            <v>有償</v>
          </cell>
          <cell r="F260">
            <v>42467</v>
          </cell>
          <cell r="G260">
            <v>42467</v>
          </cell>
          <cell r="H260">
            <v>42480</v>
          </cell>
          <cell r="I260" t="str">
            <v>不明</v>
          </cell>
          <cell r="K260" t="str">
            <v>梶田</v>
          </cell>
          <cell r="L260">
            <v>3</v>
          </cell>
          <cell r="M260" t="str">
            <v>180Plus</v>
          </cell>
          <cell r="N260" t="str">
            <v>03HPN3</v>
          </cell>
          <cell r="O260" t="str">
            <v>P04326-05</v>
          </cell>
          <cell r="P260" t="str">
            <v>株式会社MMコーポレーション</v>
          </cell>
          <cell r="Q260" t="str">
            <v>今田様</v>
          </cell>
          <cell r="R260" t="str">
            <v>〒651-1431　兵庫県西宮市山口町阪神流通センター1-24</v>
          </cell>
          <cell r="S260" t="str">
            <v>078-907-3073</v>
          </cell>
          <cell r="T260" t="str">
            <v>078-907-3058</v>
          </cell>
          <cell r="U260" t="str">
            <v>市立豊中病院</v>
          </cell>
          <cell r="V260" t="str">
            <v>-</v>
          </cell>
          <cell r="W260" t="str">
            <v>-</v>
          </cell>
          <cell r="X260" t="str">
            <v>06-6843-0101</v>
          </cell>
          <cell r="Y260" t="str">
            <v>〒560-8565 大阪府豊中市柴原町4-14-1</v>
          </cell>
          <cell r="AA260" t="str">
            <v>P00538-03</v>
          </cell>
          <cell r="AB260" t="str">
            <v>P00104-01</v>
          </cell>
          <cell r="AC260" t="str">
            <v/>
          </cell>
          <cell r="AD260" t="str">
            <v/>
          </cell>
          <cell r="AE260" t="str">
            <v/>
          </cell>
          <cell r="AF260" t="str">
            <v/>
          </cell>
          <cell r="AG260" t="str">
            <v/>
          </cell>
          <cell r="AH260" t="str">
            <v/>
          </cell>
          <cell r="AI260" t="str">
            <v/>
          </cell>
          <cell r="AJ260" t="str">
            <v/>
          </cell>
          <cell r="AK260" t="str">
            <v>POWER SUPPLY, 85-264 VAC, 50-60HZ, 16V, 45W, 180</v>
          </cell>
          <cell r="AL260" t="str">
            <v>KEY, ON/OFF</v>
          </cell>
          <cell r="AM260" t="str">
            <v/>
          </cell>
          <cell r="AN260" t="str">
            <v/>
          </cell>
          <cell r="AO260" t="str">
            <v/>
          </cell>
          <cell r="AP260" t="str">
            <v/>
          </cell>
          <cell r="AQ260" t="str">
            <v/>
          </cell>
          <cell r="AR260" t="str">
            <v/>
          </cell>
          <cell r="AS260" t="str">
            <v/>
          </cell>
          <cell r="AT260" t="str">
            <v/>
          </cell>
          <cell r="AU260">
            <v>40210</v>
          </cell>
        </row>
        <row r="261">
          <cell r="A261" t="str">
            <v>S16-0258</v>
          </cell>
          <cell r="B261" t="str">
            <v>デモ機MUR13_0258 (2)</v>
          </cell>
          <cell r="C261" t="str">
            <v>SR#4199819</v>
          </cell>
          <cell r="D261" t="str">
            <v>-</v>
          </cell>
          <cell r="E261" t="str">
            <v>無償</v>
          </cell>
          <cell r="F261">
            <v>42468</v>
          </cell>
          <cell r="G261">
            <v>42468</v>
          </cell>
          <cell r="H261">
            <v>42537</v>
          </cell>
          <cell r="I261" t="str">
            <v>―</v>
          </cell>
          <cell r="K261" t="str">
            <v>梶田</v>
          </cell>
          <cell r="L261">
            <v>3</v>
          </cell>
          <cell r="M261" t="str">
            <v>S-Nerve</v>
          </cell>
          <cell r="N261" t="str">
            <v>03VHC8</v>
          </cell>
          <cell r="O261" t="str">
            <v>P12060-10</v>
          </cell>
          <cell r="P261" t="str">
            <v>富士フイルムメディカル株式会社</v>
          </cell>
          <cell r="Q261" t="str">
            <v>村上様</v>
          </cell>
          <cell r="R261" t="str">
            <v>-</v>
          </cell>
          <cell r="S261" t="str">
            <v>03-6418-7190</v>
          </cell>
          <cell r="T261" t="str">
            <v>03-6418-7162</v>
          </cell>
          <cell r="U261" t="str">
            <v>デモ機 MUR13</v>
          </cell>
          <cell r="V261" t="str">
            <v>-</v>
          </cell>
          <cell r="W261" t="str">
            <v>-</v>
          </cell>
          <cell r="X261" t="str">
            <v>-</v>
          </cell>
          <cell r="Y261" t="str">
            <v>-</v>
          </cell>
          <cell r="AA261" t="str">
            <v>P09135-03</v>
          </cell>
          <cell r="AB261" t="str">
            <v/>
          </cell>
          <cell r="AC261" t="str">
            <v/>
          </cell>
          <cell r="AD261" t="str">
            <v/>
          </cell>
          <cell r="AE261" t="str">
            <v/>
          </cell>
          <cell r="AF261" t="str">
            <v/>
          </cell>
          <cell r="AG261" t="str">
            <v/>
          </cell>
          <cell r="AH261" t="str">
            <v/>
          </cell>
          <cell r="AI261" t="str">
            <v/>
          </cell>
          <cell r="AJ261" t="str">
            <v/>
          </cell>
          <cell r="AK261" t="str">
            <v>SERVICE ASSEMBLY MAIN PCBA, S-SERIES</v>
          </cell>
          <cell r="AL261" t="str">
            <v/>
          </cell>
          <cell r="AM261" t="str">
            <v/>
          </cell>
          <cell r="AN261" t="str">
            <v/>
          </cell>
          <cell r="AO261" t="str">
            <v/>
          </cell>
          <cell r="AP261" t="str">
            <v/>
          </cell>
          <cell r="AQ261" t="str">
            <v/>
          </cell>
          <cell r="AR261" t="str">
            <v/>
          </cell>
          <cell r="AS261" t="str">
            <v/>
          </cell>
          <cell r="AT261" t="str">
            <v/>
          </cell>
          <cell r="AU261">
            <v>41426</v>
          </cell>
        </row>
        <row r="262">
          <cell r="A262" t="str">
            <v>S16-0259</v>
          </cell>
          <cell r="B262" t="str">
            <v>鶴谷病院_0259 (2)</v>
          </cell>
          <cell r="C262" t="str">
            <v>SR#</v>
          </cell>
          <cell r="D262" t="str">
            <v>2016/03/29-01</v>
          </cell>
          <cell r="E262" t="str">
            <v>有償</v>
          </cell>
          <cell r="F262">
            <v>42468</v>
          </cell>
          <cell r="G262">
            <v>42468</v>
          </cell>
          <cell r="H262">
            <v>42545</v>
          </cell>
          <cell r="I262">
            <v>40351</v>
          </cell>
          <cell r="K262" t="str">
            <v>馬屋原</v>
          </cell>
          <cell r="L262">
            <v>3</v>
          </cell>
          <cell r="M262" t="str">
            <v>TiTAN</v>
          </cell>
          <cell r="N262" t="str">
            <v>03HMZV</v>
          </cell>
          <cell r="O262" t="str">
            <v>P06590-03</v>
          </cell>
          <cell r="P262" t="str">
            <v>フクダ電子北関東販売株式会社</v>
          </cell>
          <cell r="Q262" t="str">
            <v>高橋様</v>
          </cell>
          <cell r="R262" t="str">
            <v>〒370-0018　群馬県高崎市新保町1684-1</v>
          </cell>
          <cell r="S262" t="str">
            <v>027-384-8500</v>
          </cell>
          <cell r="T262" t="str">
            <v>027-352-8511</v>
          </cell>
          <cell r="U262" t="str">
            <v>鶴谷病院</v>
          </cell>
          <cell r="V262" t="str">
            <v>竹野様</v>
          </cell>
          <cell r="W262" t="str">
            <v>-</v>
          </cell>
          <cell r="X262" t="str">
            <v>0270-74-0670</v>
          </cell>
          <cell r="Y262" t="str">
            <v>〒370-0117　群馬県伊勢崎市境百々421</v>
          </cell>
          <cell r="AA262" t="str">
            <v>P08060-03</v>
          </cell>
          <cell r="AB262" t="str">
            <v>P02173-02</v>
          </cell>
          <cell r="AC262" t="str">
            <v>P03297-01</v>
          </cell>
          <cell r="AD262" t="str">
            <v>P07168-20</v>
          </cell>
          <cell r="AE262" t="str">
            <v/>
          </cell>
          <cell r="AF262" t="str">
            <v/>
          </cell>
          <cell r="AG262" t="str">
            <v/>
          </cell>
          <cell r="AH262" t="str">
            <v/>
          </cell>
          <cell r="AI262" t="str">
            <v/>
          </cell>
          <cell r="AJ262" t="str">
            <v/>
          </cell>
          <cell r="AK262" t="str">
            <v>HINGE, 6LB, TURBO, C3, C2</v>
          </cell>
          <cell r="AL262" t="str">
            <v>WIRE HARNESS, DISPLAY, C2</v>
          </cell>
          <cell r="AM262" t="str">
            <v>LABEL, DISPLAY, TITAN</v>
          </cell>
          <cell r="AN262" t="str">
            <v>BATTERY PACK, 6 CELL, 11.25V, 5.2AMP-HOUR, LITHIUM-ION</v>
          </cell>
          <cell r="AO262" t="str">
            <v/>
          </cell>
          <cell r="AP262" t="str">
            <v/>
          </cell>
          <cell r="AQ262" t="str">
            <v/>
          </cell>
          <cell r="AR262" t="str">
            <v/>
          </cell>
          <cell r="AS262" t="str">
            <v/>
          </cell>
          <cell r="AT262" t="str">
            <v/>
          </cell>
          <cell r="AU262">
            <v>40238</v>
          </cell>
        </row>
        <row r="263">
          <cell r="A263" t="str">
            <v>S16-0260</v>
          </cell>
          <cell r="B263" t="str">
            <v>知多厚生病院_0260 (2)</v>
          </cell>
          <cell r="C263" t="str">
            <v>SR#4202133</v>
          </cell>
          <cell r="D263" t="str">
            <v>2016/04/05-04</v>
          </cell>
          <cell r="E263" t="str">
            <v>有償</v>
          </cell>
          <cell r="F263">
            <v>42468</v>
          </cell>
          <cell r="G263">
            <v>42468</v>
          </cell>
          <cell r="H263">
            <v>42487</v>
          </cell>
          <cell r="I263" t="str">
            <v>不明</v>
          </cell>
          <cell r="K263" t="str">
            <v>梶田</v>
          </cell>
          <cell r="L263">
            <v>3</v>
          </cell>
          <cell r="M263" t="str">
            <v>180Ⅱ</v>
          </cell>
          <cell r="N263" t="str">
            <v>0206X7</v>
          </cell>
          <cell r="O263" t="str">
            <v>P02456-02</v>
          </cell>
          <cell r="P263" t="str">
            <v>株式会社三輪器械</v>
          </cell>
          <cell r="Q263" t="str">
            <v>伊藤様</v>
          </cell>
          <cell r="R263" t="str">
            <v>〒460-0002　愛知県名古屋市中区丸の内3-23-16</v>
          </cell>
          <cell r="S263" t="str">
            <v>052-962-3001</v>
          </cell>
          <cell r="T263" t="str">
            <v>052-962-3070</v>
          </cell>
          <cell r="U263" t="str">
            <v>知多厚生病院</v>
          </cell>
          <cell r="V263" t="str">
            <v>-</v>
          </cell>
          <cell r="W263" t="str">
            <v>-</v>
          </cell>
          <cell r="X263" t="str">
            <v>0569-82-0395</v>
          </cell>
          <cell r="Y263" t="str">
            <v>〒470-2404　愛知県知多郡美浜町大字河和字西谷81-6</v>
          </cell>
          <cell r="AA263" t="str">
            <v>P03981-04</v>
          </cell>
          <cell r="AB263" t="str">
            <v/>
          </cell>
          <cell r="AC263" t="str">
            <v/>
          </cell>
          <cell r="AD263" t="str">
            <v/>
          </cell>
          <cell r="AE263" t="str">
            <v/>
          </cell>
          <cell r="AF263" t="str">
            <v/>
          </cell>
          <cell r="AG263" t="str">
            <v/>
          </cell>
          <cell r="AH263" t="str">
            <v/>
          </cell>
          <cell r="AI263" t="str">
            <v/>
          </cell>
          <cell r="AJ263" t="str">
            <v/>
          </cell>
          <cell r="AK263" t="str">
            <v>SERVICE ASSEMBLY, PCB FOR JAPANESE C1.9 180II SYSTEM</v>
          </cell>
          <cell r="AL263" t="str">
            <v/>
          </cell>
          <cell r="AM263" t="str">
            <v/>
          </cell>
          <cell r="AN263" t="str">
            <v/>
          </cell>
          <cell r="AO263" t="str">
            <v/>
          </cell>
          <cell r="AP263" t="str">
            <v/>
          </cell>
          <cell r="AQ263" t="str">
            <v/>
          </cell>
          <cell r="AR263" t="str">
            <v/>
          </cell>
          <cell r="AS263" t="str">
            <v/>
          </cell>
          <cell r="AT263" t="str">
            <v/>
          </cell>
          <cell r="AU263">
            <v>37226</v>
          </cell>
        </row>
        <row r="264">
          <cell r="A264" t="str">
            <v>S16-0261</v>
          </cell>
          <cell r="B264" t="str">
            <v>美浦中央病院_0261 (2)</v>
          </cell>
          <cell r="C264" t="str">
            <v>SR#</v>
          </cell>
          <cell r="D264" t="str">
            <v>-</v>
          </cell>
          <cell r="E264" t="str">
            <v/>
          </cell>
          <cell r="F264">
            <v>42468</v>
          </cell>
          <cell r="G264">
            <v>42468</v>
          </cell>
          <cell r="H264">
            <v>42482</v>
          </cell>
          <cell r="I264" t="str">
            <v>2010年9月</v>
          </cell>
          <cell r="K264" t="str">
            <v>-</v>
          </cell>
          <cell r="L264" t="str">
            <v>-</v>
          </cell>
          <cell r="M264" t="str">
            <v>iLook25</v>
          </cell>
          <cell r="N264" t="str">
            <v>03CN5R</v>
          </cell>
          <cell r="O264" t="str">
            <v>P04303-02</v>
          </cell>
          <cell r="P264" t="str">
            <v>日本コヴィディエン株式会社　東日本透析営業所</v>
          </cell>
          <cell r="Q264" t="str">
            <v>酒井様</v>
          </cell>
          <cell r="R264" t="str">
            <v>〒108-0075　　東京都港区港南一丁目2番70号　品川シーズンテラス　22F</v>
          </cell>
          <cell r="S264" t="str">
            <v>03-6774-4629</v>
          </cell>
          <cell r="T264" t="str">
            <v>03-6774-4740</v>
          </cell>
          <cell r="U264" t="str">
            <v>美浦中央病院</v>
          </cell>
          <cell r="V264" t="str">
            <v>-</v>
          </cell>
          <cell r="W264" t="str">
            <v>-</v>
          </cell>
          <cell r="X264" t="str">
            <v>029-885-3551</v>
          </cell>
          <cell r="Y264" t="str">
            <v>〒300-0412 茨城県稲敷郡美浦村宮地596</v>
          </cell>
          <cell r="AA264" t="str">
            <v/>
          </cell>
          <cell r="AB264" t="str">
            <v/>
          </cell>
          <cell r="AC264" t="str">
            <v/>
          </cell>
          <cell r="AD264" t="str">
            <v/>
          </cell>
          <cell r="AE264" t="str">
            <v/>
          </cell>
          <cell r="AF264" t="str">
            <v/>
          </cell>
          <cell r="AG264" t="str">
            <v/>
          </cell>
          <cell r="AH264" t="str">
            <v/>
          </cell>
          <cell r="AI264" t="str">
            <v/>
          </cell>
          <cell r="AJ264" t="str">
            <v/>
          </cell>
          <cell r="AK264" t="str">
            <v/>
          </cell>
          <cell r="AL264" t="str">
            <v/>
          </cell>
          <cell r="AM264" t="str">
            <v/>
          </cell>
          <cell r="AN264" t="str">
            <v/>
          </cell>
          <cell r="AO264" t="str">
            <v/>
          </cell>
          <cell r="AP264" t="str">
            <v/>
          </cell>
          <cell r="AQ264" t="str">
            <v/>
          </cell>
          <cell r="AR264" t="str">
            <v/>
          </cell>
          <cell r="AS264" t="str">
            <v/>
          </cell>
          <cell r="AT264" t="str">
            <v/>
          </cell>
          <cell r="AU264">
            <v>39814</v>
          </cell>
        </row>
        <row r="265">
          <cell r="A265" t="str">
            <v>S16-0262</v>
          </cell>
          <cell r="B265" t="str">
            <v>高槻病院_0262 (2)</v>
          </cell>
          <cell r="C265" t="str">
            <v>SR#4202409</v>
          </cell>
          <cell r="D265" t="str">
            <v>-</v>
          </cell>
          <cell r="E265" t="str">
            <v>無償</v>
          </cell>
          <cell r="F265">
            <v>42468</v>
          </cell>
          <cell r="G265">
            <v>42468</v>
          </cell>
          <cell r="H265">
            <v>42502</v>
          </cell>
          <cell r="I265" t="str">
            <v>不明</v>
          </cell>
          <cell r="K265" t="str">
            <v>梶田</v>
          </cell>
          <cell r="L265">
            <v>3</v>
          </cell>
          <cell r="M265" t="str">
            <v>NanoMaxx</v>
          </cell>
          <cell r="N265" t="str">
            <v>03T9KD</v>
          </cell>
          <cell r="O265" t="str">
            <v>P12700-06</v>
          </cell>
          <cell r="P265" t="str">
            <v>日本コヴィディエン株式会社　大阪営業所</v>
          </cell>
          <cell r="Q265" t="str">
            <v>阿久津様</v>
          </cell>
          <cell r="R265" t="str">
            <v>〒108-0075　　東京都港区港南一丁目2番70号　品川シーズンテラス　22F</v>
          </cell>
          <cell r="S265" t="str">
            <v>03-6774-4629</v>
          </cell>
          <cell r="T265" t="str">
            <v>03-6774-4740</v>
          </cell>
          <cell r="U265" t="str">
            <v>愛仁会高槻病院</v>
          </cell>
          <cell r="V265" t="str">
            <v>-</v>
          </cell>
          <cell r="W265" t="str">
            <v>-</v>
          </cell>
          <cell r="X265" t="str">
            <v>072-681-3801</v>
          </cell>
          <cell r="Y265" t="str">
            <v>〒569-1192　大阪府高槻市古曽部町1-3-13</v>
          </cell>
          <cell r="AA265" t="str">
            <v>P09977-01</v>
          </cell>
          <cell r="AB265" t="str">
            <v>P09732-02</v>
          </cell>
          <cell r="AC265" t="str">
            <v/>
          </cell>
          <cell r="AD265" t="str">
            <v/>
          </cell>
          <cell r="AE265" t="str">
            <v/>
          </cell>
          <cell r="AF265" t="str">
            <v/>
          </cell>
          <cell r="AG265" t="str">
            <v/>
          </cell>
          <cell r="AH265" t="str">
            <v/>
          </cell>
          <cell r="AI265" t="str">
            <v/>
          </cell>
          <cell r="AJ265" t="str">
            <v/>
          </cell>
          <cell r="AK265" t="str">
            <v>CABLE,FFC,0.5MM PITCH,14 POS,6" LENGTH</v>
          </cell>
          <cell r="AL265" t="str">
            <v>ASSEMBLY, 8.4", SCREENED LCD WITH TOUCHSCREEN, IN PLANT COSTED</v>
          </cell>
          <cell r="AM265" t="str">
            <v/>
          </cell>
          <cell r="AN265" t="str">
            <v/>
          </cell>
          <cell r="AO265" t="str">
            <v/>
          </cell>
          <cell r="AP265" t="str">
            <v/>
          </cell>
          <cell r="AQ265" t="str">
            <v/>
          </cell>
          <cell r="AR265" t="str">
            <v/>
          </cell>
          <cell r="AS265" t="str">
            <v/>
          </cell>
          <cell r="AT265" t="str">
            <v/>
          </cell>
          <cell r="AU265">
            <v>41244</v>
          </cell>
        </row>
        <row r="266">
          <cell r="A266" t="str">
            <v>S16-0263</v>
          </cell>
          <cell r="B266" t="str">
            <v>代替機NIM171_263 (2)</v>
          </cell>
          <cell r="C266" t="str">
            <v>SR#4199815</v>
          </cell>
          <cell r="D266" t="str">
            <v>-</v>
          </cell>
          <cell r="E266" t="str">
            <v>無償</v>
          </cell>
          <cell r="F266">
            <v>42468</v>
          </cell>
          <cell r="G266">
            <v>42468</v>
          </cell>
          <cell r="H266">
            <v>42474</v>
          </cell>
          <cell r="I266" t="str">
            <v>-</v>
          </cell>
          <cell r="K266" t="str">
            <v>梶田</v>
          </cell>
          <cell r="L266">
            <v>3</v>
          </cell>
          <cell r="M266" t="str">
            <v>MicroMaxx</v>
          </cell>
          <cell r="N266" t="str">
            <v>WK0MX8</v>
          </cell>
          <cell r="O266" t="str">
            <v>P08063-07</v>
          </cell>
          <cell r="P266" t="str">
            <v>富士フイルムメディカル株式会社</v>
          </cell>
          <cell r="Q266" t="str">
            <v>テクニカルサポート</v>
          </cell>
          <cell r="R266" t="str">
            <v>-</v>
          </cell>
          <cell r="S266" t="str">
            <v>03-6418-7190</v>
          </cell>
          <cell r="T266" t="str">
            <v>03-6418-7162</v>
          </cell>
          <cell r="U266" t="str">
            <v>代替機NIM171</v>
          </cell>
          <cell r="V266" t="str">
            <v>-</v>
          </cell>
          <cell r="W266" t="str">
            <v>-</v>
          </cell>
          <cell r="X266" t="str">
            <v>-</v>
          </cell>
          <cell r="Y266" t="str">
            <v>-</v>
          </cell>
          <cell r="AA266" t="str">
            <v>P18035-01</v>
          </cell>
          <cell r="AB266" t="str">
            <v>P19080-01</v>
          </cell>
          <cell r="AC266" t="str">
            <v>P19133-01</v>
          </cell>
          <cell r="AD266" t="str">
            <v/>
          </cell>
          <cell r="AE266" t="str">
            <v/>
          </cell>
          <cell r="AF266" t="str">
            <v/>
          </cell>
          <cell r="AG266" t="str">
            <v/>
          </cell>
          <cell r="AH266" t="str">
            <v/>
          </cell>
          <cell r="AI266" t="str">
            <v/>
          </cell>
          <cell r="AJ266" t="str">
            <v/>
          </cell>
          <cell r="AK266" t="str">
            <v>Kycon Connecto</v>
          </cell>
          <cell r="AL266" t="str">
            <v>Connector Brackets</v>
          </cell>
          <cell r="AM266" t="str">
            <v>Bracket screws　×2</v>
          </cell>
          <cell r="AN266" t="str">
            <v/>
          </cell>
          <cell r="AO266" t="str">
            <v/>
          </cell>
          <cell r="AP266" t="str">
            <v/>
          </cell>
          <cell r="AQ266" t="str">
            <v/>
          </cell>
          <cell r="AR266" t="str">
            <v/>
          </cell>
          <cell r="AS266" t="str">
            <v/>
          </cell>
          <cell r="AT266" t="str">
            <v/>
          </cell>
          <cell r="AU266">
            <v>40848</v>
          </cell>
        </row>
        <row r="267">
          <cell r="A267" t="str">
            <v>S16-0264</v>
          </cell>
          <cell r="B267" t="str">
            <v>デモ機MAK45_264 (2)</v>
          </cell>
          <cell r="C267" t="str">
            <v>SR#4199811</v>
          </cell>
          <cell r="D267" t="str">
            <v>-</v>
          </cell>
          <cell r="E267" t="str">
            <v>無償</v>
          </cell>
          <cell r="F267">
            <v>42471</v>
          </cell>
          <cell r="G267">
            <v>42471</v>
          </cell>
          <cell r="H267">
            <v>42488</v>
          </cell>
          <cell r="I267" t="str">
            <v>―</v>
          </cell>
          <cell r="K267" t="str">
            <v>梶田</v>
          </cell>
          <cell r="L267">
            <v>3</v>
          </cell>
          <cell r="M267" t="str">
            <v>M-Turbo</v>
          </cell>
          <cell r="N267" t="str">
            <v>WK27VL</v>
          </cell>
          <cell r="O267" t="str">
            <v>P09141-27</v>
          </cell>
          <cell r="P267" t="str">
            <v>富士フイルムメディカル株式会社</v>
          </cell>
          <cell r="Q267" t="str">
            <v>マーケティング</v>
          </cell>
          <cell r="R267" t="str">
            <v>-</v>
          </cell>
          <cell r="S267" t="str">
            <v>03-6418-7190</v>
          </cell>
          <cell r="T267" t="str">
            <v>03-6418-7162</v>
          </cell>
          <cell r="U267" t="str">
            <v>デモ機MAK45</v>
          </cell>
          <cell r="V267" t="str">
            <v>-</v>
          </cell>
          <cell r="W267" t="str">
            <v>-</v>
          </cell>
          <cell r="X267" t="str">
            <v>-</v>
          </cell>
          <cell r="Y267" t="str">
            <v>-</v>
          </cell>
          <cell r="AA267" t="str">
            <v>P19087-02</v>
          </cell>
          <cell r="AB267" t="str">
            <v/>
          </cell>
          <cell r="AC267" t="str">
            <v/>
          </cell>
          <cell r="AD267" t="str">
            <v/>
          </cell>
          <cell r="AE267" t="str">
            <v/>
          </cell>
          <cell r="AF267" t="str">
            <v/>
          </cell>
          <cell r="AG267" t="str">
            <v/>
          </cell>
          <cell r="AH267" t="str">
            <v/>
          </cell>
          <cell r="AI267" t="str">
            <v/>
          </cell>
          <cell r="AJ267" t="str">
            <v/>
          </cell>
          <cell r="AK267" t="str">
            <v>MAIN PCBA, M-Turbo</v>
          </cell>
          <cell r="AL267" t="str">
            <v/>
          </cell>
          <cell r="AM267" t="str">
            <v/>
          </cell>
          <cell r="AN267" t="str">
            <v/>
          </cell>
          <cell r="AO267" t="str">
            <v/>
          </cell>
          <cell r="AP267" t="str">
            <v/>
          </cell>
          <cell r="AQ267" t="str">
            <v/>
          </cell>
          <cell r="AR267" t="str">
            <v/>
          </cell>
          <cell r="AS267" t="str">
            <v/>
          </cell>
          <cell r="AT267" t="str">
            <v/>
          </cell>
          <cell r="AU267">
            <v>41699</v>
          </cell>
        </row>
        <row r="268">
          <cell r="A268" t="str">
            <v>S16-0265</v>
          </cell>
          <cell r="B268" t="str">
            <v>名古屋市立大学病院1_0265 (2)</v>
          </cell>
          <cell r="C268" t="str">
            <v>SR#不要</v>
          </cell>
          <cell r="D268" t="str">
            <v>2016/04/08-05</v>
          </cell>
          <cell r="E268" t="str">
            <v>無償</v>
          </cell>
          <cell r="F268">
            <v>42471</v>
          </cell>
          <cell r="G268">
            <v>42471</v>
          </cell>
          <cell r="H268">
            <v>42478</v>
          </cell>
          <cell r="I268" t="str">
            <v>不明</v>
          </cell>
          <cell r="K268" t="str">
            <v>梶田</v>
          </cell>
          <cell r="L268">
            <v>3</v>
          </cell>
          <cell r="M268" t="str">
            <v>S-Nerve</v>
          </cell>
          <cell r="N268" t="str">
            <v>WK3KM1</v>
          </cell>
          <cell r="O268" t="str">
            <v>P12060-62</v>
          </cell>
          <cell r="P268" t="str">
            <v>富士フイルムメディカル株式会社</v>
          </cell>
          <cell r="Q268" t="str">
            <v>村上様</v>
          </cell>
          <cell r="R268" t="str">
            <v>〒460-8404　愛知県名古屋市中区栄1-12-17 富士フイルム名古屋ビル4階</v>
          </cell>
          <cell r="S268" t="str">
            <v>052-221-7871</v>
          </cell>
          <cell r="T268" t="str">
            <v>052-203-4875</v>
          </cell>
          <cell r="U268" t="str">
            <v>名古屋市立大学病院　（着荷不良品）</v>
          </cell>
          <cell r="AA268" t="str">
            <v/>
          </cell>
          <cell r="AB268" t="str">
            <v/>
          </cell>
          <cell r="AC268" t="str">
            <v/>
          </cell>
          <cell r="AD268" t="str">
            <v/>
          </cell>
          <cell r="AE268" t="str">
            <v/>
          </cell>
          <cell r="AF268" t="str">
            <v/>
          </cell>
          <cell r="AG268" t="str">
            <v/>
          </cell>
          <cell r="AH268" t="str">
            <v/>
          </cell>
          <cell r="AI268" t="str">
            <v/>
          </cell>
          <cell r="AJ268" t="str">
            <v/>
          </cell>
          <cell r="AK268" t="str">
            <v/>
          </cell>
          <cell r="AL268" t="str">
            <v/>
          </cell>
          <cell r="AM268" t="str">
            <v/>
          </cell>
          <cell r="AN268" t="str">
            <v/>
          </cell>
          <cell r="AO268" t="str">
            <v/>
          </cell>
          <cell r="AP268" t="str">
            <v/>
          </cell>
          <cell r="AQ268" t="str">
            <v/>
          </cell>
          <cell r="AR268" t="str">
            <v/>
          </cell>
          <cell r="AS268" t="str">
            <v/>
          </cell>
          <cell r="AT268" t="str">
            <v/>
          </cell>
          <cell r="AU268">
            <v>42339</v>
          </cell>
        </row>
        <row r="269">
          <cell r="A269" t="str">
            <v>S16-0266</v>
          </cell>
          <cell r="B269" t="str">
            <v>名古屋市立大学病院2_0266 (2)</v>
          </cell>
          <cell r="C269" t="str">
            <v>SR#不要</v>
          </cell>
          <cell r="D269" t="str">
            <v>2016/04/08-05</v>
          </cell>
          <cell r="E269" t="str">
            <v>無償</v>
          </cell>
          <cell r="F269">
            <v>42471</v>
          </cell>
          <cell r="G269">
            <v>42471</v>
          </cell>
          <cell r="H269">
            <v>42478</v>
          </cell>
          <cell r="I269" t="str">
            <v>不明</v>
          </cell>
          <cell r="K269" t="str">
            <v>梶田</v>
          </cell>
          <cell r="L269">
            <v>3</v>
          </cell>
          <cell r="M269" t="str">
            <v>S-Nerve</v>
          </cell>
          <cell r="N269" t="str">
            <v>WK3LWD</v>
          </cell>
          <cell r="O269" t="str">
            <v>P12060-62</v>
          </cell>
          <cell r="P269" t="str">
            <v>富士フイルムメディカル株式会社</v>
          </cell>
          <cell r="Q269" t="str">
            <v>村上様</v>
          </cell>
          <cell r="R269" t="str">
            <v>〒460-8404　愛知県名古屋市中区栄1-12-17 富士フイルム名古屋ビル4階</v>
          </cell>
          <cell r="S269" t="str">
            <v>052-221-7871</v>
          </cell>
          <cell r="T269" t="str">
            <v>052-203-4875</v>
          </cell>
          <cell r="U269" t="str">
            <v>名古屋市立大学病院　（着荷不良品）</v>
          </cell>
          <cell r="AA269" t="str">
            <v/>
          </cell>
          <cell r="AB269" t="str">
            <v/>
          </cell>
          <cell r="AC269" t="str">
            <v/>
          </cell>
          <cell r="AD269" t="str">
            <v/>
          </cell>
          <cell r="AE269" t="str">
            <v/>
          </cell>
          <cell r="AF269" t="str">
            <v/>
          </cell>
          <cell r="AG269" t="str">
            <v/>
          </cell>
          <cell r="AH269" t="str">
            <v/>
          </cell>
          <cell r="AI269" t="str">
            <v/>
          </cell>
          <cell r="AJ269" t="str">
            <v/>
          </cell>
          <cell r="AK269" t="str">
            <v/>
          </cell>
          <cell r="AL269" t="str">
            <v/>
          </cell>
          <cell r="AM269" t="str">
            <v/>
          </cell>
          <cell r="AN269" t="str">
            <v/>
          </cell>
          <cell r="AO269" t="str">
            <v/>
          </cell>
          <cell r="AP269" t="str">
            <v/>
          </cell>
          <cell r="AQ269" t="str">
            <v/>
          </cell>
          <cell r="AR269" t="str">
            <v/>
          </cell>
          <cell r="AS269" t="str">
            <v/>
          </cell>
          <cell r="AT269" t="str">
            <v/>
          </cell>
          <cell r="AU269">
            <v>42430</v>
          </cell>
        </row>
        <row r="270">
          <cell r="A270" t="str">
            <v>S16-0267</v>
          </cell>
          <cell r="B270" t="str">
            <v>米沢市立病院_0267 (2)</v>
          </cell>
          <cell r="C270" t="str">
            <v>SR#</v>
          </cell>
          <cell r="D270" t="str">
            <v>2016/04/05-02</v>
          </cell>
          <cell r="E270" t="str">
            <v>有償</v>
          </cell>
          <cell r="F270">
            <v>42471</v>
          </cell>
          <cell r="G270">
            <v>42471</v>
          </cell>
          <cell r="H270">
            <v>42529</v>
          </cell>
          <cell r="I270" t="str">
            <v>不明</v>
          </cell>
          <cell r="K270" t="str">
            <v>馬屋原</v>
          </cell>
          <cell r="L270">
            <v>3</v>
          </cell>
          <cell r="M270">
            <v>180</v>
          </cell>
          <cell r="N270" t="str">
            <v>01G2ZJ</v>
          </cell>
          <cell r="O270" t="str">
            <v>P01102-01</v>
          </cell>
          <cell r="P270" t="str">
            <v>オリンパスメディカルサイエンス販売株式会社</v>
          </cell>
          <cell r="Q270" t="str">
            <v>福田様</v>
          </cell>
          <cell r="R270" t="str">
            <v>〒990-0031　山形県山形市十日町1-3-29　山形十日町ビル8階</v>
          </cell>
          <cell r="S270" t="str">
            <v>023-634-3978</v>
          </cell>
          <cell r="T270" t="str">
            <v>023-632-4549</v>
          </cell>
          <cell r="U270" t="str">
            <v>米沢市立病院　内科外来</v>
          </cell>
          <cell r="V270" t="str">
            <v>-</v>
          </cell>
          <cell r="W270" t="str">
            <v>内科外科</v>
          </cell>
          <cell r="X270" t="str">
            <v>0238-22-2450</v>
          </cell>
          <cell r="Y270" t="str">
            <v>〒992-8502 山形県米沢市相生町6-36</v>
          </cell>
          <cell r="AA270" t="str">
            <v>P00104-02</v>
          </cell>
          <cell r="AB270" t="str">
            <v>P00049-04</v>
          </cell>
          <cell r="AC270" t="str">
            <v/>
          </cell>
          <cell r="AD270" t="str">
            <v/>
          </cell>
          <cell r="AE270" t="str">
            <v/>
          </cell>
          <cell r="AF270" t="str">
            <v/>
          </cell>
          <cell r="AG270" t="str">
            <v/>
          </cell>
          <cell r="AH270" t="str">
            <v/>
          </cell>
          <cell r="AI270" t="str">
            <v/>
          </cell>
          <cell r="AJ270" t="str">
            <v/>
          </cell>
          <cell r="AK270" t="str">
            <v>KEY, ON/OFF</v>
          </cell>
          <cell r="AL270" t="str">
            <v>BATTERY PACK, 6 CELL LITHIUM-ION, 180</v>
          </cell>
          <cell r="AM270" t="str">
            <v/>
          </cell>
          <cell r="AN270" t="str">
            <v/>
          </cell>
          <cell r="AO270" t="str">
            <v/>
          </cell>
          <cell r="AP270" t="str">
            <v/>
          </cell>
          <cell r="AQ270" t="str">
            <v/>
          </cell>
          <cell r="AR270" t="str">
            <v/>
          </cell>
          <cell r="AS270" t="str">
            <v/>
          </cell>
          <cell r="AT270" t="str">
            <v/>
          </cell>
          <cell r="AU270">
            <v>36557</v>
          </cell>
        </row>
        <row r="271">
          <cell r="A271" t="str">
            <v>S16-0268</v>
          </cell>
          <cell r="B271" t="str">
            <v>鹿児島徳州会病院_0268 (2)</v>
          </cell>
          <cell r="C271" t="str">
            <v>SR#</v>
          </cell>
          <cell r="D271" t="str">
            <v>2016/04/05-06</v>
          </cell>
          <cell r="E271" t="str">
            <v>有償</v>
          </cell>
          <cell r="F271">
            <v>42471</v>
          </cell>
          <cell r="G271">
            <v>42471</v>
          </cell>
          <cell r="H271">
            <v>42536</v>
          </cell>
          <cell r="I271">
            <v>39959</v>
          </cell>
          <cell r="K271" t="str">
            <v>馬屋原</v>
          </cell>
          <cell r="L271">
            <v>3</v>
          </cell>
          <cell r="M271" t="str">
            <v>180Plus</v>
          </cell>
          <cell r="N271" t="str">
            <v>03FMN0</v>
          </cell>
          <cell r="O271" t="str">
            <v>P04326-05</v>
          </cell>
          <cell r="P271" t="str">
            <v>株式会社　横尾器械</v>
          </cell>
          <cell r="Q271" t="str">
            <v>坂上様</v>
          </cell>
          <cell r="R271" t="str">
            <v>〒890-0033　鹿児島県鹿児島市西別府町2941-27</v>
          </cell>
          <cell r="S271" t="str">
            <v>099-281-2611</v>
          </cell>
          <cell r="T271" t="str">
            <v>099-282-7575</v>
          </cell>
          <cell r="U271" t="str">
            <v>鹿児島徳州会病院</v>
          </cell>
          <cell r="V271" t="str">
            <v>-</v>
          </cell>
          <cell r="W271" t="str">
            <v>救急部</v>
          </cell>
          <cell r="X271" t="str">
            <v>099-250-1110</v>
          </cell>
          <cell r="Y271" t="str">
            <v>〒890-0056　鹿児島県鹿児島市下荒田3-8-1</v>
          </cell>
          <cell r="AA271" t="str">
            <v>P00538-03</v>
          </cell>
          <cell r="AB271" t="str">
            <v>P00340-02</v>
          </cell>
          <cell r="AC271" t="str">
            <v/>
          </cell>
          <cell r="AD271" t="str">
            <v/>
          </cell>
          <cell r="AE271" t="str">
            <v/>
          </cell>
          <cell r="AF271" t="str">
            <v/>
          </cell>
          <cell r="AG271" t="str">
            <v/>
          </cell>
          <cell r="AH271" t="str">
            <v/>
          </cell>
          <cell r="AI271" t="str">
            <v/>
          </cell>
          <cell r="AJ271" t="str">
            <v/>
          </cell>
          <cell r="AK271" t="str">
            <v>POWER SUPPLY, 85-264 VAC, 50-60HZ, 16V, 45W, 180</v>
          </cell>
          <cell r="AL271" t="str">
            <v>LENS, DISPLAY</v>
          </cell>
          <cell r="AM271" t="str">
            <v/>
          </cell>
          <cell r="AN271" t="str">
            <v/>
          </cell>
          <cell r="AO271" t="str">
            <v/>
          </cell>
          <cell r="AP271" t="str">
            <v/>
          </cell>
          <cell r="AQ271" t="str">
            <v/>
          </cell>
          <cell r="AR271" t="str">
            <v/>
          </cell>
          <cell r="AS271" t="str">
            <v/>
          </cell>
          <cell r="AT271" t="str">
            <v/>
          </cell>
          <cell r="AU271">
            <v>39873</v>
          </cell>
        </row>
        <row r="272">
          <cell r="A272" t="str">
            <v>S16-0269</v>
          </cell>
          <cell r="B272" t="str">
            <v>ときつ医院_0269 (2)</v>
          </cell>
          <cell r="C272" t="str">
            <v>SR#</v>
          </cell>
          <cell r="D272" t="str">
            <v>2016/04/08-01</v>
          </cell>
          <cell r="E272" t="str">
            <v>無償</v>
          </cell>
          <cell r="F272">
            <v>42472</v>
          </cell>
          <cell r="G272">
            <v>42472</v>
          </cell>
          <cell r="H272">
            <v>42474</v>
          </cell>
          <cell r="I272">
            <v>42397</v>
          </cell>
          <cell r="K272" t="str">
            <v>梶田</v>
          </cell>
          <cell r="L272" t="str">
            <v>-</v>
          </cell>
          <cell r="M272" t="str">
            <v>M-Turbo</v>
          </cell>
          <cell r="N272" t="str">
            <v>WK34YJ</v>
          </cell>
          <cell r="O272" t="str">
            <v>P09141-62</v>
          </cell>
          <cell r="P272" t="str">
            <v>富士フイルムメディカル株式会社</v>
          </cell>
          <cell r="Q272" t="str">
            <v>吉峯様</v>
          </cell>
          <cell r="R272" t="str">
            <v>〒812-0011　福岡県福岡市博多区博多駅前4-13-19</v>
          </cell>
          <cell r="S272" t="str">
            <v>03-6418-7190</v>
          </cell>
          <cell r="T272" t="str">
            <v>03-6418-7162</v>
          </cell>
          <cell r="U272" t="str">
            <v>ときつ医院</v>
          </cell>
          <cell r="V272" t="str">
            <v>-</v>
          </cell>
          <cell r="W272" t="str">
            <v>-</v>
          </cell>
          <cell r="X272" t="str">
            <v>092-882-3321</v>
          </cell>
          <cell r="Y272" t="str">
            <v>〒819-0005　福岡県福岡市西区内浜2-6-7</v>
          </cell>
          <cell r="AA272" t="str">
            <v/>
          </cell>
          <cell r="AB272" t="str">
            <v/>
          </cell>
          <cell r="AC272" t="str">
            <v/>
          </cell>
          <cell r="AD272" t="str">
            <v/>
          </cell>
          <cell r="AE272" t="str">
            <v/>
          </cell>
          <cell r="AF272" t="str">
            <v/>
          </cell>
          <cell r="AG272" t="str">
            <v/>
          </cell>
          <cell r="AH272" t="str">
            <v/>
          </cell>
          <cell r="AI272" t="str">
            <v/>
          </cell>
          <cell r="AJ272" t="str">
            <v/>
          </cell>
          <cell r="AK272" t="str">
            <v/>
          </cell>
          <cell r="AL272" t="str">
            <v/>
          </cell>
          <cell r="AM272" t="str">
            <v/>
          </cell>
          <cell r="AN272" t="str">
            <v/>
          </cell>
          <cell r="AO272" t="str">
            <v/>
          </cell>
          <cell r="AP272" t="str">
            <v/>
          </cell>
          <cell r="AQ272" t="str">
            <v/>
          </cell>
          <cell r="AR272" t="str">
            <v/>
          </cell>
          <cell r="AS272" t="str">
            <v/>
          </cell>
          <cell r="AT272" t="str">
            <v/>
          </cell>
          <cell r="AU272">
            <v>42339</v>
          </cell>
        </row>
        <row r="273">
          <cell r="A273" t="str">
            <v>S16-0270</v>
          </cell>
          <cell r="B273" t="str">
            <v>東京女子医科大学病院_0270 (2)</v>
          </cell>
          <cell r="C273" t="str">
            <v>SR#</v>
          </cell>
          <cell r="D273" t="str">
            <v>2016/04/11-03</v>
          </cell>
          <cell r="E273" t="str">
            <v>有償</v>
          </cell>
          <cell r="F273">
            <v>42472</v>
          </cell>
          <cell r="G273">
            <v>42472</v>
          </cell>
          <cell r="H273">
            <v>42506</v>
          </cell>
          <cell r="I273" t="str">
            <v>不明</v>
          </cell>
          <cell r="K273" t="str">
            <v>梶田</v>
          </cell>
          <cell r="L273">
            <v>3</v>
          </cell>
          <cell r="M273" t="str">
            <v>M-Turbo</v>
          </cell>
          <cell r="N273" t="str">
            <v>03JNHY</v>
          </cell>
          <cell r="O273" t="str">
            <v>P09141-16</v>
          </cell>
          <cell r="P273" t="str">
            <v>株式会社サンユーメディカル</v>
          </cell>
          <cell r="Q273" t="str">
            <v>國定様</v>
          </cell>
          <cell r="R273" t="str">
            <v>〒113-0021　東京都文京区本駒込5-5-9</v>
          </cell>
          <cell r="S273" t="str">
            <v>03-3947-4430</v>
          </cell>
          <cell r="T273" t="str">
            <v>03-3947-4736</v>
          </cell>
          <cell r="U273" t="str">
            <v>東京女子医科大学病院　西A2 ICU</v>
          </cell>
          <cell r="V273" t="str">
            <v>-</v>
          </cell>
          <cell r="W273" t="str">
            <v>-</v>
          </cell>
          <cell r="X273" t="str">
            <v>03-3353-8111</v>
          </cell>
          <cell r="Y273" t="str">
            <v>〒162-8666 東京都新宿区河田町8-1</v>
          </cell>
          <cell r="AA273" t="str">
            <v>P07168-20</v>
          </cell>
          <cell r="AB273" t="str">
            <v>P18035-01</v>
          </cell>
          <cell r="AC273" t="str">
            <v>P19080-01</v>
          </cell>
          <cell r="AD273" t="str">
            <v>P19133-01</v>
          </cell>
          <cell r="AE273" t="str">
            <v/>
          </cell>
          <cell r="AF273" t="str">
            <v/>
          </cell>
          <cell r="AG273" t="str">
            <v/>
          </cell>
          <cell r="AH273" t="str">
            <v/>
          </cell>
          <cell r="AI273" t="str">
            <v/>
          </cell>
          <cell r="AJ273" t="str">
            <v/>
          </cell>
          <cell r="AK273" t="str">
            <v>BATTERY PACK, 6 CELL, 11.25V, 5.2AMP-HOUR, LITHIUM-ION</v>
          </cell>
          <cell r="AL273" t="str">
            <v>Kycon Connecto</v>
          </cell>
          <cell r="AM273" t="str">
            <v>Connector Brackets</v>
          </cell>
          <cell r="AN273" t="str">
            <v>Bracket screws　×2</v>
          </cell>
          <cell r="AO273" t="str">
            <v/>
          </cell>
          <cell r="AP273" t="str">
            <v/>
          </cell>
          <cell r="AQ273" t="str">
            <v/>
          </cell>
          <cell r="AR273" t="str">
            <v/>
          </cell>
          <cell r="AS273" t="str">
            <v/>
          </cell>
          <cell r="AT273" t="str">
            <v/>
          </cell>
          <cell r="AU273">
            <v>40391</v>
          </cell>
        </row>
        <row r="274">
          <cell r="A274" t="str">
            <v>S16-0271</v>
          </cell>
          <cell r="B274" t="str">
            <v>木田医院_0271 (2)</v>
          </cell>
          <cell r="C274" t="str">
            <v>SR#4233595</v>
          </cell>
          <cell r="D274" t="str">
            <v>2016/03/28-01</v>
          </cell>
          <cell r="E274" t="str">
            <v>有償</v>
          </cell>
          <cell r="F274">
            <v>42473</v>
          </cell>
          <cell r="G274">
            <v>42473</v>
          </cell>
          <cell r="H274">
            <v>42611</v>
          </cell>
          <cell r="I274">
            <v>39535</v>
          </cell>
          <cell r="K274" t="str">
            <v>高橋</v>
          </cell>
          <cell r="L274">
            <v>3</v>
          </cell>
          <cell r="M274" t="str">
            <v>MicroMaxx</v>
          </cell>
          <cell r="N274" t="str">
            <v>03B93J</v>
          </cell>
          <cell r="O274" t="str">
            <v>P08063-03</v>
          </cell>
          <cell r="P274" t="str">
            <v>フクダ電子東京西販売株式会社</v>
          </cell>
          <cell r="Q274" t="str">
            <v>平沼様</v>
          </cell>
          <cell r="R274" t="str">
            <v>〒190-0011　東京都立川市高松町1-23-17</v>
          </cell>
          <cell r="S274" t="str">
            <v>042-525-3578</v>
          </cell>
          <cell r="T274" t="str">
            <v>042-527-7262</v>
          </cell>
          <cell r="U274" t="str">
            <v>木田医院</v>
          </cell>
          <cell r="V274" t="str">
            <v>-</v>
          </cell>
          <cell r="W274" t="str">
            <v>-</v>
          </cell>
          <cell r="X274" t="str">
            <v>042-368-5688</v>
          </cell>
          <cell r="Y274" t="str">
            <v>〒183-0055　東京都府中市府中町1-15-1</v>
          </cell>
          <cell r="AA274" t="str">
            <v>P05463-01</v>
          </cell>
          <cell r="AB274" t="str">
            <v>P07168-20</v>
          </cell>
          <cell r="AC274" t="str">
            <v/>
          </cell>
          <cell r="AD274" t="str">
            <v/>
          </cell>
          <cell r="AE274" t="str">
            <v/>
          </cell>
          <cell r="AF274" t="str">
            <v/>
          </cell>
          <cell r="AG274" t="str">
            <v/>
          </cell>
          <cell r="AH274" t="str">
            <v/>
          </cell>
          <cell r="AI274" t="str">
            <v/>
          </cell>
          <cell r="AJ274" t="str">
            <v/>
          </cell>
          <cell r="AK274" t="str">
            <v>SERVICE ASSEMBLY DISPLAY, MICROMAXX</v>
          </cell>
          <cell r="AL274" t="str">
            <v>BATTERY PACK, 6 CELL, 11.25V, 5.2AMP-HOUR, LITHIUM-ION</v>
          </cell>
          <cell r="AM274" t="str">
            <v/>
          </cell>
          <cell r="AN274" t="str">
            <v/>
          </cell>
          <cell r="AO274" t="str">
            <v/>
          </cell>
          <cell r="AP274" t="str">
            <v/>
          </cell>
          <cell r="AQ274" t="str">
            <v/>
          </cell>
          <cell r="AR274" t="str">
            <v/>
          </cell>
          <cell r="AS274" t="str">
            <v/>
          </cell>
          <cell r="AT274" t="str">
            <v/>
          </cell>
          <cell r="AU274">
            <v>39508</v>
          </cell>
        </row>
        <row r="275">
          <cell r="A275" t="str">
            <v>S16-0272</v>
          </cell>
          <cell r="B275" t="str">
            <v>神戸中央市民病院_0272 (2)</v>
          </cell>
          <cell r="C275" t="str">
            <v>SR#</v>
          </cell>
          <cell r="D275" t="str">
            <v>-</v>
          </cell>
          <cell r="E275" t="str">
            <v>有償</v>
          </cell>
          <cell r="F275">
            <v>42473</v>
          </cell>
          <cell r="G275">
            <v>42473</v>
          </cell>
          <cell r="H275">
            <v>42534</v>
          </cell>
          <cell r="I275" t="str">
            <v>不明</v>
          </cell>
          <cell r="K275" t="str">
            <v>馬屋原</v>
          </cell>
          <cell r="L275">
            <v>3</v>
          </cell>
          <cell r="M275" t="str">
            <v>TiTAN</v>
          </cell>
          <cell r="N275" t="str">
            <v>03GHTR</v>
          </cell>
          <cell r="O275" t="str">
            <v>P06092-04</v>
          </cell>
          <cell r="P275" t="str">
            <v>宮野医療器株式会社</v>
          </cell>
          <cell r="Q275" t="str">
            <v>松本様</v>
          </cell>
          <cell r="R275" t="str">
            <v>〒650-0047　兵庫県神戸市中央区港島南町4-6-1</v>
          </cell>
          <cell r="S275" t="str">
            <v>078-302-7001</v>
          </cell>
          <cell r="T275" t="str">
            <v>078-302-9302</v>
          </cell>
          <cell r="U275" t="str">
            <v>神戸中央市民病院</v>
          </cell>
          <cell r="V275" t="str">
            <v>-</v>
          </cell>
          <cell r="W275" t="str">
            <v>-</v>
          </cell>
          <cell r="X275" t="str">
            <v>078-302-4321</v>
          </cell>
          <cell r="Y275" t="str">
            <v>〒650-0047 兵庫県神戸市中央区港島南町2-1-1</v>
          </cell>
          <cell r="AA275" t="str">
            <v/>
          </cell>
          <cell r="AB275" t="str">
            <v>P06733-01</v>
          </cell>
          <cell r="AC275" t="str">
            <v>P04331-07</v>
          </cell>
          <cell r="AD275" t="str">
            <v/>
          </cell>
          <cell r="AE275" t="str">
            <v/>
          </cell>
          <cell r="AF275" t="str">
            <v/>
          </cell>
          <cell r="AG275" t="str">
            <v/>
          </cell>
          <cell r="AH275" t="str">
            <v/>
          </cell>
          <cell r="AI275" t="str">
            <v/>
          </cell>
          <cell r="AJ275" t="str">
            <v/>
          </cell>
          <cell r="AK275" t="str">
            <v/>
          </cell>
          <cell r="AL275" t="str">
            <v>SERVICE ASSEMBLY MAIN PCBA, NEW CONN, TITAN HIGH MEMORY</v>
          </cell>
          <cell r="AM275" t="str">
            <v>L38/10-5 Linear Transducer (C1.9 and after)</v>
          </cell>
          <cell r="AN275" t="str">
            <v/>
          </cell>
          <cell r="AO275" t="str">
            <v/>
          </cell>
          <cell r="AP275" t="str">
            <v/>
          </cell>
          <cell r="AQ275" t="str">
            <v/>
          </cell>
          <cell r="AR275" t="str">
            <v/>
          </cell>
          <cell r="AS275" t="str">
            <v/>
          </cell>
          <cell r="AT275" t="str">
            <v/>
          </cell>
          <cell r="AU275">
            <v>40026</v>
          </cell>
        </row>
        <row r="276">
          <cell r="A276" t="str">
            <v>S16-0273</v>
          </cell>
          <cell r="B276" t="str">
            <v>福岡東医療センター_0273 (2)</v>
          </cell>
          <cell r="C276" t="str">
            <v>SR#不要</v>
          </cell>
          <cell r="D276" t="str">
            <v>2016/04/11-04</v>
          </cell>
          <cell r="E276" t="str">
            <v>有償</v>
          </cell>
          <cell r="F276">
            <v>42473</v>
          </cell>
          <cell r="G276">
            <v>42478</v>
          </cell>
          <cell r="H276">
            <v>42513</v>
          </cell>
          <cell r="I276" t="str">
            <v>不明</v>
          </cell>
          <cell r="K276" t="str">
            <v>-</v>
          </cell>
          <cell r="L276" t="str">
            <v>-</v>
          </cell>
          <cell r="M276" t="str">
            <v>180Plus</v>
          </cell>
          <cell r="N276" t="str">
            <v>034GWW</v>
          </cell>
          <cell r="O276" t="str">
            <v>P04327-03</v>
          </cell>
          <cell r="P276" t="str">
            <v>アイティーアイ株式会社　福岡支社</v>
          </cell>
          <cell r="Q276" t="str">
            <v>下河様</v>
          </cell>
          <cell r="R276" t="str">
            <v xml:space="preserve">〒812-0068　福岡県福岡市東区社領3-10-7 </v>
          </cell>
          <cell r="S276" t="str">
            <v>092-626-6911</v>
          </cell>
          <cell r="T276" t="str">
            <v>092-626-8912</v>
          </cell>
          <cell r="U276" t="str">
            <v>福岡東医療センター</v>
          </cell>
          <cell r="V276" t="str">
            <v>仲司MD</v>
          </cell>
          <cell r="W276" t="str">
            <v>循環器科</v>
          </cell>
          <cell r="X276" t="str">
            <v>092-943-2331</v>
          </cell>
          <cell r="Y276" t="str">
            <v>〒811-3195　福岡県古賀市千鳥1-1-1</v>
          </cell>
          <cell r="AA276" t="str">
            <v/>
          </cell>
          <cell r="AB276" t="str">
            <v/>
          </cell>
          <cell r="AC276" t="str">
            <v/>
          </cell>
          <cell r="AD276" t="str">
            <v/>
          </cell>
          <cell r="AE276" t="str">
            <v/>
          </cell>
          <cell r="AF276" t="str">
            <v/>
          </cell>
          <cell r="AG276" t="str">
            <v/>
          </cell>
          <cell r="AH276" t="str">
            <v/>
          </cell>
          <cell r="AI276" t="str">
            <v/>
          </cell>
          <cell r="AJ276" t="str">
            <v/>
          </cell>
          <cell r="AK276" t="str">
            <v/>
          </cell>
          <cell r="AL276" t="str">
            <v/>
          </cell>
          <cell r="AM276" t="str">
            <v/>
          </cell>
          <cell r="AN276" t="str">
            <v/>
          </cell>
          <cell r="AO276" t="str">
            <v/>
          </cell>
          <cell r="AP276" t="str">
            <v/>
          </cell>
          <cell r="AQ276" t="str">
            <v/>
          </cell>
          <cell r="AR276" t="str">
            <v/>
          </cell>
          <cell r="AS276" t="str">
            <v/>
          </cell>
          <cell r="AT276" t="str">
            <v/>
          </cell>
          <cell r="AU276">
            <v>38534</v>
          </cell>
        </row>
        <row r="277">
          <cell r="A277" t="str">
            <v>S16-0274</v>
          </cell>
          <cell r="B277" t="str">
            <v>東名厚木病院_0274 (2)</v>
          </cell>
          <cell r="C277" t="str">
            <v>SR#4202691</v>
          </cell>
          <cell r="D277" t="str">
            <v>-</v>
          </cell>
          <cell r="E277" t="str">
            <v>無償</v>
          </cell>
          <cell r="F277">
            <v>42473</v>
          </cell>
          <cell r="G277">
            <v>42473</v>
          </cell>
          <cell r="H277">
            <v>42510</v>
          </cell>
          <cell r="I277">
            <v>42110</v>
          </cell>
          <cell r="K277" t="str">
            <v>梶田</v>
          </cell>
          <cell r="L277">
            <v>3</v>
          </cell>
          <cell r="M277" t="str">
            <v>NanoMaxx</v>
          </cell>
          <cell r="N277" t="str">
            <v>03HKL9</v>
          </cell>
          <cell r="O277" t="str">
            <v>P12700-01</v>
          </cell>
          <cell r="P277" t="str">
            <v>日本コヴィディエン株式会社　首都圏透析営業所</v>
          </cell>
          <cell r="Q277" t="str">
            <v>島様</v>
          </cell>
          <cell r="R277" t="str">
            <v>〒108-0075  東京都港区港南一丁目2番70号　品川シーズンテラス　22F</v>
          </cell>
          <cell r="S277" t="str">
            <v>03-6774-4629</v>
          </cell>
          <cell r="T277" t="str">
            <v>03-6774-4740</v>
          </cell>
          <cell r="U277" t="str">
            <v>東名厚木病院</v>
          </cell>
          <cell r="V277" t="str">
            <v>-</v>
          </cell>
          <cell r="W277" t="str">
            <v>-</v>
          </cell>
          <cell r="X277" t="str">
            <v>046-229-1771</v>
          </cell>
          <cell r="Y277" t="str">
            <v>〒243-8571　神奈川県厚木市船子232</v>
          </cell>
          <cell r="AA277" t="str">
            <v>P20404-01N</v>
          </cell>
          <cell r="AB277" t="str">
            <v/>
          </cell>
          <cell r="AC277" t="str">
            <v/>
          </cell>
          <cell r="AD277" t="str">
            <v/>
          </cell>
          <cell r="AE277" t="str">
            <v/>
          </cell>
          <cell r="AF277" t="str">
            <v/>
          </cell>
          <cell r="AG277" t="str">
            <v/>
          </cell>
          <cell r="AH277" t="str">
            <v/>
          </cell>
          <cell r="AI277" t="str">
            <v/>
          </cell>
          <cell r="AJ277" t="str">
            <v/>
          </cell>
          <cell r="AK277" t="str">
            <v>SERVICE ASSEMBLY, BACK END PCB, NANOMAXX</v>
          </cell>
          <cell r="AL277" t="str">
            <v/>
          </cell>
          <cell r="AM277" t="str">
            <v/>
          </cell>
          <cell r="AN277" t="str">
            <v/>
          </cell>
          <cell r="AO277" t="str">
            <v/>
          </cell>
          <cell r="AP277" t="str">
            <v/>
          </cell>
          <cell r="AQ277" t="str">
            <v/>
          </cell>
          <cell r="AR277" t="str">
            <v/>
          </cell>
          <cell r="AS277" t="str">
            <v/>
          </cell>
          <cell r="AT277" t="str">
            <v/>
          </cell>
          <cell r="AU277">
            <v>40148</v>
          </cell>
        </row>
        <row r="278">
          <cell r="A278" t="str">
            <v>S16-0275</v>
          </cell>
          <cell r="B278" t="str">
            <v>中濃厚生病院_0275 (2)</v>
          </cell>
          <cell r="C278" t="str">
            <v>SR#</v>
          </cell>
          <cell r="D278" t="str">
            <v>2016/04/06-05</v>
          </cell>
          <cell r="E278" t="str">
            <v>有償</v>
          </cell>
          <cell r="F278">
            <v>42473</v>
          </cell>
          <cell r="G278">
            <v>42473</v>
          </cell>
          <cell r="H278">
            <v>42541</v>
          </cell>
          <cell r="I278">
            <v>40210</v>
          </cell>
          <cell r="K278" t="str">
            <v>馬屋原</v>
          </cell>
          <cell r="L278">
            <v>1</v>
          </cell>
          <cell r="M278" t="str">
            <v>C60e/5-2</v>
          </cell>
          <cell r="N278" t="str">
            <v>03GX2V</v>
          </cell>
          <cell r="O278" t="str">
            <v>P05675-09</v>
          </cell>
          <cell r="P278" t="str">
            <v>株式会社八神製作所</v>
          </cell>
          <cell r="Q278" t="str">
            <v>林様</v>
          </cell>
          <cell r="R278" t="str">
            <v>〒501-0115　岐阜県岐阜市鏡島南2-8-33</v>
          </cell>
          <cell r="S278" t="str">
            <v>058-255-4055</v>
          </cell>
          <cell r="T278" t="str">
            <v>058-255-4060</v>
          </cell>
          <cell r="U278" t="str">
            <v>中濃厚生病院</v>
          </cell>
          <cell r="V278" t="str">
            <v>-</v>
          </cell>
          <cell r="W278" t="str">
            <v>-</v>
          </cell>
          <cell r="X278" t="str">
            <v>0575-22-1111</v>
          </cell>
          <cell r="Y278" t="str">
            <v xml:space="preserve">〒501-3802　岐阜県関市若草通5-1
</v>
          </cell>
          <cell r="AA278" t="str">
            <v>P11882</v>
          </cell>
          <cell r="AB278" t="str">
            <v/>
          </cell>
          <cell r="AC278" t="str">
            <v/>
          </cell>
          <cell r="AD278" t="str">
            <v/>
          </cell>
          <cell r="AE278" t="str">
            <v/>
          </cell>
          <cell r="AF278" t="str">
            <v/>
          </cell>
          <cell r="AG278" t="str">
            <v/>
          </cell>
          <cell r="AH278" t="str">
            <v/>
          </cell>
          <cell r="AI278" t="str">
            <v/>
          </cell>
          <cell r="AJ278" t="str">
            <v/>
          </cell>
          <cell r="AK278" t="str">
            <v>LATCH KIT</v>
          </cell>
          <cell r="AL278" t="str">
            <v/>
          </cell>
          <cell r="AM278" t="str">
            <v/>
          </cell>
          <cell r="AN278" t="str">
            <v/>
          </cell>
          <cell r="AO278" t="str">
            <v/>
          </cell>
          <cell r="AP278" t="str">
            <v/>
          </cell>
          <cell r="AQ278" t="str">
            <v/>
          </cell>
          <cell r="AR278" t="str">
            <v/>
          </cell>
          <cell r="AS278" t="str">
            <v/>
          </cell>
          <cell r="AT278" t="str">
            <v/>
          </cell>
          <cell r="AU278">
            <v>40087</v>
          </cell>
        </row>
        <row r="279">
          <cell r="A279" t="str">
            <v>S16-0276</v>
          </cell>
          <cell r="B279" t="str">
            <v>トータルケアクリニック_0276 (2)</v>
          </cell>
          <cell r="C279" t="str">
            <v>SR#</v>
          </cell>
          <cell r="D279" t="str">
            <v>2016/04/06-04</v>
          </cell>
          <cell r="E279" t="str">
            <v>有償</v>
          </cell>
          <cell r="F279">
            <v>42474</v>
          </cell>
          <cell r="G279">
            <v>42474</v>
          </cell>
          <cell r="H279">
            <v>42513</v>
          </cell>
          <cell r="I279" t="str">
            <v>不明</v>
          </cell>
          <cell r="K279" t="str">
            <v>梶田</v>
          </cell>
          <cell r="L279">
            <v>3</v>
          </cell>
          <cell r="M279">
            <v>180</v>
          </cell>
          <cell r="N279" t="str">
            <v>01J4H6</v>
          </cell>
          <cell r="O279" t="str">
            <v>P01102-02</v>
          </cell>
          <cell r="P279" t="str">
            <v>ゆいトータルケアクリニック</v>
          </cell>
          <cell r="Q279" t="str">
            <v>横田浩司様</v>
          </cell>
          <cell r="R279" t="str">
            <v>〒133-0056　東京都江戸川区南小岩7-27-13</v>
          </cell>
          <cell r="S279" t="str">
            <v>03-5612-5188</v>
          </cell>
          <cell r="T279" t="str">
            <v>03-5693-5188</v>
          </cell>
          <cell r="U279" t="str">
            <v>ゆいトータルケアクリニック</v>
          </cell>
          <cell r="V279" t="str">
            <v>-</v>
          </cell>
          <cell r="W279" t="str">
            <v>-</v>
          </cell>
          <cell r="X279" t="str">
            <v>-</v>
          </cell>
          <cell r="Y279" t="str">
            <v>（施設直接）</v>
          </cell>
          <cell r="AA279" t="str">
            <v>P00538-03</v>
          </cell>
          <cell r="AB279" t="str">
            <v>P00104-02</v>
          </cell>
          <cell r="AC279" t="str">
            <v>P01213-01</v>
          </cell>
          <cell r="AD279" t="str">
            <v/>
          </cell>
          <cell r="AE279" t="str">
            <v/>
          </cell>
          <cell r="AF279" t="str">
            <v/>
          </cell>
          <cell r="AG279" t="str">
            <v/>
          </cell>
          <cell r="AH279" t="str">
            <v/>
          </cell>
          <cell r="AI279" t="str">
            <v/>
          </cell>
          <cell r="AJ279" t="str">
            <v/>
          </cell>
          <cell r="AK279" t="str">
            <v>POWER SUPPLY, 85-264 VAC, 50-60HZ, 16V, 45W, 180</v>
          </cell>
          <cell r="AL279" t="str">
            <v>KEY, ON/OFF</v>
          </cell>
          <cell r="AM279" t="str">
            <v>FLEX CIRCUIT, FAB, C1 DISPLAY</v>
          </cell>
          <cell r="AN279" t="str">
            <v/>
          </cell>
          <cell r="AO279" t="str">
            <v/>
          </cell>
          <cell r="AP279" t="str">
            <v/>
          </cell>
          <cell r="AQ279" t="str">
            <v/>
          </cell>
          <cell r="AR279" t="str">
            <v/>
          </cell>
          <cell r="AS279" t="str">
            <v/>
          </cell>
          <cell r="AT279" t="str">
            <v/>
          </cell>
          <cell r="AU279">
            <v>37316</v>
          </cell>
        </row>
        <row r="280">
          <cell r="A280" t="str">
            <v>S16-0277</v>
          </cell>
          <cell r="B280" t="str">
            <v>関西労災病院_0277</v>
          </cell>
          <cell r="C280" t="e">
            <v>#REF!</v>
          </cell>
          <cell r="D280" t="e">
            <v>#REF!</v>
          </cell>
          <cell r="E280" t="e">
            <v>#REF!</v>
          </cell>
          <cell r="F280" t="e">
            <v>#REF!</v>
          </cell>
          <cell r="G280" t="e">
            <v>#REF!</v>
          </cell>
          <cell r="H280" t="e">
            <v>#REF!</v>
          </cell>
          <cell r="I280" t="e">
            <v>#REF!</v>
          </cell>
          <cell r="K280" t="e">
            <v>#REF!</v>
          </cell>
          <cell r="M280" t="e">
            <v>#REF!</v>
          </cell>
          <cell r="N280" t="e">
            <v>#REF!</v>
          </cell>
          <cell r="O280" t="e">
            <v>#REF!</v>
          </cell>
          <cell r="P280" t="e">
            <v>#REF!</v>
          </cell>
          <cell r="Q280" t="e">
            <v>#REF!</v>
          </cell>
          <cell r="S280" t="e">
            <v>#REF!</v>
          </cell>
          <cell r="T280" t="e">
            <v>#REF!</v>
          </cell>
          <cell r="U280" t="e">
            <v>#REF!</v>
          </cell>
          <cell r="AA280" t="e">
            <v>#REF!</v>
          </cell>
          <cell r="AB280" t="e">
            <v>#REF!</v>
          </cell>
          <cell r="AC280" t="e">
            <v>#REF!</v>
          </cell>
          <cell r="AD280" t="e">
            <v>#REF!</v>
          </cell>
          <cell r="AE280" t="e">
            <v>#REF!</v>
          </cell>
          <cell r="AF280" t="e">
            <v>#REF!</v>
          </cell>
          <cell r="AG280" t="e">
            <v>#REF!</v>
          </cell>
          <cell r="AH280" t="e">
            <v>#REF!</v>
          </cell>
          <cell r="AI280" t="e">
            <v>#REF!</v>
          </cell>
          <cell r="AJ280" t="e">
            <v>#REF!</v>
          </cell>
          <cell r="AK280" t="e">
            <v>#REF!</v>
          </cell>
          <cell r="AL280" t="e">
            <v>#REF!</v>
          </cell>
          <cell r="AM280" t="e">
            <v>#REF!</v>
          </cell>
          <cell r="AN280" t="e">
            <v>#REF!</v>
          </cell>
          <cell r="AO280" t="e">
            <v>#REF!</v>
          </cell>
          <cell r="AP280" t="e">
            <v>#REF!</v>
          </cell>
          <cell r="AQ280" t="e">
            <v>#REF!</v>
          </cell>
          <cell r="AR280" t="e">
            <v>#REF!</v>
          </cell>
          <cell r="AS280" t="e">
            <v>#REF!</v>
          </cell>
          <cell r="AT280" t="e">
            <v>#REF!</v>
          </cell>
          <cell r="AU280" t="e">
            <v>#REF!</v>
          </cell>
        </row>
        <row r="281">
          <cell r="A281" t="str">
            <v>S16-0278</v>
          </cell>
          <cell r="B281" t="str">
            <v>代替機NIM185_0278 (2)</v>
          </cell>
          <cell r="C281" t="str">
            <v>SR#4202117</v>
          </cell>
          <cell r="D281" t="str">
            <v>-</v>
          </cell>
          <cell r="E281" t="str">
            <v>無償</v>
          </cell>
          <cell r="F281">
            <v>42474</v>
          </cell>
          <cell r="G281">
            <v>42474</v>
          </cell>
          <cell r="H281">
            <v>42500</v>
          </cell>
          <cell r="I281" t="str">
            <v>-</v>
          </cell>
          <cell r="K281">
            <v>0</v>
          </cell>
          <cell r="M281" t="str">
            <v>M-Turbo</v>
          </cell>
          <cell r="N281" t="str">
            <v>WK248X</v>
          </cell>
          <cell r="O281" t="str">
            <v>P09141-26</v>
          </cell>
          <cell r="P281" t="str">
            <v>富士フイルムメディカル株式会社</v>
          </cell>
          <cell r="Q281" t="str">
            <v>テクニカルサポート</v>
          </cell>
          <cell r="S281" t="str">
            <v>03-6418-7190</v>
          </cell>
          <cell r="T281" t="str">
            <v>03-6418-7162</v>
          </cell>
          <cell r="U281" t="str">
            <v>代替機NIM185</v>
          </cell>
          <cell r="AA281" t="str">
            <v>P19087-02</v>
          </cell>
          <cell r="AB281" t="str">
            <v/>
          </cell>
          <cell r="AC281" t="str">
            <v/>
          </cell>
          <cell r="AD281" t="str">
            <v/>
          </cell>
          <cell r="AE281" t="str">
            <v/>
          </cell>
          <cell r="AF281" t="str">
            <v/>
          </cell>
          <cell r="AG281" t="str">
            <v/>
          </cell>
          <cell r="AH281" t="str">
            <v/>
          </cell>
          <cell r="AI281" t="str">
            <v/>
          </cell>
          <cell r="AJ281" t="str">
            <v/>
          </cell>
          <cell r="AK281" t="str">
            <v>MAIN PCBA, M-Turbo</v>
          </cell>
          <cell r="AL281" t="str">
            <v/>
          </cell>
          <cell r="AM281" t="str">
            <v/>
          </cell>
          <cell r="AN281" t="str">
            <v/>
          </cell>
          <cell r="AO281" t="str">
            <v/>
          </cell>
          <cell r="AP281" t="str">
            <v/>
          </cell>
          <cell r="AQ281" t="str">
            <v/>
          </cell>
          <cell r="AR281" t="str">
            <v/>
          </cell>
          <cell r="AS281" t="str">
            <v/>
          </cell>
          <cell r="AT281" t="str">
            <v/>
          </cell>
          <cell r="AU281">
            <v>41609</v>
          </cell>
        </row>
        <row r="282">
          <cell r="A282" t="str">
            <v>S16-0279</v>
          </cell>
          <cell r="B282" t="str">
            <v>萬田記念病院_0279 (2)</v>
          </cell>
          <cell r="C282" t="str">
            <v>SR#</v>
          </cell>
          <cell r="D282" t="str">
            <v>-</v>
          </cell>
          <cell r="E282" t="str">
            <v/>
          </cell>
          <cell r="F282">
            <v>42478</v>
          </cell>
          <cell r="G282">
            <v>42478</v>
          </cell>
          <cell r="H282">
            <v>42530</v>
          </cell>
          <cell r="I282">
            <v>39909</v>
          </cell>
          <cell r="K282" t="str">
            <v>馬屋原</v>
          </cell>
          <cell r="L282">
            <v>3</v>
          </cell>
          <cell r="M282" t="str">
            <v>iLook25</v>
          </cell>
          <cell r="N282" t="str">
            <v>03CN26</v>
          </cell>
          <cell r="O282" t="str">
            <v>P04303-02</v>
          </cell>
          <cell r="P282" t="str">
            <v>日本コヴィディエン株式会社　東日本透析営業所</v>
          </cell>
          <cell r="Q282" t="str">
            <v>靏田様</v>
          </cell>
          <cell r="R282" t="str">
            <v>〒108-0075  東京都港区港南一丁目2番70号　品川シーズンテラス　22F</v>
          </cell>
          <cell r="S282" t="str">
            <v>03-6774-4629</v>
          </cell>
          <cell r="T282" t="str">
            <v>03-6774-4740</v>
          </cell>
          <cell r="U282" t="str">
            <v>萬田記念病院</v>
          </cell>
          <cell r="V282" t="str">
            <v>-</v>
          </cell>
          <cell r="W282" t="str">
            <v>-</v>
          </cell>
          <cell r="X282" t="str">
            <v>011-231-4032</v>
          </cell>
          <cell r="Y282" t="str">
            <v>〒060-0062　北海道札幌市中央区南2条西1-1</v>
          </cell>
          <cell r="AA282" t="str">
            <v>P03156-02</v>
          </cell>
          <cell r="AB282" t="str">
            <v>P02347-02</v>
          </cell>
          <cell r="AC282" t="str">
            <v/>
          </cell>
          <cell r="AD282" t="str">
            <v>P01911-04</v>
          </cell>
          <cell r="AE282" t="str">
            <v/>
          </cell>
          <cell r="AF282" t="str">
            <v/>
          </cell>
          <cell r="AG282" t="str">
            <v/>
          </cell>
          <cell r="AH282" t="str">
            <v/>
          </cell>
          <cell r="AI282" t="str">
            <v/>
          </cell>
          <cell r="AJ282" t="str">
            <v/>
          </cell>
          <cell r="AK282" t="str">
            <v>SERVICE ASSEMBLY, MAIN PCB, ILOOK25</v>
          </cell>
          <cell r="AL282" t="str">
            <v>ASSEMBLY, PCB, ILOOK, DOCK CONNECTOR</v>
          </cell>
          <cell r="AM282" t="str">
            <v/>
          </cell>
          <cell r="AN282" t="str">
            <v>BATTERY PACK, 3 CELL, LITHIUM-ION, ILOOK, HIGH CAPACITY</v>
          </cell>
          <cell r="AO282" t="str">
            <v/>
          </cell>
          <cell r="AP282" t="str">
            <v/>
          </cell>
          <cell r="AQ282" t="str">
            <v/>
          </cell>
          <cell r="AR282" t="str">
            <v/>
          </cell>
          <cell r="AS282" t="str">
            <v/>
          </cell>
          <cell r="AT282" t="str">
            <v/>
          </cell>
          <cell r="AU282">
            <v>39722</v>
          </cell>
        </row>
        <row r="283">
          <cell r="A283" t="str">
            <v>S16-0280</v>
          </cell>
          <cell r="B283" t="str">
            <v>北川ひ尿器科クリニック_0280 (2)</v>
          </cell>
          <cell r="C283" t="str">
            <v>SR#4203249</v>
          </cell>
          <cell r="D283" t="str">
            <v>-</v>
          </cell>
          <cell r="E283" t="str">
            <v>無償</v>
          </cell>
          <cell r="F283">
            <v>42478</v>
          </cell>
          <cell r="G283">
            <v>42478</v>
          </cell>
          <cell r="H283">
            <v>42521</v>
          </cell>
          <cell r="I283" t="str">
            <v>不明</v>
          </cell>
          <cell r="K283" t="str">
            <v>馬屋原</v>
          </cell>
          <cell r="L283">
            <v>3</v>
          </cell>
          <cell r="M283" t="str">
            <v>NanoMaxx</v>
          </cell>
          <cell r="N283" t="str">
            <v>03TTG3</v>
          </cell>
          <cell r="O283" t="str">
            <v>P12700-06</v>
          </cell>
          <cell r="P283" t="str">
            <v>日本コヴィディエン株式会社　 東日本透析営業所</v>
          </cell>
          <cell r="Q283" t="str">
            <v>高松様</v>
          </cell>
          <cell r="R283" t="str">
            <v>〒108-0075  東京都港区港南一丁目2番70号　品川シーズンテラス　22F</v>
          </cell>
          <cell r="S283" t="str">
            <v>03-6774-4629</v>
          </cell>
          <cell r="T283" t="str">
            <v>03-6774-4740</v>
          </cell>
          <cell r="U283" t="str">
            <v>北川ひ尿器科クリニック</v>
          </cell>
          <cell r="V283" t="str">
            <v>-</v>
          </cell>
          <cell r="W283" t="str">
            <v>-</v>
          </cell>
          <cell r="X283" t="str">
            <v>017-765-3355</v>
          </cell>
          <cell r="Y283" t="str">
            <v>〒030-0966　青森県青森市花園2-43-18</v>
          </cell>
          <cell r="AA283" t="str">
            <v>P12718-02</v>
          </cell>
          <cell r="AB283" t="str">
            <v/>
          </cell>
          <cell r="AC283" t="str">
            <v/>
          </cell>
          <cell r="AD283" t="str">
            <v/>
          </cell>
          <cell r="AE283" t="str">
            <v/>
          </cell>
          <cell r="AF283" t="str">
            <v/>
          </cell>
          <cell r="AG283" t="str">
            <v/>
          </cell>
          <cell r="AH283" t="str">
            <v/>
          </cell>
          <cell r="AI283" t="str">
            <v/>
          </cell>
          <cell r="AJ283" t="str">
            <v/>
          </cell>
          <cell r="AK283" t="str">
            <v>SERVICE ASSEMBLY, BACK END PCB, NANOMAXX</v>
          </cell>
          <cell r="AL283" t="str">
            <v/>
          </cell>
          <cell r="AM283" t="str">
            <v/>
          </cell>
          <cell r="AN283" t="str">
            <v/>
          </cell>
          <cell r="AO283" t="str">
            <v/>
          </cell>
          <cell r="AP283" t="str">
            <v/>
          </cell>
          <cell r="AQ283" t="str">
            <v/>
          </cell>
          <cell r="AR283" t="str">
            <v/>
          </cell>
          <cell r="AS283" t="str">
            <v/>
          </cell>
          <cell r="AT283" t="str">
            <v/>
          </cell>
          <cell r="AU283">
            <v>41334</v>
          </cell>
        </row>
        <row r="284">
          <cell r="A284" t="str">
            <v>S16-0281</v>
          </cell>
          <cell r="B284" t="str">
            <v>八代郡医師会立病院_0281 (2)</v>
          </cell>
          <cell r="C284" t="str">
            <v>SR#不要</v>
          </cell>
          <cell r="D284" t="str">
            <v>2016/04/12-02</v>
          </cell>
          <cell r="E284" t="str">
            <v>有償</v>
          </cell>
          <cell r="F284">
            <v>42478</v>
          </cell>
          <cell r="G284">
            <v>42478</v>
          </cell>
          <cell r="H284">
            <v>42515</v>
          </cell>
          <cell r="I284" t="str">
            <v>不明</v>
          </cell>
          <cell r="K284" t="str">
            <v>-</v>
          </cell>
          <cell r="L284" t="str">
            <v>-</v>
          </cell>
          <cell r="M284" t="str">
            <v>M-Turbo</v>
          </cell>
          <cell r="N284" t="str">
            <v>039YB5</v>
          </cell>
          <cell r="O284" t="str">
            <v>P09141-01</v>
          </cell>
          <cell r="P284" t="str">
            <v>株式会社アステム　熊本支店</v>
          </cell>
          <cell r="Q284" t="str">
            <v>石橋様</v>
          </cell>
          <cell r="R284" t="str">
            <v>〒860-8525　熊本県熊本市中央区八王寺町33-57</v>
          </cell>
          <cell r="S284" t="str">
            <v>096-378-9119</v>
          </cell>
          <cell r="T284" t="str">
            <v>096-379-3300</v>
          </cell>
          <cell r="U284" t="str">
            <v>八代郡医師会立病院</v>
          </cell>
          <cell r="V284" t="str">
            <v>-</v>
          </cell>
          <cell r="W284" t="str">
            <v>-</v>
          </cell>
          <cell r="X284" t="str">
            <v>0965-53-5111</v>
          </cell>
          <cell r="Y284" t="str">
            <v>〒869-4601 熊本県八代郡氷川町今151-1</v>
          </cell>
          <cell r="AA284" t="str">
            <v/>
          </cell>
          <cell r="AB284" t="str">
            <v/>
          </cell>
          <cell r="AC284" t="str">
            <v/>
          </cell>
          <cell r="AD284" t="str">
            <v/>
          </cell>
          <cell r="AE284" t="str">
            <v/>
          </cell>
          <cell r="AF284" t="str">
            <v/>
          </cell>
          <cell r="AG284" t="str">
            <v/>
          </cell>
          <cell r="AH284" t="str">
            <v/>
          </cell>
          <cell r="AI284" t="str">
            <v/>
          </cell>
          <cell r="AJ284" t="str">
            <v/>
          </cell>
          <cell r="AK284" t="str">
            <v/>
          </cell>
          <cell r="AL284" t="str">
            <v/>
          </cell>
          <cell r="AM284" t="str">
            <v/>
          </cell>
          <cell r="AN284" t="str">
            <v/>
          </cell>
          <cell r="AO284" t="str">
            <v/>
          </cell>
          <cell r="AP284" t="str">
            <v/>
          </cell>
          <cell r="AQ284" t="str">
            <v/>
          </cell>
          <cell r="AR284" t="str">
            <v/>
          </cell>
          <cell r="AS284" t="str">
            <v/>
          </cell>
          <cell r="AT284" t="str">
            <v/>
          </cell>
          <cell r="AU284">
            <v>39417</v>
          </cell>
        </row>
        <row r="285">
          <cell r="A285" t="str">
            <v>S16-0282</v>
          </cell>
          <cell r="B285" t="str">
            <v>福岡徳洲会病院_0282</v>
          </cell>
          <cell r="C285" t="e">
            <v>#REF!</v>
          </cell>
          <cell r="D285" t="e">
            <v>#REF!</v>
          </cell>
          <cell r="E285" t="e">
            <v>#REF!</v>
          </cell>
          <cell r="F285" t="e">
            <v>#REF!</v>
          </cell>
          <cell r="G285" t="e">
            <v>#REF!</v>
          </cell>
          <cell r="H285" t="e">
            <v>#REF!</v>
          </cell>
          <cell r="I285" t="e">
            <v>#REF!</v>
          </cell>
          <cell r="K285" t="e">
            <v>#REF!</v>
          </cell>
          <cell r="M285" t="e">
            <v>#REF!</v>
          </cell>
          <cell r="N285" t="e">
            <v>#REF!</v>
          </cell>
          <cell r="O285" t="e">
            <v>#REF!</v>
          </cell>
          <cell r="P285" t="e">
            <v>#REF!</v>
          </cell>
          <cell r="Q285" t="e">
            <v>#REF!</v>
          </cell>
          <cell r="R285" t="str">
            <v>〒812-0007　福岡県福岡市博多区東比恵3-1-2　東比恵ビジネスセンター10階</v>
          </cell>
          <cell r="S285" t="e">
            <v>#REF!</v>
          </cell>
          <cell r="T285" t="e">
            <v>#REF!</v>
          </cell>
          <cell r="U285" t="e">
            <v>#REF!</v>
          </cell>
          <cell r="X285" t="str">
            <v>092-573-6622</v>
          </cell>
          <cell r="Y285" t="str">
            <v>〒816-0864 福岡県春日市須玖北4-5</v>
          </cell>
          <cell r="AA285" t="e">
            <v>#REF!</v>
          </cell>
          <cell r="AB285" t="e">
            <v>#REF!</v>
          </cell>
          <cell r="AC285" t="e">
            <v>#REF!</v>
          </cell>
          <cell r="AD285" t="e">
            <v>#REF!</v>
          </cell>
          <cell r="AE285" t="e">
            <v>#REF!</v>
          </cell>
          <cell r="AF285" t="e">
            <v>#REF!</v>
          </cell>
          <cell r="AG285" t="e">
            <v>#REF!</v>
          </cell>
          <cell r="AH285" t="e">
            <v>#REF!</v>
          </cell>
          <cell r="AI285" t="e">
            <v>#REF!</v>
          </cell>
          <cell r="AJ285" t="e">
            <v>#REF!</v>
          </cell>
          <cell r="AK285" t="e">
            <v>#REF!</v>
          </cell>
          <cell r="AL285" t="e">
            <v>#REF!</v>
          </cell>
          <cell r="AM285" t="e">
            <v>#REF!</v>
          </cell>
          <cell r="AN285" t="e">
            <v>#REF!</v>
          </cell>
          <cell r="AO285" t="e">
            <v>#REF!</v>
          </cell>
          <cell r="AP285" t="e">
            <v>#REF!</v>
          </cell>
          <cell r="AQ285" t="e">
            <v>#REF!</v>
          </cell>
          <cell r="AR285" t="e">
            <v>#REF!</v>
          </cell>
          <cell r="AS285" t="e">
            <v>#REF!</v>
          </cell>
          <cell r="AT285" t="e">
            <v>#REF!</v>
          </cell>
          <cell r="AU285" t="e">
            <v>#REF!</v>
          </cell>
        </row>
        <row r="286">
          <cell r="A286" t="str">
            <v>S16-0283</v>
          </cell>
          <cell r="B286" t="str">
            <v>矢掛町国民健康保険病院_0283 (2)</v>
          </cell>
          <cell r="C286" t="str">
            <v>SR#不要</v>
          </cell>
          <cell r="D286" t="str">
            <v>2016/04/06-03</v>
          </cell>
          <cell r="E286" t="str">
            <v>有償</v>
          </cell>
          <cell r="F286">
            <v>42478</v>
          </cell>
          <cell r="G286">
            <v>42478</v>
          </cell>
          <cell r="H286">
            <v>42587</v>
          </cell>
          <cell r="I286" t="str">
            <v>不明</v>
          </cell>
          <cell r="K286" t="str">
            <v>-</v>
          </cell>
          <cell r="L286" t="str">
            <v>-</v>
          </cell>
          <cell r="M286" t="str">
            <v>180Plus</v>
          </cell>
          <cell r="N286" t="str">
            <v>031WG9</v>
          </cell>
          <cell r="O286" t="str">
            <v>P02998-02</v>
          </cell>
          <cell r="P286" t="str">
            <v>赤木医科器械株式会社</v>
          </cell>
          <cell r="Q286" t="str">
            <v>井川様</v>
          </cell>
          <cell r="R286" t="str">
            <v>〒710-0041　岡山県倉敷市五日市63-4</v>
          </cell>
          <cell r="S286" t="str">
            <v>086-427-3330</v>
          </cell>
          <cell r="T286" t="str">
            <v>086-427-1122</v>
          </cell>
          <cell r="U286" t="str">
            <v>矢掛町国民健康保険病院</v>
          </cell>
          <cell r="V286" t="str">
            <v>友田様</v>
          </cell>
          <cell r="W286" t="str">
            <v>外来　循環器</v>
          </cell>
          <cell r="X286" t="str">
            <v>0866-82-1326</v>
          </cell>
          <cell r="Y286" t="str">
            <v>〒714-1201　岡山県小田郡矢掛町矢林2695</v>
          </cell>
          <cell r="AA286" t="str">
            <v/>
          </cell>
          <cell r="AB286" t="str">
            <v/>
          </cell>
          <cell r="AC286" t="str">
            <v/>
          </cell>
          <cell r="AD286" t="str">
            <v/>
          </cell>
          <cell r="AE286" t="str">
            <v/>
          </cell>
          <cell r="AF286" t="str">
            <v/>
          </cell>
          <cell r="AG286" t="str">
            <v/>
          </cell>
          <cell r="AH286" t="str">
            <v/>
          </cell>
          <cell r="AI286" t="str">
            <v/>
          </cell>
          <cell r="AJ286" t="str">
            <v/>
          </cell>
          <cell r="AK286" t="str">
            <v/>
          </cell>
          <cell r="AL286" t="str">
            <v/>
          </cell>
          <cell r="AM286" t="str">
            <v/>
          </cell>
          <cell r="AN286" t="str">
            <v/>
          </cell>
          <cell r="AO286" t="str">
            <v/>
          </cell>
          <cell r="AP286" t="str">
            <v/>
          </cell>
          <cell r="AQ286" t="str">
            <v/>
          </cell>
          <cell r="AR286" t="str">
            <v/>
          </cell>
          <cell r="AS286" t="str">
            <v/>
          </cell>
          <cell r="AT286" t="str">
            <v/>
          </cell>
          <cell r="AU286">
            <v>37956</v>
          </cell>
        </row>
        <row r="287">
          <cell r="A287" t="str">
            <v>S16-0284</v>
          </cell>
          <cell r="B287" t="str">
            <v>ヨナハ総合病院_0284 (2)</v>
          </cell>
          <cell r="C287" t="str">
            <v>SR#4202405</v>
          </cell>
          <cell r="D287" t="str">
            <v>2016/04/08-02</v>
          </cell>
          <cell r="E287" t="str">
            <v>無償</v>
          </cell>
          <cell r="F287">
            <v>42478</v>
          </cell>
          <cell r="G287">
            <v>42478</v>
          </cell>
          <cell r="H287">
            <v>42520</v>
          </cell>
          <cell r="I287">
            <v>41974</v>
          </cell>
          <cell r="K287" t="str">
            <v>馬屋原</v>
          </cell>
          <cell r="L287">
            <v>3</v>
          </cell>
          <cell r="M287" t="str">
            <v>S-Nerve</v>
          </cell>
          <cell r="N287" t="str">
            <v>WK2JFZ</v>
          </cell>
          <cell r="O287" t="str">
            <v>P12060-12</v>
          </cell>
          <cell r="P287" t="str">
            <v>株式会社メディカルケア　三重営業所</v>
          </cell>
          <cell r="Q287" t="str">
            <v>大野様</v>
          </cell>
          <cell r="R287" t="str">
            <v>〒514-0075　三重県津市片田志袋町300-32</v>
          </cell>
          <cell r="S287" t="str">
            <v>059-239-1201</v>
          </cell>
          <cell r="T287" t="str">
            <v>059-239-1202</v>
          </cell>
          <cell r="U287" t="str">
            <v>ヨナハ総合病院　麻酔科</v>
          </cell>
          <cell r="V287" t="str">
            <v>古橋先生</v>
          </cell>
          <cell r="W287" t="str">
            <v>麻酔科</v>
          </cell>
          <cell r="X287" t="str">
            <v>0594-23-2415</v>
          </cell>
          <cell r="Y287" t="str">
            <v>〒511-0838　三重県桑名市和泉8-264-3</v>
          </cell>
          <cell r="AA287" t="str">
            <v>P09135-03</v>
          </cell>
          <cell r="AB287" t="str">
            <v/>
          </cell>
          <cell r="AC287" t="str">
            <v/>
          </cell>
          <cell r="AD287" t="str">
            <v/>
          </cell>
          <cell r="AE287" t="str">
            <v/>
          </cell>
          <cell r="AF287" t="str">
            <v/>
          </cell>
          <cell r="AG287" t="str">
            <v/>
          </cell>
          <cell r="AH287" t="str">
            <v/>
          </cell>
          <cell r="AI287" t="str">
            <v/>
          </cell>
          <cell r="AJ287" t="str">
            <v/>
          </cell>
          <cell r="AK287" t="str">
            <v>SERVICE ASSEMBLY MAIN PCBA, S-SERIES</v>
          </cell>
          <cell r="AL287" t="str">
            <v/>
          </cell>
          <cell r="AM287" t="str">
            <v/>
          </cell>
          <cell r="AN287" t="str">
            <v/>
          </cell>
          <cell r="AO287" t="str">
            <v/>
          </cell>
          <cell r="AP287" t="str">
            <v/>
          </cell>
          <cell r="AQ287" t="str">
            <v/>
          </cell>
          <cell r="AR287" t="str">
            <v/>
          </cell>
          <cell r="AS287" t="str">
            <v/>
          </cell>
          <cell r="AT287" t="str">
            <v/>
          </cell>
          <cell r="AU287">
            <v>41852</v>
          </cell>
        </row>
        <row r="288">
          <cell r="A288" t="str">
            <v>S16-0285</v>
          </cell>
          <cell r="B288" t="str">
            <v>呉医療センター_0285 (2)</v>
          </cell>
          <cell r="C288" t="str">
            <v>SR#不要</v>
          </cell>
          <cell r="D288" t="str">
            <v>2016/04/12-05</v>
          </cell>
          <cell r="E288" t="str">
            <v>有償</v>
          </cell>
          <cell r="F288">
            <v>42478</v>
          </cell>
          <cell r="G288">
            <v>42478</v>
          </cell>
          <cell r="H288">
            <v>42507</v>
          </cell>
          <cell r="I288" t="str">
            <v>不明</v>
          </cell>
          <cell r="K288" t="str">
            <v>梶田</v>
          </cell>
          <cell r="L288" t="str">
            <v>-</v>
          </cell>
          <cell r="M288" t="str">
            <v>C60/5-2</v>
          </cell>
          <cell r="N288" t="str">
            <v>03958J</v>
          </cell>
          <cell r="O288" t="str">
            <v>P04332-03</v>
          </cell>
          <cell r="P288" t="str">
            <v>ティーエスアルフレッサ株式会社　呉支店</v>
          </cell>
          <cell r="Q288" t="str">
            <v>岡崎様</v>
          </cell>
          <cell r="R288" t="str">
            <v>〒737-0822　広島県呉市築地町5-16</v>
          </cell>
          <cell r="S288" t="str">
            <v>0823-22-2313</v>
          </cell>
          <cell r="T288" t="str">
            <v>0823-22-3249</v>
          </cell>
          <cell r="U288" t="str">
            <v>呉医療センター　消化器内科</v>
          </cell>
          <cell r="V288" t="str">
            <v>河野先生</v>
          </cell>
          <cell r="W288" t="str">
            <v>6B病棟　消化器内科</v>
          </cell>
          <cell r="X288" t="str">
            <v>0823-22-3111</v>
          </cell>
          <cell r="Y288" t="str">
            <v>〒736-0023 広島県呉市青山町3-1</v>
          </cell>
          <cell r="AA288" t="str">
            <v>P04332-06</v>
          </cell>
          <cell r="AB288" t="str">
            <v/>
          </cell>
          <cell r="AC288" t="str">
            <v/>
          </cell>
          <cell r="AD288" t="str">
            <v/>
          </cell>
          <cell r="AE288" t="str">
            <v/>
          </cell>
          <cell r="AF288" t="str">
            <v/>
          </cell>
          <cell r="AG288" t="str">
            <v/>
          </cell>
          <cell r="AH288" t="str">
            <v/>
          </cell>
          <cell r="AI288" t="str">
            <v/>
          </cell>
          <cell r="AJ288" t="str">
            <v/>
          </cell>
          <cell r="AK288" t="str">
            <v>C60/5-2 Convex Transducer ( C1.9 and after)</v>
          </cell>
          <cell r="AL288" t="str">
            <v/>
          </cell>
          <cell r="AM288" t="str">
            <v/>
          </cell>
          <cell r="AN288" t="str">
            <v/>
          </cell>
          <cell r="AO288" t="str">
            <v/>
          </cell>
          <cell r="AP288" t="str">
            <v/>
          </cell>
          <cell r="AQ288" t="str">
            <v/>
          </cell>
          <cell r="AR288" t="str">
            <v/>
          </cell>
          <cell r="AS288" t="str">
            <v/>
          </cell>
          <cell r="AT288" t="str">
            <v/>
          </cell>
          <cell r="AU288">
            <v>39295</v>
          </cell>
        </row>
        <row r="289">
          <cell r="A289" t="str">
            <v>S16-0286</v>
          </cell>
          <cell r="B289" t="str">
            <v>三重大学病院_0286 (2)</v>
          </cell>
          <cell r="C289" t="str">
            <v>SR#不要</v>
          </cell>
          <cell r="D289" t="str">
            <v>-</v>
          </cell>
          <cell r="E289" t="str">
            <v>有償</v>
          </cell>
          <cell r="F289">
            <v>42479</v>
          </cell>
          <cell r="G289">
            <v>42479</v>
          </cell>
          <cell r="H289">
            <v>42528</v>
          </cell>
          <cell r="I289" t="str">
            <v>不明</v>
          </cell>
          <cell r="K289" t="str">
            <v>馬屋原</v>
          </cell>
          <cell r="L289">
            <v>3</v>
          </cell>
          <cell r="M289" t="str">
            <v>iLook Stand</v>
          </cell>
          <cell r="N289" t="str">
            <v>0352G8</v>
          </cell>
          <cell r="O289" t="str">
            <v>P04327-01</v>
          </cell>
          <cell r="P289" t="str">
            <v>日本コヴィディエン株式会社　 東海北陸営業所</v>
          </cell>
          <cell r="Q289" t="str">
            <v>佐藤様</v>
          </cell>
          <cell r="R289" t="str">
            <v>〒108-0075  東京都港区港南一丁目2番70号　品川シーズンテラス　22F</v>
          </cell>
          <cell r="S289" t="str">
            <v>03-6774-4629</v>
          </cell>
          <cell r="T289" t="str">
            <v>03-6774-4740</v>
          </cell>
          <cell r="U289" t="str">
            <v>三重大学医学部附属病院</v>
          </cell>
          <cell r="V289" t="str">
            <v>-</v>
          </cell>
          <cell r="W289" t="str">
            <v>-</v>
          </cell>
          <cell r="X289" t="str">
            <v>059-232-1111</v>
          </cell>
          <cell r="Y289" t="str">
            <v>〒514-8507 三重県津市江戸橋2-174</v>
          </cell>
          <cell r="AA289" t="str">
            <v>P03029-02</v>
          </cell>
          <cell r="AB289" t="str">
            <v/>
          </cell>
          <cell r="AC289" t="str">
            <v/>
          </cell>
          <cell r="AD289" t="str">
            <v/>
          </cell>
          <cell r="AE289" t="str">
            <v/>
          </cell>
          <cell r="AF289" t="str">
            <v/>
          </cell>
          <cell r="AG289" t="str">
            <v/>
          </cell>
          <cell r="AH289" t="str">
            <v/>
          </cell>
          <cell r="AI289" t="str">
            <v/>
          </cell>
          <cell r="AJ289" t="str">
            <v/>
          </cell>
          <cell r="AK289" t="str">
            <v>ASSEMBLY, PCB, iLOOK,STAND</v>
          </cell>
          <cell r="AL289" t="str">
            <v/>
          </cell>
          <cell r="AM289" t="str">
            <v/>
          </cell>
          <cell r="AN289" t="str">
            <v/>
          </cell>
          <cell r="AO289" t="str">
            <v/>
          </cell>
          <cell r="AP289" t="str">
            <v/>
          </cell>
          <cell r="AQ289" t="str">
            <v/>
          </cell>
          <cell r="AR289" t="str">
            <v/>
          </cell>
          <cell r="AS289" t="str">
            <v/>
          </cell>
          <cell r="AT289" t="str">
            <v/>
          </cell>
          <cell r="AU289">
            <v>38626</v>
          </cell>
        </row>
        <row r="290">
          <cell r="A290" t="str">
            <v>S16-0287</v>
          </cell>
          <cell r="B290" t="str">
            <v>さとに田園クリニック_0287 (2)</v>
          </cell>
          <cell r="C290" t="str">
            <v>SR#</v>
          </cell>
          <cell r="D290" t="str">
            <v>-</v>
          </cell>
          <cell r="E290" t="str">
            <v/>
          </cell>
          <cell r="F290">
            <v>42479</v>
          </cell>
          <cell r="G290">
            <v>42479</v>
          </cell>
          <cell r="H290">
            <v>42488</v>
          </cell>
          <cell r="I290" t="str">
            <v>不明</v>
          </cell>
          <cell r="K290" t="str">
            <v>梶田</v>
          </cell>
          <cell r="L290" t="str">
            <v>-</v>
          </cell>
          <cell r="M290" t="str">
            <v>V-Universal Stand</v>
          </cell>
          <cell r="N290" t="str">
            <v>WM04DF</v>
          </cell>
          <cell r="O290" t="str">
            <v>P13383-01</v>
          </cell>
          <cell r="P290" t="str">
            <v>日本コヴィディエン株式会社　南日本透析営業所</v>
          </cell>
          <cell r="Q290" t="str">
            <v>石崎様</v>
          </cell>
          <cell r="R290" t="str">
            <v>〒108-0075  東京都港区港南一丁目2番70号　品川シーズンテラス　22F</v>
          </cell>
          <cell r="S290" t="str">
            <v>03-6774-4629</v>
          </cell>
          <cell r="T290" t="str">
            <v>03-6774-4740</v>
          </cell>
          <cell r="U290" t="str">
            <v>さとに田園クリニック</v>
          </cell>
          <cell r="V290" t="str">
            <v>-</v>
          </cell>
          <cell r="W290" t="str">
            <v>-</v>
          </cell>
          <cell r="X290" t="str">
            <v>0857-30-1515</v>
          </cell>
          <cell r="Y290" t="str">
            <v>〒680-0935　鳥取県鳥取市里仁54-2</v>
          </cell>
          <cell r="AA290" t="str">
            <v/>
          </cell>
          <cell r="AB290" t="str">
            <v/>
          </cell>
          <cell r="AC290" t="str">
            <v/>
          </cell>
          <cell r="AD290" t="str">
            <v/>
          </cell>
          <cell r="AE290" t="str">
            <v/>
          </cell>
          <cell r="AF290" t="str">
            <v/>
          </cell>
          <cell r="AG290" t="str">
            <v/>
          </cell>
          <cell r="AH290" t="str">
            <v/>
          </cell>
          <cell r="AI290" t="str">
            <v/>
          </cell>
          <cell r="AJ290" t="str">
            <v/>
          </cell>
          <cell r="AK290" t="str">
            <v/>
          </cell>
          <cell r="AL290" t="str">
            <v/>
          </cell>
          <cell r="AM290" t="str">
            <v/>
          </cell>
          <cell r="AN290" t="str">
            <v/>
          </cell>
          <cell r="AO290" t="str">
            <v/>
          </cell>
          <cell r="AP290" t="str">
            <v/>
          </cell>
          <cell r="AQ290" t="str">
            <v/>
          </cell>
          <cell r="AR290" t="str">
            <v/>
          </cell>
          <cell r="AS290" t="str">
            <v/>
          </cell>
          <cell r="AT290" t="str">
            <v/>
          </cell>
          <cell r="AU290">
            <v>40210</v>
          </cell>
        </row>
        <row r="291">
          <cell r="A291" t="str">
            <v>S16-0288</v>
          </cell>
          <cell r="B291" t="str">
            <v>東京労災病院_0288 (2)</v>
          </cell>
          <cell r="C291" t="str">
            <v>SR#</v>
          </cell>
          <cell r="D291" t="str">
            <v>2013/03/28-02</v>
          </cell>
          <cell r="E291" t="str">
            <v>有償</v>
          </cell>
          <cell r="F291">
            <v>42480</v>
          </cell>
          <cell r="G291">
            <v>42480</v>
          </cell>
          <cell r="H291">
            <v>42514</v>
          </cell>
          <cell r="I291" t="str">
            <v>不明</v>
          </cell>
          <cell r="K291" t="str">
            <v>馬屋原</v>
          </cell>
          <cell r="L291">
            <v>3</v>
          </cell>
          <cell r="M291" t="str">
            <v>MicroMaxx</v>
          </cell>
          <cell r="N291" t="str">
            <v>WK04NL</v>
          </cell>
          <cell r="O291" t="str">
            <v>P08063-05</v>
          </cell>
          <cell r="P291" t="str">
            <v>フクダ電子東京販売株式会社</v>
          </cell>
          <cell r="Q291" t="str">
            <v>梶様</v>
          </cell>
          <cell r="R291" t="str">
            <v>〒152-8912　東京都目黒区碑文谷3-17-12</v>
          </cell>
          <cell r="S291" t="str">
            <v>03-3792-6611</v>
          </cell>
          <cell r="T291" t="str">
            <v>03-3793-8438</v>
          </cell>
          <cell r="U291" t="str">
            <v>東京労災病院</v>
          </cell>
          <cell r="X291" t="str">
            <v>03-3742-7301</v>
          </cell>
          <cell r="Y291" t="str">
            <v>〒143-0013 東京都大田区大森南4-13-21</v>
          </cell>
          <cell r="AA291" t="str">
            <v>P07418-02</v>
          </cell>
          <cell r="AB291" t="str">
            <v/>
          </cell>
          <cell r="AC291" t="str">
            <v/>
          </cell>
          <cell r="AD291" t="str">
            <v/>
          </cell>
          <cell r="AE291" t="str">
            <v/>
          </cell>
          <cell r="AF291" t="str">
            <v/>
          </cell>
          <cell r="AG291" t="str">
            <v/>
          </cell>
          <cell r="AH291" t="str">
            <v/>
          </cell>
          <cell r="AI291" t="str">
            <v/>
          </cell>
          <cell r="AJ291" t="str">
            <v/>
          </cell>
          <cell r="AK291" t="str">
            <v>SERVICE ASSEMBLY MAIN PCBA, D2, MICROMAXX</v>
          </cell>
          <cell r="AL291" t="str">
            <v/>
          </cell>
          <cell r="AM291" t="str">
            <v/>
          </cell>
          <cell r="AN291" t="str">
            <v/>
          </cell>
          <cell r="AO291" t="str">
            <v/>
          </cell>
          <cell r="AP291" t="str">
            <v/>
          </cell>
          <cell r="AQ291" t="str">
            <v/>
          </cell>
          <cell r="AR291" t="str">
            <v/>
          </cell>
          <cell r="AS291" t="str">
            <v/>
          </cell>
          <cell r="AT291" t="str">
            <v/>
          </cell>
          <cell r="AU291">
            <v>40330</v>
          </cell>
        </row>
        <row r="292">
          <cell r="A292" t="str">
            <v>S16-0289</v>
          </cell>
          <cell r="B292" t="str">
            <v>名古屋徳洲会総合病院_0289 (2)</v>
          </cell>
          <cell r="C292" t="str">
            <v>SR#</v>
          </cell>
          <cell r="D292" t="str">
            <v>2016/04/15-02</v>
          </cell>
          <cell r="E292" t="str">
            <v>有償</v>
          </cell>
          <cell r="F292">
            <v>42480</v>
          </cell>
          <cell r="G292">
            <v>42480</v>
          </cell>
          <cell r="H292">
            <v>42500</v>
          </cell>
          <cell r="I292" t="str">
            <v>不明</v>
          </cell>
          <cell r="K292" t="str">
            <v>梶田</v>
          </cell>
          <cell r="L292">
            <v>3</v>
          </cell>
          <cell r="M292">
            <v>180</v>
          </cell>
          <cell r="N292" t="str">
            <v>01J3WP</v>
          </cell>
          <cell r="O292" t="str">
            <v>P01102-01</v>
          </cell>
          <cell r="P292" t="str">
            <v>株式会社八神製作所　春日井営業所</v>
          </cell>
          <cell r="Q292" t="str">
            <v>岩間様</v>
          </cell>
          <cell r="R292" t="str">
            <v>〒486-0968　愛知県春日井市味美町2-1</v>
          </cell>
          <cell r="S292" t="str">
            <v>0568-35-5051</v>
          </cell>
          <cell r="T292" t="str">
            <v>0568-35-5082</v>
          </cell>
          <cell r="U292" t="str">
            <v>名古屋徳洲会総合病院</v>
          </cell>
          <cell r="V292" t="str">
            <v>-</v>
          </cell>
          <cell r="W292" t="str">
            <v>-</v>
          </cell>
          <cell r="X292" t="str">
            <v>0568-51-8711</v>
          </cell>
          <cell r="Y292" t="str">
            <v>〒487-0016　愛知県春日井市高蔵寺町北2-52</v>
          </cell>
          <cell r="AA292" t="str">
            <v>P00538-03</v>
          </cell>
          <cell r="AB292" t="str">
            <v>P00104-02</v>
          </cell>
          <cell r="AC292" t="str">
            <v/>
          </cell>
          <cell r="AD292" t="str">
            <v/>
          </cell>
          <cell r="AE292" t="str">
            <v/>
          </cell>
          <cell r="AF292" t="str">
            <v/>
          </cell>
          <cell r="AG292" t="str">
            <v/>
          </cell>
          <cell r="AH292" t="str">
            <v/>
          </cell>
          <cell r="AI292" t="str">
            <v/>
          </cell>
          <cell r="AJ292" t="str">
            <v/>
          </cell>
          <cell r="AK292" t="str">
            <v>POWER SUPPLY, 85-264 VAC, 50-60HZ, 16V, 45W, 180</v>
          </cell>
          <cell r="AL292" t="str">
            <v>KEY, ON/OFF</v>
          </cell>
          <cell r="AM292" t="str">
            <v/>
          </cell>
          <cell r="AN292" t="str">
            <v/>
          </cell>
          <cell r="AO292" t="str">
            <v/>
          </cell>
          <cell r="AP292" t="str">
            <v/>
          </cell>
          <cell r="AQ292" t="str">
            <v/>
          </cell>
          <cell r="AR292" t="str">
            <v/>
          </cell>
          <cell r="AS292" t="str">
            <v/>
          </cell>
          <cell r="AT292" t="str">
            <v/>
          </cell>
          <cell r="AU292">
            <v>36586</v>
          </cell>
        </row>
        <row r="293">
          <cell r="A293" t="str">
            <v>S16-0290</v>
          </cell>
          <cell r="B293" t="str">
            <v>後藤麻酔科クリニック_0290 (2)</v>
          </cell>
          <cell r="C293" t="str">
            <v>SR#不要</v>
          </cell>
          <cell r="D293" t="str">
            <v>2016/04/14-02</v>
          </cell>
          <cell r="E293" t="str">
            <v>無償</v>
          </cell>
          <cell r="F293">
            <v>42480</v>
          </cell>
          <cell r="G293">
            <v>42480</v>
          </cell>
          <cell r="H293">
            <v>42502</v>
          </cell>
          <cell r="I293">
            <v>40735</v>
          </cell>
          <cell r="K293" t="str">
            <v>梶田</v>
          </cell>
          <cell r="L293" t="str">
            <v>-</v>
          </cell>
          <cell r="M293" t="str">
            <v>HFL50x/15-6</v>
          </cell>
          <cell r="N293" t="str">
            <v>03LR91</v>
          </cell>
          <cell r="O293" t="str">
            <v>P13811-01</v>
          </cell>
          <cell r="P293" t="str">
            <v>株式会社キシヤ　福岡西営業所</v>
          </cell>
          <cell r="Q293" t="str">
            <v>森様</v>
          </cell>
          <cell r="R293" t="str">
            <v>〒819-0161 福岡県福岡市西区今宿東1-4-12</v>
          </cell>
          <cell r="S293" t="str">
            <v>092-805-8808</v>
          </cell>
          <cell r="T293" t="str">
            <v>092-805-8820</v>
          </cell>
          <cell r="U293" t="str">
            <v>後藤麻酔科クリニック</v>
          </cell>
          <cell r="V293" t="str">
            <v>後藤英一様</v>
          </cell>
          <cell r="W293" t="str">
            <v>麻酔科</v>
          </cell>
          <cell r="X293" t="str">
            <v>092-832-6092</v>
          </cell>
          <cell r="Y293" t="str">
            <v xml:space="preserve">〒814-0002 福岡県福岡市早良区西新6-5-12　プレミスト808 </v>
          </cell>
          <cell r="AA293" t="str">
            <v>P13811-51</v>
          </cell>
          <cell r="AB293" t="str">
            <v/>
          </cell>
          <cell r="AC293" t="str">
            <v/>
          </cell>
          <cell r="AD293" t="str">
            <v/>
          </cell>
          <cell r="AE293" t="str">
            <v/>
          </cell>
          <cell r="AF293" t="str">
            <v/>
          </cell>
          <cell r="AG293" t="str">
            <v/>
          </cell>
          <cell r="AH293" t="str">
            <v/>
          </cell>
          <cell r="AI293" t="str">
            <v/>
          </cell>
          <cell r="AJ293" t="str">
            <v/>
          </cell>
          <cell r="AK293" t="str">
            <v>HFL50x/15-6リニアプローブ</v>
          </cell>
          <cell r="AL293" t="str">
            <v/>
          </cell>
          <cell r="AM293" t="str">
            <v/>
          </cell>
          <cell r="AN293" t="str">
            <v/>
          </cell>
          <cell r="AO293" t="str">
            <v/>
          </cell>
          <cell r="AP293" t="str">
            <v/>
          </cell>
          <cell r="AQ293" t="str">
            <v/>
          </cell>
          <cell r="AR293" t="str">
            <v/>
          </cell>
          <cell r="AS293" t="str">
            <v/>
          </cell>
          <cell r="AT293" t="str">
            <v/>
          </cell>
          <cell r="AU293">
            <v>40634</v>
          </cell>
        </row>
        <row r="294">
          <cell r="A294" t="str">
            <v>S16-0291</v>
          </cell>
          <cell r="B294" t="str">
            <v>長岡中央総合病院_0291 (2)</v>
          </cell>
          <cell r="C294" t="str">
            <v>SR#4203247</v>
          </cell>
          <cell r="D294" t="str">
            <v>2016/04/13-05</v>
          </cell>
          <cell r="E294" t="str">
            <v>無償</v>
          </cell>
          <cell r="F294">
            <v>42481</v>
          </cell>
          <cell r="G294">
            <v>42481</v>
          </cell>
          <cell r="H294">
            <v>42501</v>
          </cell>
          <cell r="I294" t="str">
            <v>不明</v>
          </cell>
          <cell r="K294" t="str">
            <v>梶田</v>
          </cell>
          <cell r="L294">
            <v>3</v>
          </cell>
          <cell r="M294" t="str">
            <v>S-Nerve</v>
          </cell>
          <cell r="N294" t="str">
            <v>03TB5T</v>
          </cell>
          <cell r="O294" t="str">
            <v>P12060-10</v>
          </cell>
          <cell r="P294" t="str">
            <v>ジェイメディカル株式会社　長岡営業所</v>
          </cell>
          <cell r="Q294" t="str">
            <v>遠藤様</v>
          </cell>
          <cell r="R294" t="str">
            <v>〒954-0124　新潟県長岡市中之島1781-4</v>
          </cell>
          <cell r="S294" t="str">
            <v>0258-61-5351</v>
          </cell>
          <cell r="T294" t="str">
            <v>0258-61-5352</v>
          </cell>
          <cell r="U294" t="str">
            <v>長岡中央総合病院　整形外科（外来）</v>
          </cell>
          <cell r="V294" t="str">
            <v>-</v>
          </cell>
          <cell r="W294" t="str">
            <v>整形外科（外来）</v>
          </cell>
          <cell r="X294" t="str">
            <v>0258-35-3700</v>
          </cell>
          <cell r="Y294" t="str">
            <v>〒940-8653 新潟県長岡市川崎町2041</v>
          </cell>
          <cell r="AA294" t="str">
            <v>P00163-01</v>
          </cell>
          <cell r="AB294" t="str">
            <v/>
          </cell>
          <cell r="AC294" t="str">
            <v/>
          </cell>
          <cell r="AD294" t="str">
            <v/>
          </cell>
          <cell r="AE294" t="str">
            <v/>
          </cell>
          <cell r="AF294" t="str">
            <v/>
          </cell>
          <cell r="AG294" t="str">
            <v/>
          </cell>
          <cell r="AH294" t="str">
            <v/>
          </cell>
          <cell r="AI294" t="str">
            <v/>
          </cell>
          <cell r="AJ294" t="str">
            <v/>
          </cell>
          <cell r="AK294" t="str">
            <v>BAT,3V,7MAH,BUTTON,LITH,RECHARG,PCB,ROHS</v>
          </cell>
          <cell r="AL294" t="str">
            <v/>
          </cell>
          <cell r="AM294" t="str">
            <v/>
          </cell>
          <cell r="AN294" t="str">
            <v/>
          </cell>
          <cell r="AO294" t="str">
            <v/>
          </cell>
          <cell r="AP294" t="str">
            <v/>
          </cell>
          <cell r="AQ294" t="str">
            <v/>
          </cell>
          <cell r="AR294" t="str">
            <v/>
          </cell>
          <cell r="AS294" t="str">
            <v/>
          </cell>
          <cell r="AT294" t="str">
            <v/>
          </cell>
          <cell r="AU294">
            <v>41244</v>
          </cell>
        </row>
        <row r="295">
          <cell r="A295" t="str">
            <v>S16-0292</v>
          </cell>
          <cell r="B295" t="str">
            <v>横浜痛みのクリニック_0292 (2)</v>
          </cell>
          <cell r="C295" t="str">
            <v>SR#4206395</v>
          </cell>
          <cell r="D295" t="str">
            <v>2014/04/19-01</v>
          </cell>
          <cell r="E295" t="str">
            <v>無償</v>
          </cell>
          <cell r="F295">
            <v>42482</v>
          </cell>
          <cell r="G295">
            <v>42482</v>
          </cell>
          <cell r="H295">
            <v>42515</v>
          </cell>
          <cell r="I295">
            <v>42036</v>
          </cell>
          <cell r="K295" t="str">
            <v>馬屋原</v>
          </cell>
          <cell r="L295">
            <v>3</v>
          </cell>
          <cell r="M295" t="str">
            <v>S-Nerve</v>
          </cell>
          <cell r="N295" t="str">
            <v>WK2KFM</v>
          </cell>
          <cell r="O295" t="str">
            <v>P12060-12</v>
          </cell>
          <cell r="P295" t="str">
            <v>富士フイルムメディカル株式会社</v>
          </cell>
          <cell r="Q295" t="str">
            <v>芝滝様</v>
          </cell>
          <cell r="R295" t="str">
            <v>〒222-0033　神奈川県横浜市港北区新横浜2-8-11</v>
          </cell>
          <cell r="S295" t="str">
            <v>045-471-7311</v>
          </cell>
          <cell r="T295" t="str">
            <v>045-472-6321</v>
          </cell>
          <cell r="U295" t="str">
            <v>横浜痛みのクリニック</v>
          </cell>
          <cell r="V295" t="str">
            <v>-</v>
          </cell>
          <cell r="W295" t="str">
            <v>-</v>
          </cell>
          <cell r="X295" t="str">
            <v>045-443-8013</v>
          </cell>
          <cell r="Y295" t="str">
            <v>〒244-0816　神奈川県横浜市戸塚区上倉田町498-11 第5吉本ビル2F</v>
          </cell>
          <cell r="AA295" t="str">
            <v>P09135-03</v>
          </cell>
          <cell r="AB295" t="str">
            <v/>
          </cell>
          <cell r="AC295" t="str">
            <v/>
          </cell>
          <cell r="AD295" t="str">
            <v/>
          </cell>
          <cell r="AE295" t="str">
            <v/>
          </cell>
          <cell r="AF295" t="str">
            <v/>
          </cell>
          <cell r="AG295" t="str">
            <v/>
          </cell>
          <cell r="AH295" t="str">
            <v/>
          </cell>
          <cell r="AI295" t="str">
            <v/>
          </cell>
          <cell r="AJ295" t="str">
            <v/>
          </cell>
          <cell r="AK295" t="str">
            <v>SERVICE ASSEMBLY MAIN PCBA, S-SERIES</v>
          </cell>
          <cell r="AL295" t="str">
            <v/>
          </cell>
          <cell r="AM295" t="str">
            <v/>
          </cell>
          <cell r="AN295" t="str">
            <v/>
          </cell>
          <cell r="AO295" t="str">
            <v/>
          </cell>
          <cell r="AP295" t="str">
            <v/>
          </cell>
          <cell r="AQ295" t="str">
            <v/>
          </cell>
          <cell r="AR295" t="str">
            <v/>
          </cell>
          <cell r="AS295" t="str">
            <v/>
          </cell>
          <cell r="AT295" t="str">
            <v/>
          </cell>
          <cell r="AU295">
            <v>41852</v>
          </cell>
        </row>
        <row r="296">
          <cell r="A296" t="str">
            <v>S16-0293</v>
          </cell>
          <cell r="B296" t="str">
            <v>福岡大学病院_0293</v>
          </cell>
          <cell r="C296" t="e">
            <v>#REF!</v>
          </cell>
          <cell r="D296" t="e">
            <v>#REF!</v>
          </cell>
          <cell r="E296" t="e">
            <v>#REF!</v>
          </cell>
          <cell r="F296" t="e">
            <v>#REF!</v>
          </cell>
          <cell r="G296" t="e">
            <v>#REF!</v>
          </cell>
          <cell r="H296" t="e">
            <v>#REF!</v>
          </cell>
          <cell r="I296" t="e">
            <v>#REF!</v>
          </cell>
          <cell r="K296" t="e">
            <v>#REF!</v>
          </cell>
          <cell r="M296" t="e">
            <v>#REF!</v>
          </cell>
          <cell r="N296" t="e">
            <v>#REF!</v>
          </cell>
          <cell r="O296" t="e">
            <v>#REF!</v>
          </cell>
          <cell r="P296" t="e">
            <v>#REF!</v>
          </cell>
          <cell r="Q296" t="e">
            <v>#REF!</v>
          </cell>
          <cell r="S296" t="e">
            <v>#REF!</v>
          </cell>
          <cell r="T296" t="e">
            <v>#REF!</v>
          </cell>
          <cell r="U296" t="e">
            <v>#REF!</v>
          </cell>
          <cell r="AA296" t="e">
            <v>#REF!</v>
          </cell>
          <cell r="AB296" t="e">
            <v>#REF!</v>
          </cell>
          <cell r="AC296" t="e">
            <v>#REF!</v>
          </cell>
          <cell r="AD296" t="e">
            <v>#REF!</v>
          </cell>
          <cell r="AE296" t="e">
            <v>#REF!</v>
          </cell>
          <cell r="AF296" t="e">
            <v>#REF!</v>
          </cell>
          <cell r="AG296" t="e">
            <v>#REF!</v>
          </cell>
          <cell r="AH296" t="e">
            <v>#REF!</v>
          </cell>
          <cell r="AI296" t="e">
            <v>#REF!</v>
          </cell>
          <cell r="AJ296" t="e">
            <v>#REF!</v>
          </cell>
          <cell r="AK296" t="e">
            <v>#REF!</v>
          </cell>
          <cell r="AL296" t="e">
            <v>#REF!</v>
          </cell>
          <cell r="AM296" t="e">
            <v>#REF!</v>
          </cell>
          <cell r="AN296" t="e">
            <v>#REF!</v>
          </cell>
          <cell r="AO296" t="e">
            <v>#REF!</v>
          </cell>
          <cell r="AP296" t="e">
            <v>#REF!</v>
          </cell>
          <cell r="AQ296" t="e">
            <v>#REF!</v>
          </cell>
          <cell r="AR296" t="e">
            <v>#REF!</v>
          </cell>
          <cell r="AS296" t="e">
            <v>#REF!</v>
          </cell>
          <cell r="AT296" t="e">
            <v>#REF!</v>
          </cell>
          <cell r="AU296" t="e">
            <v>#REF!</v>
          </cell>
        </row>
        <row r="297">
          <cell r="A297" t="str">
            <v>S16-0294</v>
          </cell>
          <cell r="B297" t="str">
            <v>製鉄記念広畑病院_0294 (2)</v>
          </cell>
          <cell r="C297" t="str">
            <v>SR#4206397</v>
          </cell>
          <cell r="D297" t="str">
            <v>2016/04/18-03</v>
          </cell>
          <cell r="E297" t="str">
            <v>無償</v>
          </cell>
          <cell r="F297">
            <v>42485</v>
          </cell>
          <cell r="G297">
            <v>42485</v>
          </cell>
          <cell r="H297">
            <v>42515</v>
          </cell>
          <cell r="I297" t="str">
            <v>不明</v>
          </cell>
          <cell r="K297" t="str">
            <v>馬屋原</v>
          </cell>
          <cell r="L297">
            <v>3</v>
          </cell>
          <cell r="M297" t="str">
            <v>EDGE</v>
          </cell>
          <cell r="N297" t="str">
            <v>03VHJL</v>
          </cell>
          <cell r="O297" t="str">
            <v>P16360-02</v>
          </cell>
          <cell r="P297" t="str">
            <v>宮野医療器株式会社　姫路営業所</v>
          </cell>
          <cell r="Q297" t="str">
            <v>石田様</v>
          </cell>
          <cell r="R297" t="str">
            <v>〒670-0940　兵庫県姫路市三左衛門堀西の町7</v>
          </cell>
          <cell r="S297" t="str">
            <v>079-281-0880</v>
          </cell>
          <cell r="T297" t="str">
            <v>079-282-5959</v>
          </cell>
          <cell r="U297" t="str">
            <v>製鉄記念広畑病院</v>
          </cell>
          <cell r="V297" t="str">
            <v>-</v>
          </cell>
          <cell r="W297" t="str">
            <v>-</v>
          </cell>
          <cell r="X297" t="str">
            <v>079-236-1038</v>
          </cell>
          <cell r="Y297" t="str">
            <v>〒671-1122 兵庫県姫路市広畑区夢前町3-1</v>
          </cell>
          <cell r="AA297" t="str">
            <v>P15615-03</v>
          </cell>
          <cell r="AB297" t="str">
            <v/>
          </cell>
          <cell r="AC297" t="str">
            <v/>
          </cell>
          <cell r="AD297" t="str">
            <v/>
          </cell>
          <cell r="AE297" t="str">
            <v/>
          </cell>
          <cell r="AF297" t="str">
            <v/>
          </cell>
          <cell r="AG297" t="str">
            <v/>
          </cell>
          <cell r="AH297" t="str">
            <v/>
          </cell>
          <cell r="AI297" t="str">
            <v/>
          </cell>
          <cell r="AJ297" t="str">
            <v/>
          </cell>
          <cell r="AK297" t="str">
            <v>SERVICE ASSEMBLY, MAIN PCBA, EDGE</v>
          </cell>
          <cell r="AL297" t="str">
            <v/>
          </cell>
          <cell r="AM297" t="str">
            <v/>
          </cell>
          <cell r="AN297" t="str">
            <v/>
          </cell>
          <cell r="AO297" t="str">
            <v/>
          </cell>
          <cell r="AP297" t="str">
            <v/>
          </cell>
          <cell r="AQ297" t="str">
            <v/>
          </cell>
          <cell r="AR297" t="str">
            <v/>
          </cell>
          <cell r="AS297" t="str">
            <v/>
          </cell>
          <cell r="AT297" t="str">
            <v/>
          </cell>
          <cell r="AU297">
            <v>41426</v>
          </cell>
        </row>
        <row r="298">
          <cell r="A298" t="str">
            <v>S16-0295</v>
          </cell>
          <cell r="B298" t="str">
            <v>KKR立川病院_0295 (2)</v>
          </cell>
          <cell r="C298" t="str">
            <v>SR#不要</v>
          </cell>
          <cell r="D298" t="str">
            <v>-</v>
          </cell>
          <cell r="E298" t="str">
            <v/>
          </cell>
          <cell r="F298">
            <v>42485</v>
          </cell>
          <cell r="G298">
            <v>42485</v>
          </cell>
          <cell r="H298">
            <v>42515</v>
          </cell>
          <cell r="I298" t="str">
            <v>不明</v>
          </cell>
          <cell r="K298" t="str">
            <v>馬屋原</v>
          </cell>
          <cell r="L298">
            <v>3</v>
          </cell>
          <cell r="M298" t="str">
            <v>iLook25</v>
          </cell>
          <cell r="N298" t="str">
            <v>034WD9</v>
          </cell>
          <cell r="O298" t="str">
            <v>P04303-01</v>
          </cell>
          <cell r="P298" t="str">
            <v>日本コヴィディエン株式会社　東京第二営業所</v>
          </cell>
          <cell r="Q298" t="str">
            <v>久保様</v>
          </cell>
          <cell r="R298" t="str">
            <v>〒108-0075  東京都港区港南一丁目2番70号　品川シーズンテラス　22F</v>
          </cell>
          <cell r="S298" t="str">
            <v>03-6774-4629</v>
          </cell>
          <cell r="T298" t="str">
            <v>03-6774-4740</v>
          </cell>
          <cell r="U298" t="str">
            <v>KKR立川病院</v>
          </cell>
          <cell r="V298" t="str">
            <v>-</v>
          </cell>
          <cell r="W298" t="str">
            <v>-</v>
          </cell>
          <cell r="X298" t="str">
            <v>042-523-3131</v>
          </cell>
          <cell r="Y298" t="str">
            <v>〒190-8531　東京都立川市錦町4-2-22</v>
          </cell>
          <cell r="AA298" t="str">
            <v/>
          </cell>
          <cell r="AB298" t="str">
            <v/>
          </cell>
          <cell r="AC298" t="str">
            <v/>
          </cell>
          <cell r="AD298" t="str">
            <v/>
          </cell>
          <cell r="AE298" t="str">
            <v/>
          </cell>
          <cell r="AF298" t="str">
            <v/>
          </cell>
          <cell r="AG298" t="str">
            <v/>
          </cell>
          <cell r="AH298" t="str">
            <v/>
          </cell>
          <cell r="AI298" t="str">
            <v/>
          </cell>
          <cell r="AJ298" t="str">
            <v/>
          </cell>
          <cell r="AK298" t="str">
            <v/>
          </cell>
          <cell r="AL298" t="str">
            <v/>
          </cell>
          <cell r="AM298" t="str">
            <v/>
          </cell>
          <cell r="AN298" t="str">
            <v/>
          </cell>
          <cell r="AO298" t="str">
            <v/>
          </cell>
          <cell r="AP298" t="str">
            <v/>
          </cell>
          <cell r="AQ298" t="str">
            <v/>
          </cell>
          <cell r="AR298" t="str">
            <v/>
          </cell>
          <cell r="AS298" t="str">
            <v/>
          </cell>
          <cell r="AT298" t="str">
            <v/>
          </cell>
          <cell r="AU298">
            <v>38565</v>
          </cell>
        </row>
        <row r="299">
          <cell r="A299" t="str">
            <v>S16-0296</v>
          </cell>
          <cell r="B299" t="str">
            <v>釧路三慈会病院_0296 (2)</v>
          </cell>
          <cell r="C299" t="str">
            <v>SR#</v>
          </cell>
          <cell r="D299" t="str">
            <v>2016/04/13-03</v>
          </cell>
          <cell r="E299" t="str">
            <v>有償</v>
          </cell>
          <cell r="F299">
            <v>42486</v>
          </cell>
          <cell r="G299">
            <v>42486</v>
          </cell>
          <cell r="H299">
            <v>42514</v>
          </cell>
          <cell r="I299" t="str">
            <v>不明</v>
          </cell>
          <cell r="K299" t="str">
            <v>馬屋原</v>
          </cell>
          <cell r="L299">
            <v>3</v>
          </cell>
          <cell r="M299" t="str">
            <v>M-Turbo</v>
          </cell>
          <cell r="N299" t="str">
            <v>03FYVX</v>
          </cell>
          <cell r="O299" t="str">
            <v>P09141-09</v>
          </cell>
          <cell r="P299" t="str">
            <v>株式会社ネオメディックス　釧路営業所</v>
          </cell>
          <cell r="Q299" t="str">
            <v>川北様</v>
          </cell>
          <cell r="R299" t="str">
            <v>〒085-0007　北海道釧路市堀川町５　アビタシオンリビエール221号</v>
          </cell>
          <cell r="S299" t="str">
            <v>0154-23-1965</v>
          </cell>
          <cell r="T299" t="str">
            <v>0154-65-1521</v>
          </cell>
          <cell r="U299" t="str">
            <v>釧路三慈会病院</v>
          </cell>
          <cell r="V299" t="str">
            <v>日向様</v>
          </cell>
          <cell r="W299" t="str">
            <v>OP室</v>
          </cell>
          <cell r="X299" t="str">
            <v>0154-41-2299</v>
          </cell>
          <cell r="Y299" t="str">
            <v>〒085-0836 　北海道釧路市幣舞町4-30</v>
          </cell>
          <cell r="AA299" t="str">
            <v>P03833-02</v>
          </cell>
          <cell r="AB299" t="str">
            <v>P03834-02</v>
          </cell>
          <cell r="AC299" t="str">
            <v>P00364-02</v>
          </cell>
          <cell r="AD299" t="str">
            <v>P07168-20</v>
          </cell>
          <cell r="AE299" t="str">
            <v/>
          </cell>
          <cell r="AF299" t="str">
            <v/>
          </cell>
          <cell r="AG299" t="str">
            <v/>
          </cell>
          <cell r="AH299" t="str">
            <v/>
          </cell>
          <cell r="AI299" t="str">
            <v/>
          </cell>
          <cell r="AJ299" t="str">
            <v/>
          </cell>
          <cell r="AK299" t="str">
            <v>SHIELD, PERIMETER, SHORT</v>
          </cell>
          <cell r="AL299" t="str">
            <v>SHIELD, PERIMETER, LONG</v>
          </cell>
          <cell r="AM299" t="str">
            <v>CONNECTOR, INTERPOSER</v>
          </cell>
          <cell r="AN299" t="str">
            <v>BATTERY PACK, 6 CELL, 11.25V, 5.2AMP-HOUR, LITHIUM-ION</v>
          </cell>
          <cell r="AO299" t="str">
            <v/>
          </cell>
          <cell r="AP299" t="str">
            <v/>
          </cell>
          <cell r="AQ299" t="str">
            <v/>
          </cell>
          <cell r="AR299" t="str">
            <v/>
          </cell>
          <cell r="AS299" t="str">
            <v/>
          </cell>
          <cell r="AT299" t="str">
            <v/>
          </cell>
          <cell r="AU299">
            <v>39934</v>
          </cell>
        </row>
        <row r="300">
          <cell r="A300" t="str">
            <v>S16-0297</v>
          </cell>
          <cell r="B300" t="str">
            <v xml:space="preserve">天心堂へつぎ病院_0297(2) </v>
          </cell>
          <cell r="C300" t="str">
            <v>SR#4215681</v>
          </cell>
          <cell r="D300" t="str">
            <v>-</v>
          </cell>
          <cell r="E300" t="str">
            <v>無償</v>
          </cell>
          <cell r="F300">
            <v>42487</v>
          </cell>
          <cell r="G300">
            <v>42487</v>
          </cell>
          <cell r="H300">
            <v>42548</v>
          </cell>
          <cell r="I300">
            <v>40777</v>
          </cell>
          <cell r="K300" t="str">
            <v>馬屋原</v>
          </cell>
          <cell r="L300">
            <v>3</v>
          </cell>
          <cell r="M300" t="str">
            <v>NanoMaxx</v>
          </cell>
          <cell r="N300" t="str">
            <v>03M1G3</v>
          </cell>
          <cell r="O300" t="str">
            <v>P12700-03</v>
          </cell>
          <cell r="P300" t="str">
            <v>日本コヴィディエン株式会社　南日本透析営業所</v>
          </cell>
          <cell r="Q300" t="str">
            <v>内田様</v>
          </cell>
          <cell r="R300" t="str">
            <v>〒108-0075  東京都港区港南一丁目2番70号　品川シーズンテラス　22F</v>
          </cell>
          <cell r="S300" t="str">
            <v>03-6774-4629</v>
          </cell>
          <cell r="T300" t="str">
            <v>03-6774-4740</v>
          </cell>
          <cell r="U300" t="str">
            <v>天心堂へつぎ病院</v>
          </cell>
          <cell r="V300" t="str">
            <v>-</v>
          </cell>
          <cell r="W300" t="str">
            <v>-</v>
          </cell>
          <cell r="X300" t="str">
            <v>097-597-5777</v>
          </cell>
          <cell r="Y300" t="str">
            <v>〒879-7761　大分県大分市戸次字二本木5956</v>
          </cell>
          <cell r="AA300" t="str">
            <v>P12718-02</v>
          </cell>
          <cell r="AB300" t="str">
            <v>P09196-03</v>
          </cell>
          <cell r="AC300" t="str">
            <v>P15112-02</v>
          </cell>
          <cell r="AE300" t="str">
            <v/>
          </cell>
          <cell r="AF300" t="str">
            <v/>
          </cell>
          <cell r="AG300" t="str">
            <v/>
          </cell>
          <cell r="AH300" t="str">
            <v/>
          </cell>
          <cell r="AI300" t="str">
            <v/>
          </cell>
          <cell r="AJ300" t="str">
            <v/>
          </cell>
          <cell r="AK300" t="str">
            <v>SERVICE ASSEMBLY, BACK END PCB, NANOMAXX</v>
          </cell>
          <cell r="AL300" t="str">
            <v>CABLE ASSY, FAN</v>
          </cell>
          <cell r="AM300" t="str">
            <v>POWER ADAPTER CABLE</v>
          </cell>
          <cell r="AO300" t="str">
            <v/>
          </cell>
          <cell r="AP300" t="str">
            <v/>
          </cell>
          <cell r="AQ300" t="str">
            <v/>
          </cell>
          <cell r="AR300" t="str">
            <v/>
          </cell>
          <cell r="AS300" t="str">
            <v/>
          </cell>
          <cell r="AT300" t="str">
            <v/>
          </cell>
          <cell r="AU300">
            <v>40634</v>
          </cell>
        </row>
        <row r="301">
          <cell r="A301" t="str">
            <v>S16-0298</v>
          </cell>
          <cell r="B301" t="str">
            <v>九州がんセンター_0298 (2)</v>
          </cell>
          <cell r="C301" t="str">
            <v>SR#不要</v>
          </cell>
          <cell r="D301" t="str">
            <v>2016/04/22-03</v>
          </cell>
          <cell r="E301" t="str">
            <v>有償</v>
          </cell>
          <cell r="F301">
            <v>42487</v>
          </cell>
          <cell r="G301">
            <v>42487</v>
          </cell>
          <cell r="H301">
            <v>42524</v>
          </cell>
          <cell r="I301" t="str">
            <v>不明</v>
          </cell>
          <cell r="K301" t="str">
            <v>-</v>
          </cell>
          <cell r="L301" t="str">
            <v>-</v>
          </cell>
          <cell r="M301">
            <v>180</v>
          </cell>
          <cell r="N301" t="str">
            <v>01LBＲR</v>
          </cell>
          <cell r="O301" t="str">
            <v>P01102-03</v>
          </cell>
          <cell r="P301" t="str">
            <v>株式会社キシヤ　MEグループ</v>
          </cell>
          <cell r="Q301" t="str">
            <v>東様　→　前田様</v>
          </cell>
          <cell r="R301" t="str">
            <v>〒812-0062 福岡県福岡市東区松島1-41-21</v>
          </cell>
          <cell r="S301" t="str">
            <v>092-622-8000</v>
          </cell>
          <cell r="T301" t="str">
            <v>092-623-1313</v>
          </cell>
          <cell r="U301" t="str">
            <v>九州がんセンター</v>
          </cell>
          <cell r="V301" t="str">
            <v>-</v>
          </cell>
          <cell r="W301" t="str">
            <v>-</v>
          </cell>
          <cell r="X301" t="str">
            <v>092-541-3231</v>
          </cell>
          <cell r="Y301" t="str">
            <v>〒811-1395　福岡県福岡市南区野多目3-1-1</v>
          </cell>
          <cell r="AA301" t="str">
            <v/>
          </cell>
          <cell r="AB301" t="str">
            <v/>
          </cell>
          <cell r="AC301" t="str">
            <v/>
          </cell>
          <cell r="AD301" t="str">
            <v/>
          </cell>
          <cell r="AE301" t="str">
            <v/>
          </cell>
          <cell r="AF301" t="str">
            <v/>
          </cell>
          <cell r="AG301" t="str">
            <v/>
          </cell>
          <cell r="AH301" t="str">
            <v/>
          </cell>
          <cell r="AI301" t="str">
            <v/>
          </cell>
          <cell r="AJ301" t="str">
            <v/>
          </cell>
          <cell r="AK301" t="str">
            <v/>
          </cell>
          <cell r="AL301" t="str">
            <v/>
          </cell>
          <cell r="AM301" t="str">
            <v/>
          </cell>
          <cell r="AN301" t="str">
            <v/>
          </cell>
          <cell r="AO301" t="str">
            <v/>
          </cell>
          <cell r="AP301" t="str">
            <v/>
          </cell>
          <cell r="AQ301" t="str">
            <v/>
          </cell>
          <cell r="AR301" t="str">
            <v/>
          </cell>
          <cell r="AS301" t="str">
            <v/>
          </cell>
          <cell r="AT301" t="str">
            <v/>
          </cell>
          <cell r="AU301">
            <v>36678</v>
          </cell>
        </row>
        <row r="302">
          <cell r="A302" t="str">
            <v>S16-0299</v>
          </cell>
          <cell r="B302" t="str">
            <v>水島中央病院_0299 (2)</v>
          </cell>
          <cell r="C302" t="str">
            <v>SR#</v>
          </cell>
          <cell r="D302" t="str">
            <v>2016/04/18-02</v>
          </cell>
          <cell r="E302" t="str">
            <v>有償</v>
          </cell>
          <cell r="F302">
            <v>42488</v>
          </cell>
          <cell r="G302">
            <v>42488</v>
          </cell>
          <cell r="H302">
            <v>42528</v>
          </cell>
          <cell r="I302" t="str">
            <v>不明</v>
          </cell>
          <cell r="K302" t="str">
            <v>馬屋原</v>
          </cell>
          <cell r="L302">
            <v>3</v>
          </cell>
          <cell r="M302" t="str">
            <v>180Plus</v>
          </cell>
          <cell r="N302" t="str">
            <v>035HY8</v>
          </cell>
          <cell r="O302" t="str">
            <v>P04327-04</v>
          </cell>
          <cell r="P302" t="str">
            <v>株式会社ホクシンメディカル</v>
          </cell>
          <cell r="Q302" t="str">
            <v>塩尻様</v>
          </cell>
          <cell r="R302" t="str">
            <v>〒700-0974　岡山県岡山市北区今村653-118　パークサイド北ビル</v>
          </cell>
          <cell r="S302" t="str">
            <v>086-241-5833</v>
          </cell>
          <cell r="T302" t="str">
            <v>086-241-5844</v>
          </cell>
          <cell r="U302" t="str">
            <v>水島中央病院</v>
          </cell>
          <cell r="V302" t="str">
            <v>-</v>
          </cell>
          <cell r="W302" t="str">
            <v>-</v>
          </cell>
          <cell r="X302" t="str">
            <v>086-444-3311</v>
          </cell>
          <cell r="Y302" t="str">
            <v>〒712-8064　岡山県倉敷市水島青葉町4-5</v>
          </cell>
          <cell r="AA302" t="str">
            <v>P01213-01</v>
          </cell>
          <cell r="AB302" t="str">
            <v>P00104-02</v>
          </cell>
          <cell r="AC302" t="str">
            <v/>
          </cell>
          <cell r="AD302" t="str">
            <v/>
          </cell>
          <cell r="AE302" t="str">
            <v/>
          </cell>
          <cell r="AF302" t="str">
            <v/>
          </cell>
          <cell r="AG302" t="str">
            <v/>
          </cell>
          <cell r="AH302" t="str">
            <v/>
          </cell>
          <cell r="AI302" t="str">
            <v/>
          </cell>
          <cell r="AJ302" t="str">
            <v/>
          </cell>
          <cell r="AK302" t="str">
            <v>FLEX CIRCUIT, FAB, C1 DISPLAY</v>
          </cell>
          <cell r="AL302" t="str">
            <v>KEY, ON/OFF</v>
          </cell>
          <cell r="AM302" t="str">
            <v/>
          </cell>
          <cell r="AN302" t="str">
            <v/>
          </cell>
          <cell r="AO302" t="str">
            <v/>
          </cell>
          <cell r="AP302" t="str">
            <v/>
          </cell>
          <cell r="AQ302" t="str">
            <v/>
          </cell>
          <cell r="AR302" t="str">
            <v/>
          </cell>
          <cell r="AS302" t="str">
            <v/>
          </cell>
          <cell r="AT302" t="str">
            <v/>
          </cell>
          <cell r="AU302">
            <v>38899</v>
          </cell>
        </row>
        <row r="303">
          <cell r="A303" t="str">
            <v>S16-0300</v>
          </cell>
          <cell r="B303" t="str">
            <v>横浜市立大学附属病院_0300 (2)</v>
          </cell>
          <cell r="C303" t="str">
            <v>SR#不要</v>
          </cell>
          <cell r="D303" t="str">
            <v>-</v>
          </cell>
          <cell r="E303" t="str">
            <v>有償</v>
          </cell>
          <cell r="F303">
            <v>42488</v>
          </cell>
          <cell r="G303">
            <v>42488</v>
          </cell>
          <cell r="H303">
            <v>42674</v>
          </cell>
          <cell r="I303">
            <v>39538</v>
          </cell>
          <cell r="K303">
            <v>0</v>
          </cell>
          <cell r="M303" t="str">
            <v>180Plus</v>
          </cell>
          <cell r="N303" t="str">
            <v>039D9H</v>
          </cell>
          <cell r="O303" t="str">
            <v>P04326-04</v>
          </cell>
          <cell r="P303" t="str">
            <v>株式会社八神製作所　福浦営業所</v>
          </cell>
          <cell r="Q303" t="str">
            <v>安田様</v>
          </cell>
          <cell r="R303" t="str">
            <v>〒236-0004　神奈川県横浜市金沢区福浦1-1-1 横浜金沢ハイテクセンター1F</v>
          </cell>
          <cell r="S303" t="str">
            <v>045-791-5711</v>
          </cell>
          <cell r="T303" t="str">
            <v>045-791-5728</v>
          </cell>
          <cell r="U303" t="str">
            <v>横浜市立大学附属病院</v>
          </cell>
          <cell r="V303" t="str">
            <v>伊東様</v>
          </cell>
          <cell r="W303" t="str">
            <v>ME</v>
          </cell>
          <cell r="X303" t="str">
            <v>045-787-2880</v>
          </cell>
          <cell r="Y303" t="str">
            <v>〒236-0004　神奈川県横浜市金沢区福浦3-9</v>
          </cell>
          <cell r="AA303" t="str">
            <v/>
          </cell>
          <cell r="AB303" t="str">
            <v/>
          </cell>
          <cell r="AC303" t="str">
            <v/>
          </cell>
          <cell r="AD303" t="str">
            <v/>
          </cell>
          <cell r="AE303" t="str">
            <v/>
          </cell>
          <cell r="AF303" t="str">
            <v/>
          </cell>
          <cell r="AG303" t="str">
            <v/>
          </cell>
          <cell r="AH303" t="str">
            <v/>
          </cell>
          <cell r="AI303" t="str">
            <v/>
          </cell>
          <cell r="AJ303" t="str">
            <v/>
          </cell>
          <cell r="AK303" t="str">
            <v/>
          </cell>
          <cell r="AL303" t="str">
            <v/>
          </cell>
          <cell r="AM303" t="str">
            <v/>
          </cell>
          <cell r="AN303" t="str">
            <v/>
          </cell>
          <cell r="AO303" t="str">
            <v/>
          </cell>
          <cell r="AP303" t="str">
            <v/>
          </cell>
          <cell r="AQ303" t="str">
            <v/>
          </cell>
          <cell r="AR303" t="str">
            <v/>
          </cell>
          <cell r="AS303" t="str">
            <v/>
          </cell>
          <cell r="AT303" t="str">
            <v/>
          </cell>
          <cell r="AU303">
            <v>39479</v>
          </cell>
        </row>
        <row r="304">
          <cell r="A304" t="str">
            <v>S16-0301</v>
          </cell>
          <cell r="B304" t="str">
            <v>みかけ整骨院_0301 (2)</v>
          </cell>
          <cell r="C304" t="str">
            <v>SR#4206399</v>
          </cell>
          <cell r="D304" t="str">
            <v>-</v>
          </cell>
          <cell r="E304" t="str">
            <v>無償</v>
          </cell>
          <cell r="F304">
            <v>42488</v>
          </cell>
          <cell r="G304">
            <v>42488</v>
          </cell>
          <cell r="H304">
            <v>42502</v>
          </cell>
          <cell r="I304" t="str">
            <v>不明</v>
          </cell>
          <cell r="K304" t="str">
            <v>梶田</v>
          </cell>
          <cell r="L304">
            <v>3</v>
          </cell>
          <cell r="M304" t="str">
            <v>MicroMaxx</v>
          </cell>
          <cell r="N304" t="str">
            <v>WK0G15</v>
          </cell>
          <cell r="O304" t="str">
            <v>P08063-06</v>
          </cell>
          <cell r="P304" t="str">
            <v>株式会社エス・エス・ビー</v>
          </cell>
          <cell r="Q304" t="str">
            <v>中村様</v>
          </cell>
          <cell r="R304" t="str">
            <v>〒305-0853　茨城県つくば市榎戸748-2</v>
          </cell>
          <cell r="S304" t="str">
            <v>029-839-0349</v>
          </cell>
          <cell r="T304" t="str">
            <v>029-838-0896</v>
          </cell>
          <cell r="U304" t="str">
            <v>みかげ接骨院</v>
          </cell>
          <cell r="V304" t="str">
            <v>-</v>
          </cell>
          <cell r="W304" t="str">
            <v>-</v>
          </cell>
          <cell r="X304" t="str">
            <v>072-670-6700</v>
          </cell>
          <cell r="Y304" t="str">
            <v>〒569-0083　大阪府高槻市永楽町2-14 1F</v>
          </cell>
          <cell r="AA304" t="str">
            <v>P05463-01</v>
          </cell>
          <cell r="AB304" t="str">
            <v/>
          </cell>
          <cell r="AC304" t="str">
            <v/>
          </cell>
          <cell r="AD304" t="str">
            <v/>
          </cell>
          <cell r="AE304" t="str">
            <v/>
          </cell>
          <cell r="AF304" t="str">
            <v/>
          </cell>
          <cell r="AG304" t="str">
            <v/>
          </cell>
          <cell r="AH304" t="str">
            <v/>
          </cell>
          <cell r="AI304" t="str">
            <v/>
          </cell>
          <cell r="AJ304" t="str">
            <v/>
          </cell>
          <cell r="AK304" t="str">
            <v>SERVICE ASSEMBLY DISPLAY, MICROMAXX</v>
          </cell>
          <cell r="AL304" t="str">
            <v/>
          </cell>
          <cell r="AM304" t="str">
            <v/>
          </cell>
          <cell r="AN304" t="str">
            <v/>
          </cell>
          <cell r="AO304" t="str">
            <v/>
          </cell>
          <cell r="AP304" t="str">
            <v/>
          </cell>
          <cell r="AQ304" t="str">
            <v/>
          </cell>
          <cell r="AR304" t="str">
            <v/>
          </cell>
          <cell r="AS304" t="str">
            <v/>
          </cell>
          <cell r="AT304" t="str">
            <v/>
          </cell>
          <cell r="AU304">
            <v>40787</v>
          </cell>
        </row>
        <row r="305">
          <cell r="A305" t="str">
            <v>S16-0302</v>
          </cell>
          <cell r="B305" t="str">
            <v>代替機NIM14_0302 (2)</v>
          </cell>
          <cell r="C305" t="str">
            <v>SR#不要</v>
          </cell>
          <cell r="D305" t="str">
            <v>-</v>
          </cell>
          <cell r="E305" t="str">
            <v>有償</v>
          </cell>
          <cell r="F305">
            <v>42488</v>
          </cell>
          <cell r="G305">
            <v>42488</v>
          </cell>
          <cell r="H305">
            <v>42513</v>
          </cell>
          <cell r="I305" t="str">
            <v>-</v>
          </cell>
          <cell r="K305" t="str">
            <v>梶田</v>
          </cell>
          <cell r="L305" t="str">
            <v>-</v>
          </cell>
          <cell r="M305" t="str">
            <v>180Plus</v>
          </cell>
          <cell r="N305" t="str">
            <v>032B3L</v>
          </cell>
          <cell r="O305" t="str">
            <v>P04327-01</v>
          </cell>
          <cell r="P305" t="str">
            <v>富士フイルムメディカル株式会社</v>
          </cell>
          <cell r="Q305" t="str">
            <v>テクニカルサポート</v>
          </cell>
          <cell r="R305" t="str">
            <v>-</v>
          </cell>
          <cell r="S305" t="str">
            <v>03-6418-7190</v>
          </cell>
          <cell r="T305" t="str">
            <v>03-6418-7162</v>
          </cell>
          <cell r="U305" t="str">
            <v>代替機NIM14</v>
          </cell>
          <cell r="V305" t="str">
            <v>-</v>
          </cell>
          <cell r="W305" t="str">
            <v>-</v>
          </cell>
          <cell r="X305" t="str">
            <v>-</v>
          </cell>
          <cell r="Y305" t="str">
            <v>-</v>
          </cell>
          <cell r="AA305" t="str">
            <v/>
          </cell>
          <cell r="AB305" t="str">
            <v/>
          </cell>
          <cell r="AC305" t="str">
            <v/>
          </cell>
          <cell r="AD305" t="str">
            <v/>
          </cell>
          <cell r="AE305" t="str">
            <v/>
          </cell>
          <cell r="AF305" t="str">
            <v/>
          </cell>
          <cell r="AG305" t="str">
            <v/>
          </cell>
          <cell r="AH305" t="str">
            <v/>
          </cell>
          <cell r="AI305" t="str">
            <v/>
          </cell>
          <cell r="AJ305" t="str">
            <v/>
          </cell>
          <cell r="AK305" t="str">
            <v/>
          </cell>
          <cell r="AL305" t="str">
            <v/>
          </cell>
          <cell r="AM305" t="str">
            <v/>
          </cell>
          <cell r="AN305" t="str">
            <v/>
          </cell>
          <cell r="AO305" t="str">
            <v/>
          </cell>
          <cell r="AP305" t="str">
            <v/>
          </cell>
          <cell r="AQ305" t="str">
            <v/>
          </cell>
          <cell r="AR305" t="str">
            <v/>
          </cell>
          <cell r="AS305" t="str">
            <v/>
          </cell>
          <cell r="AT305" t="str">
            <v/>
          </cell>
          <cell r="AU305">
            <v>38108</v>
          </cell>
        </row>
        <row r="306">
          <cell r="A306" t="str">
            <v>S16-0303</v>
          </cell>
          <cell r="B306" t="str">
            <v>キシヤデモ機①_0303 (2)</v>
          </cell>
          <cell r="C306" t="str">
            <v>SR#</v>
          </cell>
          <cell r="D306" t="str">
            <v>-</v>
          </cell>
          <cell r="E306" t="str">
            <v/>
          </cell>
          <cell r="F306">
            <v>42492</v>
          </cell>
          <cell r="G306">
            <v>42492</v>
          </cell>
          <cell r="H306">
            <v>42510</v>
          </cell>
          <cell r="I306" t="str">
            <v>不明</v>
          </cell>
          <cell r="K306" t="str">
            <v>高橋</v>
          </cell>
          <cell r="L306">
            <v>5</v>
          </cell>
          <cell r="M306" t="str">
            <v>EDGE</v>
          </cell>
          <cell r="N306" t="str">
            <v>040G11</v>
          </cell>
          <cell r="O306" t="str">
            <v>P16360-61</v>
          </cell>
          <cell r="P306" t="str">
            <v>株式会社キシヤ　本社</v>
          </cell>
          <cell r="Q306" t="str">
            <v>中島様 東様</v>
          </cell>
          <cell r="R306" t="str">
            <v>〒812-0062 福岡県福岡市東区松島1-41-21</v>
          </cell>
          <cell r="S306" t="str">
            <v>092-622-8000</v>
          </cell>
          <cell r="T306" t="str">
            <v>092-623-1313</v>
          </cell>
          <cell r="U306" t="str">
            <v>株式会社キシヤ デモ機①</v>
          </cell>
          <cell r="V306" t="str">
            <v>-</v>
          </cell>
          <cell r="W306" t="str">
            <v>-</v>
          </cell>
          <cell r="X306" t="str">
            <v>092-832-1100</v>
          </cell>
          <cell r="Y306" t="str">
            <v>〒814-0001　福岡県福岡市早良区百道浜3-6-45</v>
          </cell>
          <cell r="AA306" t="str">
            <v/>
          </cell>
          <cell r="AB306" t="str">
            <v/>
          </cell>
          <cell r="AC306" t="str">
            <v/>
          </cell>
          <cell r="AD306" t="str">
            <v/>
          </cell>
          <cell r="AE306" t="str">
            <v/>
          </cell>
          <cell r="AF306" t="str">
            <v/>
          </cell>
          <cell r="AG306" t="str">
            <v/>
          </cell>
          <cell r="AH306" t="str">
            <v/>
          </cell>
          <cell r="AI306" t="str">
            <v/>
          </cell>
          <cell r="AJ306" t="str">
            <v/>
          </cell>
          <cell r="AK306" t="str">
            <v/>
          </cell>
          <cell r="AL306" t="str">
            <v/>
          </cell>
          <cell r="AM306" t="str">
            <v/>
          </cell>
          <cell r="AN306" t="str">
            <v/>
          </cell>
          <cell r="AO306" t="str">
            <v/>
          </cell>
          <cell r="AP306" t="str">
            <v/>
          </cell>
          <cell r="AQ306" t="str">
            <v/>
          </cell>
          <cell r="AR306" t="str">
            <v/>
          </cell>
          <cell r="AS306" t="str">
            <v/>
          </cell>
          <cell r="AT306" t="str">
            <v/>
          </cell>
          <cell r="AU306">
            <v>42036</v>
          </cell>
        </row>
        <row r="307">
          <cell r="A307" t="str">
            <v>S16-0304</v>
          </cell>
          <cell r="B307" t="str">
            <v>キシヤデモ機②_0304 (2)</v>
          </cell>
          <cell r="C307" t="str">
            <v>SR#</v>
          </cell>
          <cell r="D307" t="str">
            <v>-</v>
          </cell>
          <cell r="E307" t="str">
            <v>有償</v>
          </cell>
          <cell r="F307">
            <v>42492</v>
          </cell>
          <cell r="G307">
            <v>42492</v>
          </cell>
          <cell r="H307">
            <v>42510</v>
          </cell>
          <cell r="I307" t="str">
            <v>不明</v>
          </cell>
          <cell r="K307" t="str">
            <v>高橋</v>
          </cell>
          <cell r="L307">
            <v>5</v>
          </cell>
          <cell r="M307" t="str">
            <v>S-Nerve</v>
          </cell>
          <cell r="N307" t="str">
            <v>WK2JGZ</v>
          </cell>
          <cell r="O307" t="str">
            <v>P12060-12</v>
          </cell>
          <cell r="P307" t="str">
            <v>株式会社キシヤ　本社</v>
          </cell>
          <cell r="Q307" t="str">
            <v>中島様 東様</v>
          </cell>
          <cell r="R307" t="str">
            <v>〒812-0062 福岡県福岡市東区松島1-41-21</v>
          </cell>
          <cell r="S307" t="str">
            <v>092-622-8000</v>
          </cell>
          <cell r="T307" t="str">
            <v>092-623-1313</v>
          </cell>
          <cell r="U307" t="str">
            <v>株式会社キシヤデモ機②</v>
          </cell>
          <cell r="AA307" t="str">
            <v/>
          </cell>
          <cell r="AB307" t="str">
            <v/>
          </cell>
          <cell r="AC307" t="str">
            <v/>
          </cell>
          <cell r="AD307" t="str">
            <v/>
          </cell>
          <cell r="AE307" t="str">
            <v/>
          </cell>
          <cell r="AF307" t="str">
            <v/>
          </cell>
          <cell r="AG307" t="str">
            <v/>
          </cell>
          <cell r="AH307" t="str">
            <v/>
          </cell>
          <cell r="AI307" t="str">
            <v/>
          </cell>
          <cell r="AJ307" t="str">
            <v/>
          </cell>
          <cell r="AK307" t="str">
            <v/>
          </cell>
          <cell r="AL307" t="str">
            <v/>
          </cell>
          <cell r="AM307" t="str">
            <v/>
          </cell>
          <cell r="AN307" t="str">
            <v/>
          </cell>
          <cell r="AO307" t="str">
            <v/>
          </cell>
          <cell r="AP307" t="str">
            <v/>
          </cell>
          <cell r="AQ307" t="str">
            <v/>
          </cell>
          <cell r="AR307" t="str">
            <v/>
          </cell>
          <cell r="AS307" t="str">
            <v/>
          </cell>
          <cell r="AT307" t="str">
            <v/>
          </cell>
          <cell r="AU307">
            <v>41852</v>
          </cell>
        </row>
        <row r="308">
          <cell r="A308" t="str">
            <v>S16-0305</v>
          </cell>
          <cell r="B308" t="str">
            <v>富良野スワインファーム_0305 (2)</v>
          </cell>
          <cell r="C308" t="str">
            <v>SR#不要</v>
          </cell>
          <cell r="D308" t="str">
            <v>-</v>
          </cell>
          <cell r="E308" t="str">
            <v/>
          </cell>
          <cell r="F308">
            <v>42492</v>
          </cell>
          <cell r="G308">
            <v>42492</v>
          </cell>
          <cell r="H308">
            <v>42515</v>
          </cell>
          <cell r="I308" t="str">
            <v>不明</v>
          </cell>
          <cell r="K308" t="str">
            <v>馬屋原</v>
          </cell>
          <cell r="L308">
            <v>3</v>
          </cell>
          <cell r="M308" t="str">
            <v>180PLUS</v>
          </cell>
          <cell r="N308" t="str">
            <v>03021K</v>
          </cell>
          <cell r="O308" t="str">
            <v>P02522-05</v>
          </cell>
          <cell r="P308" t="str">
            <v>株式会社竹山　旭山支店</v>
          </cell>
          <cell r="Q308" t="str">
            <v>安田様</v>
          </cell>
          <cell r="R308" t="str">
            <v>〒079-8402　北海道旭川市秋月2条2丁目5-22</v>
          </cell>
          <cell r="S308" t="str">
            <v>011-611-0100</v>
          </cell>
          <cell r="T308" t="str">
            <v>011-642-0101</v>
          </cell>
          <cell r="U308" t="str">
            <v>富良野スワインファーム</v>
          </cell>
          <cell r="V308" t="str">
            <v>-</v>
          </cell>
          <cell r="W308" t="str">
            <v>-</v>
          </cell>
          <cell r="X308" t="str">
            <v>0167-28-2404</v>
          </cell>
          <cell r="Y308" t="str">
            <v>〒076-0201　北海道富良野市西達布3933</v>
          </cell>
          <cell r="AA308" t="str">
            <v/>
          </cell>
          <cell r="AB308" t="str">
            <v/>
          </cell>
          <cell r="AC308" t="str">
            <v/>
          </cell>
          <cell r="AD308" t="str">
            <v/>
          </cell>
          <cell r="AE308" t="str">
            <v/>
          </cell>
          <cell r="AF308" t="str">
            <v/>
          </cell>
          <cell r="AG308" t="str">
            <v/>
          </cell>
          <cell r="AH308" t="str">
            <v/>
          </cell>
          <cell r="AI308" t="str">
            <v/>
          </cell>
          <cell r="AJ308" t="str">
            <v/>
          </cell>
          <cell r="AK308" t="str">
            <v/>
          </cell>
          <cell r="AL308" t="str">
            <v/>
          </cell>
          <cell r="AM308" t="str">
            <v/>
          </cell>
          <cell r="AN308" t="str">
            <v/>
          </cell>
          <cell r="AO308" t="str">
            <v/>
          </cell>
          <cell r="AP308" t="str">
            <v/>
          </cell>
          <cell r="AQ308" t="str">
            <v/>
          </cell>
          <cell r="AR308" t="str">
            <v/>
          </cell>
          <cell r="AS308" t="str">
            <v/>
          </cell>
          <cell r="AT308" t="str">
            <v/>
          </cell>
          <cell r="AU308">
            <v>37316</v>
          </cell>
        </row>
        <row r="309">
          <cell r="A309" t="str">
            <v>S16-0306</v>
          </cell>
          <cell r="B309" t="str">
            <v>大垣市民病院_0306 (2)</v>
          </cell>
          <cell r="C309" t="str">
            <v>SR#</v>
          </cell>
          <cell r="D309" t="str">
            <v>-</v>
          </cell>
          <cell r="E309" t="str">
            <v>有償</v>
          </cell>
          <cell r="F309">
            <v>42492</v>
          </cell>
          <cell r="G309">
            <v>42492</v>
          </cell>
          <cell r="H309">
            <v>42657</v>
          </cell>
          <cell r="I309">
            <v>38653</v>
          </cell>
          <cell r="K309" t="str">
            <v>高橋</v>
          </cell>
          <cell r="L309">
            <v>3</v>
          </cell>
          <cell r="M309" t="str">
            <v>iLook25</v>
          </cell>
          <cell r="N309" t="str">
            <v>0338HB</v>
          </cell>
          <cell r="O309" t="str">
            <v>P04303-01</v>
          </cell>
          <cell r="P309" t="str">
            <v>日本コヴィディエン株式会社　愛知岐阜営業所</v>
          </cell>
          <cell r="Q309" t="str">
            <v>宇和川様</v>
          </cell>
          <cell r="R309" t="str">
            <v>〒108-0075  東京都港区港南一丁目2番70号　品川シーズンテラス　22F</v>
          </cell>
          <cell r="S309" t="str">
            <v>03-6774-4629</v>
          </cell>
          <cell r="T309" t="str">
            <v>03-6774-4740</v>
          </cell>
          <cell r="U309" t="str">
            <v>大垣市民病院</v>
          </cell>
          <cell r="V309" t="str">
            <v>-</v>
          </cell>
          <cell r="W309" t="str">
            <v>-</v>
          </cell>
          <cell r="X309" t="str">
            <v>0584-81-3341</v>
          </cell>
          <cell r="Y309" t="str">
            <v>〒503-8502　岐阜県大垣市南頬町4丁目86</v>
          </cell>
          <cell r="AA309" t="str">
            <v>P01139-07</v>
          </cell>
          <cell r="AB309" t="str">
            <v/>
          </cell>
          <cell r="AC309" t="str">
            <v/>
          </cell>
          <cell r="AD309" t="str">
            <v/>
          </cell>
          <cell r="AE309" t="str">
            <v/>
          </cell>
          <cell r="AF309" t="str">
            <v/>
          </cell>
          <cell r="AG309" t="str">
            <v/>
          </cell>
          <cell r="AH309" t="str">
            <v/>
          </cell>
          <cell r="AI309" t="str">
            <v/>
          </cell>
          <cell r="AJ309" t="str">
            <v/>
          </cell>
          <cell r="AK309" t="str">
            <v>POWER SUPPLY / BATTERY CHARGER, ILOOK, TITAN, MMX</v>
          </cell>
          <cell r="AL309" t="str">
            <v/>
          </cell>
          <cell r="AM309" t="str">
            <v/>
          </cell>
          <cell r="AN309" t="str">
            <v/>
          </cell>
          <cell r="AO309" t="str">
            <v/>
          </cell>
          <cell r="AP309" t="str">
            <v/>
          </cell>
          <cell r="AQ309" t="str">
            <v/>
          </cell>
          <cell r="AR309" t="str">
            <v/>
          </cell>
          <cell r="AS309" t="str">
            <v/>
          </cell>
          <cell r="AT309" t="str">
            <v/>
          </cell>
          <cell r="AU309">
            <v>38353</v>
          </cell>
        </row>
        <row r="310">
          <cell r="A310" t="str">
            <v>S16-0307</v>
          </cell>
          <cell r="B310" t="str">
            <v>宮崎大学医学部付属病院_0307 (2)</v>
          </cell>
          <cell r="C310" t="str">
            <v>SR#不要</v>
          </cell>
          <cell r="D310" t="str">
            <v>-</v>
          </cell>
          <cell r="E310" t="str">
            <v>有償</v>
          </cell>
          <cell r="F310">
            <v>42492</v>
          </cell>
          <cell r="G310">
            <v>42492</v>
          </cell>
          <cell r="H310">
            <v>42668</v>
          </cell>
          <cell r="I310" t="str">
            <v>不明</v>
          </cell>
          <cell r="K310" t="str">
            <v>-</v>
          </cell>
          <cell r="L310" t="str">
            <v>-</v>
          </cell>
          <cell r="M310" t="str">
            <v>HFL50x/15-6</v>
          </cell>
          <cell r="N310" t="str">
            <v>03K4G9</v>
          </cell>
          <cell r="O310" t="str">
            <v>P13811-01</v>
          </cell>
          <cell r="P310" t="str">
            <v>株式会社アステム 宮崎支店</v>
          </cell>
          <cell r="Q310" t="str">
            <v>新屋様</v>
          </cell>
          <cell r="R310" t="str">
            <v>〒880-0814　宮崎県宮崎市江平中町5-1</v>
          </cell>
          <cell r="S310" t="str">
            <v>0985-24-6474</v>
          </cell>
          <cell r="T310" t="str">
            <v>0985-24-3120</v>
          </cell>
          <cell r="U310" t="str">
            <v>宮崎大学医学部附属病院</v>
          </cell>
          <cell r="V310" t="str">
            <v>北原様</v>
          </cell>
          <cell r="W310" t="str">
            <v>農学部家畜繁殖学</v>
          </cell>
          <cell r="X310" t="str">
            <v>0985-58-7243</v>
          </cell>
          <cell r="Y310" t="str">
            <v>〒889-2192　宮崎県宮崎市学園木花台西1-1</v>
          </cell>
          <cell r="AA310" t="str">
            <v/>
          </cell>
          <cell r="AB310" t="str">
            <v/>
          </cell>
          <cell r="AC310" t="str">
            <v/>
          </cell>
          <cell r="AD310" t="str">
            <v/>
          </cell>
          <cell r="AE310" t="str">
            <v/>
          </cell>
          <cell r="AF310" t="str">
            <v/>
          </cell>
          <cell r="AG310" t="str">
            <v/>
          </cell>
          <cell r="AH310" t="str">
            <v/>
          </cell>
          <cell r="AI310" t="str">
            <v/>
          </cell>
          <cell r="AJ310" t="str">
            <v/>
          </cell>
          <cell r="AK310" t="str">
            <v/>
          </cell>
          <cell r="AL310" t="str">
            <v/>
          </cell>
          <cell r="AM310" t="str">
            <v/>
          </cell>
          <cell r="AN310" t="str">
            <v/>
          </cell>
          <cell r="AO310" t="str">
            <v/>
          </cell>
          <cell r="AP310" t="str">
            <v/>
          </cell>
          <cell r="AQ310" t="str">
            <v/>
          </cell>
          <cell r="AR310" t="str">
            <v/>
          </cell>
          <cell r="AS310" t="str">
            <v/>
          </cell>
          <cell r="AT310" t="str">
            <v/>
          </cell>
          <cell r="AU310">
            <v>40452</v>
          </cell>
        </row>
        <row r="311">
          <cell r="A311" t="str">
            <v>S16-0308</v>
          </cell>
          <cell r="B311" t="str">
            <v>名古屋大学病院_0308</v>
          </cell>
          <cell r="C311" t="e">
            <v>#REF!</v>
          </cell>
          <cell r="D311" t="e">
            <v>#REF!</v>
          </cell>
          <cell r="E311" t="e">
            <v>#REF!</v>
          </cell>
          <cell r="F311" t="e">
            <v>#REF!</v>
          </cell>
          <cell r="G311" t="e">
            <v>#REF!</v>
          </cell>
          <cell r="H311" t="e">
            <v>#REF!</v>
          </cell>
          <cell r="I311" t="e">
            <v>#REF!</v>
          </cell>
          <cell r="K311" t="e">
            <v>#REF!</v>
          </cell>
          <cell r="M311" t="e">
            <v>#REF!</v>
          </cell>
          <cell r="N311" t="e">
            <v>#REF!</v>
          </cell>
          <cell r="O311" t="e">
            <v>#REF!</v>
          </cell>
          <cell r="P311" t="e">
            <v>#REF!</v>
          </cell>
          <cell r="Q311" t="e">
            <v>#REF!</v>
          </cell>
          <cell r="S311" t="e">
            <v>#REF!</v>
          </cell>
          <cell r="T311" t="e">
            <v>#REF!</v>
          </cell>
          <cell r="U311" t="e">
            <v>#REF!</v>
          </cell>
          <cell r="AA311" t="e">
            <v>#REF!</v>
          </cell>
          <cell r="AB311" t="e">
            <v>#REF!</v>
          </cell>
          <cell r="AC311" t="e">
            <v>#REF!</v>
          </cell>
          <cell r="AD311" t="e">
            <v>#REF!</v>
          </cell>
          <cell r="AE311" t="e">
            <v>#REF!</v>
          </cell>
          <cell r="AF311" t="e">
            <v>#REF!</v>
          </cell>
          <cell r="AG311" t="e">
            <v>#REF!</v>
          </cell>
          <cell r="AH311" t="e">
            <v>#REF!</v>
          </cell>
          <cell r="AI311" t="e">
            <v>#REF!</v>
          </cell>
          <cell r="AJ311" t="e">
            <v>#REF!</v>
          </cell>
          <cell r="AK311" t="e">
            <v>#REF!</v>
          </cell>
          <cell r="AL311" t="e">
            <v>#REF!</v>
          </cell>
          <cell r="AM311" t="e">
            <v>#REF!</v>
          </cell>
          <cell r="AN311" t="e">
            <v>#REF!</v>
          </cell>
          <cell r="AO311" t="e">
            <v>#REF!</v>
          </cell>
          <cell r="AP311" t="e">
            <v>#REF!</v>
          </cell>
          <cell r="AQ311" t="e">
            <v>#REF!</v>
          </cell>
          <cell r="AR311" t="e">
            <v>#REF!</v>
          </cell>
          <cell r="AS311" t="e">
            <v>#REF!</v>
          </cell>
          <cell r="AT311" t="e">
            <v>#REF!</v>
          </cell>
          <cell r="AU311" t="e">
            <v>#REF!</v>
          </cell>
        </row>
        <row r="312">
          <cell r="A312" t="str">
            <v>S16-0309</v>
          </cell>
          <cell r="B312" t="str">
            <v>つばさ在宅クリニック_0309 (2)</v>
          </cell>
          <cell r="C312" t="str">
            <v>SR#</v>
          </cell>
          <cell r="D312" t="str">
            <v>2016/04/26-02</v>
          </cell>
          <cell r="E312" t="str">
            <v>有償</v>
          </cell>
          <cell r="F312">
            <v>42492</v>
          </cell>
          <cell r="G312">
            <v>42492</v>
          </cell>
          <cell r="H312">
            <v>42542</v>
          </cell>
          <cell r="I312" t="str">
            <v>不明</v>
          </cell>
          <cell r="K312" t="str">
            <v>馬屋原</v>
          </cell>
          <cell r="L312">
            <v>3</v>
          </cell>
          <cell r="M312" t="str">
            <v>UP-897MD</v>
          </cell>
          <cell r="N312" t="str">
            <v>36765</v>
          </cell>
          <cell r="O312" t="str">
            <v>-</v>
          </cell>
          <cell r="P312" t="str">
            <v>施設直接</v>
          </cell>
          <cell r="Q312" t="str">
            <v>桑原様</v>
          </cell>
          <cell r="R312" t="str">
            <v>〒273-0862　千葉県船橋市駿河台1-33-8 コンフィデンス駿河台201</v>
          </cell>
          <cell r="S312" t="str">
            <v>047-411-1666</v>
          </cell>
          <cell r="T312" t="str">
            <v>047-411-1667</v>
          </cell>
          <cell r="U312" t="str">
            <v>つばさ在宅クリニック</v>
          </cell>
          <cell r="V312" t="str">
            <v>-</v>
          </cell>
          <cell r="W312" t="str">
            <v>-</v>
          </cell>
          <cell r="X312" t="str">
            <v>-</v>
          </cell>
          <cell r="Y312" t="str">
            <v>（施設直接）</v>
          </cell>
          <cell r="AA312" t="str">
            <v>-</v>
          </cell>
          <cell r="AB312" t="str">
            <v>-</v>
          </cell>
          <cell r="AC312" t="str">
            <v/>
          </cell>
          <cell r="AD312" t="str">
            <v/>
          </cell>
          <cell r="AE312" t="str">
            <v/>
          </cell>
          <cell r="AF312" t="str">
            <v/>
          </cell>
          <cell r="AG312" t="str">
            <v/>
          </cell>
          <cell r="AH312" t="str">
            <v/>
          </cell>
          <cell r="AI312" t="str">
            <v/>
          </cell>
          <cell r="AJ312" t="str">
            <v/>
          </cell>
          <cell r="AK312" t="str">
            <v>BNCコネクタ</v>
          </cell>
          <cell r="AL312" t="str">
            <v>フロントパネルユニット</v>
          </cell>
          <cell r="AM312" t="str">
            <v/>
          </cell>
          <cell r="AN312" t="str">
            <v/>
          </cell>
          <cell r="AO312" t="str">
            <v/>
          </cell>
          <cell r="AP312" t="str">
            <v/>
          </cell>
          <cell r="AQ312" t="str">
            <v/>
          </cell>
          <cell r="AR312" t="str">
            <v/>
          </cell>
          <cell r="AS312" t="str">
            <v/>
          </cell>
          <cell r="AT312" t="str">
            <v/>
          </cell>
          <cell r="AU312" t="str">
            <v>-</v>
          </cell>
        </row>
        <row r="313">
          <cell r="A313" t="str">
            <v>S16-0310</v>
          </cell>
          <cell r="B313" t="str">
            <v>倉敷中央病院_0310 (2)</v>
          </cell>
          <cell r="C313" t="str">
            <v>SR#</v>
          </cell>
          <cell r="D313" t="str">
            <v>2016/05/02-01</v>
          </cell>
          <cell r="E313" t="str">
            <v>有償</v>
          </cell>
          <cell r="F313">
            <v>42496</v>
          </cell>
          <cell r="G313">
            <v>42496</v>
          </cell>
          <cell r="H313">
            <v>42699</v>
          </cell>
          <cell r="I313" t="str">
            <v>不明</v>
          </cell>
          <cell r="K313" t="str">
            <v>高橋</v>
          </cell>
          <cell r="L313">
            <v>3</v>
          </cell>
          <cell r="M313" t="str">
            <v>M-Turbo</v>
          </cell>
          <cell r="N313" t="str">
            <v>03D3NL</v>
          </cell>
          <cell r="O313" t="str">
            <v>P09141-04</v>
          </cell>
          <cell r="P313" t="str">
            <v>富士フイルムメディカル株式会社　岡山営業所</v>
          </cell>
          <cell r="Q313" t="str">
            <v>小笠原様</v>
          </cell>
          <cell r="R313" t="str">
            <v>〒710-0047　岡山県倉敷市大島501-1</v>
          </cell>
          <cell r="S313" t="str">
            <v>086-423-6101</v>
          </cell>
          <cell r="T313" t="str">
            <v>086-423-6103</v>
          </cell>
          <cell r="U313" t="str">
            <v>倉敷中央病院　救急センター</v>
          </cell>
          <cell r="V313" t="str">
            <v>-</v>
          </cell>
          <cell r="W313" t="str">
            <v>救急センター</v>
          </cell>
          <cell r="X313" t="str">
            <v>086-422-0210</v>
          </cell>
          <cell r="Y313" t="str">
            <v>〒710-8602　岡山県倉敷市美和1-1-1</v>
          </cell>
          <cell r="AA313" t="str">
            <v>P19087-02</v>
          </cell>
          <cell r="AB313" t="str">
            <v/>
          </cell>
          <cell r="AC313" t="str">
            <v/>
          </cell>
          <cell r="AD313" t="str">
            <v/>
          </cell>
          <cell r="AE313" t="str">
            <v/>
          </cell>
          <cell r="AF313" t="str">
            <v/>
          </cell>
          <cell r="AG313" t="str">
            <v/>
          </cell>
          <cell r="AH313" t="str">
            <v/>
          </cell>
          <cell r="AI313" t="str">
            <v/>
          </cell>
          <cell r="AJ313" t="str">
            <v/>
          </cell>
          <cell r="AK313" t="str">
            <v>MAIN PCBA, M-Turbo</v>
          </cell>
          <cell r="AL313" t="str">
            <v/>
          </cell>
          <cell r="AM313" t="str">
            <v/>
          </cell>
          <cell r="AN313" t="str">
            <v/>
          </cell>
          <cell r="AO313" t="str">
            <v/>
          </cell>
          <cell r="AP313" t="str">
            <v/>
          </cell>
          <cell r="AQ313" t="str">
            <v/>
          </cell>
          <cell r="AR313" t="str">
            <v/>
          </cell>
          <cell r="AS313" t="str">
            <v/>
          </cell>
          <cell r="AT313" t="str">
            <v/>
          </cell>
          <cell r="AU313">
            <v>39692</v>
          </cell>
        </row>
        <row r="314">
          <cell r="A314" t="str">
            <v>S16-0311</v>
          </cell>
          <cell r="B314" t="str">
            <v>六甲病院_0311 (2)</v>
          </cell>
          <cell r="C314" t="str">
            <v>SR#4209267</v>
          </cell>
          <cell r="D314" t="str">
            <v>2016/03/28-06</v>
          </cell>
          <cell r="E314" t="str">
            <v>無償</v>
          </cell>
          <cell r="F314">
            <v>42499</v>
          </cell>
          <cell r="G314">
            <v>42499</v>
          </cell>
          <cell r="H314">
            <v>42515</v>
          </cell>
          <cell r="I314" t="str">
            <v>不明</v>
          </cell>
          <cell r="K314" t="str">
            <v>馬屋原</v>
          </cell>
          <cell r="L314">
            <v>3</v>
          </cell>
          <cell r="M314" t="str">
            <v>M-Turbo</v>
          </cell>
          <cell r="N314" t="str">
            <v>WK0TZ0</v>
          </cell>
          <cell r="O314" t="str">
            <v>P09141-23</v>
          </cell>
          <cell r="P314" t="str">
            <v>宮野医療器株式会社</v>
          </cell>
          <cell r="Q314" t="str">
            <v>武田様</v>
          </cell>
          <cell r="R314" t="str">
            <v>〒650-0047　兵庫県神戸市中央区港島南町4-6-1</v>
          </cell>
          <cell r="S314" t="str">
            <v>078-302-7377</v>
          </cell>
          <cell r="T314" t="str">
            <v>078-302-9303</v>
          </cell>
          <cell r="U314" t="str">
            <v>六甲病院</v>
          </cell>
          <cell r="V314" t="str">
            <v>丸井様</v>
          </cell>
          <cell r="W314" t="str">
            <v>生理検査</v>
          </cell>
          <cell r="X314" t="str">
            <v>078-302-9303</v>
          </cell>
          <cell r="Y314" t="str">
            <v>〒657-0022　兵庫県神戸市灘区土山町5-1</v>
          </cell>
          <cell r="AA314" t="str">
            <v>P08306-01</v>
          </cell>
          <cell r="AB314" t="str">
            <v/>
          </cell>
          <cell r="AC314" t="str">
            <v/>
          </cell>
          <cell r="AD314" t="str">
            <v/>
          </cell>
          <cell r="AE314" t="str">
            <v/>
          </cell>
          <cell r="AF314" t="str">
            <v/>
          </cell>
          <cell r="AG314" t="str">
            <v/>
          </cell>
          <cell r="AH314" t="str">
            <v/>
          </cell>
          <cell r="AI314" t="str">
            <v/>
          </cell>
          <cell r="AJ314" t="str">
            <v/>
          </cell>
          <cell r="AK314" t="str">
            <v>CONN,COMPRESSION 166 WIRES/INCH</v>
          </cell>
          <cell r="AL314" t="str">
            <v/>
          </cell>
          <cell r="AM314" t="str">
            <v/>
          </cell>
          <cell r="AN314" t="str">
            <v/>
          </cell>
          <cell r="AO314" t="str">
            <v/>
          </cell>
          <cell r="AP314" t="str">
            <v/>
          </cell>
          <cell r="AQ314" t="str">
            <v/>
          </cell>
          <cell r="AR314" t="str">
            <v/>
          </cell>
          <cell r="AS314" t="str">
            <v/>
          </cell>
          <cell r="AT314" t="str">
            <v/>
          </cell>
          <cell r="AU314">
            <v>40878</v>
          </cell>
        </row>
        <row r="315">
          <cell r="A315" t="str">
            <v>S16-0312</v>
          </cell>
          <cell r="B315" t="str">
            <v>桜橋渡辺病院_0312 (2)</v>
          </cell>
          <cell r="C315" t="str">
            <v>SR#</v>
          </cell>
          <cell r="D315" t="str">
            <v>-</v>
          </cell>
          <cell r="E315" t="str">
            <v>有償</v>
          </cell>
          <cell r="F315">
            <v>42499</v>
          </cell>
          <cell r="G315">
            <v>42499</v>
          </cell>
          <cell r="H315">
            <v>42536</v>
          </cell>
          <cell r="I315" t="str">
            <v>不明</v>
          </cell>
          <cell r="K315" t="str">
            <v>馬屋原</v>
          </cell>
          <cell r="L315">
            <v>3</v>
          </cell>
          <cell r="M315" t="str">
            <v>180Plus</v>
          </cell>
          <cell r="N315" t="str">
            <v>0399NV</v>
          </cell>
          <cell r="O315" t="str">
            <v>P04327-04</v>
          </cell>
          <cell r="P315" t="str">
            <v>SWHメディカル株式会社</v>
          </cell>
          <cell r="Q315" t="str">
            <v>秋田様</v>
          </cell>
          <cell r="R315" t="str">
            <v>〒530-0028　大阪府大阪市北区万歳町3-20　北大阪ビルディング1階</v>
          </cell>
          <cell r="S315" t="str">
            <v>06-6311-1821</v>
          </cell>
          <cell r="T315" t="str">
            <v>06-6311-1820</v>
          </cell>
          <cell r="U315" t="str">
            <v>桜橋渡辺病院</v>
          </cell>
          <cell r="X315" t="str">
            <v>06-6341-8651</v>
          </cell>
          <cell r="Y315" t="str">
            <v>〒530-0001　大阪府大阪市北区梅田2-4-32</v>
          </cell>
          <cell r="AA315" t="str">
            <v>P00538</v>
          </cell>
          <cell r="AB315" t="str">
            <v>P00104</v>
          </cell>
          <cell r="AC315" t="str">
            <v>P01213</v>
          </cell>
          <cell r="AD315" t="str">
            <v/>
          </cell>
          <cell r="AE315" t="str">
            <v/>
          </cell>
          <cell r="AF315" t="str">
            <v/>
          </cell>
          <cell r="AG315" t="str">
            <v/>
          </cell>
          <cell r="AH315" t="str">
            <v/>
          </cell>
          <cell r="AI315" t="str">
            <v/>
          </cell>
          <cell r="AJ315" t="str">
            <v/>
          </cell>
          <cell r="AK315" t="str">
            <v>POWER SUPPLY, 85-264 VAC, 50-60HZ, 16V, 45W, 180</v>
          </cell>
          <cell r="AL315" t="str">
            <v>KEY, ON/OFF</v>
          </cell>
          <cell r="AM315" t="str">
            <v>FLEX CIRCUIT, FAB, C1 DISPLAY</v>
          </cell>
          <cell r="AN315" t="str">
            <v/>
          </cell>
          <cell r="AO315" t="str">
            <v/>
          </cell>
          <cell r="AP315" t="str">
            <v/>
          </cell>
          <cell r="AQ315" t="str">
            <v/>
          </cell>
          <cell r="AR315" t="str">
            <v/>
          </cell>
          <cell r="AS315" t="str">
            <v/>
          </cell>
          <cell r="AT315" t="str">
            <v/>
          </cell>
          <cell r="AU315">
            <v>39326</v>
          </cell>
        </row>
        <row r="316">
          <cell r="A316" t="str">
            <v>S16-0313</v>
          </cell>
          <cell r="B316" t="str">
            <v>宮崎大学_0313 (2)</v>
          </cell>
          <cell r="C316" t="str">
            <v>SR#不要</v>
          </cell>
          <cell r="D316" t="str">
            <v>2016/04/27-02</v>
          </cell>
          <cell r="E316" t="str">
            <v>有償</v>
          </cell>
          <cell r="F316">
            <v>42499</v>
          </cell>
          <cell r="G316">
            <v>42499</v>
          </cell>
          <cell r="H316">
            <v>42585</v>
          </cell>
          <cell r="I316" t="str">
            <v>不明</v>
          </cell>
          <cell r="K316" t="str">
            <v>-</v>
          </cell>
          <cell r="L316" t="str">
            <v>-</v>
          </cell>
          <cell r="M316" t="str">
            <v>MicroMaxx</v>
          </cell>
          <cell r="N316" t="str">
            <v>WK05PP</v>
          </cell>
          <cell r="O316" t="str">
            <v>P08063-05</v>
          </cell>
          <cell r="P316" t="str">
            <v>株式会社アステム　宮崎支店</v>
          </cell>
          <cell r="Q316" t="str">
            <v>松浦様</v>
          </cell>
          <cell r="R316" t="str">
            <v>〒880-0814　宮崎県宮崎市江平中町5-1</v>
          </cell>
          <cell r="S316" t="str">
            <v>0985-24-3164</v>
          </cell>
          <cell r="T316" t="str">
            <v>0985-24-3202</v>
          </cell>
          <cell r="U316" t="str">
            <v>宮崎大学　農学部</v>
          </cell>
          <cell r="V316" t="str">
            <v>北原様</v>
          </cell>
          <cell r="W316" t="str">
            <v>農学部家畜繁殖学</v>
          </cell>
          <cell r="X316" t="str">
            <v>0985-58-7243</v>
          </cell>
          <cell r="Y316" t="str">
            <v>〒889-2192　宮崎県宮崎市学園木花台西1-1</v>
          </cell>
          <cell r="AA316" t="str">
            <v/>
          </cell>
          <cell r="AB316" t="str">
            <v/>
          </cell>
          <cell r="AC316" t="str">
            <v/>
          </cell>
          <cell r="AD316" t="str">
            <v/>
          </cell>
          <cell r="AE316" t="str">
            <v/>
          </cell>
          <cell r="AF316" t="str">
            <v/>
          </cell>
          <cell r="AG316" t="str">
            <v/>
          </cell>
          <cell r="AH316" t="str">
            <v/>
          </cell>
          <cell r="AI316" t="str">
            <v/>
          </cell>
          <cell r="AJ316" t="str">
            <v/>
          </cell>
          <cell r="AK316" t="str">
            <v/>
          </cell>
          <cell r="AL316" t="str">
            <v/>
          </cell>
          <cell r="AM316" t="str">
            <v/>
          </cell>
          <cell r="AN316" t="str">
            <v/>
          </cell>
          <cell r="AO316" t="str">
            <v/>
          </cell>
          <cell r="AP316" t="str">
            <v/>
          </cell>
          <cell r="AQ316" t="str">
            <v/>
          </cell>
          <cell r="AR316" t="str">
            <v/>
          </cell>
          <cell r="AS316" t="str">
            <v/>
          </cell>
          <cell r="AT316" t="str">
            <v/>
          </cell>
          <cell r="AU316">
            <v>40422</v>
          </cell>
        </row>
        <row r="317">
          <cell r="A317" t="str">
            <v>S16-0314</v>
          </cell>
          <cell r="B317" t="str">
            <v>さとに田園クリニック_0314 (2)</v>
          </cell>
          <cell r="C317" t="str">
            <v>SR#不要</v>
          </cell>
          <cell r="D317" t="str">
            <v>-</v>
          </cell>
          <cell r="E317" t="str">
            <v/>
          </cell>
          <cell r="F317">
            <v>42499</v>
          </cell>
          <cell r="G317">
            <v>42499</v>
          </cell>
          <cell r="H317">
            <v>42513</v>
          </cell>
          <cell r="I317">
            <v>39506</v>
          </cell>
          <cell r="K317" t="str">
            <v>-</v>
          </cell>
          <cell r="L317" t="str">
            <v>-</v>
          </cell>
          <cell r="M317" t="str">
            <v>iLook25</v>
          </cell>
          <cell r="N317" t="str">
            <v>038MR0</v>
          </cell>
          <cell r="O317" t="str">
            <v>P04303-02</v>
          </cell>
          <cell r="P317" t="str">
            <v>日本コヴィディエン株式会社　透析営業部　南日本透析営業所</v>
          </cell>
          <cell r="Q317" t="str">
            <v>石崎様</v>
          </cell>
          <cell r="R317" t="str">
            <v>〒108-0075  東京都港区港南一丁目2番70号　品川シーズンテラス　22F</v>
          </cell>
          <cell r="S317" t="str">
            <v>03-6774-4629</v>
          </cell>
          <cell r="T317" t="str">
            <v>03-6774-4740</v>
          </cell>
          <cell r="U317" t="str">
            <v>さとに田園クリニック</v>
          </cell>
          <cell r="V317" t="str">
            <v>-</v>
          </cell>
          <cell r="W317" t="str">
            <v>-</v>
          </cell>
          <cell r="X317" t="str">
            <v>0857-30-1515</v>
          </cell>
          <cell r="Y317" t="str">
            <v>〒680-0935　鳥取県鳥取市里仁54-2</v>
          </cell>
          <cell r="AA317" t="str">
            <v/>
          </cell>
          <cell r="AB317" t="str">
            <v/>
          </cell>
          <cell r="AC317" t="str">
            <v/>
          </cell>
          <cell r="AD317" t="str">
            <v/>
          </cell>
          <cell r="AE317" t="str">
            <v/>
          </cell>
          <cell r="AF317" t="str">
            <v/>
          </cell>
          <cell r="AG317" t="str">
            <v/>
          </cell>
          <cell r="AH317" t="str">
            <v/>
          </cell>
          <cell r="AI317" t="str">
            <v/>
          </cell>
          <cell r="AJ317" t="str">
            <v/>
          </cell>
          <cell r="AK317" t="str">
            <v/>
          </cell>
          <cell r="AL317" t="str">
            <v/>
          </cell>
          <cell r="AM317" t="str">
            <v/>
          </cell>
          <cell r="AN317" t="str">
            <v/>
          </cell>
          <cell r="AO317" t="str">
            <v/>
          </cell>
          <cell r="AP317" t="str">
            <v/>
          </cell>
          <cell r="AQ317" t="str">
            <v/>
          </cell>
          <cell r="AR317" t="str">
            <v/>
          </cell>
          <cell r="AS317" t="str">
            <v/>
          </cell>
          <cell r="AT317" t="str">
            <v/>
          </cell>
          <cell r="AU317">
            <v>39295</v>
          </cell>
        </row>
        <row r="318">
          <cell r="A318" t="str">
            <v>S16-0315</v>
          </cell>
          <cell r="B318" t="str">
            <v>自治医科大学_0315 (2)</v>
          </cell>
          <cell r="C318" t="str">
            <v>SR#4206401</v>
          </cell>
          <cell r="D318" t="str">
            <v>-</v>
          </cell>
          <cell r="E318" t="str">
            <v>無償</v>
          </cell>
          <cell r="F318">
            <v>42499</v>
          </cell>
          <cell r="G318">
            <v>42499</v>
          </cell>
          <cell r="H318">
            <v>42524</v>
          </cell>
          <cell r="I318">
            <v>41628</v>
          </cell>
          <cell r="K318" t="str">
            <v>梶田</v>
          </cell>
          <cell r="L318">
            <v>3</v>
          </cell>
          <cell r="M318" t="str">
            <v>NanoMaxx</v>
          </cell>
          <cell r="N318" t="str">
            <v>03VW1F</v>
          </cell>
          <cell r="O318" t="str">
            <v>P12700-06</v>
          </cell>
          <cell r="P318" t="str">
            <v>日本コヴィディエン株式会社　北関東営業所</v>
          </cell>
          <cell r="Q318" t="str">
            <v>坂本様</v>
          </cell>
          <cell r="R318" t="str">
            <v>〒108-0075  東京都港区港南一丁目2番70号　品川シーズンテラス　22F</v>
          </cell>
          <cell r="S318" t="str">
            <v>03-6774-4629</v>
          </cell>
          <cell r="T318" t="str">
            <v>03-6774-4740</v>
          </cell>
          <cell r="U318" t="str">
            <v>自治医科大学附属病院</v>
          </cell>
          <cell r="V318" t="str">
            <v>-</v>
          </cell>
          <cell r="W318" t="str">
            <v>-</v>
          </cell>
          <cell r="X318" t="str">
            <v>0285-44-2111</v>
          </cell>
          <cell r="Y318" t="str">
            <v>〒329-0498　栃木県下野市薬師寺3311-1</v>
          </cell>
          <cell r="AA318" t="str">
            <v>P12717-01</v>
          </cell>
          <cell r="AB318" t="str">
            <v>P12718-02</v>
          </cell>
          <cell r="AC318" t="str">
            <v/>
          </cell>
          <cell r="AD318" t="str">
            <v/>
          </cell>
          <cell r="AE318" t="str">
            <v/>
          </cell>
          <cell r="AF318" t="str">
            <v/>
          </cell>
          <cell r="AG318" t="str">
            <v/>
          </cell>
          <cell r="AH318" t="str">
            <v/>
          </cell>
          <cell r="AI318" t="str">
            <v/>
          </cell>
          <cell r="AJ318" t="str">
            <v/>
          </cell>
          <cell r="AK318" t="str">
            <v>SERVICE ASSEMBLY, FRONT END PCB, NANOMAXX</v>
          </cell>
          <cell r="AL318" t="str">
            <v>SERVICE ASSEMBLY, BACK END PCB, NANOMAXX</v>
          </cell>
          <cell r="AM318" t="str">
            <v/>
          </cell>
          <cell r="AN318" t="str">
            <v/>
          </cell>
          <cell r="AO318" t="str">
            <v/>
          </cell>
          <cell r="AP318" t="str">
            <v/>
          </cell>
          <cell r="AQ318" t="str">
            <v/>
          </cell>
          <cell r="AR318" t="str">
            <v/>
          </cell>
          <cell r="AS318" t="str">
            <v/>
          </cell>
          <cell r="AT318" t="str">
            <v/>
          </cell>
          <cell r="AU318">
            <v>41487</v>
          </cell>
        </row>
        <row r="319">
          <cell r="A319" t="str">
            <v>S16-0316</v>
          </cell>
          <cell r="B319" t="str">
            <v>大分県立病院_0316 (2)</v>
          </cell>
          <cell r="C319" t="str">
            <v>SR#</v>
          </cell>
          <cell r="D319" t="str">
            <v>-</v>
          </cell>
          <cell r="E319" t="str">
            <v>有償</v>
          </cell>
          <cell r="F319">
            <v>42499</v>
          </cell>
          <cell r="G319">
            <v>42499</v>
          </cell>
          <cell r="H319">
            <v>42542</v>
          </cell>
          <cell r="I319">
            <v>40245</v>
          </cell>
          <cell r="K319" t="str">
            <v>馬屋原</v>
          </cell>
          <cell r="L319">
            <v>3</v>
          </cell>
          <cell r="M319" t="str">
            <v>V-Universal Stand</v>
          </cell>
          <cell r="N319" t="str">
            <v>WM04JK</v>
          </cell>
          <cell r="O319" t="str">
            <v>P13383-01</v>
          </cell>
          <cell r="P319" t="str">
            <v>日本コヴィディエン株式会社　九州第二営業所</v>
          </cell>
          <cell r="Q319" t="str">
            <v>光浦様</v>
          </cell>
          <cell r="R319" t="str">
            <v>〒108-0075  東京都港区港南一丁目2番70号　品川シーズンテラス　22F</v>
          </cell>
          <cell r="S319" t="str">
            <v>03-6774-4629</v>
          </cell>
          <cell r="T319" t="str">
            <v>03-6774-4740</v>
          </cell>
          <cell r="U319" t="str">
            <v>大分県立病院</v>
          </cell>
          <cell r="V319" t="str">
            <v>-</v>
          </cell>
          <cell r="W319" t="str">
            <v>-</v>
          </cell>
          <cell r="X319" t="str">
            <v>097-546-7111</v>
          </cell>
          <cell r="Y319" t="str">
            <v>〒870-8511　大分県大分市豊饒476</v>
          </cell>
          <cell r="AA319" t="str">
            <v/>
          </cell>
          <cell r="AB319" t="str">
            <v/>
          </cell>
          <cell r="AC319" t="str">
            <v/>
          </cell>
          <cell r="AD319" t="str">
            <v/>
          </cell>
          <cell r="AE319" t="str">
            <v/>
          </cell>
          <cell r="AF319" t="str">
            <v/>
          </cell>
          <cell r="AG319" t="str">
            <v/>
          </cell>
          <cell r="AH319" t="str">
            <v/>
          </cell>
          <cell r="AI319" t="str">
            <v/>
          </cell>
          <cell r="AJ319" t="str">
            <v/>
          </cell>
          <cell r="AL319" t="str">
            <v/>
          </cell>
          <cell r="AM319" t="str">
            <v/>
          </cell>
          <cell r="AN319" t="str">
            <v/>
          </cell>
          <cell r="AO319" t="str">
            <v/>
          </cell>
          <cell r="AP319" t="str">
            <v/>
          </cell>
          <cell r="AQ319" t="str">
            <v/>
          </cell>
          <cell r="AR319" t="str">
            <v/>
          </cell>
          <cell r="AS319" t="str">
            <v/>
          </cell>
          <cell r="AT319" t="str">
            <v/>
          </cell>
          <cell r="AU319">
            <v>40148</v>
          </cell>
        </row>
        <row r="320">
          <cell r="A320" t="str">
            <v>S16-0317</v>
          </cell>
          <cell r="B320" t="str">
            <v>可児とうのう病院_0317 (2)</v>
          </cell>
          <cell r="C320" t="str">
            <v>SR#</v>
          </cell>
          <cell r="D320" t="str">
            <v>2016/04/28-03</v>
          </cell>
          <cell r="E320" t="str">
            <v>有償</v>
          </cell>
          <cell r="F320">
            <v>42500</v>
          </cell>
          <cell r="G320">
            <v>42500</v>
          </cell>
          <cell r="H320">
            <v>42514</v>
          </cell>
          <cell r="I320" t="str">
            <v>不明</v>
          </cell>
          <cell r="K320" t="str">
            <v>馬屋原</v>
          </cell>
          <cell r="L320">
            <v>3</v>
          </cell>
          <cell r="M320" t="str">
            <v>M-Turbo</v>
          </cell>
          <cell r="N320" t="str">
            <v>03KH6G</v>
          </cell>
          <cell r="O320" t="str">
            <v>P09141-20</v>
          </cell>
          <cell r="P320" t="str">
            <v>富士フイルムメディカル株式会社　北陸営業所</v>
          </cell>
          <cell r="Q320" t="str">
            <v>藤吉様</v>
          </cell>
          <cell r="R320" t="str">
            <v>〒920-0919　石川県金沢市南町4-55　住友生命金沢ビル2F</v>
          </cell>
          <cell r="S320" t="str">
            <v>076-223-1722</v>
          </cell>
          <cell r="T320" t="str">
            <v>076-223-3179</v>
          </cell>
          <cell r="U320" t="str">
            <v>可児とうのう病院　検査課</v>
          </cell>
          <cell r="V320" t="str">
            <v>-</v>
          </cell>
          <cell r="W320" t="str">
            <v>検査課</v>
          </cell>
          <cell r="X320" t="str">
            <v>0574-25-3113</v>
          </cell>
          <cell r="Y320" t="str">
            <v>〒509-0206　岐阜県可児市土田1221-5</v>
          </cell>
          <cell r="AA320" t="str">
            <v/>
          </cell>
          <cell r="AB320" t="str">
            <v/>
          </cell>
          <cell r="AC320" t="str">
            <v/>
          </cell>
          <cell r="AD320" t="str">
            <v/>
          </cell>
          <cell r="AE320" t="str">
            <v/>
          </cell>
          <cell r="AF320" t="str">
            <v/>
          </cell>
          <cell r="AG320" t="str">
            <v/>
          </cell>
          <cell r="AH320" t="str">
            <v/>
          </cell>
          <cell r="AI320" t="str">
            <v/>
          </cell>
          <cell r="AJ320" t="str">
            <v/>
          </cell>
          <cell r="AK320" t="str">
            <v/>
          </cell>
          <cell r="AL320" t="str">
            <v/>
          </cell>
          <cell r="AM320" t="str">
            <v/>
          </cell>
          <cell r="AN320" t="str">
            <v/>
          </cell>
          <cell r="AO320" t="str">
            <v/>
          </cell>
          <cell r="AP320" t="str">
            <v/>
          </cell>
          <cell r="AQ320" t="str">
            <v/>
          </cell>
          <cell r="AR320" t="str">
            <v/>
          </cell>
          <cell r="AS320" t="str">
            <v/>
          </cell>
          <cell r="AT320" t="str">
            <v/>
          </cell>
          <cell r="AU320">
            <v>40483</v>
          </cell>
        </row>
        <row r="321">
          <cell r="A321" t="str">
            <v>S16-0318</v>
          </cell>
          <cell r="B321" t="str">
            <v>新居浜病院_0318 (2)</v>
          </cell>
          <cell r="C321" t="str">
            <v>SR#4209269</v>
          </cell>
          <cell r="D321" t="str">
            <v>2016/04/27-08</v>
          </cell>
          <cell r="E321" t="str">
            <v>無償</v>
          </cell>
          <cell r="F321">
            <v>42500</v>
          </cell>
          <cell r="G321">
            <v>42500</v>
          </cell>
          <cell r="H321">
            <v>42541</v>
          </cell>
          <cell r="I321" t="str">
            <v>不明</v>
          </cell>
          <cell r="K321" t="str">
            <v>馬屋原</v>
          </cell>
          <cell r="L321">
            <v>3</v>
          </cell>
          <cell r="M321" t="str">
            <v>S-Nerve</v>
          </cell>
          <cell r="N321" t="str">
            <v>03WFBR</v>
          </cell>
          <cell r="O321" t="str">
            <v>P12060-11</v>
          </cell>
          <cell r="P321" t="str">
            <v>株式会社シーメック</v>
          </cell>
          <cell r="Q321" t="str">
            <v>曽我部様</v>
          </cell>
          <cell r="R321" t="str">
            <v>〒792-0831　愛媛県新居浜市西連寺町2-7-7</v>
          </cell>
          <cell r="S321" t="str">
            <v>0897-47-8168</v>
          </cell>
          <cell r="T321" t="str">
            <v>0897-47-8018</v>
          </cell>
          <cell r="U321" t="str">
            <v>新居浜病院</v>
          </cell>
          <cell r="V321" t="str">
            <v>-</v>
          </cell>
          <cell r="W321" t="str">
            <v>-</v>
          </cell>
          <cell r="X321" t="str">
            <v>0897-43-6161</v>
          </cell>
          <cell r="Y321" t="str">
            <v>〒792-0042　愛媛県新居浜市本郷3-1-1</v>
          </cell>
          <cell r="AA321" t="str">
            <v>P09135-03</v>
          </cell>
          <cell r="AB321" t="str">
            <v/>
          </cell>
          <cell r="AC321" t="str">
            <v/>
          </cell>
          <cell r="AD321" t="str">
            <v/>
          </cell>
          <cell r="AE321" t="str">
            <v/>
          </cell>
          <cell r="AF321" t="str">
            <v/>
          </cell>
          <cell r="AG321" t="str">
            <v/>
          </cell>
          <cell r="AH321" t="str">
            <v/>
          </cell>
          <cell r="AI321" t="str">
            <v/>
          </cell>
          <cell r="AJ321" t="str">
            <v/>
          </cell>
          <cell r="AK321" t="str">
            <v>SERVICE ASSEMBLY MAIN PCBA, S-SERIES</v>
          </cell>
          <cell r="AL321" t="str">
            <v/>
          </cell>
          <cell r="AM321" t="str">
            <v/>
          </cell>
          <cell r="AN321" t="str">
            <v/>
          </cell>
          <cell r="AO321" t="str">
            <v/>
          </cell>
          <cell r="AP321" t="str">
            <v/>
          </cell>
          <cell r="AQ321" t="str">
            <v/>
          </cell>
          <cell r="AR321" t="str">
            <v/>
          </cell>
          <cell r="AS321" t="str">
            <v/>
          </cell>
          <cell r="AT321" t="str">
            <v/>
          </cell>
          <cell r="AU321">
            <v>41548</v>
          </cell>
        </row>
        <row r="322">
          <cell r="A322" t="str">
            <v>S16-0319</v>
          </cell>
          <cell r="B322" t="str">
            <v>有田内科整形リハビリクリニック_0319</v>
          </cell>
          <cell r="C322" t="e">
            <v>#REF!</v>
          </cell>
          <cell r="D322" t="e">
            <v>#REF!</v>
          </cell>
          <cell r="E322" t="e">
            <v>#REF!</v>
          </cell>
          <cell r="F322" t="e">
            <v>#REF!</v>
          </cell>
          <cell r="G322" t="e">
            <v>#REF!</v>
          </cell>
          <cell r="H322" t="e">
            <v>#REF!</v>
          </cell>
          <cell r="I322" t="e">
            <v>#REF!</v>
          </cell>
          <cell r="K322" t="e">
            <v>#REF!</v>
          </cell>
          <cell r="M322" t="e">
            <v>#REF!</v>
          </cell>
          <cell r="N322" t="e">
            <v>#REF!</v>
          </cell>
          <cell r="O322" t="e">
            <v>#REF!</v>
          </cell>
          <cell r="P322" t="e">
            <v>#REF!</v>
          </cell>
          <cell r="Q322" t="e">
            <v>#REF!</v>
          </cell>
          <cell r="S322" t="e">
            <v>#REF!</v>
          </cell>
          <cell r="T322" t="e">
            <v>#REF!</v>
          </cell>
          <cell r="U322" t="e">
            <v>#REF!</v>
          </cell>
          <cell r="AA322" t="e">
            <v>#REF!</v>
          </cell>
          <cell r="AB322" t="e">
            <v>#REF!</v>
          </cell>
          <cell r="AC322" t="e">
            <v>#REF!</v>
          </cell>
          <cell r="AD322" t="e">
            <v>#REF!</v>
          </cell>
          <cell r="AE322" t="e">
            <v>#REF!</v>
          </cell>
          <cell r="AF322" t="e">
            <v>#REF!</v>
          </cell>
          <cell r="AG322" t="e">
            <v>#REF!</v>
          </cell>
          <cell r="AH322" t="e">
            <v>#REF!</v>
          </cell>
          <cell r="AI322" t="e">
            <v>#REF!</v>
          </cell>
          <cell r="AJ322" t="e">
            <v>#REF!</v>
          </cell>
          <cell r="AK322" t="e">
            <v>#REF!</v>
          </cell>
          <cell r="AL322" t="e">
            <v>#REF!</v>
          </cell>
          <cell r="AM322" t="e">
            <v>#REF!</v>
          </cell>
          <cell r="AN322" t="e">
            <v>#REF!</v>
          </cell>
          <cell r="AO322" t="e">
            <v>#REF!</v>
          </cell>
          <cell r="AP322" t="e">
            <v>#REF!</v>
          </cell>
          <cell r="AQ322" t="e">
            <v>#REF!</v>
          </cell>
          <cell r="AR322" t="e">
            <v>#REF!</v>
          </cell>
          <cell r="AS322" t="e">
            <v>#REF!</v>
          </cell>
          <cell r="AT322" t="e">
            <v>#REF!</v>
          </cell>
          <cell r="AU322" t="e">
            <v>#REF!</v>
          </cell>
        </row>
        <row r="323">
          <cell r="A323" t="str">
            <v>S16-0320</v>
          </cell>
          <cell r="B323" t="str">
            <v>赤穂市民病院_0320 (2)</v>
          </cell>
          <cell r="C323" t="str">
            <v>SR#不要</v>
          </cell>
          <cell r="D323" t="str">
            <v>2016/05/06-06</v>
          </cell>
          <cell r="E323" t="str">
            <v>有償</v>
          </cell>
          <cell r="F323">
            <v>42501</v>
          </cell>
          <cell r="G323">
            <v>42501</v>
          </cell>
          <cell r="H323">
            <v>42523</v>
          </cell>
          <cell r="I323" t="str">
            <v>不明</v>
          </cell>
          <cell r="K323" t="str">
            <v>馬屋原</v>
          </cell>
          <cell r="L323">
            <v>3</v>
          </cell>
          <cell r="M323" t="str">
            <v>UP-21MDS</v>
          </cell>
          <cell r="N323" t="str">
            <v>35717</v>
          </cell>
          <cell r="O323" t="str">
            <v>-</v>
          </cell>
          <cell r="P323" t="str">
            <v>株式会社やよい　神戸営業所</v>
          </cell>
          <cell r="Q323" t="str">
            <v>島田様</v>
          </cell>
          <cell r="R323" t="str">
            <v>〒671-0252　兵庫県姫路市花田町加納原田735-1</v>
          </cell>
          <cell r="S323" t="str">
            <v>078-652-5151</v>
          </cell>
          <cell r="T323" t="str">
            <v>078-652-5155</v>
          </cell>
          <cell r="U323" t="str">
            <v>赤穂市民病院</v>
          </cell>
          <cell r="V323" t="str">
            <v>-</v>
          </cell>
          <cell r="W323" t="str">
            <v>-</v>
          </cell>
          <cell r="X323" t="str">
            <v>0791-43-3222</v>
          </cell>
          <cell r="Y323" t="str">
            <v xml:space="preserve">〒678-0232　兵庫県赤穂市中広1090 </v>
          </cell>
          <cell r="AA323" t="str">
            <v>―</v>
          </cell>
          <cell r="AB323" t="str">
            <v>―</v>
          </cell>
          <cell r="AC323" t="str">
            <v>―</v>
          </cell>
          <cell r="AD323" t="str">
            <v/>
          </cell>
          <cell r="AE323" t="str">
            <v/>
          </cell>
          <cell r="AF323" t="str">
            <v/>
          </cell>
          <cell r="AG323" t="str">
            <v/>
          </cell>
          <cell r="AH323" t="str">
            <v/>
          </cell>
          <cell r="AI323" t="str">
            <v/>
          </cell>
          <cell r="AJ323" t="str">
            <v/>
          </cell>
          <cell r="AK323" t="str">
            <v>トレイガイドクミタテ</v>
          </cell>
          <cell r="AL323" t="str">
            <v>リミットゴム</v>
          </cell>
          <cell r="AM323" t="str">
            <v>リボンパネル</v>
          </cell>
          <cell r="AN323" t="str">
            <v/>
          </cell>
          <cell r="AO323" t="str">
            <v/>
          </cell>
          <cell r="AP323" t="str">
            <v/>
          </cell>
          <cell r="AQ323" t="str">
            <v/>
          </cell>
          <cell r="AR323" t="str">
            <v/>
          </cell>
          <cell r="AS323" t="str">
            <v/>
          </cell>
          <cell r="AT323" t="str">
            <v/>
          </cell>
          <cell r="AU323" t="str">
            <v>-</v>
          </cell>
        </row>
        <row r="324">
          <cell r="A324" t="str">
            <v>S16-0321</v>
          </cell>
          <cell r="B324" t="str">
            <v>練馬区東海病院_0321（2）</v>
          </cell>
          <cell r="C324" t="str">
            <v>SR#4217599</v>
          </cell>
          <cell r="D324" t="str">
            <v>-</v>
          </cell>
          <cell r="E324" t="str">
            <v>無償</v>
          </cell>
          <cell r="F324">
            <v>42501</v>
          </cell>
          <cell r="G324">
            <v>42501</v>
          </cell>
          <cell r="H324">
            <v>42565</v>
          </cell>
          <cell r="I324" t="str">
            <v>2016年</v>
          </cell>
          <cell r="K324" t="str">
            <v>高橋</v>
          </cell>
          <cell r="L324" t="str">
            <v>-</v>
          </cell>
          <cell r="M324" t="str">
            <v>M-Turbo</v>
          </cell>
          <cell r="N324" t="str">
            <v>WK3F2G</v>
          </cell>
          <cell r="O324" t="str">
            <v>-</v>
          </cell>
          <cell r="P324" t="str">
            <v>富士フイルムメディカル株式会社</v>
          </cell>
          <cell r="Q324" t="str">
            <v>島崎様</v>
          </cell>
          <cell r="S324" t="str">
            <v>03-6418-7190</v>
          </cell>
          <cell r="T324" t="str">
            <v>03-6418-7162</v>
          </cell>
          <cell r="U324" t="str">
            <v>医療法人社団　秀佑会 東海病院（練馬区）</v>
          </cell>
          <cell r="V324" t="str">
            <v>-</v>
          </cell>
          <cell r="W324" t="str">
            <v>-</v>
          </cell>
          <cell r="X324" t="str">
            <v>03-3999-1131</v>
          </cell>
          <cell r="Y324" t="str">
            <v>〒176-0023東京都練馬区中村北2-10-11</v>
          </cell>
          <cell r="AA324" t="str">
            <v>P09823-06</v>
          </cell>
          <cell r="AB324" t="str">
            <v/>
          </cell>
          <cell r="AC324" t="str">
            <v/>
          </cell>
          <cell r="AD324" t="str">
            <v/>
          </cell>
          <cell r="AE324" t="str">
            <v/>
          </cell>
          <cell r="AF324" t="str">
            <v/>
          </cell>
          <cell r="AG324" t="str">
            <v/>
          </cell>
          <cell r="AH324" t="str">
            <v/>
          </cell>
          <cell r="AI324" t="str">
            <v/>
          </cell>
          <cell r="AJ324" t="str">
            <v/>
          </cell>
          <cell r="AK324" t="str">
            <v>LOW NOISE POWER SUPPLY,15V W/BATTERY CHARGER,75 W</v>
          </cell>
          <cell r="AL324" t="str">
            <v/>
          </cell>
          <cell r="AM324" t="str">
            <v/>
          </cell>
          <cell r="AN324" t="str">
            <v/>
          </cell>
          <cell r="AO324" t="str">
            <v/>
          </cell>
          <cell r="AP324" t="str">
            <v/>
          </cell>
          <cell r="AQ324" t="str">
            <v/>
          </cell>
          <cell r="AR324" t="str">
            <v/>
          </cell>
          <cell r="AS324" t="str">
            <v/>
          </cell>
          <cell r="AT324" t="str">
            <v/>
          </cell>
          <cell r="AU324" t="str">
            <v>-</v>
          </cell>
        </row>
        <row r="325">
          <cell r="A325" t="str">
            <v>S16-0322</v>
          </cell>
          <cell r="B325" t="str">
            <v>東京大学病院_0322 (2)</v>
          </cell>
          <cell r="C325" t="str">
            <v>SR#</v>
          </cell>
          <cell r="D325" t="str">
            <v>2016/05/06-07</v>
          </cell>
          <cell r="E325" t="str">
            <v>有償</v>
          </cell>
          <cell r="F325">
            <v>42502</v>
          </cell>
          <cell r="G325">
            <v>42502</v>
          </cell>
          <cell r="H325">
            <v>42601</v>
          </cell>
          <cell r="I325" t="str">
            <v>不明</v>
          </cell>
          <cell r="K325" t="str">
            <v>高橋</v>
          </cell>
          <cell r="L325" t="str">
            <v>-</v>
          </cell>
          <cell r="M325" t="str">
            <v>M-Turbo</v>
          </cell>
          <cell r="N325" t="str">
            <v>03JGT2</v>
          </cell>
          <cell r="O325" t="str">
            <v>P09141-15</v>
          </cell>
          <cell r="P325" t="str">
            <v>株式会社イノメディックス　本郷営業所</v>
          </cell>
          <cell r="Q325" t="str">
            <v>鈴木様</v>
          </cell>
          <cell r="S325" t="str">
            <v>03-3815-8921</v>
          </cell>
          <cell r="T325" t="str">
            <v>03-3815-8638</v>
          </cell>
          <cell r="U325" t="str">
            <v>東京大学病院</v>
          </cell>
          <cell r="V325" t="str">
            <v>-</v>
          </cell>
          <cell r="W325" t="str">
            <v>-</v>
          </cell>
          <cell r="X325" t="str">
            <v>03-3815-5411</v>
          </cell>
          <cell r="Y325" t="str">
            <v>〒113-8655　東京都文京区本郷7-3-1</v>
          </cell>
          <cell r="AA325" t="str">
            <v/>
          </cell>
          <cell r="AB325" t="str">
            <v/>
          </cell>
          <cell r="AC325" t="str">
            <v/>
          </cell>
          <cell r="AD325" t="str">
            <v/>
          </cell>
          <cell r="AE325" t="str">
            <v/>
          </cell>
          <cell r="AF325" t="str">
            <v/>
          </cell>
          <cell r="AG325" t="str">
            <v/>
          </cell>
          <cell r="AH325" t="str">
            <v/>
          </cell>
          <cell r="AI325" t="str">
            <v/>
          </cell>
          <cell r="AJ325" t="str">
            <v/>
          </cell>
          <cell r="AK325" t="str">
            <v/>
          </cell>
          <cell r="AL325" t="str">
            <v/>
          </cell>
          <cell r="AM325" t="str">
            <v/>
          </cell>
          <cell r="AN325" t="str">
            <v/>
          </cell>
          <cell r="AO325" t="str">
            <v/>
          </cell>
          <cell r="AP325" t="str">
            <v/>
          </cell>
          <cell r="AQ325" t="str">
            <v/>
          </cell>
          <cell r="AR325" t="str">
            <v/>
          </cell>
          <cell r="AS325" t="str">
            <v/>
          </cell>
          <cell r="AT325" t="str">
            <v/>
          </cell>
          <cell r="AU325">
            <v>40299</v>
          </cell>
        </row>
        <row r="326">
          <cell r="A326" t="str">
            <v>S16-0323</v>
          </cell>
          <cell r="B326" t="str">
            <v>順天堂病院_0323 (2)</v>
          </cell>
          <cell r="C326" t="str">
            <v>SR#</v>
          </cell>
          <cell r="D326" t="str">
            <v>-</v>
          </cell>
          <cell r="E326" t="str">
            <v>有償</v>
          </cell>
          <cell r="F326">
            <v>42503</v>
          </cell>
          <cell r="G326">
            <v>42503</v>
          </cell>
          <cell r="H326">
            <v>42541</v>
          </cell>
          <cell r="I326" t="str">
            <v>不明</v>
          </cell>
          <cell r="K326" t="str">
            <v>高橋</v>
          </cell>
          <cell r="L326">
            <v>5</v>
          </cell>
          <cell r="M326" t="str">
            <v>S-Nerve</v>
          </cell>
          <cell r="N326" t="str">
            <v>03X60L</v>
          </cell>
          <cell r="O326" t="str">
            <v>P12060-11</v>
          </cell>
          <cell r="P326" t="str">
            <v>株式会社栗原医療器械店　東京支店</v>
          </cell>
          <cell r="Q326" t="str">
            <v>浅草様</v>
          </cell>
          <cell r="R326" t="str">
            <v>〒112-0004　東京都文京区後楽1-4-25　日教販ビル6階</v>
          </cell>
          <cell r="S326" t="str">
            <v>03-5802-6131</v>
          </cell>
          <cell r="T326" t="str">
            <v>03-5802-5081</v>
          </cell>
          <cell r="U326" t="str">
            <v>順天堂大学医学部附属順天堂医院</v>
          </cell>
          <cell r="V326" t="str">
            <v>-</v>
          </cell>
          <cell r="W326" t="str">
            <v>-</v>
          </cell>
          <cell r="X326" t="str">
            <v>03-3813-3111</v>
          </cell>
          <cell r="Y326" t="str">
            <v>〒113-8431　東京都文京区本郷3-1-3</v>
          </cell>
          <cell r="AA326" t="str">
            <v/>
          </cell>
          <cell r="AB326" t="str">
            <v/>
          </cell>
          <cell r="AC326" t="str">
            <v/>
          </cell>
          <cell r="AD326" t="str">
            <v/>
          </cell>
          <cell r="AE326" t="str">
            <v/>
          </cell>
          <cell r="AF326" t="str">
            <v/>
          </cell>
          <cell r="AG326" t="str">
            <v/>
          </cell>
          <cell r="AH326" t="str">
            <v/>
          </cell>
          <cell r="AI326" t="str">
            <v/>
          </cell>
          <cell r="AJ326" t="str">
            <v/>
          </cell>
          <cell r="AK326" t="str">
            <v/>
          </cell>
          <cell r="AL326" t="str">
            <v/>
          </cell>
          <cell r="AM326" t="str">
            <v/>
          </cell>
          <cell r="AN326" t="str">
            <v/>
          </cell>
          <cell r="AO326" t="str">
            <v/>
          </cell>
          <cell r="AP326" t="str">
            <v/>
          </cell>
          <cell r="AQ326" t="str">
            <v/>
          </cell>
          <cell r="AR326" t="str">
            <v/>
          </cell>
          <cell r="AS326" t="str">
            <v/>
          </cell>
          <cell r="AT326" t="str">
            <v/>
          </cell>
          <cell r="AU326">
            <v>41671</v>
          </cell>
        </row>
        <row r="327">
          <cell r="A327" t="str">
            <v>S16-0324</v>
          </cell>
          <cell r="B327" t="str">
            <v>代替機NIM159_0324 (2)</v>
          </cell>
          <cell r="C327" t="str">
            <v>SR#4209275</v>
          </cell>
          <cell r="D327" t="str">
            <v>-</v>
          </cell>
          <cell r="E327" t="str">
            <v>無償</v>
          </cell>
          <cell r="F327">
            <v>42503</v>
          </cell>
          <cell r="G327">
            <v>42503</v>
          </cell>
          <cell r="H327">
            <v>42523</v>
          </cell>
          <cell r="I327" t="str">
            <v>―</v>
          </cell>
          <cell r="K327" t="str">
            <v>馬屋原</v>
          </cell>
          <cell r="L327">
            <v>3</v>
          </cell>
          <cell r="M327" t="str">
            <v>S-Series</v>
          </cell>
          <cell r="N327" t="str">
            <v>03MHYK</v>
          </cell>
          <cell r="O327" t="str">
            <v>P12060-07</v>
          </cell>
          <cell r="P327" t="str">
            <v>富士フイルムメディカル株式会社</v>
          </cell>
          <cell r="Q327" t="str">
            <v>テクニカルサポート</v>
          </cell>
          <cell r="R327" t="str">
            <v>-</v>
          </cell>
          <cell r="S327" t="str">
            <v>03-6418-7190</v>
          </cell>
          <cell r="T327" t="str">
            <v>03-6418-7162</v>
          </cell>
          <cell r="U327" t="str">
            <v>代替機 NIM159</v>
          </cell>
          <cell r="V327" t="str">
            <v>-</v>
          </cell>
          <cell r="W327" t="str">
            <v>-</v>
          </cell>
          <cell r="X327" t="str">
            <v>-</v>
          </cell>
          <cell r="Y327" t="str">
            <v>-</v>
          </cell>
          <cell r="AA327" t="str">
            <v>P09419-04</v>
          </cell>
          <cell r="AB327" t="str">
            <v/>
          </cell>
          <cell r="AC327" t="str">
            <v/>
          </cell>
          <cell r="AD327" t="str">
            <v/>
          </cell>
          <cell r="AE327" t="str">
            <v/>
          </cell>
          <cell r="AF327" t="str">
            <v/>
          </cell>
          <cell r="AG327" t="str">
            <v/>
          </cell>
          <cell r="AH327" t="str">
            <v/>
          </cell>
          <cell r="AI327" t="str">
            <v/>
          </cell>
          <cell r="AJ327" t="str">
            <v/>
          </cell>
          <cell r="AK327" t="str">
            <v>DISPLAY, LCD, TFT 10.4 INCH, 640 X 480, LVDS, SCREENED IN-HOUSE, LOT C</v>
          </cell>
          <cell r="AL327" t="str">
            <v/>
          </cell>
          <cell r="AM327" t="str">
            <v/>
          </cell>
          <cell r="AN327" t="str">
            <v/>
          </cell>
          <cell r="AO327" t="str">
            <v/>
          </cell>
          <cell r="AP327" t="str">
            <v/>
          </cell>
          <cell r="AQ327" t="str">
            <v/>
          </cell>
          <cell r="AR327" t="str">
            <v/>
          </cell>
          <cell r="AS327" t="str">
            <v/>
          </cell>
          <cell r="AT327" t="str">
            <v/>
          </cell>
          <cell r="AU327">
            <v>40756</v>
          </cell>
        </row>
        <row r="328">
          <cell r="A328" t="str">
            <v>S16-0325</v>
          </cell>
          <cell r="B328" t="str">
            <v>札幌東徳州会病院_0325</v>
          </cell>
          <cell r="C328" t="e">
            <v>#REF!</v>
          </cell>
          <cell r="D328" t="e">
            <v>#REF!</v>
          </cell>
          <cell r="E328" t="e">
            <v>#REF!</v>
          </cell>
          <cell r="F328" t="e">
            <v>#REF!</v>
          </cell>
          <cell r="G328" t="e">
            <v>#REF!</v>
          </cell>
          <cell r="H328" t="e">
            <v>#REF!</v>
          </cell>
          <cell r="I328" t="e">
            <v>#REF!</v>
          </cell>
          <cell r="K328" t="e">
            <v>#REF!</v>
          </cell>
          <cell r="M328" t="e">
            <v>#REF!</v>
          </cell>
          <cell r="N328" t="e">
            <v>#REF!</v>
          </cell>
          <cell r="O328" t="e">
            <v>#REF!</v>
          </cell>
          <cell r="P328" t="e">
            <v>#REF!</v>
          </cell>
          <cell r="Q328" t="e">
            <v>#REF!</v>
          </cell>
          <cell r="S328" t="e">
            <v>#REF!</v>
          </cell>
          <cell r="T328" t="e">
            <v>#REF!</v>
          </cell>
          <cell r="U328" t="e">
            <v>#REF!</v>
          </cell>
          <cell r="AA328" t="e">
            <v>#REF!</v>
          </cell>
          <cell r="AB328" t="e">
            <v>#REF!</v>
          </cell>
          <cell r="AC328" t="e">
            <v>#REF!</v>
          </cell>
          <cell r="AD328" t="e">
            <v>#REF!</v>
          </cell>
          <cell r="AE328" t="e">
            <v>#REF!</v>
          </cell>
          <cell r="AF328" t="e">
            <v>#REF!</v>
          </cell>
          <cell r="AG328" t="e">
            <v>#REF!</v>
          </cell>
          <cell r="AH328" t="e">
            <v>#REF!</v>
          </cell>
          <cell r="AI328" t="e">
            <v>#REF!</v>
          </cell>
          <cell r="AJ328" t="e">
            <v>#REF!</v>
          </cell>
          <cell r="AK328" t="e">
            <v>#REF!</v>
          </cell>
          <cell r="AL328" t="e">
            <v>#REF!</v>
          </cell>
          <cell r="AM328" t="e">
            <v>#REF!</v>
          </cell>
          <cell r="AN328" t="e">
            <v>#REF!</v>
          </cell>
          <cell r="AO328" t="e">
            <v>#REF!</v>
          </cell>
          <cell r="AP328" t="e">
            <v>#REF!</v>
          </cell>
          <cell r="AQ328" t="e">
            <v>#REF!</v>
          </cell>
          <cell r="AR328" t="e">
            <v>#REF!</v>
          </cell>
          <cell r="AS328" t="e">
            <v>#REF!</v>
          </cell>
          <cell r="AT328" t="e">
            <v>#REF!</v>
          </cell>
          <cell r="AU328" t="e">
            <v>#REF!</v>
          </cell>
        </row>
        <row r="329">
          <cell r="A329" t="str">
            <v>S16-0326</v>
          </cell>
          <cell r="B329" t="str">
            <v>国保梼原病院_0326 (2)</v>
          </cell>
          <cell r="C329" t="str">
            <v>SR#4209277</v>
          </cell>
          <cell r="D329" t="str">
            <v>2016/05/11-02</v>
          </cell>
          <cell r="E329" t="str">
            <v>無償</v>
          </cell>
          <cell r="F329">
            <v>42506</v>
          </cell>
          <cell r="G329">
            <v>42506</v>
          </cell>
          <cell r="H329">
            <v>42517</v>
          </cell>
          <cell r="I329" t="str">
            <v>不明</v>
          </cell>
          <cell r="K329" t="str">
            <v>馬屋原</v>
          </cell>
          <cell r="L329">
            <v>3</v>
          </cell>
          <cell r="M329" t="str">
            <v>MicroMaxx</v>
          </cell>
          <cell r="N329" t="str">
            <v>WK1462</v>
          </cell>
          <cell r="O329" t="str">
            <v>P14179-03</v>
          </cell>
          <cell r="P329" t="str">
            <v>株式会社シーメック</v>
          </cell>
          <cell r="Q329" t="str">
            <v>鈴木様</v>
          </cell>
          <cell r="R329" t="str">
            <v>〒780-0087　高知県高知市南久保9-8</v>
          </cell>
          <cell r="S329" t="str">
            <v>088-880-0666</v>
          </cell>
          <cell r="T329" t="str">
            <v>088-880-0668</v>
          </cell>
          <cell r="U329" t="str">
            <v>国保梼原病院</v>
          </cell>
          <cell r="V329" t="str">
            <v>-</v>
          </cell>
          <cell r="W329" t="str">
            <v>-</v>
          </cell>
          <cell r="X329" t="str">
            <v>0889-65-1151</v>
          </cell>
          <cell r="Y329" t="str">
            <v>〒785-0612　高知県高岡郡梼原町川西路2320-1</v>
          </cell>
          <cell r="AA329" t="str">
            <v>P02173-02</v>
          </cell>
          <cell r="AB329" t="str">
            <v/>
          </cell>
          <cell r="AC329" t="str">
            <v/>
          </cell>
          <cell r="AD329" t="str">
            <v/>
          </cell>
          <cell r="AE329" t="str">
            <v/>
          </cell>
          <cell r="AF329" t="str">
            <v/>
          </cell>
          <cell r="AG329" t="str">
            <v/>
          </cell>
          <cell r="AH329" t="str">
            <v/>
          </cell>
          <cell r="AI329" t="str">
            <v/>
          </cell>
          <cell r="AJ329" t="str">
            <v/>
          </cell>
          <cell r="AK329" t="str">
            <v>WIRE HARNESS, DISPLAY, C2</v>
          </cell>
          <cell r="AL329" t="str">
            <v/>
          </cell>
          <cell r="AM329" t="str">
            <v/>
          </cell>
          <cell r="AN329" t="str">
            <v/>
          </cell>
          <cell r="AO329" t="str">
            <v/>
          </cell>
          <cell r="AP329" t="str">
            <v/>
          </cell>
          <cell r="AQ329" t="str">
            <v/>
          </cell>
          <cell r="AR329" t="str">
            <v/>
          </cell>
          <cell r="AS329" t="str">
            <v/>
          </cell>
          <cell r="AT329" t="str">
            <v/>
          </cell>
          <cell r="AU329">
            <v>41122</v>
          </cell>
        </row>
        <row r="330">
          <cell r="A330" t="str">
            <v>S16-0327</v>
          </cell>
          <cell r="B330" t="str">
            <v>川崎医科大学附属病院_0327 (2)</v>
          </cell>
          <cell r="C330" t="str">
            <v>SR#不要</v>
          </cell>
          <cell r="D330" t="str">
            <v>2016/05/11-03</v>
          </cell>
          <cell r="E330" t="str">
            <v>有償</v>
          </cell>
          <cell r="F330">
            <v>42506</v>
          </cell>
          <cell r="G330">
            <v>42506</v>
          </cell>
          <cell r="H330">
            <v>42524</v>
          </cell>
          <cell r="I330" t="str">
            <v>不明</v>
          </cell>
          <cell r="K330" t="str">
            <v>馬屋原</v>
          </cell>
          <cell r="L330" t="str">
            <v>-</v>
          </cell>
          <cell r="M330" t="str">
            <v>180Plus</v>
          </cell>
          <cell r="N330" t="str">
            <v>033M9P</v>
          </cell>
          <cell r="O330" t="str">
            <v>P04327-03</v>
          </cell>
          <cell r="P330" t="str">
            <v>ﾃｨｰｴｽｱﾙﾌﾚｯｻ株式会社　岡山機器試薬店</v>
          </cell>
          <cell r="Q330" t="str">
            <v>神谷様</v>
          </cell>
          <cell r="R330" t="str">
            <v>〒701-0165　岡山県岡山市北区大内田828-4</v>
          </cell>
          <cell r="S330" t="str">
            <v>086-293-7710</v>
          </cell>
          <cell r="T330" t="str">
            <v>086-293-7705</v>
          </cell>
          <cell r="U330" t="str">
            <v>川崎医科大学附属病院　腎センター</v>
          </cell>
          <cell r="V330" t="str">
            <v>-</v>
          </cell>
          <cell r="W330" t="str">
            <v>腎センター</v>
          </cell>
          <cell r="X330" t="str">
            <v>086-464-1111</v>
          </cell>
          <cell r="Y330" t="str">
            <v>〒701-0192　岡山県倉敷市松島577</v>
          </cell>
          <cell r="AA330" t="str">
            <v/>
          </cell>
          <cell r="AB330" t="str">
            <v/>
          </cell>
          <cell r="AC330" t="str">
            <v/>
          </cell>
          <cell r="AD330" t="str">
            <v/>
          </cell>
          <cell r="AE330" t="str">
            <v/>
          </cell>
          <cell r="AF330" t="str">
            <v/>
          </cell>
          <cell r="AG330" t="str">
            <v/>
          </cell>
          <cell r="AH330" t="str">
            <v/>
          </cell>
          <cell r="AI330" t="str">
            <v/>
          </cell>
          <cell r="AJ330" t="str">
            <v/>
          </cell>
          <cell r="AK330" t="str">
            <v/>
          </cell>
          <cell r="AL330" t="str">
            <v/>
          </cell>
          <cell r="AM330" t="str">
            <v/>
          </cell>
          <cell r="AN330" t="str">
            <v/>
          </cell>
          <cell r="AO330" t="str">
            <v/>
          </cell>
          <cell r="AP330" t="str">
            <v/>
          </cell>
          <cell r="AQ330" t="str">
            <v/>
          </cell>
          <cell r="AR330" t="str">
            <v/>
          </cell>
          <cell r="AS330" t="str">
            <v/>
          </cell>
          <cell r="AT330" t="str">
            <v/>
          </cell>
          <cell r="AU330">
            <v>38384</v>
          </cell>
        </row>
        <row r="331">
          <cell r="A331" t="str">
            <v>S16-0328</v>
          </cell>
          <cell r="B331" t="str">
            <v>勤医協中央病院_0328 (2)</v>
          </cell>
          <cell r="C331" t="str">
            <v>SR#</v>
          </cell>
          <cell r="D331" t="str">
            <v>2016/05/11-06</v>
          </cell>
          <cell r="E331" t="str">
            <v>有償</v>
          </cell>
          <cell r="F331">
            <v>42506</v>
          </cell>
          <cell r="G331">
            <v>42506</v>
          </cell>
          <cell r="H331">
            <v>42528</v>
          </cell>
          <cell r="I331" t="str">
            <v>不明</v>
          </cell>
          <cell r="K331" t="str">
            <v>馬屋原</v>
          </cell>
          <cell r="L331">
            <v>3</v>
          </cell>
          <cell r="M331" t="str">
            <v>180Plus</v>
          </cell>
          <cell r="N331" t="str">
            <v>038P86</v>
          </cell>
          <cell r="O331" t="str">
            <v>P04326-04</v>
          </cell>
          <cell r="P331" t="str">
            <v>株式会社エム・イー器械　札幌営業所</v>
          </cell>
          <cell r="Q331" t="str">
            <v>小西様</v>
          </cell>
          <cell r="R331" t="str">
            <v>〒007-0834　北海道札幌市東区北34条東19丁目1-20</v>
          </cell>
          <cell r="S331" t="str">
            <v>011-789-1350</v>
          </cell>
          <cell r="T331" t="str">
            <v>011-789-1352</v>
          </cell>
          <cell r="U331" t="str">
            <v>勤医協中央病院</v>
          </cell>
          <cell r="V331" t="str">
            <v>在原様</v>
          </cell>
          <cell r="W331" t="str">
            <v>綜合診療科(5東)</v>
          </cell>
          <cell r="X331" t="str">
            <v>011-782-9111</v>
          </cell>
          <cell r="Y331" t="str">
            <v>〒007-8505　北海道札幌市東区東苗穂5条1丁目9-1</v>
          </cell>
          <cell r="AA331" t="str">
            <v>P00364-02</v>
          </cell>
          <cell r="AB331" t="str">
            <v>P00104-02</v>
          </cell>
          <cell r="AC331" t="str">
            <v>P00340-02</v>
          </cell>
          <cell r="AD331" t="str">
            <v/>
          </cell>
          <cell r="AE331" t="str">
            <v/>
          </cell>
          <cell r="AF331" t="str">
            <v/>
          </cell>
          <cell r="AG331" t="str">
            <v/>
          </cell>
          <cell r="AH331" t="str">
            <v/>
          </cell>
          <cell r="AI331" t="str">
            <v/>
          </cell>
          <cell r="AJ331" t="str">
            <v/>
          </cell>
          <cell r="AK331" t="str">
            <v>CONNECTOR, INTERPOSER</v>
          </cell>
          <cell r="AL331" t="str">
            <v>KEY, ON/OFF</v>
          </cell>
          <cell r="AM331" t="str">
            <v>LENS, DISPLAY</v>
          </cell>
          <cell r="AN331" t="str">
            <v/>
          </cell>
          <cell r="AO331" t="str">
            <v/>
          </cell>
          <cell r="AP331" t="str">
            <v/>
          </cell>
          <cell r="AQ331" t="str">
            <v/>
          </cell>
          <cell r="AR331" t="str">
            <v/>
          </cell>
          <cell r="AS331" t="str">
            <v/>
          </cell>
          <cell r="AT331" t="str">
            <v/>
          </cell>
          <cell r="AU331">
            <v>39264</v>
          </cell>
        </row>
        <row r="332">
          <cell r="A332" t="str">
            <v>S16-0329</v>
          </cell>
          <cell r="B332" t="str">
            <v>岡波総合病院_0329 (2)</v>
          </cell>
          <cell r="C332" t="str">
            <v>SR#</v>
          </cell>
          <cell r="D332" t="str">
            <v>-</v>
          </cell>
          <cell r="E332" t="str">
            <v>有償</v>
          </cell>
          <cell r="F332">
            <v>42506</v>
          </cell>
          <cell r="G332">
            <v>42506</v>
          </cell>
          <cell r="H332">
            <v>42587</v>
          </cell>
          <cell r="I332">
            <v>39479</v>
          </cell>
          <cell r="K332" t="str">
            <v>-</v>
          </cell>
          <cell r="L332" t="str">
            <v>-</v>
          </cell>
          <cell r="M332" t="str">
            <v>iLook25</v>
          </cell>
          <cell r="N332" t="str">
            <v>038548</v>
          </cell>
          <cell r="O332" t="str">
            <v>P04303-02</v>
          </cell>
          <cell r="P332" t="str">
            <v>日本コヴィディエン株式会社</v>
          </cell>
          <cell r="Q332" t="str">
            <v>佐藤様</v>
          </cell>
          <cell r="R332" t="str">
            <v>〒108-0075  東京都港区港南一丁目2番70号　品川シーズンテラス　22F</v>
          </cell>
          <cell r="S332" t="str">
            <v>03-6774-4629</v>
          </cell>
          <cell r="T332" t="str">
            <v>03-6774-4740</v>
          </cell>
          <cell r="U332" t="str">
            <v>岡波総合病院　幾内会</v>
          </cell>
          <cell r="X332" t="str">
            <v>0595-21-3135</v>
          </cell>
          <cell r="Y332" t="str">
            <v>〒518-0842 三重県伊賀市上野桑町1734</v>
          </cell>
          <cell r="AA332" t="str">
            <v/>
          </cell>
          <cell r="AB332" t="str">
            <v/>
          </cell>
          <cell r="AC332" t="str">
            <v/>
          </cell>
          <cell r="AD332" t="str">
            <v/>
          </cell>
          <cell r="AE332" t="str">
            <v/>
          </cell>
          <cell r="AF332" t="str">
            <v/>
          </cell>
          <cell r="AG332" t="str">
            <v/>
          </cell>
          <cell r="AH332" t="str">
            <v/>
          </cell>
          <cell r="AI332" t="str">
            <v/>
          </cell>
          <cell r="AJ332" t="str">
            <v/>
          </cell>
          <cell r="AK332" t="str">
            <v/>
          </cell>
          <cell r="AL332" t="str">
            <v/>
          </cell>
          <cell r="AM332" t="str">
            <v/>
          </cell>
          <cell r="AN332" t="str">
            <v/>
          </cell>
          <cell r="AO332" t="str">
            <v/>
          </cell>
          <cell r="AP332" t="str">
            <v/>
          </cell>
          <cell r="AQ332" t="str">
            <v/>
          </cell>
          <cell r="AR332" t="str">
            <v/>
          </cell>
          <cell r="AS332" t="str">
            <v/>
          </cell>
          <cell r="AT332" t="str">
            <v/>
          </cell>
          <cell r="AU332">
            <v>39114</v>
          </cell>
        </row>
        <row r="333">
          <cell r="A333" t="str">
            <v>S16-0330</v>
          </cell>
          <cell r="B333" t="str">
            <v>川口市立医療センター_0330（2）</v>
          </cell>
          <cell r="C333" t="str">
            <v>SR#不要</v>
          </cell>
          <cell r="D333" t="str">
            <v>2016/05/10-02</v>
          </cell>
          <cell r="E333" t="str">
            <v>有償</v>
          </cell>
          <cell r="F333">
            <v>42506</v>
          </cell>
          <cell r="G333">
            <v>42506</v>
          </cell>
          <cell r="H333">
            <v>42563</v>
          </cell>
          <cell r="I333" t="str">
            <v>不明</v>
          </cell>
          <cell r="K333" t="str">
            <v>-</v>
          </cell>
          <cell r="L333" t="str">
            <v>-</v>
          </cell>
          <cell r="M333" t="str">
            <v>AC電源アダプタ</v>
          </cell>
          <cell r="N333" t="str">
            <v>065352</v>
          </cell>
          <cell r="O333" t="str">
            <v>P09823-06</v>
          </cell>
          <cell r="P333" t="str">
            <v>株式会社ウイン・インターナショナル　埼玉営業所</v>
          </cell>
          <cell r="Q333" t="str">
            <v>寺坂様</v>
          </cell>
          <cell r="S333" t="str">
            <v>045-835-2721</v>
          </cell>
          <cell r="T333" t="str">
            <v>045-835-2723</v>
          </cell>
          <cell r="U333" t="str">
            <v>川口市立医療センター</v>
          </cell>
          <cell r="AA333" t="str">
            <v/>
          </cell>
          <cell r="AB333" t="str">
            <v/>
          </cell>
          <cell r="AC333" t="str">
            <v/>
          </cell>
          <cell r="AD333" t="str">
            <v/>
          </cell>
          <cell r="AE333" t="str">
            <v/>
          </cell>
          <cell r="AF333" t="str">
            <v/>
          </cell>
          <cell r="AG333" t="str">
            <v/>
          </cell>
          <cell r="AH333" t="str">
            <v/>
          </cell>
          <cell r="AI333" t="str">
            <v/>
          </cell>
          <cell r="AJ333" t="str">
            <v/>
          </cell>
          <cell r="AK333" t="str">
            <v/>
          </cell>
          <cell r="AL333" t="str">
            <v/>
          </cell>
          <cell r="AM333" t="str">
            <v/>
          </cell>
          <cell r="AN333" t="str">
            <v/>
          </cell>
          <cell r="AO333" t="str">
            <v/>
          </cell>
          <cell r="AP333" t="str">
            <v/>
          </cell>
          <cell r="AQ333" t="str">
            <v/>
          </cell>
          <cell r="AR333" t="str">
            <v/>
          </cell>
          <cell r="AS333" t="str">
            <v/>
          </cell>
          <cell r="AT333" t="str">
            <v/>
          </cell>
          <cell r="AU333">
            <v>41730</v>
          </cell>
        </row>
        <row r="334">
          <cell r="A334" t="str">
            <v>S16-0331</v>
          </cell>
          <cell r="B334" t="str">
            <v>宇治武田病院_0331 (3)</v>
          </cell>
          <cell r="C334" t="str">
            <v>SR#</v>
          </cell>
          <cell r="D334" t="str">
            <v>2016/05/12-01</v>
          </cell>
          <cell r="E334" t="str">
            <v>無償</v>
          </cell>
          <cell r="F334">
            <v>42507</v>
          </cell>
          <cell r="G334">
            <v>42507</v>
          </cell>
          <cell r="H334">
            <v>42520</v>
          </cell>
          <cell r="I334" t="str">
            <v>不明</v>
          </cell>
          <cell r="K334" t="str">
            <v>馬屋原</v>
          </cell>
          <cell r="L334">
            <v>3</v>
          </cell>
          <cell r="M334" t="str">
            <v>M-Turbo</v>
          </cell>
          <cell r="N334" t="str">
            <v>WK11PD</v>
          </cell>
          <cell r="O334" t="str">
            <v>P09141-23</v>
          </cell>
          <cell r="P334" t="str">
            <v>株式会社三笑堂</v>
          </cell>
          <cell r="Q334" t="str">
            <v>前田様</v>
          </cell>
          <cell r="R334" t="str">
            <v>〒601-8533　京都府京都市南区上鳥羽大物町68</v>
          </cell>
          <cell r="S334" t="str">
            <v>075-681-2750</v>
          </cell>
          <cell r="T334" t="str">
            <v>075-681-4391</v>
          </cell>
          <cell r="U334" t="str">
            <v>宇治武田病院</v>
          </cell>
          <cell r="V334" t="str">
            <v>吉村様</v>
          </cell>
          <cell r="W334" t="str">
            <v>-</v>
          </cell>
          <cell r="X334" t="str">
            <v>0774-25-2500</v>
          </cell>
          <cell r="Y334" t="str">
            <v>〒611-0021 京都府宇治市宇治里尻36-26</v>
          </cell>
          <cell r="AA334" t="str">
            <v>P19133-01</v>
          </cell>
          <cell r="AB334" t="str">
            <v>P19080-01</v>
          </cell>
          <cell r="AC334" t="str">
            <v>P18035-01</v>
          </cell>
          <cell r="AD334" t="str">
            <v/>
          </cell>
          <cell r="AE334" t="str">
            <v/>
          </cell>
          <cell r="AF334" t="str">
            <v/>
          </cell>
          <cell r="AG334" t="str">
            <v/>
          </cell>
          <cell r="AH334" t="str">
            <v/>
          </cell>
          <cell r="AI334" t="str">
            <v/>
          </cell>
          <cell r="AJ334" t="str">
            <v/>
          </cell>
          <cell r="AK334" t="str">
            <v>Kycon Connecto</v>
          </cell>
          <cell r="AL334" t="str">
            <v>Connector Brackets</v>
          </cell>
          <cell r="AM334" t="str">
            <v>Bracket screws　×　2</v>
          </cell>
          <cell r="AN334" t="str">
            <v/>
          </cell>
          <cell r="AO334" t="str">
            <v/>
          </cell>
          <cell r="AP334" t="str">
            <v/>
          </cell>
          <cell r="AQ334" t="str">
            <v/>
          </cell>
          <cell r="AR334" t="str">
            <v/>
          </cell>
          <cell r="AS334" t="str">
            <v/>
          </cell>
          <cell r="AT334" t="str">
            <v/>
          </cell>
          <cell r="AU334">
            <v>41000</v>
          </cell>
        </row>
        <row r="335">
          <cell r="A335" t="str">
            <v>S16-0332</v>
          </cell>
          <cell r="B335" t="str">
            <v>松本病院_0332</v>
          </cell>
          <cell r="C335" t="e">
            <v>#REF!</v>
          </cell>
          <cell r="D335" t="e">
            <v>#REF!</v>
          </cell>
          <cell r="E335" t="e">
            <v>#REF!</v>
          </cell>
          <cell r="F335" t="e">
            <v>#REF!</v>
          </cell>
          <cell r="G335" t="e">
            <v>#REF!</v>
          </cell>
          <cell r="H335" t="e">
            <v>#REF!</v>
          </cell>
          <cell r="I335" t="e">
            <v>#REF!</v>
          </cell>
          <cell r="K335" t="e">
            <v>#REF!</v>
          </cell>
          <cell r="M335" t="e">
            <v>#REF!</v>
          </cell>
          <cell r="N335" t="e">
            <v>#REF!</v>
          </cell>
          <cell r="O335" t="e">
            <v>#REF!</v>
          </cell>
          <cell r="P335" t="e">
            <v>#REF!</v>
          </cell>
          <cell r="Q335" t="e">
            <v>#REF!</v>
          </cell>
          <cell r="S335" t="e">
            <v>#REF!</v>
          </cell>
          <cell r="T335" t="e">
            <v>#REF!</v>
          </cell>
          <cell r="U335" t="e">
            <v>#REF!</v>
          </cell>
          <cell r="AA335" t="e">
            <v>#REF!</v>
          </cell>
          <cell r="AB335" t="e">
            <v>#REF!</v>
          </cell>
          <cell r="AC335" t="e">
            <v>#REF!</v>
          </cell>
          <cell r="AD335" t="e">
            <v>#REF!</v>
          </cell>
          <cell r="AE335" t="e">
            <v>#REF!</v>
          </cell>
          <cell r="AF335" t="e">
            <v>#REF!</v>
          </cell>
          <cell r="AG335" t="e">
            <v>#REF!</v>
          </cell>
          <cell r="AH335" t="e">
            <v>#REF!</v>
          </cell>
          <cell r="AI335" t="e">
            <v>#REF!</v>
          </cell>
          <cell r="AJ335" t="e">
            <v>#REF!</v>
          </cell>
          <cell r="AK335" t="e">
            <v>#REF!</v>
          </cell>
          <cell r="AL335" t="e">
            <v>#REF!</v>
          </cell>
          <cell r="AM335" t="e">
            <v>#REF!</v>
          </cell>
          <cell r="AN335" t="e">
            <v>#REF!</v>
          </cell>
          <cell r="AO335" t="e">
            <v>#REF!</v>
          </cell>
          <cell r="AP335" t="e">
            <v>#REF!</v>
          </cell>
          <cell r="AQ335" t="e">
            <v>#REF!</v>
          </cell>
          <cell r="AR335" t="e">
            <v>#REF!</v>
          </cell>
          <cell r="AS335" t="e">
            <v>#REF!</v>
          </cell>
          <cell r="AT335" t="e">
            <v>#REF!</v>
          </cell>
          <cell r="AU335" t="e">
            <v>#REF!</v>
          </cell>
        </row>
        <row r="336">
          <cell r="A336" t="str">
            <v>S16-0333</v>
          </cell>
          <cell r="B336" t="str">
            <v>獨協医科大学越谷病院_0333 (2)</v>
          </cell>
          <cell r="C336" t="str">
            <v>SR#</v>
          </cell>
          <cell r="D336" t="str">
            <v>2016/05/11-01</v>
          </cell>
          <cell r="E336" t="str">
            <v/>
          </cell>
          <cell r="F336">
            <v>42508</v>
          </cell>
          <cell r="G336">
            <v>42508</v>
          </cell>
          <cell r="H336">
            <v>42541</v>
          </cell>
          <cell r="I336" t="str">
            <v>不明</v>
          </cell>
          <cell r="K336" t="str">
            <v>馬屋原</v>
          </cell>
          <cell r="L336">
            <v>3</v>
          </cell>
          <cell r="M336" t="str">
            <v>iLook15</v>
          </cell>
          <cell r="N336" t="str">
            <v>034DYK</v>
          </cell>
          <cell r="O336" t="str">
            <v>P04628-02</v>
          </cell>
          <cell r="P336" t="str">
            <v>株式会社 獨協メディカルサービス</v>
          </cell>
          <cell r="Q336" t="str">
            <v>重見様</v>
          </cell>
          <cell r="R336" t="str">
            <v>〒343-8555　埼玉県越谷市南越谷2-1-50 獨協医科大学越谷病院内</v>
          </cell>
          <cell r="S336" t="str">
            <v>048-965-5001</v>
          </cell>
          <cell r="T336" t="str">
            <v>048-965-5800</v>
          </cell>
          <cell r="U336" t="str">
            <v>獨協医科大学越谷病院</v>
          </cell>
          <cell r="V336" t="str">
            <v>-</v>
          </cell>
          <cell r="W336" t="str">
            <v>-</v>
          </cell>
          <cell r="X336" t="str">
            <v>048-965-5001</v>
          </cell>
          <cell r="Y336" t="str">
            <v>〒343-8555　埼玉県越谷市南越谷2-1-50</v>
          </cell>
          <cell r="AA336" t="str">
            <v>P01911-04</v>
          </cell>
          <cell r="AB336" t="str">
            <v/>
          </cell>
          <cell r="AC336" t="str">
            <v/>
          </cell>
          <cell r="AD336" t="str">
            <v/>
          </cell>
          <cell r="AE336" t="str">
            <v/>
          </cell>
          <cell r="AF336" t="str">
            <v/>
          </cell>
          <cell r="AG336" t="str">
            <v/>
          </cell>
          <cell r="AH336" t="str">
            <v/>
          </cell>
          <cell r="AI336" t="str">
            <v/>
          </cell>
          <cell r="AJ336" t="str">
            <v/>
          </cell>
          <cell r="AK336" t="str">
            <v>BATTERY PACK, 3 CELL, LITHIUM-ION, ILOOK, HIGH CAPACITY</v>
          </cell>
          <cell r="AL336" t="str">
            <v/>
          </cell>
          <cell r="AM336" t="str">
            <v/>
          </cell>
          <cell r="AN336" t="str">
            <v/>
          </cell>
          <cell r="AO336" t="str">
            <v/>
          </cell>
          <cell r="AP336" t="str">
            <v/>
          </cell>
          <cell r="AQ336" t="str">
            <v/>
          </cell>
          <cell r="AR336" t="str">
            <v/>
          </cell>
          <cell r="AS336" t="str">
            <v/>
          </cell>
          <cell r="AT336" t="str">
            <v/>
          </cell>
          <cell r="AU336">
            <v>38443</v>
          </cell>
        </row>
        <row r="337">
          <cell r="A337" t="str">
            <v>S16-0334</v>
          </cell>
          <cell r="B337" t="str">
            <v>さいたま市立病院_0334 (2)</v>
          </cell>
          <cell r="C337" t="str">
            <v>SR#</v>
          </cell>
          <cell r="D337" t="str">
            <v>-</v>
          </cell>
          <cell r="E337" t="str">
            <v>無償</v>
          </cell>
          <cell r="F337">
            <v>42508</v>
          </cell>
          <cell r="G337">
            <v>42508</v>
          </cell>
          <cell r="H337">
            <v>42534</v>
          </cell>
          <cell r="I337" t="str">
            <v>不明</v>
          </cell>
          <cell r="K337" t="str">
            <v>馬屋原</v>
          </cell>
          <cell r="L337">
            <v>3</v>
          </cell>
          <cell r="M337" t="str">
            <v>MicroMaxx</v>
          </cell>
          <cell r="N337" t="str">
            <v>WK0VJR</v>
          </cell>
          <cell r="O337" t="str">
            <v>P08063-07</v>
          </cell>
          <cell r="P337" t="str">
            <v>株式会社 栗原医療器械店 さいたま支店</v>
          </cell>
          <cell r="Q337" t="str">
            <v>梶谷様</v>
          </cell>
          <cell r="R337" t="str">
            <v>〒337-0051 埼玉県さいたま市見沼区東大宮6丁目3-3</v>
          </cell>
          <cell r="S337" t="str">
            <v>048-687-5210</v>
          </cell>
          <cell r="T337" t="str">
            <v>.048-687-5259</v>
          </cell>
          <cell r="U337" t="str">
            <v>さいたま市立病院</v>
          </cell>
          <cell r="V337" t="str">
            <v>-</v>
          </cell>
          <cell r="W337" t="str">
            <v>-</v>
          </cell>
          <cell r="X337" t="str">
            <v>048-873-4111</v>
          </cell>
          <cell r="Y337" t="str">
            <v>〒336-8522　埼玉県さいたま市緑区三室2460</v>
          </cell>
          <cell r="AA337" t="str">
            <v>P19133-01</v>
          </cell>
          <cell r="AB337" t="str">
            <v>P19080-01</v>
          </cell>
          <cell r="AC337" t="str">
            <v>P18035-01</v>
          </cell>
          <cell r="AD337" t="str">
            <v/>
          </cell>
          <cell r="AE337" t="str">
            <v/>
          </cell>
          <cell r="AF337" t="str">
            <v/>
          </cell>
          <cell r="AG337" t="str">
            <v/>
          </cell>
          <cell r="AH337" t="str">
            <v/>
          </cell>
          <cell r="AI337" t="str">
            <v/>
          </cell>
          <cell r="AJ337" t="str">
            <v/>
          </cell>
          <cell r="AK337" t="str">
            <v>Kyco Connecto</v>
          </cell>
          <cell r="AL337" t="str">
            <v>Connector Brackets</v>
          </cell>
          <cell r="AM337" t="str">
            <v>Bracket screws　×　2</v>
          </cell>
          <cell r="AN337" t="str">
            <v/>
          </cell>
          <cell r="AO337" t="str">
            <v/>
          </cell>
          <cell r="AP337" t="str">
            <v/>
          </cell>
          <cell r="AQ337" t="str">
            <v/>
          </cell>
          <cell r="AR337" t="str">
            <v/>
          </cell>
          <cell r="AS337" t="str">
            <v/>
          </cell>
          <cell r="AT337" t="str">
            <v/>
          </cell>
          <cell r="AU337">
            <v>41030</v>
          </cell>
        </row>
        <row r="338">
          <cell r="A338" t="str">
            <v>S16-0335</v>
          </cell>
          <cell r="B338" t="str">
            <v xml:space="preserve">産業医科大学_0335(2) </v>
          </cell>
          <cell r="C338" t="str">
            <v>SR#</v>
          </cell>
          <cell r="D338" t="str">
            <v>-</v>
          </cell>
          <cell r="E338" t="str">
            <v>有償</v>
          </cell>
          <cell r="F338">
            <v>42508</v>
          </cell>
          <cell r="G338">
            <v>42508</v>
          </cell>
          <cell r="H338">
            <v>42548</v>
          </cell>
          <cell r="I338">
            <v>38596</v>
          </cell>
          <cell r="K338" t="str">
            <v>-</v>
          </cell>
          <cell r="L338" t="str">
            <v>-</v>
          </cell>
          <cell r="M338" t="str">
            <v>iLook25</v>
          </cell>
          <cell r="N338" t="str">
            <v>032ZXZ</v>
          </cell>
          <cell r="O338" t="str">
            <v>P04303-01</v>
          </cell>
          <cell r="P338" t="str">
            <v>日本コヴィディエン株式会社</v>
          </cell>
          <cell r="Q338" t="str">
            <v>毛利様</v>
          </cell>
          <cell r="R338" t="str">
            <v>〒108-0075  東京都港区港南一丁目2番70号　品川シーズンテラス　22F</v>
          </cell>
          <cell r="S338" t="str">
            <v>03-6774-4629</v>
          </cell>
          <cell r="T338" t="str">
            <v>03-6774-4740</v>
          </cell>
          <cell r="U338" t="str">
            <v>産業医科大学</v>
          </cell>
          <cell r="V338" t="str">
            <v>-</v>
          </cell>
          <cell r="W338" t="str">
            <v>-</v>
          </cell>
          <cell r="X338" t="str">
            <v>093-603-1611</v>
          </cell>
          <cell r="Y338" t="str">
            <v>〒807-8556　福岡県北九州市八幡西区医生ヶ丘1番1号</v>
          </cell>
          <cell r="AA338" t="str">
            <v/>
          </cell>
          <cell r="AB338" t="str">
            <v/>
          </cell>
          <cell r="AC338" t="str">
            <v/>
          </cell>
          <cell r="AD338" t="str">
            <v/>
          </cell>
          <cell r="AE338" t="str">
            <v/>
          </cell>
          <cell r="AF338" t="str">
            <v/>
          </cell>
          <cell r="AG338" t="str">
            <v/>
          </cell>
          <cell r="AH338" t="str">
            <v/>
          </cell>
          <cell r="AI338" t="str">
            <v/>
          </cell>
          <cell r="AJ338" t="str">
            <v/>
          </cell>
          <cell r="AK338" t="str">
            <v/>
          </cell>
          <cell r="AL338" t="str">
            <v/>
          </cell>
          <cell r="AM338" t="str">
            <v/>
          </cell>
          <cell r="AN338" t="str">
            <v/>
          </cell>
          <cell r="AO338" t="str">
            <v/>
          </cell>
          <cell r="AP338" t="str">
            <v/>
          </cell>
          <cell r="AQ338" t="str">
            <v/>
          </cell>
          <cell r="AR338" t="str">
            <v/>
          </cell>
          <cell r="AS338" t="str">
            <v/>
          </cell>
          <cell r="AT338" t="str">
            <v/>
          </cell>
          <cell r="AU338">
            <v>38261</v>
          </cell>
        </row>
        <row r="339">
          <cell r="A339" t="str">
            <v>S16-0336</v>
          </cell>
          <cell r="B339" t="str">
            <v>名古屋大学医学部附属病院_0336 (2)</v>
          </cell>
          <cell r="C339" t="str">
            <v>SR#4210905</v>
          </cell>
          <cell r="D339" t="str">
            <v>2016/05/17-05</v>
          </cell>
          <cell r="E339" t="str">
            <v>無償</v>
          </cell>
          <cell r="F339">
            <v>42509</v>
          </cell>
          <cell r="G339">
            <v>42509</v>
          </cell>
          <cell r="H339">
            <v>42528</v>
          </cell>
          <cell r="I339" t="str">
            <v>不明</v>
          </cell>
          <cell r="K339" t="str">
            <v>馬屋原</v>
          </cell>
          <cell r="L339">
            <v>3</v>
          </cell>
          <cell r="M339" t="str">
            <v>M-Turbo</v>
          </cell>
          <cell r="N339" t="str">
            <v>WK0W8C</v>
          </cell>
          <cell r="O339" t="str">
            <v>P09141-23</v>
          </cell>
          <cell r="P339" t="str">
            <v>富士フイルムメディカル株式会社</v>
          </cell>
          <cell r="Q339" t="str">
            <v>村上様</v>
          </cell>
          <cell r="R339" t="str">
            <v>〒460-8404　愛知県名古屋市中区栄1-12-17 富士フイルム名古屋ビル4階</v>
          </cell>
          <cell r="S339" t="str">
            <v>052-221-7871</v>
          </cell>
          <cell r="T339" t="str">
            <v>052-203-4875</v>
          </cell>
          <cell r="U339" t="str">
            <v>名古屋大学医学部附属病院</v>
          </cell>
          <cell r="V339" t="str">
            <v>-</v>
          </cell>
          <cell r="W339" t="str">
            <v>-</v>
          </cell>
          <cell r="X339" t="str">
            <v>052-741-2111</v>
          </cell>
          <cell r="Y339" t="str">
            <v>〒466-8560　愛知県名古屋市昭和区鶴舞町65</v>
          </cell>
          <cell r="AA339" t="str">
            <v>P08306-01</v>
          </cell>
          <cell r="AB339" t="str">
            <v>P08856-01</v>
          </cell>
          <cell r="AC339" t="str">
            <v>P19087-01</v>
          </cell>
          <cell r="AD339" t="str">
            <v/>
          </cell>
          <cell r="AE339" t="str">
            <v/>
          </cell>
          <cell r="AF339" t="str">
            <v/>
          </cell>
          <cell r="AG339" t="str">
            <v/>
          </cell>
          <cell r="AH339" t="str">
            <v/>
          </cell>
          <cell r="AI339" t="str">
            <v/>
          </cell>
          <cell r="AJ339" t="str">
            <v/>
          </cell>
          <cell r="AK339" t="str">
            <v>CONN COMPRESSION</v>
          </cell>
          <cell r="AL339" t="str">
            <v>SERVICE ASSEMBLY CONTROL PANEL, M-TURBO, ENGLISH</v>
          </cell>
          <cell r="AM339" t="str">
            <v>MAIN PCBA, M-Turbo</v>
          </cell>
          <cell r="AN339" t="str">
            <v/>
          </cell>
          <cell r="AO339" t="str">
            <v/>
          </cell>
          <cell r="AP339" t="str">
            <v/>
          </cell>
          <cell r="AQ339" t="str">
            <v/>
          </cell>
          <cell r="AR339" t="str">
            <v/>
          </cell>
          <cell r="AS339" t="str">
            <v/>
          </cell>
          <cell r="AT339" t="str">
            <v/>
          </cell>
          <cell r="AU339">
            <v>40909</v>
          </cell>
        </row>
        <row r="340">
          <cell r="A340" t="str">
            <v>S16-0337</v>
          </cell>
          <cell r="B340" t="str">
            <v>代替機NIM104_0337 (2)</v>
          </cell>
          <cell r="C340" t="str">
            <v>SR#4209271</v>
          </cell>
          <cell r="D340" t="str">
            <v>-</v>
          </cell>
          <cell r="E340" t="str">
            <v>無償</v>
          </cell>
          <cell r="F340">
            <v>42509</v>
          </cell>
          <cell r="G340">
            <v>42509</v>
          </cell>
          <cell r="H340">
            <v>42520</v>
          </cell>
          <cell r="I340" t="str">
            <v>―</v>
          </cell>
          <cell r="K340" t="str">
            <v>馬屋原</v>
          </cell>
          <cell r="L340">
            <v>3</v>
          </cell>
          <cell r="M340" t="str">
            <v>M-Turbo</v>
          </cell>
          <cell r="N340" t="str">
            <v>03CDGV</v>
          </cell>
          <cell r="O340" t="str">
            <v>P09141-03</v>
          </cell>
          <cell r="P340" t="str">
            <v>富士フイルムメディカル株式会社</v>
          </cell>
          <cell r="Q340" t="str">
            <v>テクニカルサポート</v>
          </cell>
          <cell r="R340" t="str">
            <v>-</v>
          </cell>
          <cell r="S340" t="str">
            <v>03-6418-7190</v>
          </cell>
          <cell r="T340" t="str">
            <v>03-6418-7162</v>
          </cell>
          <cell r="U340" t="str">
            <v>代替機 NIM104</v>
          </cell>
          <cell r="V340" t="str">
            <v>-</v>
          </cell>
          <cell r="W340" t="str">
            <v>-</v>
          </cell>
          <cell r="X340" t="str">
            <v>-</v>
          </cell>
          <cell r="Y340" t="str">
            <v>-</v>
          </cell>
          <cell r="AA340" t="str">
            <v>P00163-01</v>
          </cell>
          <cell r="AB340" t="str">
            <v/>
          </cell>
          <cell r="AC340" t="str">
            <v/>
          </cell>
          <cell r="AD340" t="str">
            <v/>
          </cell>
          <cell r="AE340" t="str">
            <v/>
          </cell>
          <cell r="AF340" t="str">
            <v/>
          </cell>
          <cell r="AG340" t="str">
            <v/>
          </cell>
          <cell r="AH340" t="str">
            <v/>
          </cell>
          <cell r="AI340" t="str">
            <v/>
          </cell>
          <cell r="AJ340" t="str">
            <v/>
          </cell>
          <cell r="AK340" t="str">
            <v>BAT,3V,7MAH,BUTTON,LITH,RECHARG,PCB,ROHS</v>
          </cell>
          <cell r="AL340" t="str">
            <v/>
          </cell>
          <cell r="AM340" t="str">
            <v/>
          </cell>
          <cell r="AN340" t="str">
            <v/>
          </cell>
          <cell r="AO340" t="str">
            <v/>
          </cell>
          <cell r="AP340" t="str">
            <v/>
          </cell>
          <cell r="AQ340" t="str">
            <v/>
          </cell>
          <cell r="AR340" t="str">
            <v/>
          </cell>
          <cell r="AS340" t="str">
            <v/>
          </cell>
          <cell r="AT340" t="str">
            <v/>
          </cell>
          <cell r="AU340">
            <v>39569</v>
          </cell>
        </row>
        <row r="341">
          <cell r="A341" t="str">
            <v>S16-0338</v>
          </cell>
          <cell r="B341" t="str">
            <v>三つ葉在宅クリニック_0338 (2)</v>
          </cell>
          <cell r="C341" t="str">
            <v>SR#不要</v>
          </cell>
          <cell r="D341" t="str">
            <v>2016/05/16-06</v>
          </cell>
          <cell r="E341" t="str">
            <v>有償</v>
          </cell>
          <cell r="F341">
            <v>42509</v>
          </cell>
          <cell r="G341">
            <v>42509</v>
          </cell>
          <cell r="H341">
            <v>42524</v>
          </cell>
          <cell r="I341" t="str">
            <v>不明</v>
          </cell>
          <cell r="K341" t="str">
            <v>馬屋原</v>
          </cell>
          <cell r="L341" t="str">
            <v>-</v>
          </cell>
          <cell r="M341" t="str">
            <v>180Plus</v>
          </cell>
          <cell r="N341" t="str">
            <v>03BM9K</v>
          </cell>
          <cell r="O341" t="str">
            <v>P04326-04</v>
          </cell>
          <cell r="P341" t="str">
            <v>株式会社八神製作所</v>
          </cell>
          <cell r="Q341" t="str">
            <v>高島様</v>
          </cell>
          <cell r="R341" t="str">
            <v>〒460-8318　愛知県名古屋市中区千代田2-16-30</v>
          </cell>
          <cell r="S341" t="str">
            <v>052-261-1738</v>
          </cell>
          <cell r="T341" t="str">
            <v>052-251-7726</v>
          </cell>
          <cell r="U341" t="str">
            <v>三つ葉在宅クリニック</v>
          </cell>
          <cell r="V341" t="str">
            <v>-</v>
          </cell>
          <cell r="W341" t="str">
            <v>-</v>
          </cell>
          <cell r="X341" t="str">
            <v>052-858-3281</v>
          </cell>
          <cell r="Y341" t="str">
            <v>〒466-0015　愛知県名古屋市昭和区御器所通3-12 　御器所ステーションビル3F</v>
          </cell>
          <cell r="AA341" t="str">
            <v/>
          </cell>
          <cell r="AB341" t="str">
            <v/>
          </cell>
          <cell r="AC341" t="str">
            <v/>
          </cell>
          <cell r="AD341" t="str">
            <v/>
          </cell>
          <cell r="AE341" t="str">
            <v/>
          </cell>
          <cell r="AF341" t="str">
            <v/>
          </cell>
          <cell r="AG341" t="str">
            <v/>
          </cell>
          <cell r="AH341" t="str">
            <v/>
          </cell>
          <cell r="AI341" t="str">
            <v/>
          </cell>
          <cell r="AJ341" t="str">
            <v/>
          </cell>
          <cell r="AK341" t="str">
            <v/>
          </cell>
          <cell r="AL341" t="str">
            <v/>
          </cell>
          <cell r="AM341" t="str">
            <v/>
          </cell>
          <cell r="AN341" t="str">
            <v/>
          </cell>
          <cell r="AO341" t="str">
            <v/>
          </cell>
          <cell r="AP341" t="str">
            <v/>
          </cell>
          <cell r="AQ341" t="str">
            <v/>
          </cell>
          <cell r="AR341" t="str">
            <v/>
          </cell>
          <cell r="AS341" t="str">
            <v/>
          </cell>
          <cell r="AT341" t="str">
            <v/>
          </cell>
          <cell r="AU341">
            <v>39508</v>
          </cell>
        </row>
        <row r="342">
          <cell r="A342" t="str">
            <v>S16-0339</v>
          </cell>
          <cell r="B342" t="str">
            <v>JCHO南海医療センター_0339 (2)</v>
          </cell>
          <cell r="C342" t="str">
            <v>SR#不要</v>
          </cell>
          <cell r="D342" t="str">
            <v>2016/05/16-02</v>
          </cell>
          <cell r="E342" t="str">
            <v>有償</v>
          </cell>
          <cell r="F342">
            <v>42509</v>
          </cell>
          <cell r="G342">
            <v>42509</v>
          </cell>
          <cell r="H342">
            <v>42695</v>
          </cell>
          <cell r="I342" t="str">
            <v>不明</v>
          </cell>
          <cell r="K342" t="str">
            <v>-</v>
          </cell>
          <cell r="L342" t="str">
            <v>-</v>
          </cell>
          <cell r="M342" t="str">
            <v>C60x/5-2</v>
          </cell>
          <cell r="N342" t="str">
            <v>03FCH2</v>
          </cell>
          <cell r="O342" t="str">
            <v>P09149-04</v>
          </cell>
          <cell r="P342" t="str">
            <v>株式会社フィデスワン 大分営業所</v>
          </cell>
          <cell r="Q342" t="str">
            <v>三浦様</v>
          </cell>
          <cell r="R342" t="str">
            <v>〒870-0014　大分県大分市勢泉芦崎1202-10 オリベ第3ビル1Ｆ</v>
          </cell>
          <cell r="S342" t="str">
            <v>097-573-9030</v>
          </cell>
          <cell r="T342" t="str">
            <v>097-973-5040</v>
          </cell>
          <cell r="U342" t="str">
            <v>JCHO 南海医療センター</v>
          </cell>
          <cell r="V342" t="str">
            <v>-</v>
          </cell>
          <cell r="W342" t="str">
            <v>-</v>
          </cell>
          <cell r="X342" t="str">
            <v>0972-22-0547</v>
          </cell>
          <cell r="Y342" t="str">
            <v>〒876-0857　大分県佐伯市常盤西町11-20</v>
          </cell>
          <cell r="AA342" t="str">
            <v/>
          </cell>
          <cell r="AB342" t="str">
            <v/>
          </cell>
          <cell r="AC342" t="str">
            <v/>
          </cell>
          <cell r="AD342" t="str">
            <v/>
          </cell>
          <cell r="AE342" t="str">
            <v/>
          </cell>
          <cell r="AF342" t="str">
            <v/>
          </cell>
          <cell r="AG342" t="str">
            <v/>
          </cell>
          <cell r="AH342" t="str">
            <v/>
          </cell>
          <cell r="AI342" t="str">
            <v/>
          </cell>
          <cell r="AJ342" t="str">
            <v/>
          </cell>
          <cell r="AK342" t="str">
            <v/>
          </cell>
          <cell r="AL342" t="str">
            <v/>
          </cell>
          <cell r="AM342" t="str">
            <v/>
          </cell>
          <cell r="AN342" t="str">
            <v/>
          </cell>
          <cell r="AO342" t="str">
            <v/>
          </cell>
          <cell r="AP342" t="str">
            <v/>
          </cell>
          <cell r="AQ342" t="str">
            <v/>
          </cell>
          <cell r="AR342" t="str">
            <v/>
          </cell>
          <cell r="AS342" t="str">
            <v/>
          </cell>
          <cell r="AT342" t="str">
            <v/>
          </cell>
          <cell r="AU342">
            <v>39814</v>
          </cell>
        </row>
        <row r="343">
          <cell r="A343" t="str">
            <v>S16-0340</v>
          </cell>
          <cell r="B343" t="str">
            <v>木戸病院_0340 (2)</v>
          </cell>
          <cell r="C343" t="str">
            <v>SR#4210909</v>
          </cell>
          <cell r="D343" t="str">
            <v>2016/04/26-01</v>
          </cell>
          <cell r="E343" t="str">
            <v>無償</v>
          </cell>
          <cell r="F343">
            <v>42510</v>
          </cell>
          <cell r="G343">
            <v>42510</v>
          </cell>
          <cell r="H343">
            <v>42520</v>
          </cell>
          <cell r="I343">
            <v>41486</v>
          </cell>
          <cell r="K343" t="str">
            <v>馬屋原</v>
          </cell>
          <cell r="L343" t="str">
            <v>-</v>
          </cell>
          <cell r="M343" t="str">
            <v>M-Turbo</v>
          </cell>
          <cell r="N343" t="str">
            <v>WK1HPT</v>
          </cell>
          <cell r="O343" t="str">
            <v>P16693-01</v>
          </cell>
          <cell r="P343" t="str">
            <v>源川医科器械株式会社</v>
          </cell>
          <cell r="Q343" t="str">
            <v>渡辺様</v>
          </cell>
          <cell r="R343" t="str">
            <v>〒950-0141　新潟県新潟市江南区亀田工業団地2-2528-38</v>
          </cell>
          <cell r="S343" t="str">
            <v>025-385-8307</v>
          </cell>
          <cell r="T343" t="str">
            <v>025-385-8311</v>
          </cell>
          <cell r="U343" t="str">
            <v>木戸病院</v>
          </cell>
          <cell r="V343" t="str">
            <v>-</v>
          </cell>
          <cell r="W343" t="str">
            <v>皮膚科外来</v>
          </cell>
          <cell r="X343" t="str">
            <v>025-273-2151</v>
          </cell>
          <cell r="Y343" t="str">
            <v xml:space="preserve">〒950-0862　新潟県新潟市東区竹尾4-13-3 </v>
          </cell>
          <cell r="AA343" t="str">
            <v>P08306-01</v>
          </cell>
          <cell r="AB343" t="str">
            <v/>
          </cell>
          <cell r="AC343" t="str">
            <v/>
          </cell>
          <cell r="AD343" t="str">
            <v/>
          </cell>
          <cell r="AE343" t="str">
            <v/>
          </cell>
          <cell r="AF343" t="str">
            <v/>
          </cell>
          <cell r="AG343" t="str">
            <v/>
          </cell>
          <cell r="AH343" t="str">
            <v/>
          </cell>
          <cell r="AI343" t="str">
            <v/>
          </cell>
          <cell r="AJ343" t="str">
            <v/>
          </cell>
          <cell r="AK343" t="e">
            <v>#N/A</v>
          </cell>
          <cell r="AL343" t="str">
            <v/>
          </cell>
          <cell r="AM343" t="str">
            <v/>
          </cell>
          <cell r="AN343" t="str">
            <v/>
          </cell>
          <cell r="AO343" t="str">
            <v/>
          </cell>
          <cell r="AP343" t="str">
            <v/>
          </cell>
          <cell r="AQ343" t="str">
            <v/>
          </cell>
          <cell r="AR343" t="str">
            <v/>
          </cell>
          <cell r="AS343" t="str">
            <v/>
          </cell>
          <cell r="AT343" t="str">
            <v/>
          </cell>
          <cell r="AU343">
            <v>41306</v>
          </cell>
        </row>
        <row r="344">
          <cell r="A344" t="str">
            <v>S16-0341</v>
          </cell>
          <cell r="B344" t="str">
            <v>さくら鍼灸接骨院_0341 (2)</v>
          </cell>
          <cell r="C344" t="str">
            <v>SR#4210907</v>
          </cell>
          <cell r="D344" t="str">
            <v>2016/5/13-05</v>
          </cell>
          <cell r="E344" t="str">
            <v>無償</v>
          </cell>
          <cell r="F344">
            <v>42510</v>
          </cell>
          <cell r="G344">
            <v>42510</v>
          </cell>
          <cell r="H344">
            <v>42527</v>
          </cell>
          <cell r="I344" t="str">
            <v>不明</v>
          </cell>
          <cell r="K344" t="str">
            <v>馬屋原</v>
          </cell>
          <cell r="L344">
            <v>3</v>
          </cell>
          <cell r="M344" t="str">
            <v>M-Turbo</v>
          </cell>
          <cell r="N344" t="str">
            <v>WK3FXG</v>
          </cell>
          <cell r="O344" t="str">
            <v>P16693-62</v>
          </cell>
          <cell r="P344" t="str">
            <v>富士フイルムメディカル株式会社</v>
          </cell>
          <cell r="Q344" t="str">
            <v>中井様</v>
          </cell>
          <cell r="R344" t="str">
            <v xml:space="preserve">〒532-0004　大阪府大阪市淀川区西宮原1-3-5
</v>
          </cell>
          <cell r="S344" t="str">
            <v>06-6396-5102</v>
          </cell>
          <cell r="T344" t="str">
            <v>06-6396-5103</v>
          </cell>
          <cell r="U344" t="str">
            <v>さくら鍼灸接骨院</v>
          </cell>
          <cell r="V344" t="str">
            <v>小林様</v>
          </cell>
          <cell r="W344" t="str">
            <v>-</v>
          </cell>
          <cell r="X344" t="str">
            <v>0725-33-4154</v>
          </cell>
          <cell r="Y344" t="str">
            <v>〒595-0012　大阪府泉大津市北豊中町2-13-22</v>
          </cell>
          <cell r="AA344" t="str">
            <v>P08306-01</v>
          </cell>
          <cell r="AB344" t="str">
            <v/>
          </cell>
          <cell r="AC344" t="str">
            <v/>
          </cell>
          <cell r="AD344" t="str">
            <v/>
          </cell>
          <cell r="AE344" t="str">
            <v/>
          </cell>
          <cell r="AF344" t="str">
            <v/>
          </cell>
          <cell r="AG344" t="str">
            <v/>
          </cell>
          <cell r="AH344" t="str">
            <v/>
          </cell>
          <cell r="AI344" t="str">
            <v/>
          </cell>
          <cell r="AJ344" t="str">
            <v/>
          </cell>
          <cell r="AK344" t="str">
            <v>CONN, COMPRESSION</v>
          </cell>
          <cell r="AL344" t="str">
            <v/>
          </cell>
          <cell r="AM344" t="str">
            <v/>
          </cell>
          <cell r="AN344" t="str">
            <v/>
          </cell>
          <cell r="AO344" t="str">
            <v/>
          </cell>
          <cell r="AP344" t="str">
            <v/>
          </cell>
          <cell r="AQ344" t="str">
            <v/>
          </cell>
          <cell r="AR344" t="str">
            <v/>
          </cell>
          <cell r="AS344" t="str">
            <v/>
          </cell>
          <cell r="AT344" t="str">
            <v/>
          </cell>
          <cell r="AU344">
            <v>42401</v>
          </cell>
        </row>
        <row r="345">
          <cell r="A345" t="str">
            <v>S16-0342</v>
          </cell>
          <cell r="B345" t="str">
            <v>札幌厚生病院_0342 (2)</v>
          </cell>
          <cell r="C345" t="str">
            <v>SR#4209279</v>
          </cell>
          <cell r="D345" t="str">
            <v>-</v>
          </cell>
          <cell r="E345" t="str">
            <v>無償</v>
          </cell>
          <cell r="F345">
            <v>42510</v>
          </cell>
          <cell r="G345">
            <v>42510</v>
          </cell>
          <cell r="H345">
            <v>42528</v>
          </cell>
          <cell r="I345" t="str">
            <v>―</v>
          </cell>
          <cell r="K345" t="str">
            <v>馬屋原</v>
          </cell>
          <cell r="L345">
            <v>3</v>
          </cell>
          <cell r="M345" t="str">
            <v>NanoMaxx</v>
          </cell>
          <cell r="N345" t="str">
            <v>03XV14</v>
          </cell>
          <cell r="O345" t="str">
            <v>P12700-06</v>
          </cell>
          <cell r="P345" t="str">
            <v>富士フイルムメディカル株式会社</v>
          </cell>
          <cell r="Q345" t="str">
            <v>山内様</v>
          </cell>
          <cell r="R345" t="str">
            <v>〒001-0018　北海道札幌市北区北18条西3-1-38</v>
          </cell>
          <cell r="S345" t="str">
            <v>011-758-0381</v>
          </cell>
          <cell r="T345" t="str">
            <v>011-747-9485</v>
          </cell>
          <cell r="U345" t="str">
            <v>札幌厚生病院</v>
          </cell>
          <cell r="V345" t="str">
            <v>-</v>
          </cell>
          <cell r="W345" t="str">
            <v>-</v>
          </cell>
          <cell r="X345" t="str">
            <v>011-261-5331</v>
          </cell>
          <cell r="Y345" t="str">
            <v xml:space="preserve">〒060-0033　北海道札幌市中央区北3条東8丁目5
</v>
          </cell>
          <cell r="AA345" t="str">
            <v>P12718-02</v>
          </cell>
          <cell r="AB345" t="str">
            <v/>
          </cell>
          <cell r="AC345" t="str">
            <v/>
          </cell>
          <cell r="AD345" t="str">
            <v/>
          </cell>
          <cell r="AE345" t="str">
            <v/>
          </cell>
          <cell r="AF345" t="str">
            <v/>
          </cell>
          <cell r="AG345" t="str">
            <v/>
          </cell>
          <cell r="AH345" t="str">
            <v/>
          </cell>
          <cell r="AI345" t="str">
            <v/>
          </cell>
          <cell r="AJ345" t="str">
            <v/>
          </cell>
          <cell r="AK345" t="str">
            <v>SERVICE ASSEMBLY, BACK END PCB, NANOMAXX</v>
          </cell>
          <cell r="AL345" t="str">
            <v/>
          </cell>
          <cell r="AM345" t="str">
            <v/>
          </cell>
          <cell r="AN345" t="str">
            <v/>
          </cell>
          <cell r="AO345" t="str">
            <v/>
          </cell>
          <cell r="AP345" t="str">
            <v/>
          </cell>
          <cell r="AQ345" t="str">
            <v/>
          </cell>
          <cell r="AR345" t="str">
            <v/>
          </cell>
          <cell r="AS345" t="str">
            <v/>
          </cell>
          <cell r="AT345" t="str">
            <v/>
          </cell>
          <cell r="AU345">
            <v>41699</v>
          </cell>
        </row>
        <row r="346">
          <cell r="A346" t="str">
            <v>S16-0343</v>
          </cell>
          <cell r="B346" t="str">
            <v>南生協病院_0343</v>
          </cell>
          <cell r="C346" t="e">
            <v>#REF!</v>
          </cell>
          <cell r="D346" t="e">
            <v>#REF!</v>
          </cell>
          <cell r="E346" t="e">
            <v>#REF!</v>
          </cell>
          <cell r="F346" t="e">
            <v>#REF!</v>
          </cell>
          <cell r="G346" t="e">
            <v>#REF!</v>
          </cell>
          <cell r="H346" t="e">
            <v>#REF!</v>
          </cell>
          <cell r="I346" t="e">
            <v>#REF!</v>
          </cell>
          <cell r="K346" t="e">
            <v>#REF!</v>
          </cell>
          <cell r="M346" t="e">
            <v>#REF!</v>
          </cell>
          <cell r="N346" t="e">
            <v>#REF!</v>
          </cell>
          <cell r="O346" t="e">
            <v>#REF!</v>
          </cell>
          <cell r="P346" t="e">
            <v>#REF!</v>
          </cell>
          <cell r="Q346" t="e">
            <v>#REF!</v>
          </cell>
          <cell r="S346" t="e">
            <v>#REF!</v>
          </cell>
          <cell r="T346" t="e">
            <v>#REF!</v>
          </cell>
          <cell r="U346" t="e">
            <v>#REF!</v>
          </cell>
          <cell r="AA346" t="e">
            <v>#REF!</v>
          </cell>
          <cell r="AB346" t="e">
            <v>#REF!</v>
          </cell>
          <cell r="AC346" t="e">
            <v>#REF!</v>
          </cell>
          <cell r="AD346" t="e">
            <v>#REF!</v>
          </cell>
          <cell r="AE346" t="e">
            <v>#REF!</v>
          </cell>
          <cell r="AF346" t="e">
            <v>#REF!</v>
          </cell>
          <cell r="AG346" t="e">
            <v>#REF!</v>
          </cell>
          <cell r="AH346" t="e">
            <v>#REF!</v>
          </cell>
          <cell r="AI346" t="e">
            <v>#REF!</v>
          </cell>
          <cell r="AJ346" t="e">
            <v>#REF!</v>
          </cell>
          <cell r="AK346" t="e">
            <v>#REF!</v>
          </cell>
          <cell r="AL346" t="e">
            <v>#REF!</v>
          </cell>
          <cell r="AM346" t="e">
            <v>#REF!</v>
          </cell>
          <cell r="AN346" t="e">
            <v>#REF!</v>
          </cell>
          <cell r="AO346" t="e">
            <v>#REF!</v>
          </cell>
          <cell r="AP346" t="e">
            <v>#REF!</v>
          </cell>
          <cell r="AQ346" t="e">
            <v>#REF!</v>
          </cell>
          <cell r="AR346" t="e">
            <v>#REF!</v>
          </cell>
          <cell r="AS346" t="e">
            <v>#REF!</v>
          </cell>
          <cell r="AT346" t="e">
            <v>#REF!</v>
          </cell>
          <cell r="AU346" t="e">
            <v>#REF!</v>
          </cell>
        </row>
        <row r="347">
          <cell r="A347" t="str">
            <v>S16-0344</v>
          </cell>
          <cell r="B347" t="str">
            <v>新潟県立新発田病院_0344 (2)</v>
          </cell>
          <cell r="C347" t="str">
            <v>SR#</v>
          </cell>
          <cell r="D347" t="str">
            <v>2016/05/06-04</v>
          </cell>
          <cell r="E347" t="str">
            <v>有償</v>
          </cell>
          <cell r="F347">
            <v>42510</v>
          </cell>
          <cell r="G347">
            <v>42510</v>
          </cell>
          <cell r="H347">
            <v>42536</v>
          </cell>
          <cell r="I347" t="str">
            <v>不明</v>
          </cell>
          <cell r="K347" t="str">
            <v>-</v>
          </cell>
          <cell r="L347" t="str">
            <v>-</v>
          </cell>
          <cell r="M347" t="str">
            <v>180Plus</v>
          </cell>
          <cell r="N347" t="str">
            <v>0367NJ</v>
          </cell>
          <cell r="O347" t="str">
            <v>P04326-04</v>
          </cell>
          <cell r="P347" t="str">
            <v>ジェイメディカル株式会社</v>
          </cell>
          <cell r="Q347" t="str">
            <v>岩渕様</v>
          </cell>
          <cell r="R347" t="str">
            <v>〒950-8701　新潟県新潟市東区紫竹卸新町1808-22</v>
          </cell>
          <cell r="S347" t="str">
            <v>025-272-3311</v>
          </cell>
          <cell r="T347" t="str">
            <v>025-272-3321</v>
          </cell>
          <cell r="U347" t="str">
            <v>新潟県立新発田病院</v>
          </cell>
          <cell r="X347" t="str">
            <v>0254-22-3121</v>
          </cell>
          <cell r="Y347" t="str">
            <v>〒957-8588　新潟県新発田市本町1-2-8</v>
          </cell>
          <cell r="AA347" t="str">
            <v/>
          </cell>
          <cell r="AB347" t="str">
            <v/>
          </cell>
          <cell r="AC347" t="str">
            <v/>
          </cell>
          <cell r="AD347" t="str">
            <v/>
          </cell>
          <cell r="AE347" t="str">
            <v/>
          </cell>
          <cell r="AF347" t="str">
            <v/>
          </cell>
          <cell r="AG347" t="str">
            <v/>
          </cell>
          <cell r="AH347" t="str">
            <v/>
          </cell>
          <cell r="AI347" t="str">
            <v/>
          </cell>
          <cell r="AJ347" t="str">
            <v/>
          </cell>
          <cell r="AK347" t="str">
            <v/>
          </cell>
          <cell r="AL347" t="str">
            <v/>
          </cell>
          <cell r="AM347" t="str">
            <v/>
          </cell>
          <cell r="AN347" t="str">
            <v/>
          </cell>
          <cell r="AO347" t="str">
            <v/>
          </cell>
          <cell r="AP347" t="str">
            <v/>
          </cell>
          <cell r="AQ347" t="str">
            <v/>
          </cell>
          <cell r="AR347" t="str">
            <v/>
          </cell>
          <cell r="AS347" t="str">
            <v/>
          </cell>
          <cell r="AT347" t="str">
            <v/>
          </cell>
          <cell r="AU347">
            <v>38930</v>
          </cell>
        </row>
        <row r="348">
          <cell r="A348" t="str">
            <v>S16-0345</v>
          </cell>
          <cell r="B348" t="str">
            <v>総合母子保健センター愛育病院_0345 (2)</v>
          </cell>
          <cell r="C348" t="str">
            <v>SR#</v>
          </cell>
          <cell r="D348" t="str">
            <v>2016/05/13-01</v>
          </cell>
          <cell r="E348" t="str">
            <v>有償</v>
          </cell>
          <cell r="F348">
            <v>42510</v>
          </cell>
          <cell r="G348">
            <v>42510</v>
          </cell>
          <cell r="H348">
            <v>42548</v>
          </cell>
          <cell r="I348" t="str">
            <v>不明</v>
          </cell>
          <cell r="K348">
            <v>0</v>
          </cell>
          <cell r="M348" t="str">
            <v>180Plus</v>
          </cell>
          <cell r="N348" t="str">
            <v>03BH2K</v>
          </cell>
          <cell r="O348" t="str">
            <v>P04327-04</v>
          </cell>
          <cell r="P348" t="str">
            <v>株式会社イノメディックス　小石川営業所</v>
          </cell>
          <cell r="Q348" t="str">
            <v>奥村様</v>
          </cell>
          <cell r="S348" t="str">
            <v>03-3814-3645</v>
          </cell>
          <cell r="T348" t="str">
            <v>03-3815-8811</v>
          </cell>
          <cell r="U348" t="str">
            <v>総合母子保健センター愛育病院</v>
          </cell>
          <cell r="AA348" t="str">
            <v>P04332-06</v>
          </cell>
          <cell r="AB348" t="str">
            <v>P00104-02</v>
          </cell>
          <cell r="AC348" t="str">
            <v>P00343-01</v>
          </cell>
          <cell r="AD348" t="str">
            <v>P00340-02</v>
          </cell>
          <cell r="AE348" t="str">
            <v>P01213-01</v>
          </cell>
          <cell r="AF348" t="str">
            <v/>
          </cell>
          <cell r="AG348" t="str">
            <v/>
          </cell>
          <cell r="AH348" t="str">
            <v/>
          </cell>
          <cell r="AI348" t="str">
            <v/>
          </cell>
          <cell r="AJ348" t="str">
            <v/>
          </cell>
          <cell r="AK348" t="str">
            <v>C60/5-2 Convex Transducer ( C1.9 and after)</v>
          </cell>
          <cell r="AL348" t="str">
            <v>KEY, ON/OFF</v>
          </cell>
          <cell r="AM348" t="str">
            <v>HINGE, DISPLAY</v>
          </cell>
          <cell r="AN348" t="str">
            <v>LENS, DISPLAY</v>
          </cell>
          <cell r="AO348" t="str">
            <v>FLEX CIRCUIT, FAB, C1 DISPLAY</v>
          </cell>
          <cell r="AP348" t="str">
            <v/>
          </cell>
          <cell r="AQ348" t="str">
            <v/>
          </cell>
          <cell r="AR348" t="str">
            <v/>
          </cell>
          <cell r="AS348" t="str">
            <v/>
          </cell>
          <cell r="AT348" t="str">
            <v/>
          </cell>
          <cell r="AU348">
            <v>39479</v>
          </cell>
        </row>
        <row r="349">
          <cell r="A349" t="str">
            <v>S16-0346</v>
          </cell>
          <cell r="B349" t="str">
            <v>クリニカET_0346 (2)</v>
          </cell>
          <cell r="C349" t="str">
            <v>SR#</v>
          </cell>
          <cell r="D349" t="str">
            <v>2016/05/17-03</v>
          </cell>
          <cell r="E349" t="str">
            <v>無償</v>
          </cell>
          <cell r="F349">
            <v>42510</v>
          </cell>
          <cell r="G349">
            <v>42510</v>
          </cell>
          <cell r="H349">
            <v>42564</v>
          </cell>
          <cell r="I349" t="str">
            <v>不明</v>
          </cell>
          <cell r="K349" t="str">
            <v>高橋</v>
          </cell>
          <cell r="L349" t="str">
            <v>-</v>
          </cell>
          <cell r="M349" t="str">
            <v>M-Turbo</v>
          </cell>
          <cell r="N349" t="str">
            <v>WK1687</v>
          </cell>
          <cell r="O349" t="str">
            <v>P09141-24</v>
          </cell>
          <cell r="P349" t="str">
            <v>株式会社ムトウ　横浜支店</v>
          </cell>
          <cell r="Q349" t="str">
            <v>大石様</v>
          </cell>
          <cell r="R349" t="str">
            <v>〒221-0865　神奈川県横浜市神奈川区片倉4-3-17</v>
          </cell>
          <cell r="S349" t="str">
            <v>045-491-6107</v>
          </cell>
          <cell r="T349" t="str">
            <v>045-491-6137</v>
          </cell>
          <cell r="U349" t="str">
            <v>クリニカET</v>
          </cell>
          <cell r="V349" t="str">
            <v>清水様</v>
          </cell>
          <cell r="W349" t="str">
            <v>-</v>
          </cell>
          <cell r="X349" t="str">
            <v>045-942-2701</v>
          </cell>
          <cell r="Y349" t="str">
            <v>〒224-0032　神奈川県横浜市都筑区茅ヶ崎中央36-6</v>
          </cell>
          <cell r="AA349" t="str">
            <v>P09823-06</v>
          </cell>
          <cell r="AB349" t="str">
            <v/>
          </cell>
          <cell r="AC349" t="str">
            <v/>
          </cell>
          <cell r="AD349" t="str">
            <v/>
          </cell>
          <cell r="AE349" t="str">
            <v/>
          </cell>
          <cell r="AF349" t="str">
            <v/>
          </cell>
          <cell r="AG349" t="str">
            <v/>
          </cell>
          <cell r="AH349" t="str">
            <v/>
          </cell>
          <cell r="AI349" t="str">
            <v/>
          </cell>
          <cell r="AJ349" t="str">
            <v/>
          </cell>
          <cell r="AK349" t="str">
            <v>LOW NOISE POWER SUPPLY,15V W/BATTERY CHARGER,75 W</v>
          </cell>
          <cell r="AL349" t="str">
            <v/>
          </cell>
          <cell r="AM349" t="str">
            <v/>
          </cell>
          <cell r="AN349" t="str">
            <v/>
          </cell>
          <cell r="AO349" t="str">
            <v/>
          </cell>
          <cell r="AP349" t="str">
            <v/>
          </cell>
          <cell r="AQ349" t="str">
            <v/>
          </cell>
          <cell r="AR349" t="str">
            <v/>
          </cell>
          <cell r="AS349" t="str">
            <v/>
          </cell>
          <cell r="AT349" t="str">
            <v/>
          </cell>
          <cell r="AU349">
            <v>41122</v>
          </cell>
        </row>
        <row r="350">
          <cell r="A350" t="str">
            <v>S16-0347</v>
          </cell>
          <cell r="B350" t="str">
            <v>デモ機HIG3_0347</v>
          </cell>
          <cell r="C350" t="e">
            <v>#REF!</v>
          </cell>
          <cell r="D350" t="e">
            <v>#REF!</v>
          </cell>
          <cell r="E350" t="e">
            <v>#REF!</v>
          </cell>
          <cell r="F350" t="e">
            <v>#REF!</v>
          </cell>
          <cell r="G350" t="e">
            <v>#REF!</v>
          </cell>
          <cell r="H350" t="e">
            <v>#REF!</v>
          </cell>
          <cell r="I350" t="e">
            <v>#REF!</v>
          </cell>
          <cell r="K350" t="e">
            <v>#REF!</v>
          </cell>
          <cell r="M350" t="e">
            <v>#REF!</v>
          </cell>
          <cell r="N350" t="e">
            <v>#REF!</v>
          </cell>
          <cell r="O350" t="e">
            <v>#REF!</v>
          </cell>
          <cell r="P350" t="e">
            <v>#REF!</v>
          </cell>
          <cell r="Q350" t="e">
            <v>#REF!</v>
          </cell>
          <cell r="S350" t="e">
            <v>#REF!</v>
          </cell>
          <cell r="T350" t="e">
            <v>#REF!</v>
          </cell>
          <cell r="U350" t="e">
            <v>#REF!</v>
          </cell>
          <cell r="AA350" t="e">
            <v>#REF!</v>
          </cell>
          <cell r="AB350" t="e">
            <v>#REF!</v>
          </cell>
          <cell r="AC350" t="e">
            <v>#REF!</v>
          </cell>
          <cell r="AD350" t="e">
            <v>#REF!</v>
          </cell>
          <cell r="AE350" t="e">
            <v>#REF!</v>
          </cell>
          <cell r="AF350" t="e">
            <v>#REF!</v>
          </cell>
          <cell r="AG350" t="e">
            <v>#REF!</v>
          </cell>
          <cell r="AH350" t="e">
            <v>#REF!</v>
          </cell>
          <cell r="AI350" t="e">
            <v>#REF!</v>
          </cell>
          <cell r="AJ350" t="e">
            <v>#REF!</v>
          </cell>
          <cell r="AK350" t="e">
            <v>#REF!</v>
          </cell>
          <cell r="AL350" t="e">
            <v>#REF!</v>
          </cell>
          <cell r="AM350" t="e">
            <v>#REF!</v>
          </cell>
          <cell r="AN350" t="e">
            <v>#REF!</v>
          </cell>
          <cell r="AO350" t="e">
            <v>#REF!</v>
          </cell>
          <cell r="AP350" t="e">
            <v>#REF!</v>
          </cell>
          <cell r="AQ350" t="e">
            <v>#REF!</v>
          </cell>
          <cell r="AR350" t="e">
            <v>#REF!</v>
          </cell>
          <cell r="AS350" t="e">
            <v>#REF!</v>
          </cell>
          <cell r="AT350" t="e">
            <v>#REF!</v>
          </cell>
          <cell r="AU350" t="e">
            <v>#REF!</v>
          </cell>
        </row>
        <row r="351">
          <cell r="A351" t="str">
            <v>S16-0348</v>
          </cell>
          <cell r="B351" t="str">
            <v>西川農場_0348 (2)</v>
          </cell>
          <cell r="C351" t="str">
            <v>SR#</v>
          </cell>
          <cell r="D351" t="str">
            <v>2016/05/16-01</v>
          </cell>
          <cell r="E351" t="str">
            <v>有償</v>
          </cell>
          <cell r="F351">
            <v>42513</v>
          </cell>
          <cell r="G351">
            <v>42513</v>
          </cell>
          <cell r="H351">
            <v>42537</v>
          </cell>
          <cell r="I351" t="str">
            <v>不明</v>
          </cell>
          <cell r="K351" t="str">
            <v>馬屋原</v>
          </cell>
          <cell r="L351" t="str">
            <v>-</v>
          </cell>
          <cell r="M351">
            <v>180</v>
          </cell>
          <cell r="N351" t="str">
            <v>01G2YF</v>
          </cell>
          <cell r="O351" t="str">
            <v>P01102-01</v>
          </cell>
          <cell r="P351" t="str">
            <v>西川農場</v>
          </cell>
          <cell r="Q351" t="str">
            <v>村井様</v>
          </cell>
          <cell r="R351" t="str">
            <v>〒059-2564　北海道日高郡新ひだか町静内西川258-1</v>
          </cell>
          <cell r="S351" t="str">
            <v>0146-44-2383</v>
          </cell>
          <cell r="T351" t="str">
            <v>-</v>
          </cell>
          <cell r="U351" t="str">
            <v>西川農場</v>
          </cell>
          <cell r="V351" t="str">
            <v>-</v>
          </cell>
          <cell r="W351" t="str">
            <v>-</v>
          </cell>
          <cell r="X351" t="str">
            <v>-</v>
          </cell>
          <cell r="Y351" t="str">
            <v>施設直接</v>
          </cell>
          <cell r="AA351" t="str">
            <v/>
          </cell>
          <cell r="AB351" t="str">
            <v/>
          </cell>
          <cell r="AC351" t="str">
            <v/>
          </cell>
          <cell r="AD351" t="str">
            <v/>
          </cell>
          <cell r="AE351" t="str">
            <v/>
          </cell>
          <cell r="AF351" t="str">
            <v/>
          </cell>
          <cell r="AG351" t="str">
            <v/>
          </cell>
          <cell r="AH351" t="str">
            <v/>
          </cell>
          <cell r="AI351" t="str">
            <v/>
          </cell>
          <cell r="AJ351" t="str">
            <v/>
          </cell>
          <cell r="AK351" t="str">
            <v/>
          </cell>
          <cell r="AL351" t="str">
            <v/>
          </cell>
          <cell r="AM351" t="str">
            <v/>
          </cell>
          <cell r="AN351" t="str">
            <v/>
          </cell>
          <cell r="AO351" t="str">
            <v/>
          </cell>
          <cell r="AP351" t="str">
            <v/>
          </cell>
          <cell r="AQ351" t="str">
            <v/>
          </cell>
          <cell r="AR351" t="str">
            <v/>
          </cell>
          <cell r="AS351" t="str">
            <v/>
          </cell>
          <cell r="AT351" t="str">
            <v/>
          </cell>
          <cell r="AU351">
            <v>36586</v>
          </cell>
        </row>
        <row r="352">
          <cell r="A352" t="str">
            <v>S16-0349</v>
          </cell>
          <cell r="B352" t="str">
            <v xml:space="preserve">青森県立中央病院_0349(2) </v>
          </cell>
          <cell r="C352" t="str">
            <v>SR#</v>
          </cell>
          <cell r="D352" t="str">
            <v>2016/05/16-03</v>
          </cell>
          <cell r="E352" t="str">
            <v>有償</v>
          </cell>
          <cell r="F352">
            <v>42513</v>
          </cell>
          <cell r="G352">
            <v>42513</v>
          </cell>
          <cell r="H352">
            <v>42548</v>
          </cell>
          <cell r="I352" t="str">
            <v>不明</v>
          </cell>
          <cell r="K352" t="str">
            <v>馬屋原</v>
          </cell>
          <cell r="L352">
            <v>3</v>
          </cell>
          <cell r="M352" t="str">
            <v>TiTAN</v>
          </cell>
          <cell r="N352" t="str">
            <v>03HMQ3</v>
          </cell>
          <cell r="O352" t="str">
            <v>P06590-03</v>
          </cell>
          <cell r="P352" t="str">
            <v>株式会社日立製作所 ヘルスケア弘前事業所</v>
          </cell>
          <cell r="Q352" t="str">
            <v>後藤様</v>
          </cell>
          <cell r="R352" t="str">
            <v>〒036-8164 　青森県弘前市泉野5-5-6</v>
          </cell>
          <cell r="S352" t="str">
            <v>0172-89-3456</v>
          </cell>
          <cell r="T352" t="str">
            <v>0172-89-3458</v>
          </cell>
          <cell r="U352" t="str">
            <v>青森県立中央病院</v>
          </cell>
          <cell r="V352" t="str">
            <v>-</v>
          </cell>
          <cell r="W352" t="str">
            <v>-</v>
          </cell>
          <cell r="X352" t="str">
            <v>017-726-8111</v>
          </cell>
          <cell r="Y352" t="str">
            <v xml:space="preserve">〒030-8553 青森県青森市東造道2丁目1-1 </v>
          </cell>
          <cell r="AA352" t="str">
            <v>P09823-06</v>
          </cell>
          <cell r="AB352" t="str">
            <v>P07168-20</v>
          </cell>
          <cell r="AC352" t="str">
            <v>P06733-01</v>
          </cell>
          <cell r="AD352" t="str">
            <v/>
          </cell>
          <cell r="AE352" t="str">
            <v/>
          </cell>
          <cell r="AF352" t="str">
            <v/>
          </cell>
          <cell r="AG352" t="str">
            <v/>
          </cell>
          <cell r="AH352" t="str">
            <v/>
          </cell>
          <cell r="AI352" t="str">
            <v/>
          </cell>
          <cell r="AJ352" t="str">
            <v/>
          </cell>
          <cell r="AK352" t="str">
            <v>LOW NOISE POWER SUPPLY,15V W/BATTERY CHARGER,75 W</v>
          </cell>
          <cell r="AL352" t="str">
            <v>BATTERY PACK, 6 CELL, 11.25V, 5.2AMP-HOUR, LITHIUM-ION</v>
          </cell>
          <cell r="AM352" t="str">
            <v>SERVICE ASSEMBLY MAIN PCBA, NEW CONN, TITAN HIGH MEMORY</v>
          </cell>
          <cell r="AN352" t="str">
            <v/>
          </cell>
          <cell r="AO352" t="str">
            <v/>
          </cell>
          <cell r="AP352" t="str">
            <v/>
          </cell>
          <cell r="AQ352" t="str">
            <v/>
          </cell>
          <cell r="AR352" t="str">
            <v/>
          </cell>
          <cell r="AS352" t="str">
            <v/>
          </cell>
          <cell r="AT352" t="str">
            <v/>
          </cell>
          <cell r="AU352">
            <v>40179</v>
          </cell>
        </row>
        <row r="353">
          <cell r="A353" t="str">
            <v>S16-0350</v>
          </cell>
          <cell r="B353" t="str">
            <v>一宮西病院_0350 (2)</v>
          </cell>
          <cell r="C353" t="str">
            <v>SR#</v>
          </cell>
          <cell r="D353" t="str">
            <v>2015/04/21-09</v>
          </cell>
          <cell r="E353" t="str">
            <v>無償</v>
          </cell>
          <cell r="F353">
            <v>42513</v>
          </cell>
          <cell r="G353">
            <v>42513</v>
          </cell>
          <cell r="H353">
            <v>42629</v>
          </cell>
          <cell r="I353" t="str">
            <v>不明</v>
          </cell>
          <cell r="K353" t="str">
            <v>高橋</v>
          </cell>
          <cell r="L353">
            <v>3</v>
          </cell>
          <cell r="M353" t="str">
            <v>TEEx/8-3</v>
          </cell>
          <cell r="N353" t="str">
            <v>03YW1T</v>
          </cell>
          <cell r="O353" t="str">
            <v>P05677-10</v>
          </cell>
          <cell r="P353" t="str">
            <v>株式会社八神製作所 一宮営業所</v>
          </cell>
          <cell r="Q353" t="str">
            <v>今井様</v>
          </cell>
          <cell r="R353" t="str">
            <v>〒491-0913　愛知県一宮市中町二丁目4-2</v>
          </cell>
          <cell r="S353" t="str">
            <v>0586-44-1171</v>
          </cell>
          <cell r="T353" t="str">
            <v>0586-44-1455</v>
          </cell>
          <cell r="U353" t="str">
            <v>一宮西病院</v>
          </cell>
          <cell r="V353" t="str">
            <v>八瀬様</v>
          </cell>
          <cell r="W353" t="str">
            <v>ME</v>
          </cell>
          <cell r="X353" t="str">
            <v>0586-85-7728</v>
          </cell>
          <cell r="Y353" t="str">
            <v>〒494-0001　愛知県一宮市開明字平1</v>
          </cell>
          <cell r="AA353" t="str">
            <v>P05677-11</v>
          </cell>
          <cell r="AB353" t="str">
            <v/>
          </cell>
          <cell r="AC353" t="str">
            <v/>
          </cell>
          <cell r="AD353" t="str">
            <v/>
          </cell>
          <cell r="AE353" t="str">
            <v/>
          </cell>
          <cell r="AF353" t="str">
            <v/>
          </cell>
          <cell r="AG353" t="str">
            <v/>
          </cell>
          <cell r="AH353" t="str">
            <v/>
          </cell>
          <cell r="AI353" t="str">
            <v/>
          </cell>
          <cell r="AJ353" t="str">
            <v/>
          </cell>
          <cell r="AK353" t="str">
            <v>SonoSite TEEx/8-3 Transducer (MicroMaxx, M-Turbo, Edge, S-PREMIER)</v>
          </cell>
          <cell r="AL353" t="str">
            <v/>
          </cell>
          <cell r="AM353" t="str">
            <v/>
          </cell>
          <cell r="AN353" t="str">
            <v/>
          </cell>
          <cell r="AO353" t="str">
            <v/>
          </cell>
          <cell r="AP353" t="str">
            <v/>
          </cell>
          <cell r="AQ353" t="str">
            <v/>
          </cell>
          <cell r="AR353" t="str">
            <v/>
          </cell>
          <cell r="AS353" t="str">
            <v/>
          </cell>
          <cell r="AT353" t="str">
            <v/>
          </cell>
          <cell r="AU353">
            <v>42064</v>
          </cell>
        </row>
        <row r="354">
          <cell r="A354" t="str">
            <v>S16-0351</v>
          </cell>
          <cell r="B354" t="str">
            <v>京都府立医科大学病院_0351 (2)</v>
          </cell>
          <cell r="C354" t="str">
            <v>SR#不要</v>
          </cell>
          <cell r="D354" t="str">
            <v>2016/05/17-01</v>
          </cell>
          <cell r="E354" t="str">
            <v>有償</v>
          </cell>
          <cell r="F354">
            <v>42514</v>
          </cell>
          <cell r="G354">
            <v>42514</v>
          </cell>
          <cell r="H354">
            <v>42668</v>
          </cell>
          <cell r="I354" t="str">
            <v>不明</v>
          </cell>
          <cell r="K354" t="str">
            <v>-</v>
          </cell>
          <cell r="L354" t="str">
            <v>-</v>
          </cell>
          <cell r="M354" t="str">
            <v>C11x/8-5</v>
          </cell>
          <cell r="N354" t="str">
            <v>03W5RZ</v>
          </cell>
          <cell r="O354" t="str">
            <v>P09167-05</v>
          </cell>
          <cell r="P354" t="str">
            <v>富士フイルムメディカル株式会社</v>
          </cell>
          <cell r="Q354" t="str">
            <v>中井様</v>
          </cell>
          <cell r="R354" t="str">
            <v>-</v>
          </cell>
          <cell r="S354" t="str">
            <v>06-6396-5102</v>
          </cell>
          <cell r="T354" t="str">
            <v>06-6396-5103</v>
          </cell>
          <cell r="U354" t="str">
            <v>京都府立医科大学附属病院</v>
          </cell>
          <cell r="V354" t="str">
            <v>-</v>
          </cell>
          <cell r="W354" t="str">
            <v>-</v>
          </cell>
          <cell r="X354" t="str">
            <v>075-251-5111</v>
          </cell>
          <cell r="Y354" t="str">
            <v>〒602-8566　京都府京都市上京区河原町通広小路上る梶井町465</v>
          </cell>
          <cell r="AA354" t="str">
            <v/>
          </cell>
          <cell r="AB354" t="str">
            <v/>
          </cell>
          <cell r="AC354" t="str">
            <v/>
          </cell>
          <cell r="AD354" t="str">
            <v/>
          </cell>
          <cell r="AE354" t="str">
            <v/>
          </cell>
          <cell r="AF354" t="str">
            <v/>
          </cell>
          <cell r="AG354" t="str">
            <v/>
          </cell>
          <cell r="AH354" t="str">
            <v/>
          </cell>
          <cell r="AI354" t="str">
            <v/>
          </cell>
          <cell r="AJ354" t="str">
            <v/>
          </cell>
          <cell r="AK354" t="str">
            <v/>
          </cell>
          <cell r="AL354" t="str">
            <v/>
          </cell>
          <cell r="AM354" t="str">
            <v/>
          </cell>
          <cell r="AN354" t="str">
            <v/>
          </cell>
          <cell r="AO354" t="str">
            <v/>
          </cell>
          <cell r="AP354" t="str">
            <v/>
          </cell>
          <cell r="AQ354" t="str">
            <v/>
          </cell>
          <cell r="AR354" t="str">
            <v/>
          </cell>
          <cell r="AS354" t="str">
            <v/>
          </cell>
          <cell r="AT354" t="str">
            <v/>
          </cell>
          <cell r="AU354">
            <v>41518</v>
          </cell>
        </row>
        <row r="355">
          <cell r="A355" t="str">
            <v>S16-0352</v>
          </cell>
          <cell r="B355" t="str">
            <v>岡山大学病院_0352 (2)</v>
          </cell>
          <cell r="C355" t="str">
            <v>SR#不要</v>
          </cell>
          <cell r="D355" t="str">
            <v>-</v>
          </cell>
          <cell r="E355" t="str">
            <v>有償</v>
          </cell>
          <cell r="F355">
            <v>42514</v>
          </cell>
          <cell r="G355">
            <v>42514</v>
          </cell>
          <cell r="H355">
            <v>42587</v>
          </cell>
          <cell r="I355">
            <v>40210</v>
          </cell>
          <cell r="K355" t="str">
            <v>-</v>
          </cell>
          <cell r="L355" t="str">
            <v>-</v>
          </cell>
          <cell r="M355" t="str">
            <v>iLook25</v>
          </cell>
          <cell r="N355" t="str">
            <v>03F5Q1</v>
          </cell>
          <cell r="O355" t="str">
            <v>P04303-02</v>
          </cell>
          <cell r="P355" t="str">
            <v>日本コヴィディエン株式会社</v>
          </cell>
          <cell r="Q355" t="str">
            <v>奥田様</v>
          </cell>
          <cell r="R355" t="str">
            <v>〒108-0075  東京都港区港南一丁目2番70号　品川シーズンテラス　22F</v>
          </cell>
          <cell r="S355" t="str">
            <v>03-6774-4629</v>
          </cell>
          <cell r="T355" t="str">
            <v>03-6774-4740</v>
          </cell>
          <cell r="U355" t="str">
            <v>岡山大学病院</v>
          </cell>
          <cell r="V355" t="str">
            <v>-</v>
          </cell>
          <cell r="W355" t="str">
            <v>-</v>
          </cell>
          <cell r="X355" t="str">
            <v>086-223-7151</v>
          </cell>
          <cell r="Y355" t="str">
            <v>〒700-8558　岡山県岡山市北区鹿田町2-5-1</v>
          </cell>
          <cell r="AA355" t="str">
            <v/>
          </cell>
          <cell r="AB355" t="str">
            <v/>
          </cell>
          <cell r="AC355" t="str">
            <v/>
          </cell>
          <cell r="AD355" t="str">
            <v/>
          </cell>
          <cell r="AE355" t="str">
            <v/>
          </cell>
          <cell r="AF355" t="str">
            <v/>
          </cell>
          <cell r="AG355" t="str">
            <v/>
          </cell>
          <cell r="AH355" t="str">
            <v/>
          </cell>
          <cell r="AI355" t="str">
            <v/>
          </cell>
          <cell r="AJ355" t="str">
            <v/>
          </cell>
          <cell r="AK355" t="str">
            <v/>
          </cell>
          <cell r="AL355" t="str">
            <v/>
          </cell>
          <cell r="AM355" t="str">
            <v/>
          </cell>
          <cell r="AN355" t="str">
            <v/>
          </cell>
          <cell r="AO355" t="str">
            <v/>
          </cell>
          <cell r="AP355" t="str">
            <v/>
          </cell>
          <cell r="AQ355" t="str">
            <v/>
          </cell>
          <cell r="AR355" t="str">
            <v/>
          </cell>
          <cell r="AS355" t="str">
            <v/>
          </cell>
          <cell r="AT355" t="str">
            <v/>
          </cell>
          <cell r="AU355">
            <v>39845</v>
          </cell>
        </row>
        <row r="356">
          <cell r="A356" t="str">
            <v>S16-0353</v>
          </cell>
          <cell r="B356" t="str">
            <v>協和中央病院_0353 (2)</v>
          </cell>
          <cell r="C356" t="str">
            <v>SR#</v>
          </cell>
          <cell r="D356" t="str">
            <v>2016/05/12-02</v>
          </cell>
          <cell r="E356" t="str">
            <v>有償</v>
          </cell>
          <cell r="F356">
            <v>42514</v>
          </cell>
          <cell r="G356">
            <v>42514</v>
          </cell>
          <cell r="H356">
            <v>42690</v>
          </cell>
          <cell r="I356" t="str">
            <v>不明</v>
          </cell>
          <cell r="K356" t="str">
            <v>高橋</v>
          </cell>
          <cell r="L356">
            <v>3</v>
          </cell>
          <cell r="M356" t="str">
            <v>MicroMaxx</v>
          </cell>
          <cell r="N356" t="str">
            <v>03D3QB</v>
          </cell>
          <cell r="O356" t="str">
            <v>P08063-04</v>
          </cell>
          <cell r="P356" t="str">
            <v>フクダ電子南関東販売株式会社</v>
          </cell>
          <cell r="Q356" t="str">
            <v>森様</v>
          </cell>
          <cell r="R356" t="str">
            <v>〒305-0821　茨城県つくば市春日3-5-6</v>
          </cell>
          <cell r="S356" t="str">
            <v>029-851-2741</v>
          </cell>
          <cell r="T356" t="str">
            <v>029-855-7565</v>
          </cell>
          <cell r="U356" t="str">
            <v>協和中央病院　生理検査室</v>
          </cell>
          <cell r="V356" t="str">
            <v>-</v>
          </cell>
          <cell r="W356" t="str">
            <v>生理検査</v>
          </cell>
          <cell r="X356" t="str">
            <v>0296-57-6131</v>
          </cell>
          <cell r="Y356" t="str">
            <v>〒309-1107　茨城県筑西市門井1676-1</v>
          </cell>
          <cell r="AA356" t="str">
            <v>P07418-02</v>
          </cell>
          <cell r="AB356" t="str">
            <v>P07168-20</v>
          </cell>
          <cell r="AC356" t="str">
            <v/>
          </cell>
          <cell r="AD356" t="str">
            <v/>
          </cell>
          <cell r="AE356" t="str">
            <v/>
          </cell>
          <cell r="AF356" t="str">
            <v/>
          </cell>
          <cell r="AG356" t="str">
            <v/>
          </cell>
          <cell r="AH356" t="str">
            <v/>
          </cell>
          <cell r="AI356" t="str">
            <v/>
          </cell>
          <cell r="AJ356" t="str">
            <v/>
          </cell>
          <cell r="AK356" t="str">
            <v>SERVICE ASSEMBLY MAIN PCBA, D2, MICROMAXX</v>
          </cell>
          <cell r="AL356" t="str">
            <v>BATTERY PACK, 6 CELL, 11.25V, 5.2AMP-HOUR, LITHIUM-ION</v>
          </cell>
          <cell r="AM356" t="str">
            <v/>
          </cell>
          <cell r="AN356" t="str">
            <v/>
          </cell>
          <cell r="AO356" t="str">
            <v/>
          </cell>
          <cell r="AP356" t="str">
            <v/>
          </cell>
          <cell r="AQ356" t="str">
            <v/>
          </cell>
          <cell r="AR356" t="str">
            <v/>
          </cell>
          <cell r="AS356" t="str">
            <v/>
          </cell>
          <cell r="AT356" t="str">
            <v/>
          </cell>
          <cell r="AU356">
            <v>39722</v>
          </cell>
        </row>
        <row r="357">
          <cell r="A357" t="str">
            <v>S16-0354</v>
          </cell>
          <cell r="B357" t="str">
            <v>和歌山県立医科大学附属病院_0354 (2)</v>
          </cell>
          <cell r="C357" t="str">
            <v>SR#不要</v>
          </cell>
          <cell r="D357" t="str">
            <v>2016/5/12-03</v>
          </cell>
          <cell r="E357" t="str">
            <v>有償</v>
          </cell>
          <cell r="F357">
            <v>42514</v>
          </cell>
          <cell r="G357">
            <v>42514</v>
          </cell>
          <cell r="H357">
            <v>42515</v>
          </cell>
          <cell r="I357" t="str">
            <v>不明</v>
          </cell>
          <cell r="K357" t="str">
            <v>馬屋原</v>
          </cell>
          <cell r="L357" t="str">
            <v>-</v>
          </cell>
          <cell r="M357" t="str">
            <v>S-Series Stand</v>
          </cell>
          <cell r="N357" t="str">
            <v>WM03V4</v>
          </cell>
          <cell r="O357" t="str">
            <v>P10288-02</v>
          </cell>
          <cell r="P357" t="str">
            <v>セイコーメディカル株式会社　本社</v>
          </cell>
          <cell r="Q357" t="str">
            <v>中屋様</v>
          </cell>
          <cell r="R357" t="str">
            <v>〒640-8287　和歌山県和歌山市築港6-9-10</v>
          </cell>
          <cell r="S357" t="str">
            <v>073-435-2333</v>
          </cell>
          <cell r="T357" t="str">
            <v>073-435-2223</v>
          </cell>
          <cell r="U357" t="str">
            <v>和歌山県立医科大学附属病院　麻酔科</v>
          </cell>
          <cell r="V357" t="str">
            <v>稲垣様</v>
          </cell>
          <cell r="W357" t="str">
            <v>麻酔科</v>
          </cell>
          <cell r="X357" t="str">
            <v>073-447-2300</v>
          </cell>
          <cell r="Y357" t="str">
            <v>〒641-8509　和歌山市紀三井寺811-1</v>
          </cell>
          <cell r="AA357" t="str">
            <v/>
          </cell>
          <cell r="AB357" t="str">
            <v/>
          </cell>
          <cell r="AC357" t="str">
            <v/>
          </cell>
          <cell r="AD357" t="str">
            <v/>
          </cell>
          <cell r="AE357" t="str">
            <v/>
          </cell>
          <cell r="AF357" t="str">
            <v/>
          </cell>
          <cell r="AG357" t="str">
            <v/>
          </cell>
          <cell r="AH357" t="str">
            <v/>
          </cell>
          <cell r="AI357" t="str">
            <v/>
          </cell>
          <cell r="AJ357" t="str">
            <v/>
          </cell>
          <cell r="AK357" t="str">
            <v/>
          </cell>
          <cell r="AL357" t="str">
            <v/>
          </cell>
          <cell r="AM357" t="str">
            <v/>
          </cell>
          <cell r="AN357" t="str">
            <v/>
          </cell>
          <cell r="AO357" t="str">
            <v/>
          </cell>
          <cell r="AP357" t="str">
            <v/>
          </cell>
          <cell r="AQ357" t="str">
            <v/>
          </cell>
          <cell r="AR357" t="str">
            <v/>
          </cell>
          <cell r="AS357" t="str">
            <v/>
          </cell>
          <cell r="AT357" t="str">
            <v/>
          </cell>
          <cell r="AU357">
            <v>40118</v>
          </cell>
        </row>
        <row r="358">
          <cell r="A358" t="str">
            <v>S16-0355</v>
          </cell>
          <cell r="B358" t="str">
            <v>デモ機WST7_0355 (2)</v>
          </cell>
          <cell r="C358" t="str">
            <v>SR#</v>
          </cell>
          <cell r="D358" t="str">
            <v>-</v>
          </cell>
          <cell r="E358" t="str">
            <v>有償</v>
          </cell>
          <cell r="F358">
            <v>42514</v>
          </cell>
          <cell r="G358">
            <v>42514</v>
          </cell>
          <cell r="H358">
            <v>42527</v>
          </cell>
          <cell r="I358" t="str">
            <v>―</v>
          </cell>
          <cell r="K358" t="str">
            <v>梶田</v>
          </cell>
          <cell r="L358">
            <v>3</v>
          </cell>
          <cell r="M358" t="str">
            <v>M-Turbo</v>
          </cell>
          <cell r="N358" t="str">
            <v>03K3C0</v>
          </cell>
          <cell r="O358" t="str">
            <v>P09141-16</v>
          </cell>
          <cell r="P358" t="str">
            <v>富士フイルムメディカル株式会社</v>
          </cell>
          <cell r="Q358" t="str">
            <v>マーケティング</v>
          </cell>
          <cell r="S358" t="str">
            <v>03-6418-7190</v>
          </cell>
          <cell r="T358" t="str">
            <v>03-6418-7162</v>
          </cell>
          <cell r="U358" t="str">
            <v>デモ機WST7</v>
          </cell>
          <cell r="AA358" t="str">
            <v>P19133-01</v>
          </cell>
          <cell r="AB358" t="str">
            <v>P19080-01</v>
          </cell>
          <cell r="AC358" t="str">
            <v>P18035-01</v>
          </cell>
          <cell r="AD358" t="str">
            <v/>
          </cell>
          <cell r="AE358" t="str">
            <v/>
          </cell>
          <cell r="AF358" t="str">
            <v/>
          </cell>
          <cell r="AG358" t="str">
            <v/>
          </cell>
          <cell r="AH358" t="str">
            <v/>
          </cell>
          <cell r="AI358" t="str">
            <v/>
          </cell>
          <cell r="AJ358" t="str">
            <v/>
          </cell>
          <cell r="AK358" t="str">
            <v>Kycon Connecto</v>
          </cell>
          <cell r="AL358" t="str">
            <v>Connector Brackets</v>
          </cell>
          <cell r="AM358" t="str">
            <v>Bracket screws　×2</v>
          </cell>
          <cell r="AN358" t="str">
            <v/>
          </cell>
          <cell r="AO358" t="str">
            <v/>
          </cell>
          <cell r="AP358" t="str">
            <v/>
          </cell>
          <cell r="AQ358" t="str">
            <v/>
          </cell>
          <cell r="AR358" t="str">
            <v/>
          </cell>
          <cell r="AS358" t="str">
            <v/>
          </cell>
          <cell r="AT358" t="str">
            <v/>
          </cell>
          <cell r="AU358">
            <v>40391</v>
          </cell>
        </row>
        <row r="359">
          <cell r="A359" t="str">
            <v>S16-0356</v>
          </cell>
          <cell r="B359" t="str">
            <v>神戸徳洲会病院_0356 (2)</v>
          </cell>
          <cell r="C359" t="str">
            <v>SR#</v>
          </cell>
          <cell r="D359" t="str">
            <v>-</v>
          </cell>
          <cell r="E359" t="str">
            <v>有償</v>
          </cell>
          <cell r="F359">
            <v>42515</v>
          </cell>
          <cell r="G359">
            <v>42515</v>
          </cell>
          <cell r="H359">
            <v>42535</v>
          </cell>
          <cell r="I359">
            <v>39539</v>
          </cell>
          <cell r="K359" t="str">
            <v>-</v>
          </cell>
          <cell r="L359" t="str">
            <v>-</v>
          </cell>
          <cell r="M359" t="str">
            <v>iLook25</v>
          </cell>
          <cell r="N359" t="str">
            <v>038P8J</v>
          </cell>
          <cell r="O359" t="str">
            <v>P04303-02</v>
          </cell>
          <cell r="P359" t="str">
            <v>日本コヴィディエン株式会社　京滋兵庫営業所</v>
          </cell>
          <cell r="Q359" t="str">
            <v>塩川様</v>
          </cell>
          <cell r="R359" t="str">
            <v>〒108-0075  東京都港区港南一丁目2番70号　品川シーズンテラス　22F</v>
          </cell>
          <cell r="S359" t="str">
            <v>03-6774-4629</v>
          </cell>
          <cell r="T359" t="str">
            <v>03-6774-4740</v>
          </cell>
          <cell r="U359" t="str">
            <v>神戸徳洲会病院</v>
          </cell>
          <cell r="V359" t="str">
            <v>-</v>
          </cell>
          <cell r="W359" t="str">
            <v>-</v>
          </cell>
          <cell r="X359" t="str">
            <v>078-707-1110</v>
          </cell>
          <cell r="Y359" t="str">
            <v>〒655-0017　兵庫県神戸市垂水区上高丸1-3-10</v>
          </cell>
          <cell r="AA359" t="str">
            <v/>
          </cell>
          <cell r="AB359" t="str">
            <v/>
          </cell>
          <cell r="AC359" t="str">
            <v/>
          </cell>
          <cell r="AD359" t="str">
            <v/>
          </cell>
          <cell r="AE359" t="str">
            <v/>
          </cell>
          <cell r="AF359" t="str">
            <v/>
          </cell>
          <cell r="AG359" t="str">
            <v/>
          </cell>
          <cell r="AH359" t="str">
            <v/>
          </cell>
          <cell r="AI359" t="str">
            <v/>
          </cell>
          <cell r="AJ359" t="str">
            <v/>
          </cell>
          <cell r="AK359" t="str">
            <v/>
          </cell>
          <cell r="AL359" t="str">
            <v/>
          </cell>
          <cell r="AM359" t="str">
            <v/>
          </cell>
          <cell r="AN359" t="str">
            <v/>
          </cell>
          <cell r="AO359" t="str">
            <v/>
          </cell>
          <cell r="AP359" t="str">
            <v/>
          </cell>
          <cell r="AQ359" t="str">
            <v/>
          </cell>
          <cell r="AR359" t="str">
            <v/>
          </cell>
          <cell r="AS359" t="str">
            <v/>
          </cell>
          <cell r="AT359" t="str">
            <v/>
          </cell>
          <cell r="AU359">
            <v>39264</v>
          </cell>
        </row>
        <row r="360">
          <cell r="A360" t="str">
            <v>S16-0357</v>
          </cell>
          <cell r="B360" t="str">
            <v>中濃厚生病院_0357 (2)</v>
          </cell>
          <cell r="C360" t="str">
            <v>SR#不要</v>
          </cell>
          <cell r="D360" t="str">
            <v>2016/05/19-01</v>
          </cell>
          <cell r="E360" t="str">
            <v/>
          </cell>
          <cell r="F360">
            <v>42515</v>
          </cell>
          <cell r="G360">
            <v>42515</v>
          </cell>
          <cell r="H360">
            <v>42523</v>
          </cell>
          <cell r="I360">
            <v>40210</v>
          </cell>
          <cell r="K360" t="str">
            <v>馬屋原</v>
          </cell>
          <cell r="L360">
            <v>3</v>
          </cell>
          <cell r="M360" t="str">
            <v>MicroMaxx</v>
          </cell>
          <cell r="N360" t="str">
            <v>WK02TV</v>
          </cell>
          <cell r="O360" t="str">
            <v>P08063-05</v>
          </cell>
          <cell r="P360" t="str">
            <v>株式会社 八神製作所 岐阜営業所</v>
          </cell>
          <cell r="Q360" t="str">
            <v>林様</v>
          </cell>
          <cell r="R360" t="str">
            <v>〒501-0115　岐阜県岐阜市鏡島南2-8-33</v>
          </cell>
          <cell r="S360" t="str">
            <v>058-255-4055</v>
          </cell>
          <cell r="T360" t="str">
            <v>058-255-4060</v>
          </cell>
          <cell r="U360" t="str">
            <v>中濃厚生病院</v>
          </cell>
          <cell r="V360" t="str">
            <v>新井様</v>
          </cell>
          <cell r="W360" t="str">
            <v>救命救急センター</v>
          </cell>
          <cell r="X360" t="str">
            <v>0575-22-1111</v>
          </cell>
          <cell r="Y360" t="str">
            <v>〒501-3802　岐阜県関市若草通5-1</v>
          </cell>
          <cell r="AA360" t="str">
            <v/>
          </cell>
          <cell r="AB360" t="str">
            <v/>
          </cell>
          <cell r="AC360" t="str">
            <v/>
          </cell>
          <cell r="AD360" t="str">
            <v/>
          </cell>
          <cell r="AE360" t="str">
            <v/>
          </cell>
          <cell r="AF360" t="str">
            <v/>
          </cell>
          <cell r="AG360" t="str">
            <v/>
          </cell>
          <cell r="AH360" t="str">
            <v/>
          </cell>
          <cell r="AI360" t="str">
            <v/>
          </cell>
          <cell r="AJ360" t="str">
            <v/>
          </cell>
          <cell r="AK360" t="str">
            <v/>
          </cell>
          <cell r="AL360" t="str">
            <v/>
          </cell>
          <cell r="AM360" t="str">
            <v/>
          </cell>
          <cell r="AN360" t="str">
            <v/>
          </cell>
          <cell r="AO360" t="str">
            <v/>
          </cell>
          <cell r="AP360" t="str">
            <v/>
          </cell>
          <cell r="AQ360" t="str">
            <v/>
          </cell>
          <cell r="AR360" t="str">
            <v/>
          </cell>
          <cell r="AS360" t="str">
            <v/>
          </cell>
          <cell r="AT360" t="str">
            <v/>
          </cell>
          <cell r="AU360">
            <v>40087</v>
          </cell>
        </row>
        <row r="361">
          <cell r="A361" t="str">
            <v>S16-0358</v>
          </cell>
          <cell r="B361" t="str">
            <v>聖隷浜松病院_0358</v>
          </cell>
          <cell r="C361" t="e">
            <v>#REF!</v>
          </cell>
          <cell r="D361" t="e">
            <v>#REF!</v>
          </cell>
          <cell r="E361" t="e">
            <v>#REF!</v>
          </cell>
          <cell r="F361" t="e">
            <v>#REF!</v>
          </cell>
          <cell r="G361" t="e">
            <v>#REF!</v>
          </cell>
          <cell r="H361" t="e">
            <v>#REF!</v>
          </cell>
          <cell r="I361" t="e">
            <v>#REF!</v>
          </cell>
          <cell r="K361" t="e">
            <v>#REF!</v>
          </cell>
          <cell r="M361" t="e">
            <v>#REF!</v>
          </cell>
          <cell r="N361" t="e">
            <v>#REF!</v>
          </cell>
          <cell r="O361" t="e">
            <v>#REF!</v>
          </cell>
          <cell r="P361" t="e">
            <v>#REF!</v>
          </cell>
          <cell r="Q361" t="e">
            <v>#REF!</v>
          </cell>
          <cell r="S361" t="e">
            <v>#REF!</v>
          </cell>
          <cell r="T361" t="e">
            <v>#REF!</v>
          </cell>
          <cell r="U361" t="e">
            <v>#REF!</v>
          </cell>
          <cell r="AA361" t="e">
            <v>#REF!</v>
          </cell>
          <cell r="AB361" t="e">
            <v>#REF!</v>
          </cell>
          <cell r="AC361" t="e">
            <v>#REF!</v>
          </cell>
          <cell r="AD361" t="e">
            <v>#REF!</v>
          </cell>
          <cell r="AE361" t="e">
            <v>#REF!</v>
          </cell>
          <cell r="AF361" t="e">
            <v>#REF!</v>
          </cell>
          <cell r="AG361" t="e">
            <v>#REF!</v>
          </cell>
          <cell r="AH361" t="e">
            <v>#REF!</v>
          </cell>
          <cell r="AI361" t="e">
            <v>#REF!</v>
          </cell>
          <cell r="AJ361" t="e">
            <v>#REF!</v>
          </cell>
          <cell r="AK361" t="e">
            <v>#REF!</v>
          </cell>
          <cell r="AL361" t="e">
            <v>#REF!</v>
          </cell>
          <cell r="AM361" t="e">
            <v>#REF!</v>
          </cell>
          <cell r="AN361" t="e">
            <v>#REF!</v>
          </cell>
          <cell r="AO361" t="e">
            <v>#REF!</v>
          </cell>
          <cell r="AP361" t="e">
            <v>#REF!</v>
          </cell>
          <cell r="AQ361" t="e">
            <v>#REF!</v>
          </cell>
          <cell r="AR361" t="e">
            <v>#REF!</v>
          </cell>
          <cell r="AS361" t="e">
            <v>#REF!</v>
          </cell>
          <cell r="AT361" t="e">
            <v>#REF!</v>
          </cell>
          <cell r="AU361" t="e">
            <v>#REF!</v>
          </cell>
        </row>
        <row r="362">
          <cell r="A362" t="str">
            <v>S16-0359</v>
          </cell>
          <cell r="B362" t="str">
            <v>名古屋市立東部医療センター_0359 (2)</v>
          </cell>
          <cell r="C362" t="str">
            <v>SR#不要</v>
          </cell>
          <cell r="D362" t="str">
            <v>2016/05/23-05</v>
          </cell>
          <cell r="E362" t="str">
            <v>無償</v>
          </cell>
          <cell r="F362">
            <v>42516</v>
          </cell>
          <cell r="G362">
            <v>42516</v>
          </cell>
          <cell r="H362">
            <v>42571</v>
          </cell>
          <cell r="I362" t="str">
            <v>不明</v>
          </cell>
          <cell r="K362" t="str">
            <v>高橋</v>
          </cell>
          <cell r="L362" t="str">
            <v>-</v>
          </cell>
          <cell r="M362" t="str">
            <v>HFL38x/13-6</v>
          </cell>
          <cell r="N362" t="str">
            <v>0402BM</v>
          </cell>
          <cell r="O362" t="str">
            <v>P09168-50</v>
          </cell>
          <cell r="P362" t="str">
            <v>株式会社八神製作所　本社</v>
          </cell>
          <cell r="Q362" t="str">
            <v>鈴木様</v>
          </cell>
          <cell r="R362" t="str">
            <v>〒460-8318　愛知県名古屋市中区千代田二丁目16番30号</v>
          </cell>
          <cell r="S362" t="str">
            <v>052-251-6671</v>
          </cell>
          <cell r="T362" t="str">
            <v>052-251-7726</v>
          </cell>
          <cell r="U362" t="str">
            <v>名古屋市立東部医療センター</v>
          </cell>
          <cell r="V362" t="str">
            <v>-</v>
          </cell>
          <cell r="W362" t="str">
            <v>-</v>
          </cell>
          <cell r="X362" t="str">
            <v>052-721-7171</v>
          </cell>
          <cell r="Y362" t="str">
            <v>〒464-8547 愛知県名古屋市千種区若水一丁目2番23号</v>
          </cell>
          <cell r="AA362" t="str">
            <v/>
          </cell>
          <cell r="AB362" t="str">
            <v/>
          </cell>
          <cell r="AC362" t="str">
            <v/>
          </cell>
          <cell r="AD362" t="str">
            <v/>
          </cell>
          <cell r="AE362" t="str">
            <v/>
          </cell>
          <cell r="AF362" t="str">
            <v/>
          </cell>
          <cell r="AG362" t="str">
            <v/>
          </cell>
          <cell r="AH362" t="str">
            <v/>
          </cell>
          <cell r="AI362" t="str">
            <v/>
          </cell>
          <cell r="AJ362" t="str">
            <v/>
          </cell>
          <cell r="AK362" t="str">
            <v/>
          </cell>
          <cell r="AL362" t="str">
            <v/>
          </cell>
          <cell r="AM362" t="str">
            <v/>
          </cell>
          <cell r="AN362" t="str">
            <v/>
          </cell>
          <cell r="AO362" t="str">
            <v/>
          </cell>
          <cell r="AP362" t="str">
            <v/>
          </cell>
          <cell r="AQ362" t="str">
            <v/>
          </cell>
          <cell r="AR362" t="str">
            <v/>
          </cell>
          <cell r="AS362" t="str">
            <v/>
          </cell>
          <cell r="AT362" t="str">
            <v/>
          </cell>
          <cell r="AU362">
            <v>42036</v>
          </cell>
        </row>
        <row r="363">
          <cell r="A363" t="str">
            <v>S16-0360</v>
          </cell>
          <cell r="B363" t="str">
            <v>JA尾道総合病院_0360 (2)</v>
          </cell>
          <cell r="C363" t="str">
            <v>SR#</v>
          </cell>
          <cell r="D363" t="str">
            <v>2016/05/17-04</v>
          </cell>
          <cell r="E363" t="str">
            <v>有償</v>
          </cell>
          <cell r="F363">
            <v>42516</v>
          </cell>
          <cell r="G363">
            <v>42516</v>
          </cell>
          <cell r="H363">
            <v>42537</v>
          </cell>
          <cell r="I363" t="str">
            <v>不明</v>
          </cell>
          <cell r="K363" t="str">
            <v>馬屋原</v>
          </cell>
          <cell r="L363">
            <v>3</v>
          </cell>
          <cell r="M363" t="str">
            <v>TEEx/8-3</v>
          </cell>
          <cell r="N363" t="str">
            <v>03F8Q1</v>
          </cell>
          <cell r="O363" t="str">
            <v>P05677-07</v>
          </cell>
          <cell r="P363" t="str">
            <v>尾道医療機器株式会社</v>
          </cell>
          <cell r="Q363" t="str">
            <v>大礒様</v>
          </cell>
          <cell r="R363" t="str">
            <v>〒722-0037　広島県広島市西御所町6-3</v>
          </cell>
          <cell r="S363" t="str">
            <v>0848-22-7904</v>
          </cell>
          <cell r="T363" t="str">
            <v>0848-227902</v>
          </cell>
          <cell r="U363" t="str">
            <v>JA尾道総合病院</v>
          </cell>
          <cell r="V363" t="str">
            <v>-</v>
          </cell>
          <cell r="W363" t="str">
            <v>OP室</v>
          </cell>
          <cell r="X363" t="str">
            <v>0848-22-8111</v>
          </cell>
          <cell r="Y363" t="str">
            <v>〒722-8508 広島県尾道市平原1-10-23</v>
          </cell>
          <cell r="AA363" t="str">
            <v/>
          </cell>
          <cell r="AB363" t="str">
            <v/>
          </cell>
          <cell r="AC363" t="str">
            <v/>
          </cell>
          <cell r="AD363" t="str">
            <v/>
          </cell>
          <cell r="AE363" t="str">
            <v/>
          </cell>
          <cell r="AF363" t="str">
            <v/>
          </cell>
          <cell r="AG363" t="str">
            <v/>
          </cell>
          <cell r="AH363" t="str">
            <v/>
          </cell>
          <cell r="AI363" t="str">
            <v/>
          </cell>
          <cell r="AJ363" t="str">
            <v/>
          </cell>
          <cell r="AK363" t="e">
            <v>#N/A</v>
          </cell>
          <cell r="AL363" t="str">
            <v/>
          </cell>
          <cell r="AM363" t="str">
            <v/>
          </cell>
          <cell r="AN363" t="str">
            <v/>
          </cell>
          <cell r="AO363" t="str">
            <v/>
          </cell>
          <cell r="AP363" t="str">
            <v/>
          </cell>
          <cell r="AQ363" t="str">
            <v/>
          </cell>
          <cell r="AR363" t="str">
            <v/>
          </cell>
          <cell r="AS363" t="str">
            <v/>
          </cell>
          <cell r="AT363" t="str">
            <v/>
          </cell>
          <cell r="AU363">
            <v>40330</v>
          </cell>
        </row>
        <row r="364">
          <cell r="A364" t="str">
            <v>S16-0361</v>
          </cell>
          <cell r="B364" t="str">
            <v>デモ機MAK41_0361</v>
          </cell>
          <cell r="C364" t="e">
            <v>#REF!</v>
          </cell>
          <cell r="D364" t="e">
            <v>#REF!</v>
          </cell>
          <cell r="E364" t="e">
            <v>#REF!</v>
          </cell>
          <cell r="F364" t="e">
            <v>#REF!</v>
          </cell>
          <cell r="G364" t="e">
            <v>#REF!</v>
          </cell>
          <cell r="H364" t="e">
            <v>#REF!</v>
          </cell>
          <cell r="I364" t="e">
            <v>#REF!</v>
          </cell>
          <cell r="K364" t="e">
            <v>#REF!</v>
          </cell>
          <cell r="M364" t="e">
            <v>#REF!</v>
          </cell>
          <cell r="N364" t="e">
            <v>#REF!</v>
          </cell>
          <cell r="O364" t="e">
            <v>#REF!</v>
          </cell>
          <cell r="P364" t="e">
            <v>#REF!</v>
          </cell>
          <cell r="Q364" t="e">
            <v>#REF!</v>
          </cell>
          <cell r="S364" t="e">
            <v>#REF!</v>
          </cell>
          <cell r="T364" t="e">
            <v>#REF!</v>
          </cell>
          <cell r="U364" t="e">
            <v>#REF!</v>
          </cell>
          <cell r="AA364" t="e">
            <v>#REF!</v>
          </cell>
          <cell r="AB364" t="e">
            <v>#REF!</v>
          </cell>
          <cell r="AC364" t="e">
            <v>#REF!</v>
          </cell>
          <cell r="AD364" t="e">
            <v>#REF!</v>
          </cell>
          <cell r="AE364" t="e">
            <v>#REF!</v>
          </cell>
          <cell r="AF364" t="e">
            <v>#REF!</v>
          </cell>
          <cell r="AG364" t="e">
            <v>#REF!</v>
          </cell>
          <cell r="AH364" t="e">
            <v>#REF!</v>
          </cell>
          <cell r="AI364" t="e">
            <v>#REF!</v>
          </cell>
          <cell r="AJ364" t="e">
            <v>#REF!</v>
          </cell>
          <cell r="AK364" t="e">
            <v>#REF!</v>
          </cell>
          <cell r="AL364" t="e">
            <v>#REF!</v>
          </cell>
          <cell r="AM364" t="e">
            <v>#REF!</v>
          </cell>
          <cell r="AN364" t="e">
            <v>#REF!</v>
          </cell>
          <cell r="AO364" t="e">
            <v>#REF!</v>
          </cell>
          <cell r="AP364" t="e">
            <v>#REF!</v>
          </cell>
          <cell r="AQ364" t="e">
            <v>#REF!</v>
          </cell>
          <cell r="AR364" t="e">
            <v>#REF!</v>
          </cell>
          <cell r="AS364" t="e">
            <v>#REF!</v>
          </cell>
          <cell r="AT364" t="e">
            <v>#REF!</v>
          </cell>
          <cell r="AU364" t="e">
            <v>#REF!</v>
          </cell>
        </row>
        <row r="365">
          <cell r="A365" t="str">
            <v>S16-0362</v>
          </cell>
          <cell r="B365" t="str">
            <v>福岡徳洲会病院_0362 (2)</v>
          </cell>
          <cell r="C365" t="str">
            <v>SR#</v>
          </cell>
          <cell r="D365" t="str">
            <v>-</v>
          </cell>
          <cell r="E365" t="str">
            <v>有償</v>
          </cell>
          <cell r="F365">
            <v>42517</v>
          </cell>
          <cell r="G365">
            <v>42517</v>
          </cell>
          <cell r="H365">
            <v>42547</v>
          </cell>
          <cell r="I365">
            <v>39630</v>
          </cell>
          <cell r="K365" t="str">
            <v>馬屋原</v>
          </cell>
          <cell r="L365">
            <v>3</v>
          </cell>
          <cell r="M365" t="str">
            <v>iLook Stand</v>
          </cell>
          <cell r="N365" t="str">
            <v>03CVJN</v>
          </cell>
          <cell r="O365" t="str">
            <v>P04307-03</v>
          </cell>
          <cell r="P365" t="str">
            <v>日本コヴィディエン株式会社　九州第一営業所</v>
          </cell>
          <cell r="Q365" t="str">
            <v>大塚様</v>
          </cell>
          <cell r="R365" t="str">
            <v>〒108-0075  東京都港区港南一丁目2番70号　品川シーズンテラス　22F</v>
          </cell>
          <cell r="S365" t="str">
            <v>03-6774-4629</v>
          </cell>
          <cell r="T365" t="str">
            <v>03-6774-4740</v>
          </cell>
          <cell r="U365" t="str">
            <v>福岡徳洲会病院</v>
          </cell>
          <cell r="V365" t="str">
            <v>-</v>
          </cell>
          <cell r="W365" t="str">
            <v>-</v>
          </cell>
          <cell r="X365" t="str">
            <v>092-573-6622</v>
          </cell>
          <cell r="Y365" t="str">
            <v>〒816-0864 福岡県春日市須玖北4丁目5番地</v>
          </cell>
          <cell r="AA365" t="str">
            <v>P02347-02</v>
          </cell>
          <cell r="AB365" t="str">
            <v/>
          </cell>
          <cell r="AC365" t="str">
            <v/>
          </cell>
          <cell r="AD365" t="str">
            <v/>
          </cell>
          <cell r="AE365" t="str">
            <v/>
          </cell>
          <cell r="AF365" t="str">
            <v/>
          </cell>
          <cell r="AG365" t="str">
            <v/>
          </cell>
          <cell r="AH365" t="str">
            <v/>
          </cell>
          <cell r="AI365" t="str">
            <v/>
          </cell>
          <cell r="AJ365" t="str">
            <v/>
          </cell>
          <cell r="AK365" t="str">
            <v>ASSEMBLY, PCB, ILOOK, DOCK CONNECTOR</v>
          </cell>
          <cell r="AL365" t="str">
            <v/>
          </cell>
          <cell r="AM365" t="str">
            <v/>
          </cell>
          <cell r="AN365" t="str">
            <v/>
          </cell>
          <cell r="AO365" t="str">
            <v/>
          </cell>
          <cell r="AP365" t="str">
            <v/>
          </cell>
          <cell r="AQ365" t="str">
            <v/>
          </cell>
          <cell r="AR365" t="str">
            <v/>
          </cell>
          <cell r="AS365" t="str">
            <v/>
          </cell>
          <cell r="AT365" t="str">
            <v/>
          </cell>
          <cell r="AU365">
            <v>39630</v>
          </cell>
        </row>
        <row r="366">
          <cell r="A366" t="str">
            <v>S16-0363</v>
          </cell>
          <cell r="B366" t="str">
            <v>日本医科大学_0363</v>
          </cell>
          <cell r="C366" t="e">
            <v>#REF!</v>
          </cell>
          <cell r="D366" t="e">
            <v>#REF!</v>
          </cell>
          <cell r="E366" t="e">
            <v>#REF!</v>
          </cell>
          <cell r="F366" t="e">
            <v>#REF!</v>
          </cell>
          <cell r="G366" t="e">
            <v>#REF!</v>
          </cell>
          <cell r="H366" t="e">
            <v>#REF!</v>
          </cell>
          <cell r="I366" t="e">
            <v>#REF!</v>
          </cell>
          <cell r="K366" t="e">
            <v>#REF!</v>
          </cell>
          <cell r="M366" t="e">
            <v>#REF!</v>
          </cell>
          <cell r="N366" t="e">
            <v>#REF!</v>
          </cell>
          <cell r="O366" t="e">
            <v>#REF!</v>
          </cell>
          <cell r="P366" t="e">
            <v>#REF!</v>
          </cell>
          <cell r="Q366" t="e">
            <v>#REF!</v>
          </cell>
          <cell r="R366" t="str">
            <v>〒108-0075  東京都港区港南一丁目2番70号　品川シーズンテラス　22F</v>
          </cell>
          <cell r="S366" t="e">
            <v>#REF!</v>
          </cell>
          <cell r="T366" t="e">
            <v>#REF!</v>
          </cell>
          <cell r="U366" t="e">
            <v>#REF!</v>
          </cell>
          <cell r="AA366" t="e">
            <v>#REF!</v>
          </cell>
          <cell r="AB366" t="e">
            <v>#REF!</v>
          </cell>
          <cell r="AC366" t="e">
            <v>#REF!</v>
          </cell>
          <cell r="AD366" t="e">
            <v>#REF!</v>
          </cell>
          <cell r="AE366" t="e">
            <v>#REF!</v>
          </cell>
          <cell r="AF366" t="e">
            <v>#REF!</v>
          </cell>
          <cell r="AG366" t="e">
            <v>#REF!</v>
          </cell>
          <cell r="AH366" t="e">
            <v>#REF!</v>
          </cell>
          <cell r="AI366" t="e">
            <v>#REF!</v>
          </cell>
          <cell r="AJ366" t="e">
            <v>#REF!</v>
          </cell>
          <cell r="AK366" t="e">
            <v>#REF!</v>
          </cell>
          <cell r="AL366" t="e">
            <v>#REF!</v>
          </cell>
          <cell r="AM366" t="e">
            <v>#REF!</v>
          </cell>
          <cell r="AN366" t="e">
            <v>#REF!</v>
          </cell>
          <cell r="AO366" t="e">
            <v>#REF!</v>
          </cell>
          <cell r="AP366" t="e">
            <v>#REF!</v>
          </cell>
          <cell r="AQ366" t="e">
            <v>#REF!</v>
          </cell>
          <cell r="AR366" t="e">
            <v>#REF!</v>
          </cell>
          <cell r="AS366" t="e">
            <v>#REF!</v>
          </cell>
          <cell r="AT366" t="e">
            <v>#REF!</v>
          </cell>
          <cell r="AU366" t="e">
            <v>#REF!</v>
          </cell>
        </row>
        <row r="367">
          <cell r="A367" t="str">
            <v>S16-0364</v>
          </cell>
          <cell r="B367" t="str">
            <v>市立横手病院_0364 (2)</v>
          </cell>
          <cell r="C367" t="str">
            <v>SR#</v>
          </cell>
          <cell r="D367" t="str">
            <v>-</v>
          </cell>
          <cell r="E367" t="str">
            <v>有償</v>
          </cell>
          <cell r="F367">
            <v>42517</v>
          </cell>
          <cell r="G367">
            <v>42517</v>
          </cell>
          <cell r="H367">
            <v>42535</v>
          </cell>
          <cell r="I367">
            <v>41395</v>
          </cell>
          <cell r="K367" t="str">
            <v>馬屋原</v>
          </cell>
          <cell r="L367">
            <v>3</v>
          </cell>
          <cell r="M367" t="str">
            <v>V-Universal Stand</v>
          </cell>
          <cell r="N367" t="str">
            <v>WK1D6F</v>
          </cell>
          <cell r="O367" t="str">
            <v>P13383-25</v>
          </cell>
          <cell r="P367" t="str">
            <v>日本コヴィディエン株式会社　南東北営業所</v>
          </cell>
          <cell r="Q367" t="str">
            <v>鈴木様</v>
          </cell>
          <cell r="R367" t="str">
            <v>〒108-0075  東京都港区港南一丁目2番70号　品川シーズンテラス　22F</v>
          </cell>
          <cell r="S367" t="str">
            <v>03-6774-4629</v>
          </cell>
          <cell r="T367" t="str">
            <v>03-6774-4740</v>
          </cell>
          <cell r="U367" t="str">
            <v>市立横手病院</v>
          </cell>
          <cell r="V367" t="str">
            <v>-</v>
          </cell>
          <cell r="W367" t="str">
            <v>-</v>
          </cell>
          <cell r="X367" t="str">
            <v>0182-32-5001</v>
          </cell>
          <cell r="Y367" t="str">
            <v>〒013-0016　秋田県横手市根岸町5-31</v>
          </cell>
          <cell r="AA367" t="str">
            <v/>
          </cell>
          <cell r="AB367" t="str">
            <v/>
          </cell>
          <cell r="AC367" t="str">
            <v/>
          </cell>
          <cell r="AD367" t="str">
            <v/>
          </cell>
          <cell r="AE367" t="str">
            <v/>
          </cell>
          <cell r="AF367" t="str">
            <v/>
          </cell>
          <cell r="AG367" t="str">
            <v/>
          </cell>
          <cell r="AH367" t="str">
            <v/>
          </cell>
          <cell r="AI367" t="str">
            <v/>
          </cell>
          <cell r="AJ367" t="str">
            <v/>
          </cell>
          <cell r="AK367" t="str">
            <v/>
          </cell>
          <cell r="AL367" t="str">
            <v/>
          </cell>
          <cell r="AM367" t="str">
            <v/>
          </cell>
          <cell r="AN367" t="str">
            <v/>
          </cell>
          <cell r="AO367" t="str">
            <v/>
          </cell>
          <cell r="AP367" t="str">
            <v/>
          </cell>
          <cell r="AQ367" t="str">
            <v/>
          </cell>
          <cell r="AR367" t="str">
            <v/>
          </cell>
          <cell r="AS367" t="str">
            <v/>
          </cell>
          <cell r="AT367" t="str">
            <v/>
          </cell>
          <cell r="AU367">
            <v>41306</v>
          </cell>
        </row>
        <row r="368">
          <cell r="A368" t="str">
            <v>S16-0365</v>
          </cell>
          <cell r="B368" t="str">
            <v>市立旭川病院_0365 (2)</v>
          </cell>
          <cell r="C368" t="str">
            <v>SR#</v>
          </cell>
          <cell r="D368" t="str">
            <v>-</v>
          </cell>
          <cell r="E368" t="str">
            <v>有償</v>
          </cell>
          <cell r="F368">
            <v>42517</v>
          </cell>
          <cell r="G368">
            <v>42517</v>
          </cell>
          <cell r="H368">
            <v>42564</v>
          </cell>
          <cell r="I368" t="str">
            <v>不明</v>
          </cell>
          <cell r="K368" t="str">
            <v>-</v>
          </cell>
          <cell r="L368" t="str">
            <v>-</v>
          </cell>
          <cell r="M368">
            <v>180</v>
          </cell>
          <cell r="N368" t="str">
            <v>01LC0Z</v>
          </cell>
          <cell r="O368" t="str">
            <v>P01102-03</v>
          </cell>
          <cell r="P368" t="str">
            <v>富士フイルムメディカル株式会社　札幌支店</v>
          </cell>
          <cell r="Q368" t="str">
            <v>山内 様</v>
          </cell>
          <cell r="R368" t="str">
            <v>〒001-0018　北海道札幌市北区北18条西3-1-38</v>
          </cell>
          <cell r="S368" t="str">
            <v>011-758-0381</v>
          </cell>
          <cell r="T368" t="str">
            <v>011-747-9485</v>
          </cell>
          <cell r="U368" t="str">
            <v>市立旭川病院</v>
          </cell>
          <cell r="V368" t="str">
            <v>-</v>
          </cell>
          <cell r="W368" t="str">
            <v>-</v>
          </cell>
          <cell r="X368" t="str">
            <v xml:space="preserve">0166-24-3181 </v>
          </cell>
          <cell r="Y368" t="str">
            <v>〒070-8610 北海道旭川市金星町1丁目1番65号</v>
          </cell>
          <cell r="AA368" t="str">
            <v/>
          </cell>
          <cell r="AB368" t="str">
            <v/>
          </cell>
          <cell r="AC368" t="str">
            <v/>
          </cell>
          <cell r="AD368" t="str">
            <v/>
          </cell>
          <cell r="AE368" t="str">
            <v/>
          </cell>
          <cell r="AF368" t="str">
            <v/>
          </cell>
          <cell r="AG368" t="str">
            <v/>
          </cell>
          <cell r="AH368" t="str">
            <v/>
          </cell>
          <cell r="AI368" t="str">
            <v/>
          </cell>
          <cell r="AJ368" t="str">
            <v/>
          </cell>
          <cell r="AK368" t="str">
            <v/>
          </cell>
          <cell r="AL368" t="str">
            <v/>
          </cell>
          <cell r="AM368" t="str">
            <v/>
          </cell>
          <cell r="AN368" t="str">
            <v/>
          </cell>
          <cell r="AO368" t="str">
            <v/>
          </cell>
          <cell r="AP368" t="str">
            <v/>
          </cell>
          <cell r="AQ368" t="str">
            <v/>
          </cell>
          <cell r="AR368" t="str">
            <v/>
          </cell>
          <cell r="AS368" t="str">
            <v/>
          </cell>
          <cell r="AT368" t="str">
            <v/>
          </cell>
          <cell r="AU368">
            <v>36678</v>
          </cell>
        </row>
        <row r="369">
          <cell r="A369" t="str">
            <v>S16-0366</v>
          </cell>
          <cell r="B369" t="str">
            <v>加納岩総合病院_0366 (2)</v>
          </cell>
          <cell r="C369" t="str">
            <v>SR#不要</v>
          </cell>
          <cell r="D369" t="str">
            <v>-</v>
          </cell>
          <cell r="E369" t="str">
            <v>有償</v>
          </cell>
          <cell r="F369">
            <v>42517</v>
          </cell>
          <cell r="G369">
            <v>42517</v>
          </cell>
          <cell r="H369">
            <v>42667</v>
          </cell>
          <cell r="I369" t="str">
            <v>不明</v>
          </cell>
          <cell r="K369" t="str">
            <v>-</v>
          </cell>
          <cell r="L369" t="str">
            <v>-</v>
          </cell>
          <cell r="M369">
            <v>180</v>
          </cell>
          <cell r="N369" t="str">
            <v>01J3ZG</v>
          </cell>
          <cell r="O369" t="str">
            <v>P01102-01</v>
          </cell>
          <cell r="P369" t="str">
            <v>マコト医科精機株式会社</v>
          </cell>
          <cell r="Q369" t="str">
            <v>藤巻様</v>
          </cell>
          <cell r="R369" t="str">
            <v>〒409-3845　山梨県中央市流通団地北5番地</v>
          </cell>
          <cell r="S369" t="str">
            <v>055-273-0333</v>
          </cell>
          <cell r="T369" t="str">
            <v>055-273-7626</v>
          </cell>
          <cell r="U369" t="str">
            <v>加納岩総合病院</v>
          </cell>
          <cell r="V369" t="str">
            <v>-</v>
          </cell>
          <cell r="W369" t="str">
            <v>-</v>
          </cell>
          <cell r="X369" t="str">
            <v>0553-22-2511</v>
          </cell>
          <cell r="Y369" t="str">
            <v>〒405-0018 山梨県山梨市上神内川1309</v>
          </cell>
          <cell r="AA369" t="str">
            <v/>
          </cell>
          <cell r="AB369" t="str">
            <v/>
          </cell>
          <cell r="AC369" t="str">
            <v/>
          </cell>
          <cell r="AD369" t="str">
            <v/>
          </cell>
          <cell r="AE369" t="str">
            <v/>
          </cell>
          <cell r="AF369" t="str">
            <v/>
          </cell>
          <cell r="AG369" t="str">
            <v/>
          </cell>
          <cell r="AH369" t="str">
            <v/>
          </cell>
          <cell r="AI369" t="str">
            <v/>
          </cell>
          <cell r="AJ369" t="str">
            <v/>
          </cell>
          <cell r="AK369" t="str">
            <v/>
          </cell>
          <cell r="AL369" t="str">
            <v/>
          </cell>
          <cell r="AM369" t="str">
            <v/>
          </cell>
          <cell r="AN369" t="str">
            <v/>
          </cell>
          <cell r="AO369" t="str">
            <v/>
          </cell>
          <cell r="AP369" t="str">
            <v/>
          </cell>
          <cell r="AQ369" t="str">
            <v/>
          </cell>
          <cell r="AR369" t="str">
            <v/>
          </cell>
          <cell r="AS369" t="str">
            <v/>
          </cell>
          <cell r="AT369" t="str">
            <v/>
          </cell>
          <cell r="AU369">
            <v>36586</v>
          </cell>
        </row>
        <row r="370">
          <cell r="A370" t="str">
            <v>S16-0367</v>
          </cell>
          <cell r="B370" t="str">
            <v>和歌山医療センター_0367 (2)</v>
          </cell>
          <cell r="C370" t="str">
            <v>SR#4211165</v>
          </cell>
          <cell r="D370" t="str">
            <v>-</v>
          </cell>
          <cell r="E370" t="str">
            <v>無償</v>
          </cell>
          <cell r="F370">
            <v>42517</v>
          </cell>
          <cell r="G370">
            <v>42517</v>
          </cell>
          <cell r="H370">
            <v>42545</v>
          </cell>
          <cell r="I370">
            <v>41026</v>
          </cell>
          <cell r="K370" t="str">
            <v>馬屋原</v>
          </cell>
          <cell r="L370">
            <v>3</v>
          </cell>
          <cell r="M370" t="str">
            <v>MicroMaxx</v>
          </cell>
          <cell r="N370" t="str">
            <v>WK0H3W</v>
          </cell>
          <cell r="O370" t="str">
            <v>P14179-03</v>
          </cell>
          <cell r="P370" t="str">
            <v>株式会社大黒</v>
          </cell>
          <cell r="Q370" t="str">
            <v>岡本様</v>
          </cell>
          <cell r="R370" t="str">
            <v>〒641-0012　和歌山県和歌山市紀三井寺855-71</v>
          </cell>
          <cell r="S370" t="str">
            <v>073-441-5051</v>
          </cell>
          <cell r="T370" t="str">
            <v>073-445-7205</v>
          </cell>
          <cell r="U370" t="str">
            <v>和歌山医療センター</v>
          </cell>
          <cell r="V370" t="str">
            <v>-</v>
          </cell>
          <cell r="W370" t="str">
            <v>-</v>
          </cell>
          <cell r="X370" t="str">
            <v>073-422-4171</v>
          </cell>
          <cell r="Y370" t="str">
            <v>〒640-8558　和歌山市小松原通四丁目20番地</v>
          </cell>
          <cell r="AA370" t="str">
            <v>P05463-01</v>
          </cell>
          <cell r="AB370" t="str">
            <v>P07418-02</v>
          </cell>
          <cell r="AC370" t="str">
            <v>P05462-01</v>
          </cell>
          <cell r="AE370" t="str">
            <v/>
          </cell>
          <cell r="AF370" t="str">
            <v/>
          </cell>
          <cell r="AG370" t="str">
            <v/>
          </cell>
          <cell r="AH370" t="str">
            <v/>
          </cell>
          <cell r="AI370" t="str">
            <v/>
          </cell>
          <cell r="AJ370" t="str">
            <v/>
          </cell>
          <cell r="AK370" t="str">
            <v>SERVICE ASSEMBLY DISPLAY, MICROMAXX</v>
          </cell>
          <cell r="AL370" t="str">
            <v>SERVICE ASSEMBLY MAIN PCBA, D2, MICROMAXX</v>
          </cell>
          <cell r="AM370" t="str">
            <v>SERVICE ASSEMBLY CONTROL PANEL, MICROMAXX, ENGLISH</v>
          </cell>
          <cell r="AO370" t="str">
            <v/>
          </cell>
          <cell r="AP370" t="str">
            <v/>
          </cell>
          <cell r="AQ370" t="str">
            <v/>
          </cell>
          <cell r="AR370" t="str">
            <v/>
          </cell>
          <cell r="AS370" t="str">
            <v/>
          </cell>
          <cell r="AT370" t="str">
            <v/>
          </cell>
          <cell r="AU370">
            <v>40940</v>
          </cell>
        </row>
        <row r="371">
          <cell r="A371" t="str">
            <v>S16-0368</v>
          </cell>
          <cell r="B371" t="str">
            <v>藤岡総合病院_0368 (2)</v>
          </cell>
          <cell r="C371" t="str">
            <v>SR#</v>
          </cell>
          <cell r="D371" t="str">
            <v>2016/04/20-03</v>
          </cell>
          <cell r="E371" t="str">
            <v>無償</v>
          </cell>
          <cell r="F371">
            <v>42520</v>
          </cell>
          <cell r="G371">
            <v>42520</v>
          </cell>
          <cell r="H371">
            <v>42537</v>
          </cell>
          <cell r="I371">
            <v>0</v>
          </cell>
          <cell r="K371" t="str">
            <v>馬屋原</v>
          </cell>
          <cell r="L371" t="str">
            <v>-</v>
          </cell>
          <cell r="M371" t="str">
            <v>M-Turbo</v>
          </cell>
          <cell r="N371" t="str">
            <v>WK0WJD</v>
          </cell>
          <cell r="O371" t="str">
            <v>P0914-23</v>
          </cell>
          <cell r="P371" t="str">
            <v>富士フイルムメディカル株式会社</v>
          </cell>
          <cell r="Q371" t="str">
            <v>風間様</v>
          </cell>
          <cell r="R371" t="str">
            <v>〒379-2154　群馬県前橋市天川大島町2-26-13</v>
          </cell>
          <cell r="S371" t="str">
            <v>027-223-6760</v>
          </cell>
          <cell r="T371" t="str">
            <v>027-223-3017</v>
          </cell>
          <cell r="U371" t="str">
            <v>藤岡総合病院</v>
          </cell>
          <cell r="V371" t="str">
            <v>-</v>
          </cell>
          <cell r="W371" t="str">
            <v>-</v>
          </cell>
          <cell r="X371" t="str">
            <v>0274-22-3311</v>
          </cell>
          <cell r="Y371" t="str">
            <v>〒375-8503　群馬県藤岡市藤岡942番地1</v>
          </cell>
          <cell r="AA371" t="str">
            <v/>
          </cell>
          <cell r="AB371" t="str">
            <v/>
          </cell>
          <cell r="AC371" t="str">
            <v/>
          </cell>
          <cell r="AD371" t="str">
            <v/>
          </cell>
          <cell r="AE371" t="str">
            <v/>
          </cell>
          <cell r="AF371" t="str">
            <v/>
          </cell>
          <cell r="AG371" t="str">
            <v/>
          </cell>
          <cell r="AH371" t="str">
            <v/>
          </cell>
          <cell r="AI371" t="str">
            <v/>
          </cell>
          <cell r="AJ371" t="str">
            <v/>
          </cell>
          <cell r="AL371" t="str">
            <v/>
          </cell>
          <cell r="AM371" t="str">
            <v/>
          </cell>
          <cell r="AN371" t="str">
            <v/>
          </cell>
          <cell r="AO371" t="str">
            <v/>
          </cell>
          <cell r="AP371" t="str">
            <v/>
          </cell>
          <cell r="AQ371" t="str">
            <v/>
          </cell>
          <cell r="AR371" t="str">
            <v/>
          </cell>
          <cell r="AS371" t="str">
            <v/>
          </cell>
          <cell r="AT371" t="str">
            <v/>
          </cell>
          <cell r="AU371">
            <v>40909</v>
          </cell>
        </row>
        <row r="372">
          <cell r="A372" t="str">
            <v>S16-0369</v>
          </cell>
          <cell r="B372" t="str">
            <v>群馬県立がんセンター_0369 (2)</v>
          </cell>
          <cell r="C372" t="str">
            <v>SR#4211159</v>
          </cell>
          <cell r="D372" t="str">
            <v>2016/05/24-06</v>
          </cell>
          <cell r="E372" t="str">
            <v>無償</v>
          </cell>
          <cell r="F372">
            <v>42520</v>
          </cell>
          <cell r="G372">
            <v>42520</v>
          </cell>
          <cell r="H372">
            <v>42530</v>
          </cell>
          <cell r="I372" t="str">
            <v>不明</v>
          </cell>
          <cell r="K372" t="str">
            <v>馬屋原</v>
          </cell>
          <cell r="L372">
            <v>3</v>
          </cell>
          <cell r="M372" t="str">
            <v>S-Nerve</v>
          </cell>
          <cell r="N372" t="str">
            <v>03WF3F</v>
          </cell>
          <cell r="O372" t="str">
            <v>P12060-11</v>
          </cell>
          <cell r="P372" t="str">
            <v>富士フイルムメディカル株式会社</v>
          </cell>
          <cell r="Q372" t="str">
            <v>風間様</v>
          </cell>
          <cell r="R372" t="str">
            <v>〒379-2154　群馬県前橋市天川大島町2-26-13</v>
          </cell>
          <cell r="S372" t="str">
            <v>027-223-6760</v>
          </cell>
          <cell r="T372" t="str">
            <v>027-223-3017</v>
          </cell>
          <cell r="U372" t="str">
            <v>群馬県立がんセンター</v>
          </cell>
          <cell r="V372" t="str">
            <v>-</v>
          </cell>
          <cell r="W372" t="str">
            <v>-</v>
          </cell>
          <cell r="X372" t="str">
            <v>0276-38-0771</v>
          </cell>
          <cell r="Y372" t="str">
            <v>〒373-8550 群馬県太田市高林西町617-1</v>
          </cell>
          <cell r="AA372" t="str">
            <v>P00163-01</v>
          </cell>
          <cell r="AB372" t="str">
            <v/>
          </cell>
          <cell r="AC372" t="str">
            <v/>
          </cell>
          <cell r="AD372" t="str">
            <v/>
          </cell>
          <cell r="AE372" t="str">
            <v/>
          </cell>
          <cell r="AF372" t="str">
            <v/>
          </cell>
          <cell r="AG372" t="str">
            <v/>
          </cell>
          <cell r="AH372" t="str">
            <v/>
          </cell>
          <cell r="AI372" t="str">
            <v/>
          </cell>
          <cell r="AJ372" t="str">
            <v/>
          </cell>
          <cell r="AK372" t="str">
            <v>BAT,3V,7MAH,BUTTON,LITH,RECHARG,PCB,ROHS</v>
          </cell>
          <cell r="AL372" t="str">
            <v/>
          </cell>
          <cell r="AM372" t="str">
            <v/>
          </cell>
          <cell r="AN372" t="str">
            <v/>
          </cell>
          <cell r="AO372" t="str">
            <v/>
          </cell>
          <cell r="AP372" t="str">
            <v/>
          </cell>
          <cell r="AQ372" t="str">
            <v/>
          </cell>
          <cell r="AR372" t="str">
            <v/>
          </cell>
          <cell r="AS372" t="str">
            <v/>
          </cell>
          <cell r="AT372" t="str">
            <v/>
          </cell>
          <cell r="AU372">
            <v>41548</v>
          </cell>
        </row>
        <row r="373">
          <cell r="A373" t="str">
            <v>S16-0370</v>
          </cell>
          <cell r="B373" t="str">
            <v>九州医療センター_0370 (2)</v>
          </cell>
          <cell r="C373" t="str">
            <v>SR#</v>
          </cell>
          <cell r="D373" t="str">
            <v>2016/03/30-04</v>
          </cell>
          <cell r="E373" t="str">
            <v>有償</v>
          </cell>
          <cell r="F373">
            <v>42520</v>
          </cell>
          <cell r="G373">
            <v>42520</v>
          </cell>
          <cell r="H373">
            <v>42542</v>
          </cell>
          <cell r="I373" t="str">
            <v>不明</v>
          </cell>
          <cell r="K373" t="str">
            <v>-</v>
          </cell>
          <cell r="L373" t="str">
            <v>-</v>
          </cell>
          <cell r="M373" t="str">
            <v>P21x/5-1</v>
          </cell>
          <cell r="N373" t="str">
            <v>03CP65</v>
          </cell>
          <cell r="O373" t="str">
            <v>P09171-03</v>
          </cell>
          <cell r="P373" t="str">
            <v>株式会社キシヤ</v>
          </cell>
          <cell r="Q373" t="str">
            <v>奥田様</v>
          </cell>
          <cell r="R373" t="str">
            <v>〒812-0062 福岡県福岡市東区松島1-41-21</v>
          </cell>
          <cell r="S373" t="str">
            <v>092-622-8000</v>
          </cell>
          <cell r="T373" t="str">
            <v>092-623-1313</v>
          </cell>
          <cell r="U373" t="str">
            <v>九州医療センター</v>
          </cell>
          <cell r="V373" t="str">
            <v>-</v>
          </cell>
          <cell r="W373" t="str">
            <v>-</v>
          </cell>
          <cell r="X373" t="str">
            <v>092-852-0700</v>
          </cell>
          <cell r="Y373" t="str">
            <v>〒810-8563　福岡市中央区地行浜1-8-1</v>
          </cell>
          <cell r="AA373" t="str">
            <v/>
          </cell>
          <cell r="AB373" t="str">
            <v/>
          </cell>
          <cell r="AC373" t="str">
            <v/>
          </cell>
          <cell r="AD373" t="str">
            <v/>
          </cell>
          <cell r="AE373" t="str">
            <v/>
          </cell>
          <cell r="AF373" t="str">
            <v/>
          </cell>
          <cell r="AG373" t="str">
            <v/>
          </cell>
          <cell r="AH373" t="str">
            <v/>
          </cell>
          <cell r="AI373" t="str">
            <v/>
          </cell>
          <cell r="AJ373" t="str">
            <v/>
          </cell>
          <cell r="AK373" t="str">
            <v/>
          </cell>
          <cell r="AL373" t="str">
            <v/>
          </cell>
          <cell r="AM373" t="str">
            <v/>
          </cell>
          <cell r="AN373" t="str">
            <v/>
          </cell>
          <cell r="AO373" t="str">
            <v/>
          </cell>
          <cell r="AP373" t="str">
            <v/>
          </cell>
          <cell r="AQ373" t="str">
            <v/>
          </cell>
          <cell r="AR373" t="str">
            <v/>
          </cell>
          <cell r="AS373" t="str">
            <v/>
          </cell>
          <cell r="AT373" t="str">
            <v/>
          </cell>
          <cell r="AU373">
            <v>39661</v>
          </cell>
        </row>
        <row r="374">
          <cell r="A374" t="str">
            <v>S16-0371</v>
          </cell>
          <cell r="B374" t="str">
            <v>市立札幌病院_0371 (2)</v>
          </cell>
          <cell r="C374" t="str">
            <v>SR#4211161</v>
          </cell>
          <cell r="D374" t="str">
            <v>2016/05/25-02</v>
          </cell>
          <cell r="E374" t="str">
            <v>無償</v>
          </cell>
          <cell r="F374">
            <v>42520</v>
          </cell>
          <cell r="G374">
            <v>42520</v>
          </cell>
          <cell r="H374">
            <v>42530</v>
          </cell>
          <cell r="I374" t="str">
            <v>不明</v>
          </cell>
          <cell r="K374" t="str">
            <v>馬屋原</v>
          </cell>
          <cell r="L374">
            <v>3</v>
          </cell>
          <cell r="M374" t="str">
            <v>EDGE</v>
          </cell>
          <cell r="N374" t="str">
            <v>03WRBP</v>
          </cell>
          <cell r="O374" t="str">
            <v>P16360-04</v>
          </cell>
          <cell r="P374" t="str">
            <v>株式会社竹山　中央支店</v>
          </cell>
          <cell r="Q374" t="str">
            <v>高橋様</v>
          </cell>
          <cell r="R374" t="str">
            <v>〒003-0021　北海道札幌市白石区栄通4丁目3-1</v>
          </cell>
          <cell r="S374" t="str">
            <v>011-859-8714</v>
          </cell>
          <cell r="T374" t="str">
            <v>011-859-8725</v>
          </cell>
          <cell r="U374" t="str">
            <v>市立札幌病院</v>
          </cell>
          <cell r="V374" t="str">
            <v>-</v>
          </cell>
          <cell r="W374" t="str">
            <v>-</v>
          </cell>
          <cell r="X374" t="str">
            <v>011-726-2211</v>
          </cell>
          <cell r="Y374" t="str">
            <v>〒060-8604 北海道札幌市中央区北11条西13丁目1-1</v>
          </cell>
          <cell r="AA374" t="str">
            <v>P07750-04</v>
          </cell>
          <cell r="AB374" t="str">
            <v/>
          </cell>
          <cell r="AC374" t="str">
            <v/>
          </cell>
          <cell r="AD374" t="str">
            <v/>
          </cell>
          <cell r="AE374" t="str">
            <v/>
          </cell>
          <cell r="AF374" t="str">
            <v/>
          </cell>
          <cell r="AG374" t="str">
            <v/>
          </cell>
          <cell r="AH374" t="str">
            <v/>
          </cell>
          <cell r="AI374" t="str">
            <v/>
          </cell>
          <cell r="AJ374" t="str">
            <v/>
          </cell>
          <cell r="AK374" t="str">
            <v>ASSEMBLY, NEST FRAME, TURBO</v>
          </cell>
          <cell r="AL374" t="str">
            <v/>
          </cell>
          <cell r="AM374" t="str">
            <v/>
          </cell>
          <cell r="AN374" t="str">
            <v/>
          </cell>
          <cell r="AO374" t="str">
            <v/>
          </cell>
          <cell r="AP374" t="str">
            <v/>
          </cell>
          <cell r="AQ374" t="str">
            <v/>
          </cell>
          <cell r="AR374" t="str">
            <v/>
          </cell>
          <cell r="AS374" t="str">
            <v/>
          </cell>
          <cell r="AT374" t="str">
            <v/>
          </cell>
          <cell r="AU374">
            <v>41760</v>
          </cell>
        </row>
        <row r="375">
          <cell r="A375" t="str">
            <v>S16-0372</v>
          </cell>
          <cell r="B375" t="str">
            <v>横浜市立大学病院_0372 (2)</v>
          </cell>
          <cell r="C375" t="str">
            <v>SR#</v>
          </cell>
          <cell r="D375" t="str">
            <v>2016/05/25-03</v>
          </cell>
          <cell r="E375" t="str">
            <v>有償</v>
          </cell>
          <cell r="F375">
            <v>42521</v>
          </cell>
          <cell r="G375">
            <v>42521</v>
          </cell>
          <cell r="H375">
            <v>42633</v>
          </cell>
          <cell r="I375" t="str">
            <v>不明</v>
          </cell>
          <cell r="K375" t="str">
            <v>高橋</v>
          </cell>
          <cell r="L375" t="str">
            <v>-</v>
          </cell>
          <cell r="M375" t="str">
            <v>P21x/5-1</v>
          </cell>
          <cell r="N375" t="str">
            <v>03LDTH</v>
          </cell>
          <cell r="O375" t="str">
            <v>P09171-05</v>
          </cell>
          <cell r="P375" t="str">
            <v>富士フイルムメディカル株式会社</v>
          </cell>
          <cell r="Q375" t="str">
            <v>芝滝 様</v>
          </cell>
          <cell r="R375" t="str">
            <v>〒222-0033　神奈川県横浜市港北区新横浜2-8-11</v>
          </cell>
          <cell r="S375" t="str">
            <v>045-471-7311</v>
          </cell>
          <cell r="T375" t="str">
            <v>045-472-6321</v>
          </cell>
          <cell r="U375" t="str">
            <v>横浜市立大学病院</v>
          </cell>
          <cell r="V375" t="str">
            <v>-</v>
          </cell>
          <cell r="W375" t="str">
            <v>-</v>
          </cell>
          <cell r="X375" t="str">
            <v>045-787-2800</v>
          </cell>
          <cell r="Y375" t="str">
            <v>〒236-0004　神奈川県横浜市金沢区福浦3-9</v>
          </cell>
          <cell r="AA375" t="str">
            <v>P09171-51</v>
          </cell>
          <cell r="AB375" t="str">
            <v/>
          </cell>
          <cell r="AC375" t="str">
            <v/>
          </cell>
          <cell r="AD375" t="str">
            <v/>
          </cell>
          <cell r="AE375" t="str">
            <v/>
          </cell>
          <cell r="AF375" t="str">
            <v/>
          </cell>
          <cell r="AG375" t="str">
            <v/>
          </cell>
          <cell r="AH375" t="str">
            <v/>
          </cell>
          <cell r="AI375" t="str">
            <v/>
          </cell>
          <cell r="AJ375" t="str">
            <v/>
          </cell>
          <cell r="AK375" t="str">
            <v>P21x/5-1 Phased Array Transducer (M-Turbo, Edge, S)</v>
          </cell>
          <cell r="AL375" t="str">
            <v/>
          </cell>
          <cell r="AM375" t="str">
            <v/>
          </cell>
          <cell r="AN375" t="str">
            <v/>
          </cell>
          <cell r="AO375" t="str">
            <v/>
          </cell>
          <cell r="AP375" t="str">
            <v/>
          </cell>
          <cell r="AQ375" t="str">
            <v/>
          </cell>
          <cell r="AR375" t="str">
            <v/>
          </cell>
          <cell r="AS375" t="str">
            <v/>
          </cell>
          <cell r="AT375" t="str">
            <v/>
          </cell>
          <cell r="AU375">
            <v>40603</v>
          </cell>
        </row>
        <row r="376">
          <cell r="A376" t="str">
            <v>S16-0373</v>
          </cell>
          <cell r="B376" t="str">
            <v>岐阜大学病院_0373 (2)</v>
          </cell>
          <cell r="C376" t="str">
            <v>SR#</v>
          </cell>
          <cell r="D376" t="str">
            <v>2016/05/27-01</v>
          </cell>
          <cell r="E376" t="str">
            <v>有償</v>
          </cell>
          <cell r="F376">
            <v>42521</v>
          </cell>
          <cell r="G376">
            <v>42521</v>
          </cell>
          <cell r="H376">
            <v>42699</v>
          </cell>
          <cell r="I376">
            <v>40142</v>
          </cell>
          <cell r="K376" t="str">
            <v>高橋</v>
          </cell>
          <cell r="L376">
            <v>3</v>
          </cell>
          <cell r="M376" t="str">
            <v>M-Turbo</v>
          </cell>
          <cell r="N376" t="str">
            <v>03G3H6</v>
          </cell>
          <cell r="O376" t="str">
            <v>P09141-09</v>
          </cell>
          <cell r="P376" t="str">
            <v>井上精機株式会社　本社</v>
          </cell>
          <cell r="Q376" t="str">
            <v>鷲津様</v>
          </cell>
          <cell r="R376" t="str">
            <v>〒500-8687　岐阜県岐阜市玉宮町1-11</v>
          </cell>
          <cell r="S376" t="str">
            <v>058-265-4501</v>
          </cell>
          <cell r="T376" t="str">
            <v>058-262-7858</v>
          </cell>
          <cell r="U376" t="str">
            <v>岐阜大学医学部附属病院 高度救命救急センタ</v>
          </cell>
          <cell r="V376" t="str">
            <v>杉原様</v>
          </cell>
          <cell r="W376" t="str">
            <v>高度救急救命センター</v>
          </cell>
          <cell r="X376" t="str">
            <v>058-230-6000</v>
          </cell>
          <cell r="Y376" t="str">
            <v>〒501-1194　岐阜県岐阜市柳戸１番１</v>
          </cell>
          <cell r="AA376" t="str">
            <v>P19087-02</v>
          </cell>
          <cell r="AB376" t="str">
            <v>P07168-20</v>
          </cell>
          <cell r="AC376" t="str">
            <v/>
          </cell>
          <cell r="AD376" t="str">
            <v/>
          </cell>
          <cell r="AE376" t="str">
            <v/>
          </cell>
          <cell r="AF376" t="str">
            <v/>
          </cell>
          <cell r="AG376" t="str">
            <v/>
          </cell>
          <cell r="AH376" t="str">
            <v/>
          </cell>
          <cell r="AI376" t="str">
            <v/>
          </cell>
          <cell r="AJ376" t="str">
            <v/>
          </cell>
          <cell r="AK376" t="str">
            <v>MAIN PCBA, M-Turbo</v>
          </cell>
          <cell r="AL376" t="str">
            <v>BATTERY PACK, 6 CELL, 11.25V, 5.2AMP-HOUR, LITHIUM-ION</v>
          </cell>
          <cell r="AM376" t="str">
            <v/>
          </cell>
          <cell r="AN376" t="str">
            <v/>
          </cell>
          <cell r="AO376" t="str">
            <v/>
          </cell>
          <cell r="AP376" t="str">
            <v/>
          </cell>
          <cell r="AQ376" t="str">
            <v/>
          </cell>
          <cell r="AR376" t="str">
            <v/>
          </cell>
          <cell r="AS376" t="str">
            <v/>
          </cell>
          <cell r="AT376" t="str">
            <v/>
          </cell>
          <cell r="AU376">
            <v>39934</v>
          </cell>
        </row>
        <row r="377">
          <cell r="A377" t="str">
            <v>S16-0374</v>
          </cell>
          <cell r="B377" t="str">
            <v>宮前診療所_0374 (2)</v>
          </cell>
          <cell r="C377" t="str">
            <v>SR#4212137</v>
          </cell>
          <cell r="D377" t="str">
            <v>2016/05/24-08</v>
          </cell>
          <cell r="E377" t="str">
            <v>無償</v>
          </cell>
          <cell r="F377">
            <v>42521</v>
          </cell>
          <cell r="G377">
            <v>42521</v>
          </cell>
          <cell r="H377">
            <v>42537</v>
          </cell>
          <cell r="I377">
            <v>41806</v>
          </cell>
          <cell r="K377" t="str">
            <v>馬屋原</v>
          </cell>
          <cell r="L377">
            <v>3</v>
          </cell>
          <cell r="M377" t="str">
            <v>M-Turbo</v>
          </cell>
          <cell r="N377" t="str">
            <v>WK2886</v>
          </cell>
          <cell r="O377" t="str">
            <v>P16693-03</v>
          </cell>
          <cell r="P377" t="str">
            <v>中辻医科器械株式会社</v>
          </cell>
          <cell r="Q377" t="str">
            <v>山川様</v>
          </cell>
          <cell r="R377" t="str">
            <v>〒514-0816　三重県津市高茶屋上野町1336-1</v>
          </cell>
          <cell r="S377" t="str">
            <v>059-234-2600</v>
          </cell>
          <cell r="T377" t="str">
            <v>059-234-9197</v>
          </cell>
          <cell r="U377" t="str">
            <v>宮前診療所</v>
          </cell>
          <cell r="V377" t="str">
            <v>院長　尾邉利英様</v>
          </cell>
          <cell r="W377" t="str">
            <v>内科</v>
          </cell>
          <cell r="X377" t="str">
            <v>0598-46-0003</v>
          </cell>
          <cell r="Y377" t="str">
            <v>〒515-1502　三重県松阪市飯高町宮前1104</v>
          </cell>
          <cell r="AA377" t="str">
            <v>P19087-02</v>
          </cell>
          <cell r="AB377" t="str">
            <v/>
          </cell>
          <cell r="AC377" t="str">
            <v/>
          </cell>
          <cell r="AD377" t="str">
            <v/>
          </cell>
          <cell r="AE377" t="str">
            <v/>
          </cell>
          <cell r="AF377" t="str">
            <v/>
          </cell>
          <cell r="AG377" t="str">
            <v/>
          </cell>
          <cell r="AH377" t="str">
            <v/>
          </cell>
          <cell r="AI377" t="str">
            <v/>
          </cell>
          <cell r="AJ377" t="str">
            <v/>
          </cell>
          <cell r="AK377" t="str">
            <v>MAIN PCBA, M-Turbo</v>
          </cell>
          <cell r="AL377" t="str">
            <v/>
          </cell>
          <cell r="AM377" t="str">
            <v/>
          </cell>
          <cell r="AN377" t="str">
            <v/>
          </cell>
          <cell r="AO377" t="str">
            <v/>
          </cell>
          <cell r="AP377" t="str">
            <v/>
          </cell>
          <cell r="AQ377" t="str">
            <v/>
          </cell>
          <cell r="AR377" t="str">
            <v/>
          </cell>
          <cell r="AS377" t="str">
            <v/>
          </cell>
          <cell r="AT377" t="str">
            <v/>
          </cell>
          <cell r="AU377">
            <v>41699</v>
          </cell>
        </row>
        <row r="378">
          <cell r="A378" t="str">
            <v>S16-0375</v>
          </cell>
          <cell r="B378" t="str">
            <v>JAとりで総合医療センター_0375 (2)</v>
          </cell>
          <cell r="C378" t="str">
            <v>SR#不要</v>
          </cell>
          <cell r="D378" t="str">
            <v>2016/05/25-06</v>
          </cell>
          <cell r="E378" t="str">
            <v>有償</v>
          </cell>
          <cell r="F378">
            <v>42521</v>
          </cell>
          <cell r="G378">
            <v>42521</v>
          </cell>
          <cell r="H378">
            <v>42685</v>
          </cell>
          <cell r="I378" t="str">
            <v>不明</v>
          </cell>
          <cell r="K378" t="str">
            <v>-</v>
          </cell>
          <cell r="L378" t="str">
            <v>-</v>
          </cell>
          <cell r="M378" t="str">
            <v>C60e/5-2</v>
          </cell>
          <cell r="N378" t="str">
            <v>039TT7</v>
          </cell>
          <cell r="O378" t="str">
            <v>P05675-07</v>
          </cell>
          <cell r="P378" t="str">
            <v>株式会社 栗原医療器械店 土浦支店</v>
          </cell>
          <cell r="Q378" t="str">
            <v>阿久津様　藤枝様</v>
          </cell>
          <cell r="R378" t="str">
            <v xml:space="preserve"> 〒300-0063　茨城県土浦市若松町1-21　</v>
          </cell>
          <cell r="S378" t="str">
            <v>029-823-2161</v>
          </cell>
          <cell r="T378" t="str">
            <v>029-822-6959</v>
          </cell>
          <cell r="U378" t="str">
            <v>JAとりで総合医療センター</v>
          </cell>
          <cell r="V378" t="str">
            <v>-</v>
          </cell>
          <cell r="W378" t="str">
            <v>-</v>
          </cell>
          <cell r="X378" t="str">
            <v>0297-74-5551</v>
          </cell>
          <cell r="Y378" t="str">
            <v>302-0022　茨城県取手市本郷2-1-1</v>
          </cell>
          <cell r="AA378" t="str">
            <v/>
          </cell>
          <cell r="AB378" t="str">
            <v/>
          </cell>
          <cell r="AC378" t="str">
            <v/>
          </cell>
          <cell r="AD378" t="str">
            <v/>
          </cell>
          <cell r="AE378" t="str">
            <v/>
          </cell>
          <cell r="AF378" t="str">
            <v/>
          </cell>
          <cell r="AG378" t="str">
            <v/>
          </cell>
          <cell r="AH378" t="str">
            <v/>
          </cell>
          <cell r="AI378" t="str">
            <v/>
          </cell>
          <cell r="AJ378" t="str">
            <v/>
          </cell>
          <cell r="AK378" t="str">
            <v/>
          </cell>
          <cell r="AL378" t="str">
            <v/>
          </cell>
          <cell r="AM378" t="str">
            <v/>
          </cell>
          <cell r="AN378" t="str">
            <v/>
          </cell>
          <cell r="AO378" t="str">
            <v/>
          </cell>
          <cell r="AP378" t="str">
            <v/>
          </cell>
          <cell r="AQ378" t="str">
            <v/>
          </cell>
          <cell r="AR378" t="str">
            <v/>
          </cell>
          <cell r="AS378" t="str">
            <v/>
          </cell>
          <cell r="AT378" t="str">
            <v/>
          </cell>
          <cell r="AU378">
            <v>39356</v>
          </cell>
        </row>
        <row r="379">
          <cell r="A379" t="str">
            <v>S16-0376</v>
          </cell>
          <cell r="B379" t="str">
            <v>横浜痛みのクリニック_0376 (2)</v>
          </cell>
          <cell r="C379" t="str">
            <v>SR#不要</v>
          </cell>
          <cell r="D379" t="str">
            <v>-</v>
          </cell>
          <cell r="E379" t="str">
            <v>無償</v>
          </cell>
          <cell r="F379">
            <v>42521</v>
          </cell>
          <cell r="G379">
            <v>42521</v>
          </cell>
          <cell r="H379">
            <v>42528</v>
          </cell>
          <cell r="I379">
            <v>42051</v>
          </cell>
          <cell r="K379">
            <v>0</v>
          </cell>
          <cell r="M379" t="str">
            <v>HFL50x/15-6</v>
          </cell>
          <cell r="N379" t="str">
            <v>03YYWX</v>
          </cell>
          <cell r="O379" t="str">
            <v>P13811-02</v>
          </cell>
          <cell r="P379" t="str">
            <v>富士フイルムメディカル株式会社</v>
          </cell>
          <cell r="Q379" t="str">
            <v>芝滝様</v>
          </cell>
          <cell r="R379" t="str">
            <v>〒222-0033　神奈川県横浜市港北区新横浜2-8-11</v>
          </cell>
          <cell r="S379" t="str">
            <v>045-471-7311</v>
          </cell>
          <cell r="T379" t="str">
            <v>045-472-6321</v>
          </cell>
          <cell r="U379" t="str">
            <v>横浜痛みのクリニック</v>
          </cell>
          <cell r="V379" t="str">
            <v>-</v>
          </cell>
          <cell r="W379" t="str">
            <v>-</v>
          </cell>
          <cell r="X379" t="str">
            <v>045-443-8013</v>
          </cell>
          <cell r="Y379" t="str">
            <v>〒244-0816　神奈川県横浜市戸塚区上倉田町498-11 第5吉本ビル2F</v>
          </cell>
          <cell r="AA379" t="str">
            <v/>
          </cell>
          <cell r="AB379" t="str">
            <v/>
          </cell>
          <cell r="AC379" t="str">
            <v/>
          </cell>
          <cell r="AD379" t="str">
            <v/>
          </cell>
          <cell r="AE379" t="str">
            <v/>
          </cell>
          <cell r="AF379" t="str">
            <v/>
          </cell>
          <cell r="AG379" t="str">
            <v/>
          </cell>
          <cell r="AH379" t="str">
            <v/>
          </cell>
          <cell r="AI379" t="str">
            <v/>
          </cell>
          <cell r="AJ379" t="str">
            <v/>
          </cell>
          <cell r="AK379" t="str">
            <v/>
          </cell>
          <cell r="AL379" t="str">
            <v/>
          </cell>
          <cell r="AM379" t="str">
            <v/>
          </cell>
          <cell r="AN379" t="str">
            <v/>
          </cell>
          <cell r="AO379" t="str">
            <v/>
          </cell>
          <cell r="AP379" t="str">
            <v/>
          </cell>
          <cell r="AQ379" t="str">
            <v/>
          </cell>
          <cell r="AR379" t="str">
            <v/>
          </cell>
          <cell r="AS379" t="str">
            <v/>
          </cell>
          <cell r="AT379" t="str">
            <v/>
          </cell>
          <cell r="AU379">
            <v>41821</v>
          </cell>
        </row>
        <row r="380">
          <cell r="A380" t="str">
            <v>S16-0377</v>
          </cell>
          <cell r="B380" t="str">
            <v>川崎医科大学附属病院_0377 (2)</v>
          </cell>
          <cell r="C380" t="str">
            <v>SR#4230109</v>
          </cell>
          <cell r="D380" t="str">
            <v>2016/05/30-02</v>
          </cell>
          <cell r="E380" t="str">
            <v>有償</v>
          </cell>
          <cell r="F380">
            <v>42522</v>
          </cell>
          <cell r="G380">
            <v>42522</v>
          </cell>
          <cell r="H380">
            <v>42584</v>
          </cell>
          <cell r="I380" t="str">
            <v>不明</v>
          </cell>
          <cell r="K380" t="str">
            <v>高橋</v>
          </cell>
          <cell r="L380">
            <v>3</v>
          </cell>
          <cell r="M380" t="str">
            <v>M-Turbo</v>
          </cell>
          <cell r="N380" t="str">
            <v>03J175</v>
          </cell>
          <cell r="O380" t="str">
            <v>P09141-15</v>
          </cell>
          <cell r="P380" t="str">
            <v>株式会社カワニシ岡山支店</v>
          </cell>
          <cell r="Q380" t="str">
            <v>井本様</v>
          </cell>
          <cell r="R380" t="str">
            <v>〒700-8528 　岡山県岡山市北区今1-4-31</v>
          </cell>
          <cell r="S380" t="str">
            <v>086-241-1112</v>
          </cell>
          <cell r="T380" t="str">
            <v>086-241-5943</v>
          </cell>
          <cell r="U380" t="str">
            <v>川崎医科大学 麻酔科 ICU</v>
          </cell>
          <cell r="V380" t="str">
            <v>-</v>
          </cell>
          <cell r="W380" t="str">
            <v>麻酔科　ICU</v>
          </cell>
          <cell r="X380" t="str">
            <v>086-462-1111</v>
          </cell>
          <cell r="Y380" t="str">
            <v>〒701-0192　岡山県倉敷市松島577</v>
          </cell>
          <cell r="AA380" t="str">
            <v>P19087-02</v>
          </cell>
          <cell r="AB380" t="str">
            <v>P07168-20</v>
          </cell>
          <cell r="AC380" t="str">
            <v/>
          </cell>
          <cell r="AD380" t="str">
            <v/>
          </cell>
          <cell r="AE380" t="str">
            <v/>
          </cell>
          <cell r="AF380" t="str">
            <v/>
          </cell>
          <cell r="AG380" t="str">
            <v/>
          </cell>
          <cell r="AH380" t="str">
            <v/>
          </cell>
          <cell r="AI380" t="str">
            <v/>
          </cell>
          <cell r="AJ380" t="str">
            <v/>
          </cell>
          <cell r="AK380" t="str">
            <v>MAIN PCBA, M-Turbo</v>
          </cell>
          <cell r="AL380" t="str">
            <v>BATTERY PACK, 6 CELL, 11.25V, 5.2AMP-HOUR, LITHIUM-ION</v>
          </cell>
          <cell r="AM380" t="str">
            <v/>
          </cell>
          <cell r="AN380" t="str">
            <v/>
          </cell>
          <cell r="AO380" t="str">
            <v/>
          </cell>
          <cell r="AP380" t="str">
            <v/>
          </cell>
          <cell r="AQ380" t="str">
            <v/>
          </cell>
          <cell r="AR380" t="str">
            <v/>
          </cell>
          <cell r="AS380" t="str">
            <v/>
          </cell>
          <cell r="AT380" t="str">
            <v/>
          </cell>
          <cell r="AU380">
            <v>40299</v>
          </cell>
        </row>
        <row r="381">
          <cell r="A381" t="str">
            <v>S16-0378</v>
          </cell>
          <cell r="B381" t="str">
            <v>宮崎大学病院_0378 (2)</v>
          </cell>
          <cell r="C381" t="str">
            <v>SR#</v>
          </cell>
          <cell r="D381" t="str">
            <v>-</v>
          </cell>
          <cell r="E381" t="str">
            <v>無償</v>
          </cell>
          <cell r="F381">
            <v>42522</v>
          </cell>
          <cell r="G381">
            <v>42522</v>
          </cell>
          <cell r="H381">
            <v>42565</v>
          </cell>
          <cell r="I381">
            <v>41537</v>
          </cell>
          <cell r="K381" t="str">
            <v>高橋</v>
          </cell>
          <cell r="L381">
            <v>3</v>
          </cell>
          <cell r="M381" t="str">
            <v>NanoMaxx</v>
          </cell>
          <cell r="N381" t="str">
            <v>03VH9K</v>
          </cell>
          <cell r="O381" t="str">
            <v>P12700-06</v>
          </cell>
          <cell r="P381" t="str">
            <v>日本コヴィディエン株式会社　九州第二営業所</v>
          </cell>
          <cell r="Q381" t="str">
            <v>木下様</v>
          </cell>
          <cell r="R381" t="str">
            <v>〒108-0075  東京都港区港南一丁目2番70号　品川シーズンテラス　22F</v>
          </cell>
          <cell r="S381" t="str">
            <v>03-6774-4629</v>
          </cell>
          <cell r="T381" t="str">
            <v>03-6774-4740</v>
          </cell>
          <cell r="U381" t="str">
            <v>宮崎大学医学部附属病院</v>
          </cell>
          <cell r="V381" t="str">
            <v>-</v>
          </cell>
          <cell r="W381" t="str">
            <v>-</v>
          </cell>
          <cell r="X381" t="str">
            <v>0985-85-1510</v>
          </cell>
          <cell r="Y381" t="str">
            <v>〒889-1692 宮崎県宮崎市清武町木原5200</v>
          </cell>
          <cell r="AA381" t="str">
            <v>P12889-20</v>
          </cell>
          <cell r="AB381" t="str">
            <v/>
          </cell>
          <cell r="AC381" t="str">
            <v/>
          </cell>
          <cell r="AD381" t="str">
            <v/>
          </cell>
          <cell r="AE381" t="str">
            <v/>
          </cell>
          <cell r="AF381" t="str">
            <v/>
          </cell>
          <cell r="AG381" t="str">
            <v/>
          </cell>
          <cell r="AH381" t="str">
            <v/>
          </cell>
          <cell r="AI381" t="str">
            <v/>
          </cell>
          <cell r="AJ381" t="str">
            <v/>
          </cell>
          <cell r="AK381" t="str">
            <v>NANOMAXX BATTERY ASSEMBLY, NATIONAL PANASONIC CELLS</v>
          </cell>
          <cell r="AL381" t="str">
            <v/>
          </cell>
          <cell r="AM381" t="str">
            <v/>
          </cell>
          <cell r="AN381" t="str">
            <v/>
          </cell>
          <cell r="AO381" t="str">
            <v/>
          </cell>
          <cell r="AP381" t="str">
            <v/>
          </cell>
          <cell r="AQ381" t="str">
            <v/>
          </cell>
          <cell r="AR381" t="str">
            <v/>
          </cell>
          <cell r="AS381" t="str">
            <v/>
          </cell>
          <cell r="AT381" t="str">
            <v/>
          </cell>
          <cell r="AU381">
            <v>41395</v>
          </cell>
        </row>
        <row r="382">
          <cell r="A382" t="str">
            <v>S16-0379</v>
          </cell>
          <cell r="B382" t="str">
            <v>国際医療研究センター_0379 (2)</v>
          </cell>
          <cell r="C382" t="str">
            <v>SR#4217609</v>
          </cell>
          <cell r="D382" t="str">
            <v>-</v>
          </cell>
          <cell r="E382" t="str">
            <v>無償</v>
          </cell>
          <cell r="F382">
            <v>42522</v>
          </cell>
          <cell r="G382">
            <v>42522</v>
          </cell>
          <cell r="H382">
            <v>42656</v>
          </cell>
          <cell r="I382">
            <v>41723</v>
          </cell>
          <cell r="K382" t="str">
            <v>馬屋原</v>
          </cell>
          <cell r="L382">
            <v>3</v>
          </cell>
          <cell r="M382" t="str">
            <v>NanoMaxx</v>
          </cell>
          <cell r="N382" t="str">
            <v>03WGB8</v>
          </cell>
          <cell r="O382" t="str">
            <v>P12700-06</v>
          </cell>
          <cell r="P382" t="str">
            <v>日本コヴィディエン株式会社　東京第一営業所</v>
          </cell>
          <cell r="Q382" t="str">
            <v>辻山様</v>
          </cell>
          <cell r="R382" t="str">
            <v>〒108-0075  東京都港区港南一丁目2番70号　品川シーズンテラス　22F</v>
          </cell>
          <cell r="S382" t="str">
            <v>03-6774-4629</v>
          </cell>
          <cell r="T382" t="str">
            <v>03-6774-4740</v>
          </cell>
          <cell r="U382" t="str">
            <v>国立国際医療研究センター病院</v>
          </cell>
          <cell r="V382" t="str">
            <v>-</v>
          </cell>
          <cell r="W382" t="str">
            <v>-</v>
          </cell>
          <cell r="X382" t="str">
            <v>03-3202-7181</v>
          </cell>
          <cell r="Y382" t="str">
            <v>〒162-8655　東京都新宿区戸山1-21-1</v>
          </cell>
          <cell r="AA382" t="str">
            <v>P12718-02</v>
          </cell>
          <cell r="AB382" t="str">
            <v>P09977-01</v>
          </cell>
          <cell r="AC382" t="str">
            <v/>
          </cell>
          <cell r="AD382" t="str">
            <v/>
          </cell>
          <cell r="AE382" t="str">
            <v/>
          </cell>
          <cell r="AF382" t="str">
            <v/>
          </cell>
          <cell r="AG382" t="str">
            <v/>
          </cell>
          <cell r="AH382" t="str">
            <v/>
          </cell>
          <cell r="AI382" t="str">
            <v/>
          </cell>
          <cell r="AJ382" t="str">
            <v/>
          </cell>
          <cell r="AK382" t="str">
            <v>SERVICE ASSEMBLY, BACK END PCB, NANOMAXX</v>
          </cell>
          <cell r="AL382" t="str">
            <v>CABLE,FFC,0.5MM PITCH,14 POS,6" LENGTH</v>
          </cell>
          <cell r="AM382" t="str">
            <v/>
          </cell>
          <cell r="AN382" t="str">
            <v/>
          </cell>
          <cell r="AO382" t="str">
            <v/>
          </cell>
          <cell r="AP382" t="str">
            <v/>
          </cell>
          <cell r="AQ382" t="str">
            <v/>
          </cell>
          <cell r="AR382" t="str">
            <v/>
          </cell>
          <cell r="AS382" t="str">
            <v/>
          </cell>
          <cell r="AT382" t="str">
            <v/>
          </cell>
          <cell r="AU382">
            <v>41579</v>
          </cell>
        </row>
        <row r="383">
          <cell r="A383" t="str">
            <v>S16-0380</v>
          </cell>
          <cell r="B383" t="str">
            <v>藤田保健衛生大学_0380 (2)</v>
          </cell>
          <cell r="C383" t="str">
            <v>SR#4212135</v>
          </cell>
          <cell r="D383" t="str">
            <v>-</v>
          </cell>
          <cell r="E383" t="str">
            <v>無償</v>
          </cell>
          <cell r="F383">
            <v>42522</v>
          </cell>
          <cell r="G383">
            <v>42522</v>
          </cell>
          <cell r="H383">
            <v>42537</v>
          </cell>
          <cell r="I383">
            <v>42030</v>
          </cell>
          <cell r="K383" t="str">
            <v>馬屋原</v>
          </cell>
          <cell r="L383">
            <v>3</v>
          </cell>
          <cell r="M383" t="str">
            <v>NanoMaxx</v>
          </cell>
          <cell r="N383" t="str">
            <v>03X4P7</v>
          </cell>
          <cell r="O383" t="str">
            <v>P12700-06</v>
          </cell>
          <cell r="P383" t="str">
            <v>日本コヴィディエン株式会社 愛知岐阜営業所</v>
          </cell>
          <cell r="Q383" t="str">
            <v>山本様</v>
          </cell>
          <cell r="R383" t="str">
            <v>〒108-0075  東京都港区港南一丁目2番70号　品川シーズンテラス　22F</v>
          </cell>
          <cell r="S383" t="str">
            <v>03-6774-4629</v>
          </cell>
          <cell r="T383" t="str">
            <v>03-6774-4740</v>
          </cell>
          <cell r="U383" t="str">
            <v>藤田保健衛生大学病院</v>
          </cell>
          <cell r="V383" t="str">
            <v>-</v>
          </cell>
          <cell r="W383" t="str">
            <v>-</v>
          </cell>
          <cell r="X383" t="str">
            <v>0562-93-2111</v>
          </cell>
          <cell r="Y383" t="str">
            <v>〒470-1192 愛知県豊明市沓掛町田楽ヶ窪1番地98</v>
          </cell>
          <cell r="AA383" t="str">
            <v>P12718-02</v>
          </cell>
          <cell r="AB383" t="str">
            <v/>
          </cell>
          <cell r="AC383" t="str">
            <v/>
          </cell>
          <cell r="AD383" t="str">
            <v/>
          </cell>
          <cell r="AE383" t="str">
            <v/>
          </cell>
          <cell r="AF383" t="str">
            <v/>
          </cell>
          <cell r="AG383" t="str">
            <v/>
          </cell>
          <cell r="AH383" t="str">
            <v/>
          </cell>
          <cell r="AI383" t="str">
            <v/>
          </cell>
          <cell r="AJ383" t="str">
            <v/>
          </cell>
          <cell r="AK383" t="str">
            <v>SERVICE ASSEMBLY, BACK END PCB, NANOMAXX</v>
          </cell>
          <cell r="AL383" t="str">
            <v/>
          </cell>
          <cell r="AM383" t="str">
            <v/>
          </cell>
          <cell r="AN383" t="str">
            <v/>
          </cell>
          <cell r="AO383" t="str">
            <v/>
          </cell>
          <cell r="AP383" t="str">
            <v/>
          </cell>
          <cell r="AQ383" t="str">
            <v/>
          </cell>
          <cell r="AR383" t="str">
            <v/>
          </cell>
          <cell r="AS383" t="str">
            <v/>
          </cell>
          <cell r="AT383" t="str">
            <v/>
          </cell>
          <cell r="AU383">
            <v>41699</v>
          </cell>
        </row>
        <row r="384">
          <cell r="A384" t="str">
            <v>S16-0381</v>
          </cell>
          <cell r="B384" t="str">
            <v>水俣市立総合医療センター_0381 (2)</v>
          </cell>
          <cell r="C384" t="str">
            <v>SR#4213981</v>
          </cell>
          <cell r="D384" t="str">
            <v>2016/5/25-07</v>
          </cell>
          <cell r="E384" t="str">
            <v>無償</v>
          </cell>
          <cell r="F384">
            <v>42523</v>
          </cell>
          <cell r="G384">
            <v>42523</v>
          </cell>
          <cell r="H384">
            <v>42647</v>
          </cell>
          <cell r="I384" t="str">
            <v>不明</v>
          </cell>
          <cell r="K384" t="str">
            <v>高橋</v>
          </cell>
          <cell r="L384">
            <v>3</v>
          </cell>
          <cell r="M384" t="str">
            <v>M-Turbo</v>
          </cell>
          <cell r="N384" t="str">
            <v>WK1569</v>
          </cell>
          <cell r="O384" t="str">
            <v>P09142-24</v>
          </cell>
          <cell r="P384" t="str">
            <v>株式会社フィデスワン　熊本営業所</v>
          </cell>
          <cell r="Q384" t="str">
            <v>小島様</v>
          </cell>
          <cell r="R384" t="str">
            <v>〒860-0826　熊本県熊本市南区平田2-20-36　エレンスウエストビル1F</v>
          </cell>
          <cell r="S384" t="str">
            <v>096-312-5660</v>
          </cell>
          <cell r="T384" t="str">
            <v>096-312-5661</v>
          </cell>
          <cell r="U384" t="str">
            <v>水俣市立総合医療センター</v>
          </cell>
          <cell r="V384" t="str">
            <v>-</v>
          </cell>
          <cell r="W384" t="str">
            <v>-</v>
          </cell>
          <cell r="X384" t="str">
            <v>0966-63-2101</v>
          </cell>
          <cell r="Y384" t="str">
            <v>〒867-0041　熊本県水俣市天神町1丁目2番1号</v>
          </cell>
          <cell r="AA384" t="str">
            <v>P19060-02</v>
          </cell>
          <cell r="AB384" t="str">
            <v>P08850-02</v>
          </cell>
          <cell r="AC384" t="str">
            <v>P07168-20</v>
          </cell>
          <cell r="AD384" t="str">
            <v>P10401-30</v>
          </cell>
          <cell r="AE384" t="str">
            <v/>
          </cell>
          <cell r="AF384" t="str">
            <v/>
          </cell>
          <cell r="AG384" t="str">
            <v/>
          </cell>
          <cell r="AH384" t="str">
            <v/>
          </cell>
          <cell r="AI384" t="str">
            <v/>
          </cell>
          <cell r="AJ384" t="str">
            <v/>
          </cell>
          <cell r="AK384" t="str">
            <v>MAIN PCBA, M-Turbo</v>
          </cell>
          <cell r="AL384" t="str">
            <v>SERVICE ASSEMBLY, POWER SUPPLY, M/S TURBO, EDGE</v>
          </cell>
          <cell r="AM384" t="str">
            <v>BATTERY PACK, 6 CELL, 11.25V, 5.2AMP-HOUR, LITHIUM-ION</v>
          </cell>
          <cell r="AN384" t="str">
            <v>MINIDOCK DVI, DESKTOP VERSION, M-SERIES</v>
          </cell>
          <cell r="AO384" t="str">
            <v/>
          </cell>
          <cell r="AP384" t="str">
            <v/>
          </cell>
          <cell r="AQ384" t="str">
            <v/>
          </cell>
          <cell r="AR384" t="str">
            <v/>
          </cell>
          <cell r="AS384" t="str">
            <v/>
          </cell>
          <cell r="AT384" t="str">
            <v/>
          </cell>
          <cell r="AU384">
            <v>41091</v>
          </cell>
        </row>
        <row r="385">
          <cell r="A385" t="str">
            <v>S16-0382</v>
          </cell>
          <cell r="B385" t="str">
            <v>東京大学病院_0382 (2)</v>
          </cell>
          <cell r="C385" t="str">
            <v>SR#</v>
          </cell>
          <cell r="D385" t="str">
            <v>-</v>
          </cell>
          <cell r="E385" t="str">
            <v>有償</v>
          </cell>
          <cell r="F385">
            <v>42523</v>
          </cell>
          <cell r="G385">
            <v>42523</v>
          </cell>
          <cell r="H385">
            <v>42545</v>
          </cell>
          <cell r="I385">
            <v>40238</v>
          </cell>
          <cell r="K385" t="str">
            <v>馬屋原</v>
          </cell>
          <cell r="L385">
            <v>3</v>
          </cell>
          <cell r="M385" t="str">
            <v>iLook Docking Station</v>
          </cell>
          <cell r="N385" t="str">
            <v>033590</v>
          </cell>
          <cell r="O385" t="str">
            <v>P04313-01</v>
          </cell>
          <cell r="P385" t="str">
            <v>日本コヴィディエン株式会社　東京第二営業所</v>
          </cell>
          <cell r="Q385" t="str">
            <v>野間様</v>
          </cell>
          <cell r="R385" t="str">
            <v>〒108-0075  東京都港区港南一丁目2番70号　品川シーズンテラス　22F</v>
          </cell>
          <cell r="S385" t="str">
            <v>03-6774-4629</v>
          </cell>
          <cell r="T385" t="str">
            <v>03-6774-4740</v>
          </cell>
          <cell r="U385" t="str">
            <v>東京大学医学部附属病院</v>
          </cell>
          <cell r="V385" t="str">
            <v>-</v>
          </cell>
          <cell r="W385" t="str">
            <v>-</v>
          </cell>
          <cell r="X385" t="str">
            <v>03-3815-5411</v>
          </cell>
          <cell r="Y385" t="str">
            <v>〒113-8655　東京都文京区本郷7-3-1</v>
          </cell>
          <cell r="AA385" t="str">
            <v>P01139-07</v>
          </cell>
          <cell r="AB385" t="str">
            <v>P02347-02</v>
          </cell>
          <cell r="AC385" t="str">
            <v/>
          </cell>
          <cell r="AD385" t="str">
            <v/>
          </cell>
          <cell r="AE385" t="str">
            <v/>
          </cell>
          <cell r="AF385" t="str">
            <v/>
          </cell>
          <cell r="AG385" t="str">
            <v/>
          </cell>
          <cell r="AH385" t="str">
            <v/>
          </cell>
          <cell r="AI385" t="str">
            <v/>
          </cell>
          <cell r="AJ385" t="str">
            <v/>
          </cell>
          <cell r="AK385" t="str">
            <v>POWER SUPPLY / BATTERY CHARGER, ILOOK, TITAN, MMX</v>
          </cell>
          <cell r="AL385" t="str">
            <v>ASSEMBLY, PCB, ILOOK, DOCK CONNECTOR</v>
          </cell>
          <cell r="AM385" t="str">
            <v/>
          </cell>
          <cell r="AN385" t="str">
            <v/>
          </cell>
          <cell r="AO385" t="str">
            <v/>
          </cell>
          <cell r="AP385" t="str">
            <v/>
          </cell>
          <cell r="AQ385" t="str">
            <v/>
          </cell>
          <cell r="AR385" t="str">
            <v/>
          </cell>
          <cell r="AS385" t="str">
            <v/>
          </cell>
          <cell r="AT385" t="str">
            <v/>
          </cell>
          <cell r="AU385">
            <v>38261</v>
          </cell>
        </row>
        <row r="386">
          <cell r="A386" t="str">
            <v>S16-0383</v>
          </cell>
          <cell r="B386" t="str">
            <v>植木病院_0383</v>
          </cell>
          <cell r="C386" t="e">
            <v>#REF!</v>
          </cell>
          <cell r="D386" t="e">
            <v>#REF!</v>
          </cell>
          <cell r="E386" t="e">
            <v>#REF!</v>
          </cell>
          <cell r="F386" t="e">
            <v>#REF!</v>
          </cell>
          <cell r="G386" t="e">
            <v>#REF!</v>
          </cell>
          <cell r="H386" t="e">
            <v>#REF!</v>
          </cell>
          <cell r="I386" t="e">
            <v>#REF!</v>
          </cell>
          <cell r="K386" t="e">
            <v>#REF!</v>
          </cell>
          <cell r="M386" t="e">
            <v>#REF!</v>
          </cell>
          <cell r="N386" t="e">
            <v>#REF!</v>
          </cell>
          <cell r="O386" t="e">
            <v>#REF!</v>
          </cell>
          <cell r="P386" t="e">
            <v>#REF!</v>
          </cell>
          <cell r="Q386" t="e">
            <v>#REF!</v>
          </cell>
          <cell r="S386" t="e">
            <v>#REF!</v>
          </cell>
          <cell r="T386" t="e">
            <v>#REF!</v>
          </cell>
          <cell r="U386" t="e">
            <v>#REF!</v>
          </cell>
          <cell r="AA386" t="e">
            <v>#REF!</v>
          </cell>
          <cell r="AB386" t="e">
            <v>#REF!</v>
          </cell>
          <cell r="AC386" t="e">
            <v>#REF!</v>
          </cell>
          <cell r="AD386" t="e">
            <v>#REF!</v>
          </cell>
          <cell r="AE386" t="e">
            <v>#REF!</v>
          </cell>
          <cell r="AF386" t="e">
            <v>#REF!</v>
          </cell>
          <cell r="AG386" t="e">
            <v>#REF!</v>
          </cell>
          <cell r="AH386" t="e">
            <v>#REF!</v>
          </cell>
          <cell r="AI386" t="e">
            <v>#REF!</v>
          </cell>
          <cell r="AJ386" t="e">
            <v>#REF!</v>
          </cell>
          <cell r="AK386" t="e">
            <v>#REF!</v>
          </cell>
          <cell r="AL386" t="e">
            <v>#REF!</v>
          </cell>
          <cell r="AM386" t="e">
            <v>#REF!</v>
          </cell>
          <cell r="AN386" t="e">
            <v>#REF!</v>
          </cell>
          <cell r="AO386" t="e">
            <v>#REF!</v>
          </cell>
          <cell r="AP386" t="e">
            <v>#REF!</v>
          </cell>
          <cell r="AQ386" t="e">
            <v>#REF!</v>
          </cell>
          <cell r="AR386" t="e">
            <v>#REF!</v>
          </cell>
          <cell r="AS386" t="e">
            <v>#REF!</v>
          </cell>
          <cell r="AT386" t="e">
            <v>#REF!</v>
          </cell>
          <cell r="AU386" t="e">
            <v>#REF!</v>
          </cell>
        </row>
        <row r="387">
          <cell r="A387" t="str">
            <v>S16-0384</v>
          </cell>
          <cell r="B387" t="str">
            <v>佐賀医療センター_0384 (2)</v>
          </cell>
          <cell r="C387" t="str">
            <v>SR#不要</v>
          </cell>
          <cell r="D387" t="str">
            <v>2016/05/26-02</v>
          </cell>
          <cell r="E387" t="str">
            <v>有償</v>
          </cell>
          <cell r="F387">
            <v>42524</v>
          </cell>
          <cell r="G387">
            <v>42524</v>
          </cell>
          <cell r="H387">
            <v>42655</v>
          </cell>
          <cell r="I387" t="str">
            <v>不明</v>
          </cell>
          <cell r="K387">
            <v>0</v>
          </cell>
          <cell r="M387" t="str">
            <v>M-Turbo</v>
          </cell>
          <cell r="N387" t="str">
            <v>03JNJJ</v>
          </cell>
          <cell r="O387" t="str">
            <v>P09141-16</v>
          </cell>
          <cell r="P387" t="str">
            <v>株式会社キシヤ　佐賀営業所</v>
          </cell>
          <cell r="Q387" t="str">
            <v>御園様　→　三原様</v>
          </cell>
          <cell r="R387" t="str">
            <v>〒840-0857　佐賀県佐賀市鍋島町大字八戸3036-3</v>
          </cell>
          <cell r="S387" t="str">
            <v>0952-24-3350</v>
          </cell>
          <cell r="T387" t="str">
            <v>0952-24-3357</v>
          </cell>
          <cell r="U387" t="str">
            <v>佐賀県医療センター好生館</v>
          </cell>
          <cell r="W387" t="str">
            <v>MEセンター(ER)</v>
          </cell>
          <cell r="X387" t="str">
            <v>0952-24-2171</v>
          </cell>
          <cell r="Y387" t="str">
            <v>〒840-8571 佐賀県佐賀市嘉瀬町大字中原400</v>
          </cell>
          <cell r="AA387" t="str">
            <v>P19087-02</v>
          </cell>
          <cell r="AB387" t="str">
            <v/>
          </cell>
          <cell r="AC387" t="str">
            <v/>
          </cell>
          <cell r="AD387" t="str">
            <v/>
          </cell>
          <cell r="AE387" t="str">
            <v/>
          </cell>
          <cell r="AF387" t="str">
            <v/>
          </cell>
          <cell r="AG387" t="str">
            <v/>
          </cell>
          <cell r="AH387" t="str">
            <v/>
          </cell>
          <cell r="AI387" t="str">
            <v/>
          </cell>
          <cell r="AJ387" t="str">
            <v/>
          </cell>
          <cell r="AK387" t="str">
            <v>MAIN PCBA, M-Turbo</v>
          </cell>
          <cell r="AL387" t="str">
            <v/>
          </cell>
          <cell r="AM387" t="str">
            <v/>
          </cell>
          <cell r="AN387" t="str">
            <v/>
          </cell>
          <cell r="AO387" t="str">
            <v/>
          </cell>
          <cell r="AP387" t="str">
            <v/>
          </cell>
          <cell r="AQ387" t="str">
            <v/>
          </cell>
          <cell r="AR387" t="str">
            <v/>
          </cell>
          <cell r="AS387" t="str">
            <v/>
          </cell>
          <cell r="AT387" t="str">
            <v/>
          </cell>
          <cell r="AU387">
            <v>40391</v>
          </cell>
        </row>
        <row r="388">
          <cell r="A388" t="str">
            <v>S16-0385</v>
          </cell>
          <cell r="B388" t="str">
            <v>埼玉石心会病院_0385 (2)</v>
          </cell>
          <cell r="C388" t="str">
            <v>SR#4212131</v>
          </cell>
          <cell r="D388" t="str">
            <v>2016/05/27-04</v>
          </cell>
          <cell r="E388" t="str">
            <v>無償</v>
          </cell>
          <cell r="F388">
            <v>42527</v>
          </cell>
          <cell r="G388">
            <v>42527</v>
          </cell>
          <cell r="H388">
            <v>42536</v>
          </cell>
          <cell r="I388" t="str">
            <v>不明</v>
          </cell>
          <cell r="K388" t="str">
            <v>馬屋原</v>
          </cell>
          <cell r="L388">
            <v>3</v>
          </cell>
          <cell r="M388" t="str">
            <v>EDGE</v>
          </cell>
          <cell r="N388" t="str">
            <v>03T3MK</v>
          </cell>
          <cell r="O388" t="str">
            <v>P16360-02</v>
          </cell>
          <cell r="P388" t="str">
            <v>株式会社アイビージャパン</v>
          </cell>
          <cell r="Q388" t="str">
            <v>小山様</v>
          </cell>
          <cell r="R388" t="str">
            <v>〒350-0045　埼玉県川越市南通町13-2　西澤ビル２F</v>
          </cell>
          <cell r="S388" t="str">
            <v>049-211-1020</v>
          </cell>
          <cell r="T388" t="str">
            <v>049-211-1021</v>
          </cell>
          <cell r="U388" t="str">
            <v>埼玉石心会病院</v>
          </cell>
          <cell r="V388" t="str">
            <v>-</v>
          </cell>
          <cell r="W388" t="str">
            <v>-</v>
          </cell>
          <cell r="X388" t="str">
            <v>04-2953-6611</v>
          </cell>
          <cell r="Y388" t="str">
            <v>〒350-1323 埼玉県狭山市鵜ノ木1-33</v>
          </cell>
          <cell r="AA388" t="str">
            <v>P15618-02</v>
          </cell>
          <cell r="AB388" t="str">
            <v/>
          </cell>
          <cell r="AC388" t="str">
            <v/>
          </cell>
          <cell r="AD388" t="str">
            <v/>
          </cell>
          <cell r="AE388" t="str">
            <v/>
          </cell>
          <cell r="AF388" t="str">
            <v/>
          </cell>
          <cell r="AG388" t="str">
            <v/>
          </cell>
          <cell r="AH388" t="str">
            <v/>
          </cell>
          <cell r="AI388" t="str">
            <v/>
          </cell>
          <cell r="AJ388" t="str">
            <v/>
          </cell>
          <cell r="AK388" t="str">
            <v>CONTROL PANEL, EDGE, ENGLISH</v>
          </cell>
          <cell r="AL388" t="str">
            <v/>
          </cell>
          <cell r="AM388" t="str">
            <v/>
          </cell>
          <cell r="AN388" t="str">
            <v/>
          </cell>
          <cell r="AO388" t="str">
            <v/>
          </cell>
          <cell r="AP388" t="str">
            <v/>
          </cell>
          <cell r="AQ388" t="str">
            <v/>
          </cell>
          <cell r="AR388" t="str">
            <v/>
          </cell>
          <cell r="AS388" t="str">
            <v/>
          </cell>
          <cell r="AT388" t="str">
            <v/>
          </cell>
          <cell r="AU388">
            <v>41275</v>
          </cell>
        </row>
        <row r="389">
          <cell r="A389" t="str">
            <v>S16-0386</v>
          </cell>
          <cell r="B389" t="str">
            <v>福岡徳洲会病院_0386 (2)</v>
          </cell>
          <cell r="C389" t="str">
            <v>SR#</v>
          </cell>
          <cell r="D389" t="str">
            <v>2016/05/31-02</v>
          </cell>
          <cell r="E389" t="str">
            <v>有償</v>
          </cell>
          <cell r="F389">
            <v>42527</v>
          </cell>
          <cell r="G389">
            <v>42527</v>
          </cell>
          <cell r="H389">
            <v>42558</v>
          </cell>
          <cell r="I389" t="str">
            <v>不明</v>
          </cell>
          <cell r="K389" t="str">
            <v>高橋</v>
          </cell>
          <cell r="L389">
            <v>3</v>
          </cell>
          <cell r="M389">
            <v>180</v>
          </cell>
          <cell r="N389" t="str">
            <v>01J40C</v>
          </cell>
          <cell r="O389" t="str">
            <v>P01102-01</v>
          </cell>
          <cell r="P389" t="str">
            <v>株式会社 キシヤ</v>
          </cell>
          <cell r="Q389" t="str">
            <v>橋谷様</v>
          </cell>
          <cell r="R389" t="str">
            <v>〒812-0062　福岡県福岡市東区松島1-41-21</v>
          </cell>
          <cell r="S389" t="str">
            <v>092-622-8000</v>
          </cell>
          <cell r="T389" t="str">
            <v>092-623-1313</v>
          </cell>
          <cell r="U389" t="str">
            <v>福岡徳洲会病院</v>
          </cell>
          <cell r="V389" t="str">
            <v>-</v>
          </cell>
          <cell r="W389" t="str">
            <v>-</v>
          </cell>
          <cell r="X389" t="str">
            <v>092-573-6622</v>
          </cell>
          <cell r="Y389" t="str">
            <v>〒816-0864 福岡県春日市須玖北4丁目5</v>
          </cell>
          <cell r="AA389" t="str">
            <v>P00538-03</v>
          </cell>
          <cell r="AB389" t="str">
            <v/>
          </cell>
          <cell r="AC389" t="str">
            <v/>
          </cell>
          <cell r="AD389" t="str">
            <v/>
          </cell>
          <cell r="AE389" t="str">
            <v/>
          </cell>
          <cell r="AF389" t="str">
            <v/>
          </cell>
          <cell r="AG389" t="str">
            <v/>
          </cell>
          <cell r="AH389" t="str">
            <v/>
          </cell>
          <cell r="AI389" t="str">
            <v/>
          </cell>
          <cell r="AJ389" t="str">
            <v/>
          </cell>
          <cell r="AK389" t="str">
            <v>POWER SUPPLY, 85-264 VAC, 50-60HZ, 16V, 45W, 180</v>
          </cell>
          <cell r="AL389" t="str">
            <v/>
          </cell>
          <cell r="AM389" t="str">
            <v/>
          </cell>
          <cell r="AN389" t="str">
            <v/>
          </cell>
          <cell r="AO389" t="str">
            <v/>
          </cell>
          <cell r="AP389" t="str">
            <v/>
          </cell>
          <cell r="AQ389" t="str">
            <v/>
          </cell>
          <cell r="AR389" t="str">
            <v/>
          </cell>
          <cell r="AS389" t="str">
            <v/>
          </cell>
          <cell r="AT389" t="str">
            <v/>
          </cell>
          <cell r="AU389">
            <v>36586</v>
          </cell>
        </row>
        <row r="390">
          <cell r="A390" t="str">
            <v>S16-0387</v>
          </cell>
          <cell r="B390" t="str">
            <v>大月市立中央病院_0387 (2)</v>
          </cell>
          <cell r="C390" t="str">
            <v>SR#4230119</v>
          </cell>
          <cell r="D390" t="str">
            <v>2016/05/27-02</v>
          </cell>
          <cell r="E390" t="str">
            <v>有償</v>
          </cell>
          <cell r="F390">
            <v>42527</v>
          </cell>
          <cell r="G390">
            <v>42527</v>
          </cell>
          <cell r="H390">
            <v>42584</v>
          </cell>
          <cell r="I390" t="str">
            <v>不明</v>
          </cell>
          <cell r="K390" t="str">
            <v>高橋</v>
          </cell>
          <cell r="L390">
            <v>1</v>
          </cell>
          <cell r="M390" t="str">
            <v>L38e/13-6</v>
          </cell>
          <cell r="N390" t="str">
            <v>0393CD</v>
          </cell>
          <cell r="O390" t="str">
            <v>-</v>
          </cell>
          <cell r="P390" t="str">
            <v>豊前医化株式会社</v>
          </cell>
          <cell r="Q390" t="str">
            <v>中込様</v>
          </cell>
          <cell r="R390" t="str">
            <v xml:space="preserve">〒409-3812　山梨県中央市乙黒107-6 </v>
          </cell>
          <cell r="S390" t="str">
            <v>055-274-8800</v>
          </cell>
          <cell r="T390" t="str">
            <v>054-274-8808</v>
          </cell>
          <cell r="U390" t="str">
            <v>大月市立中央病院</v>
          </cell>
          <cell r="V390" t="str">
            <v>小林様</v>
          </cell>
          <cell r="W390" t="str">
            <v>手術室</v>
          </cell>
          <cell r="X390" t="str">
            <v>0554-22-1251</v>
          </cell>
          <cell r="Y390" t="str">
            <v>〒401-0015 山梨県大月市大月町花咲1225</v>
          </cell>
          <cell r="AA390" t="str">
            <v>P11882-01</v>
          </cell>
          <cell r="AB390" t="str">
            <v/>
          </cell>
          <cell r="AC390" t="str">
            <v/>
          </cell>
          <cell r="AD390" t="str">
            <v/>
          </cell>
          <cell r="AE390" t="str">
            <v/>
          </cell>
          <cell r="AF390" t="str">
            <v/>
          </cell>
          <cell r="AG390" t="str">
            <v/>
          </cell>
          <cell r="AH390" t="str">
            <v/>
          </cell>
          <cell r="AI390" t="str">
            <v/>
          </cell>
          <cell r="AJ390" t="str">
            <v/>
          </cell>
          <cell r="AK390" t="str">
            <v>LATCH KIT</v>
          </cell>
          <cell r="AL390" t="str">
            <v/>
          </cell>
          <cell r="AM390" t="str">
            <v/>
          </cell>
          <cell r="AN390" t="str">
            <v/>
          </cell>
          <cell r="AO390" t="str">
            <v/>
          </cell>
          <cell r="AP390" t="str">
            <v/>
          </cell>
          <cell r="AQ390" t="str">
            <v/>
          </cell>
          <cell r="AR390" t="str">
            <v/>
          </cell>
          <cell r="AS390" t="str">
            <v/>
          </cell>
          <cell r="AT390" t="str">
            <v/>
          </cell>
          <cell r="AU390" t="str">
            <v>-</v>
          </cell>
        </row>
        <row r="391">
          <cell r="A391" t="str">
            <v>S16-0388</v>
          </cell>
          <cell r="B391" t="str">
            <v>竹田綜合病院_0388 (2)</v>
          </cell>
          <cell r="C391" t="str">
            <v>SR#不要</v>
          </cell>
          <cell r="D391" t="str">
            <v>2016/06/02-06</v>
          </cell>
          <cell r="E391" t="str">
            <v>有償</v>
          </cell>
          <cell r="F391">
            <v>42527</v>
          </cell>
          <cell r="G391">
            <v>42527</v>
          </cell>
          <cell r="H391">
            <v>42577</v>
          </cell>
          <cell r="I391" t="str">
            <v>不明</v>
          </cell>
          <cell r="K391" t="str">
            <v>高橋</v>
          </cell>
          <cell r="L391">
            <v>3</v>
          </cell>
          <cell r="M391" t="str">
            <v>180Ⅱ</v>
          </cell>
          <cell r="N391" t="str">
            <v>0206ZM</v>
          </cell>
          <cell r="O391" t="str">
            <v>P02456-02</v>
          </cell>
          <cell r="P391" t="str">
            <v>サンセイ医機株式会社　会津営業所</v>
          </cell>
          <cell r="Q391" t="str">
            <v>田代様</v>
          </cell>
          <cell r="R391" t="str">
            <v>〒965-0064　福島県会津若松市神指町黒川字湯川168</v>
          </cell>
          <cell r="S391" t="str">
            <v>0242-39-6801</v>
          </cell>
          <cell r="T391" t="str">
            <v>0242-396802</v>
          </cell>
          <cell r="U391" t="str">
            <v>竹田綜合病院　外科外来　3F</v>
          </cell>
          <cell r="V391" t="str">
            <v>ME 阿部様</v>
          </cell>
          <cell r="W391" t="str">
            <v>外科外来(3F)</v>
          </cell>
          <cell r="X391" t="str">
            <v>0242-27-5511</v>
          </cell>
          <cell r="Y391" t="str">
            <v>〒965-8585　福島県会津若松市山鹿町3-27</v>
          </cell>
          <cell r="AA391" t="str">
            <v>P03981-04</v>
          </cell>
          <cell r="AB391" t="str">
            <v>P00104-02</v>
          </cell>
          <cell r="AC391" t="str">
            <v>P00340-02</v>
          </cell>
          <cell r="AD391" t="str">
            <v>P00343-01</v>
          </cell>
          <cell r="AE391" t="str">
            <v>P01213-01</v>
          </cell>
          <cell r="AF391" t="str">
            <v/>
          </cell>
          <cell r="AG391" t="str">
            <v/>
          </cell>
          <cell r="AH391" t="str">
            <v/>
          </cell>
          <cell r="AI391" t="str">
            <v/>
          </cell>
          <cell r="AJ391" t="str">
            <v/>
          </cell>
          <cell r="AK391" t="str">
            <v>SERVICE ASSEMBLY, PCB FOR JAPANESE C1.9 180II SYSTEM</v>
          </cell>
          <cell r="AL391" t="str">
            <v>KEY, ON/OFF</v>
          </cell>
          <cell r="AM391" t="str">
            <v>LENS, DISPLAY</v>
          </cell>
          <cell r="AN391" t="str">
            <v>HINGE, DISPLAY</v>
          </cell>
          <cell r="AO391" t="str">
            <v>FLEX CIRCUIT, FAB, C1 DISPLAY</v>
          </cell>
          <cell r="AP391" t="str">
            <v/>
          </cell>
          <cell r="AQ391" t="str">
            <v/>
          </cell>
          <cell r="AR391" t="str">
            <v/>
          </cell>
          <cell r="AS391" t="str">
            <v/>
          </cell>
          <cell r="AT391" t="str">
            <v/>
          </cell>
          <cell r="AU391">
            <v>37226</v>
          </cell>
        </row>
        <row r="392">
          <cell r="A392" t="str">
            <v>S16-0389</v>
          </cell>
          <cell r="B392" t="str">
            <v>代替機NIM160_0389 (2)</v>
          </cell>
          <cell r="C392" t="str">
            <v>SR#4212129</v>
          </cell>
          <cell r="D392" t="str">
            <v>-</v>
          </cell>
          <cell r="E392" t="str">
            <v>無償</v>
          </cell>
          <cell r="F392">
            <v>42527</v>
          </cell>
          <cell r="G392">
            <v>42527</v>
          </cell>
          <cell r="H392">
            <v>42535</v>
          </cell>
          <cell r="I392" t="str">
            <v>不明</v>
          </cell>
          <cell r="K392" t="str">
            <v>森</v>
          </cell>
          <cell r="L392">
            <v>3</v>
          </cell>
          <cell r="M392" t="str">
            <v>TiTAN</v>
          </cell>
          <cell r="N392" t="str">
            <v>03HN20</v>
          </cell>
          <cell r="O392" t="str">
            <v>P06590-03</v>
          </cell>
          <cell r="P392" t="str">
            <v>富士フイルムメディカル株式会社</v>
          </cell>
          <cell r="Q392" t="str">
            <v>-</v>
          </cell>
          <cell r="R392" t="str">
            <v>-</v>
          </cell>
          <cell r="S392" t="str">
            <v>03-6418-7190</v>
          </cell>
          <cell r="T392" t="str">
            <v>03-6418-7162</v>
          </cell>
          <cell r="U392" t="str">
            <v xml:space="preserve">代替機NIM160 </v>
          </cell>
          <cell r="V392" t="str">
            <v>-</v>
          </cell>
          <cell r="W392" t="str">
            <v>-</v>
          </cell>
          <cell r="X392" t="str">
            <v>-</v>
          </cell>
          <cell r="Y392" t="str">
            <v>-</v>
          </cell>
          <cell r="AA392" t="str">
            <v>P06902-01</v>
          </cell>
          <cell r="AB392" t="str">
            <v/>
          </cell>
          <cell r="AC392" t="str">
            <v/>
          </cell>
          <cell r="AD392" t="str">
            <v/>
          </cell>
          <cell r="AE392" t="str">
            <v/>
          </cell>
          <cell r="AF392" t="str">
            <v/>
          </cell>
          <cell r="AG392" t="str">
            <v/>
          </cell>
          <cell r="AH392" t="str">
            <v/>
          </cell>
          <cell r="AI392" t="str">
            <v/>
          </cell>
          <cell r="AJ392" t="str">
            <v/>
          </cell>
          <cell r="AK392" t="str">
            <v>SERVICE ASSEMBLY, POWER SUPPLY, 2.3.1 TITAN</v>
          </cell>
          <cell r="AL392" t="str">
            <v/>
          </cell>
          <cell r="AM392" t="str">
            <v/>
          </cell>
          <cell r="AN392" t="str">
            <v/>
          </cell>
          <cell r="AO392" t="str">
            <v/>
          </cell>
          <cell r="AP392" t="str">
            <v/>
          </cell>
          <cell r="AQ392" t="str">
            <v/>
          </cell>
          <cell r="AR392" t="str">
            <v/>
          </cell>
          <cell r="AS392" t="str">
            <v/>
          </cell>
          <cell r="AT392" t="str">
            <v/>
          </cell>
          <cell r="AU392">
            <v>40238</v>
          </cell>
        </row>
        <row r="393">
          <cell r="A393" t="str">
            <v>S16-0390</v>
          </cell>
          <cell r="B393" t="str">
            <v>神戸赤十字病院_0390 (2)</v>
          </cell>
          <cell r="C393" t="str">
            <v>SR#不要</v>
          </cell>
          <cell r="D393" t="str">
            <v>2016/06/01-02</v>
          </cell>
          <cell r="E393" t="str">
            <v>有償</v>
          </cell>
          <cell r="F393">
            <v>42529</v>
          </cell>
          <cell r="G393">
            <v>42529</v>
          </cell>
          <cell r="H393">
            <v>42674</v>
          </cell>
          <cell r="I393" t="str">
            <v>不明</v>
          </cell>
          <cell r="K393" t="str">
            <v>-</v>
          </cell>
          <cell r="L393" t="str">
            <v>-</v>
          </cell>
          <cell r="M393" t="str">
            <v>180Plus</v>
          </cell>
          <cell r="N393" t="str">
            <v>032N2J</v>
          </cell>
          <cell r="O393" t="str">
            <v>P04327-02</v>
          </cell>
          <cell r="P393" t="str">
            <v>グリーンホスピタルサプライ株式会社</v>
          </cell>
          <cell r="Q393" t="str">
            <v>田中様→上田様</v>
          </cell>
          <cell r="R393" t="str">
            <v>〒565-0853 大阪府吹田市春日3-20-8</v>
          </cell>
          <cell r="S393" t="str">
            <v>06-6369-6321</v>
          </cell>
          <cell r="T393" t="str">
            <v>06-6369-0731</v>
          </cell>
          <cell r="U393" t="str">
            <v>神戸赤十字病院</v>
          </cell>
          <cell r="V393" t="str">
            <v>-</v>
          </cell>
          <cell r="W393" t="str">
            <v>-</v>
          </cell>
          <cell r="X393" t="str">
            <v>078-231-6006</v>
          </cell>
          <cell r="Y393" t="str">
            <v>〒651-0073　兵庫県神戸市中央区脇浜海岸通1丁目3番1号</v>
          </cell>
          <cell r="AA393" t="str">
            <v/>
          </cell>
          <cell r="AB393" t="str">
            <v/>
          </cell>
          <cell r="AC393" t="str">
            <v/>
          </cell>
          <cell r="AD393" t="str">
            <v/>
          </cell>
          <cell r="AE393" t="str">
            <v/>
          </cell>
          <cell r="AF393" t="str">
            <v/>
          </cell>
          <cell r="AG393" t="str">
            <v/>
          </cell>
          <cell r="AH393" t="str">
            <v/>
          </cell>
          <cell r="AI393" t="str">
            <v/>
          </cell>
          <cell r="AJ393" t="str">
            <v/>
          </cell>
          <cell r="AK393" t="str">
            <v/>
          </cell>
          <cell r="AL393" t="str">
            <v/>
          </cell>
          <cell r="AM393" t="str">
            <v/>
          </cell>
          <cell r="AN393" t="str">
            <v/>
          </cell>
          <cell r="AO393" t="str">
            <v/>
          </cell>
          <cell r="AP393" t="str">
            <v/>
          </cell>
          <cell r="AQ393" t="str">
            <v/>
          </cell>
          <cell r="AR393" t="str">
            <v/>
          </cell>
          <cell r="AS393" t="str">
            <v/>
          </cell>
          <cell r="AT393" t="str">
            <v/>
          </cell>
          <cell r="AU393">
            <v>38139</v>
          </cell>
        </row>
        <row r="394">
          <cell r="A394" t="str">
            <v>S16-0391</v>
          </cell>
          <cell r="B394" t="str">
            <v>岡山医療センター_0391 (2)</v>
          </cell>
          <cell r="C394" t="str">
            <v>SR#</v>
          </cell>
          <cell r="D394" t="str">
            <v>-</v>
          </cell>
          <cell r="E394" t="str">
            <v>有償</v>
          </cell>
          <cell r="F394">
            <v>42529</v>
          </cell>
          <cell r="G394">
            <v>42529</v>
          </cell>
          <cell r="H394">
            <v>42558</v>
          </cell>
          <cell r="I394">
            <v>39898</v>
          </cell>
          <cell r="K394" t="str">
            <v>高橋</v>
          </cell>
          <cell r="L394">
            <v>3</v>
          </cell>
          <cell r="M394" t="str">
            <v>iLook25</v>
          </cell>
          <cell r="N394" t="str">
            <v>03CMXC</v>
          </cell>
          <cell r="O394" t="str">
            <v>P04303-02</v>
          </cell>
          <cell r="P394" t="str">
            <v>日本コヴィディエン株式会社　中四国営業所</v>
          </cell>
          <cell r="Q394" t="str">
            <v>工藤様</v>
          </cell>
          <cell r="R394" t="str">
            <v>〒108-0075  東京都港区港南一丁目2番70号　品川シーズンテラス　22F</v>
          </cell>
          <cell r="S394" t="str">
            <v>03-6774-4629</v>
          </cell>
          <cell r="T394" t="str">
            <v>03-6774-4740</v>
          </cell>
          <cell r="U394" t="str">
            <v>岡山医療センター国立病院機構</v>
          </cell>
          <cell r="V394" t="str">
            <v>-</v>
          </cell>
          <cell r="W394" t="str">
            <v>-</v>
          </cell>
          <cell r="X394" t="str">
            <v>086-294-9911</v>
          </cell>
          <cell r="Y394" t="str">
            <v>〒701-1192　岡山県岡山市北区田益1711-1</v>
          </cell>
          <cell r="AA394" t="str">
            <v/>
          </cell>
          <cell r="AB394" t="str">
            <v/>
          </cell>
          <cell r="AC394" t="str">
            <v/>
          </cell>
          <cell r="AD394" t="str">
            <v/>
          </cell>
          <cell r="AE394" t="str">
            <v/>
          </cell>
          <cell r="AF394" t="str">
            <v/>
          </cell>
          <cell r="AG394" t="str">
            <v/>
          </cell>
          <cell r="AH394" t="str">
            <v/>
          </cell>
          <cell r="AI394" t="str">
            <v/>
          </cell>
          <cell r="AJ394" t="str">
            <v/>
          </cell>
          <cell r="AK394" t="str">
            <v/>
          </cell>
          <cell r="AL394" t="str">
            <v/>
          </cell>
          <cell r="AM394" t="str">
            <v/>
          </cell>
          <cell r="AN394" t="str">
            <v/>
          </cell>
          <cell r="AO394" t="str">
            <v/>
          </cell>
          <cell r="AP394" t="str">
            <v/>
          </cell>
          <cell r="AQ394" t="str">
            <v/>
          </cell>
          <cell r="AR394" t="str">
            <v/>
          </cell>
          <cell r="AS394" t="str">
            <v/>
          </cell>
          <cell r="AT394" t="str">
            <v/>
          </cell>
          <cell r="AU394">
            <v>39722</v>
          </cell>
        </row>
        <row r="395">
          <cell r="A395" t="str">
            <v>S16-0392</v>
          </cell>
          <cell r="B395" t="str">
            <v>大阪医科大学_0392 (2)</v>
          </cell>
          <cell r="C395" t="str">
            <v>SR#</v>
          </cell>
          <cell r="D395" t="str">
            <v>-</v>
          </cell>
          <cell r="E395" t="str">
            <v>有償</v>
          </cell>
          <cell r="F395">
            <v>42529</v>
          </cell>
          <cell r="G395">
            <v>42529</v>
          </cell>
          <cell r="H395">
            <v>42550</v>
          </cell>
          <cell r="I395">
            <v>40269</v>
          </cell>
          <cell r="K395">
            <v>0</v>
          </cell>
          <cell r="M395" t="str">
            <v>iLook25</v>
          </cell>
          <cell r="N395" t="str">
            <v>03CN65</v>
          </cell>
          <cell r="O395" t="str">
            <v>P04303-02</v>
          </cell>
          <cell r="P395" t="str">
            <v>日本コヴィディエン株式会社</v>
          </cell>
          <cell r="Q395" t="str">
            <v>草野様</v>
          </cell>
          <cell r="R395" t="str">
            <v>〒108-0075  東京都港区港南一丁目2番70号　品川シーズンテラス　22F</v>
          </cell>
          <cell r="S395" t="str">
            <v>03-6774-4629</v>
          </cell>
          <cell r="T395" t="str">
            <v>03-6774-4740</v>
          </cell>
          <cell r="U395" t="str">
            <v>大阪医科大学附屬病院</v>
          </cell>
          <cell r="AA395" t="str">
            <v/>
          </cell>
          <cell r="AB395" t="str">
            <v/>
          </cell>
          <cell r="AC395" t="str">
            <v/>
          </cell>
          <cell r="AD395" t="str">
            <v/>
          </cell>
          <cell r="AE395" t="str">
            <v/>
          </cell>
          <cell r="AF395" t="str">
            <v/>
          </cell>
          <cell r="AG395" t="str">
            <v/>
          </cell>
          <cell r="AH395" t="str">
            <v/>
          </cell>
          <cell r="AI395" t="str">
            <v/>
          </cell>
          <cell r="AJ395" t="str">
            <v/>
          </cell>
          <cell r="AK395" t="str">
            <v/>
          </cell>
          <cell r="AL395" t="str">
            <v/>
          </cell>
          <cell r="AM395" t="str">
            <v/>
          </cell>
          <cell r="AN395" t="str">
            <v/>
          </cell>
          <cell r="AO395" t="str">
            <v/>
          </cell>
          <cell r="AP395" t="str">
            <v/>
          </cell>
          <cell r="AQ395" t="str">
            <v/>
          </cell>
          <cell r="AR395" t="str">
            <v/>
          </cell>
          <cell r="AS395" t="str">
            <v/>
          </cell>
          <cell r="AT395" t="str">
            <v/>
          </cell>
          <cell r="AU395">
            <v>39845</v>
          </cell>
        </row>
        <row r="396">
          <cell r="A396" t="str">
            <v>S16-0393</v>
          </cell>
          <cell r="B396" t="str">
            <v>昭和大学藤が丘病院_0393</v>
          </cell>
          <cell r="C396" t="e">
            <v>#REF!</v>
          </cell>
          <cell r="D396" t="e">
            <v>#REF!</v>
          </cell>
          <cell r="E396" t="e">
            <v>#REF!</v>
          </cell>
          <cell r="F396" t="e">
            <v>#REF!</v>
          </cell>
          <cell r="G396" t="e">
            <v>#REF!</v>
          </cell>
          <cell r="H396" t="e">
            <v>#REF!</v>
          </cell>
          <cell r="I396" t="e">
            <v>#REF!</v>
          </cell>
          <cell r="K396" t="e">
            <v>#REF!</v>
          </cell>
          <cell r="M396" t="e">
            <v>#REF!</v>
          </cell>
          <cell r="N396" t="e">
            <v>#REF!</v>
          </cell>
          <cell r="O396" t="e">
            <v>#REF!</v>
          </cell>
          <cell r="P396" t="e">
            <v>#REF!</v>
          </cell>
          <cell r="Q396" t="e">
            <v>#REF!</v>
          </cell>
          <cell r="S396" t="e">
            <v>#REF!</v>
          </cell>
          <cell r="T396" t="e">
            <v>#REF!</v>
          </cell>
          <cell r="U396" t="e">
            <v>#REF!</v>
          </cell>
          <cell r="AA396" t="e">
            <v>#REF!</v>
          </cell>
          <cell r="AB396" t="e">
            <v>#REF!</v>
          </cell>
          <cell r="AC396" t="e">
            <v>#REF!</v>
          </cell>
          <cell r="AD396" t="e">
            <v>#REF!</v>
          </cell>
          <cell r="AE396" t="e">
            <v>#REF!</v>
          </cell>
          <cell r="AF396" t="e">
            <v>#REF!</v>
          </cell>
          <cell r="AG396" t="e">
            <v>#REF!</v>
          </cell>
          <cell r="AH396" t="e">
            <v>#REF!</v>
          </cell>
          <cell r="AI396" t="e">
            <v>#REF!</v>
          </cell>
          <cell r="AJ396" t="e">
            <v>#REF!</v>
          </cell>
          <cell r="AK396" t="e">
            <v>#REF!</v>
          </cell>
          <cell r="AL396" t="e">
            <v>#REF!</v>
          </cell>
          <cell r="AM396" t="e">
            <v>#REF!</v>
          </cell>
          <cell r="AN396" t="e">
            <v>#REF!</v>
          </cell>
          <cell r="AO396" t="e">
            <v>#REF!</v>
          </cell>
          <cell r="AP396" t="e">
            <v>#REF!</v>
          </cell>
          <cell r="AQ396" t="e">
            <v>#REF!</v>
          </cell>
          <cell r="AR396" t="e">
            <v>#REF!</v>
          </cell>
          <cell r="AS396" t="e">
            <v>#REF!</v>
          </cell>
          <cell r="AT396" t="e">
            <v>#REF!</v>
          </cell>
          <cell r="AU396" t="e">
            <v>#REF!</v>
          </cell>
        </row>
        <row r="397">
          <cell r="A397" t="str">
            <v>S16-0394</v>
          </cell>
          <cell r="B397" t="str">
            <v>デモ機MAE11_0394 (2)</v>
          </cell>
          <cell r="C397" t="str">
            <v>SR#4212681</v>
          </cell>
          <cell r="D397" t="str">
            <v>-</v>
          </cell>
          <cell r="E397" t="str">
            <v>無償</v>
          </cell>
          <cell r="F397">
            <v>42530</v>
          </cell>
          <cell r="G397">
            <v>42530</v>
          </cell>
          <cell r="H397">
            <v>42536</v>
          </cell>
          <cell r="I397" t="str">
            <v>―</v>
          </cell>
          <cell r="K397" t="str">
            <v>梶田</v>
          </cell>
          <cell r="L397" t="str">
            <v>-</v>
          </cell>
          <cell r="M397" t="str">
            <v>M-Turbo</v>
          </cell>
          <cell r="N397" t="str">
            <v>03BM83</v>
          </cell>
          <cell r="O397" t="str">
            <v>P09141-01</v>
          </cell>
          <cell r="P397" t="str">
            <v>富士フイルムメディカル株式会社</v>
          </cell>
          <cell r="Q397" t="str">
            <v>風間様</v>
          </cell>
          <cell r="R397" t="str">
            <v>-</v>
          </cell>
          <cell r="S397" t="str">
            <v>03-6418-7190</v>
          </cell>
          <cell r="T397" t="str">
            <v>03-6418-7162</v>
          </cell>
          <cell r="U397" t="str">
            <v>デモ機MAE11</v>
          </cell>
          <cell r="V397" t="str">
            <v>-</v>
          </cell>
          <cell r="W397" t="str">
            <v>-</v>
          </cell>
          <cell r="X397" t="str">
            <v>-</v>
          </cell>
          <cell r="Y397" t="str">
            <v>-</v>
          </cell>
          <cell r="AA397" t="str">
            <v>P00163-01</v>
          </cell>
          <cell r="AB397" t="str">
            <v/>
          </cell>
          <cell r="AC397" t="str">
            <v/>
          </cell>
          <cell r="AD397" t="str">
            <v/>
          </cell>
          <cell r="AE397" t="str">
            <v/>
          </cell>
          <cell r="AF397" t="str">
            <v/>
          </cell>
          <cell r="AG397" t="str">
            <v/>
          </cell>
          <cell r="AH397" t="str">
            <v/>
          </cell>
          <cell r="AI397" t="str">
            <v/>
          </cell>
          <cell r="AJ397" t="str">
            <v/>
          </cell>
          <cell r="AK397" t="str">
            <v>BAT,3V,7MAH,BUTTON,LITH,RECHARG,PCB,ROHS</v>
          </cell>
          <cell r="AL397" t="str">
            <v/>
          </cell>
          <cell r="AM397" t="str">
            <v/>
          </cell>
          <cell r="AN397" t="str">
            <v/>
          </cell>
          <cell r="AO397" t="str">
            <v/>
          </cell>
          <cell r="AP397" t="str">
            <v/>
          </cell>
          <cell r="AQ397" t="str">
            <v/>
          </cell>
          <cell r="AR397" t="str">
            <v/>
          </cell>
          <cell r="AS397" t="str">
            <v/>
          </cell>
          <cell r="AT397" t="str">
            <v/>
          </cell>
          <cell r="AU397">
            <v>39479</v>
          </cell>
        </row>
        <row r="398">
          <cell r="A398" t="str">
            <v>S16-0395</v>
          </cell>
          <cell r="B398" t="str">
            <v>日立総合病院_0395 (2)</v>
          </cell>
          <cell r="C398" t="str">
            <v>SR#4215677</v>
          </cell>
          <cell r="D398" t="str">
            <v>-</v>
          </cell>
          <cell r="E398" t="str">
            <v>無償</v>
          </cell>
          <cell r="F398">
            <v>42530</v>
          </cell>
          <cell r="G398">
            <v>42530</v>
          </cell>
          <cell r="H398">
            <v>42605</v>
          </cell>
          <cell r="I398">
            <v>40940</v>
          </cell>
          <cell r="K398" t="str">
            <v>高橋</v>
          </cell>
          <cell r="L398">
            <v>3</v>
          </cell>
          <cell r="M398" t="str">
            <v>NanoMaxx</v>
          </cell>
          <cell r="N398" t="str">
            <v>03TBX0</v>
          </cell>
          <cell r="O398" t="str">
            <v>P12700-06</v>
          </cell>
          <cell r="P398" t="str">
            <v>日本コヴィディエン株式会社　東京第二営業所</v>
          </cell>
          <cell r="Q398" t="str">
            <v>上原様</v>
          </cell>
          <cell r="R398" t="str">
            <v>〒108-0075  東京都港区港南一丁目2番70号　品川シーズンテラス　22F</v>
          </cell>
          <cell r="S398" t="str">
            <v>03-6774-4629</v>
          </cell>
          <cell r="T398" t="str">
            <v>03-6774-4740</v>
          </cell>
          <cell r="U398" t="str">
            <v>日立総合病院</v>
          </cell>
          <cell r="V398" t="str">
            <v>-</v>
          </cell>
          <cell r="W398" t="str">
            <v>-</v>
          </cell>
          <cell r="X398" t="str">
            <v>0294-23-1111</v>
          </cell>
          <cell r="Y398" t="str">
            <v>〒317-0077　茨城県日立市城南町２-1-1</v>
          </cell>
          <cell r="AA398" t="str">
            <v>P12718-02</v>
          </cell>
          <cell r="AB398" t="str">
            <v/>
          </cell>
          <cell r="AC398" t="str">
            <v/>
          </cell>
          <cell r="AD398" t="str">
            <v/>
          </cell>
          <cell r="AE398" t="str">
            <v>P15112-01</v>
          </cell>
          <cell r="AF398" t="str">
            <v/>
          </cell>
          <cell r="AG398" t="str">
            <v/>
          </cell>
          <cell r="AH398" t="str">
            <v/>
          </cell>
          <cell r="AI398" t="str">
            <v/>
          </cell>
          <cell r="AJ398" t="str">
            <v/>
          </cell>
          <cell r="AK398" t="str">
            <v>SERVICE ASSEMBLY, BACK END PCB, NANOMAXX</v>
          </cell>
          <cell r="AL398" t="str">
            <v/>
          </cell>
          <cell r="AM398" t="str">
            <v/>
          </cell>
          <cell r="AN398" t="str">
            <v/>
          </cell>
          <cell r="AO398" t="str">
            <v>ADAPTER CABLE</v>
          </cell>
          <cell r="AP398" t="str">
            <v/>
          </cell>
          <cell r="AQ398" t="str">
            <v/>
          </cell>
          <cell r="AR398" t="str">
            <v/>
          </cell>
          <cell r="AS398" t="str">
            <v/>
          </cell>
          <cell r="AT398" t="str">
            <v/>
          </cell>
          <cell r="AU398">
            <v>41214</v>
          </cell>
        </row>
        <row r="399">
          <cell r="A399" t="str">
            <v>S16-0396</v>
          </cell>
          <cell r="B399" t="str">
            <v>山梨厚生病院_0396 (2)</v>
          </cell>
          <cell r="C399" t="str">
            <v>SR#4213985</v>
          </cell>
          <cell r="D399" t="str">
            <v>2016/05/20-03</v>
          </cell>
          <cell r="E399" t="str">
            <v>無償</v>
          </cell>
          <cell r="F399">
            <v>42530</v>
          </cell>
          <cell r="G399">
            <v>42530</v>
          </cell>
          <cell r="H399">
            <v>42537</v>
          </cell>
          <cell r="I399" t="str">
            <v>不明</v>
          </cell>
          <cell r="K399" t="str">
            <v>梶田</v>
          </cell>
          <cell r="L399" t="str">
            <v>-</v>
          </cell>
          <cell r="M399" t="str">
            <v>S-Nerve</v>
          </cell>
          <cell r="N399" t="str">
            <v>03VHGQ</v>
          </cell>
          <cell r="O399" t="str">
            <v>P12060-10</v>
          </cell>
          <cell r="P399" t="str">
            <v>富士フイルムメディカル株式会社</v>
          </cell>
          <cell r="Q399" t="str">
            <v>菊池様</v>
          </cell>
          <cell r="R399" t="str">
            <v>〒190-0004　東京都立川市柏町2-7-11</v>
          </cell>
          <cell r="S399" t="str">
            <v>042-538-0180</v>
          </cell>
          <cell r="T399" t="str">
            <v>042-538-0186</v>
          </cell>
          <cell r="U399" t="str">
            <v>山梨厚生病院</v>
          </cell>
          <cell r="V399" t="str">
            <v>-</v>
          </cell>
          <cell r="W399" t="str">
            <v>-</v>
          </cell>
          <cell r="X399" t="str">
            <v>0553-23-1311</v>
          </cell>
          <cell r="Y399" t="str">
            <v>〒405-0033　山梨県山梨市落合860</v>
          </cell>
          <cell r="AA399" t="str">
            <v/>
          </cell>
          <cell r="AB399" t="str">
            <v/>
          </cell>
          <cell r="AC399" t="str">
            <v/>
          </cell>
          <cell r="AD399" t="str">
            <v/>
          </cell>
          <cell r="AE399" t="str">
            <v/>
          </cell>
          <cell r="AF399" t="str">
            <v/>
          </cell>
          <cell r="AG399" t="str">
            <v/>
          </cell>
          <cell r="AH399" t="str">
            <v/>
          </cell>
          <cell r="AI399" t="str">
            <v/>
          </cell>
          <cell r="AJ399" t="str">
            <v/>
          </cell>
          <cell r="AL399" t="str">
            <v/>
          </cell>
          <cell r="AM399" t="str">
            <v/>
          </cell>
          <cell r="AN399" t="str">
            <v/>
          </cell>
          <cell r="AO399" t="str">
            <v/>
          </cell>
          <cell r="AP399" t="str">
            <v/>
          </cell>
          <cell r="AQ399" t="str">
            <v/>
          </cell>
          <cell r="AR399" t="str">
            <v/>
          </cell>
          <cell r="AS399" t="str">
            <v/>
          </cell>
          <cell r="AT399" t="str">
            <v/>
          </cell>
          <cell r="AU399">
            <v>41426</v>
          </cell>
        </row>
        <row r="400">
          <cell r="A400" t="str">
            <v>S16-0397</v>
          </cell>
          <cell r="B400" t="str">
            <v>北川ひ尿器科クリニック_0397 (2)</v>
          </cell>
          <cell r="C400" t="str">
            <v>SR#4213983</v>
          </cell>
          <cell r="D400" t="str">
            <v>2016/03/10-01</v>
          </cell>
          <cell r="E400" t="str">
            <v>無償</v>
          </cell>
          <cell r="F400">
            <v>42531</v>
          </cell>
          <cell r="G400">
            <v>42531</v>
          </cell>
          <cell r="H400">
            <v>42548</v>
          </cell>
          <cell r="I400">
            <v>41432</v>
          </cell>
          <cell r="K400" t="str">
            <v>馬屋原</v>
          </cell>
          <cell r="L400">
            <v>3</v>
          </cell>
          <cell r="M400" t="str">
            <v>NanoMaxx</v>
          </cell>
          <cell r="N400" t="str">
            <v>03TTG3</v>
          </cell>
          <cell r="O400" t="str">
            <v>P12700-06</v>
          </cell>
          <cell r="P400" t="str">
            <v>株式会社北斗医理科</v>
          </cell>
          <cell r="Q400" t="str">
            <v>新屋様</v>
          </cell>
          <cell r="R400" t="str">
            <v xml:space="preserve">〒030-0131　青森県青森市問屋町2-13-8
</v>
          </cell>
          <cell r="S400" t="str">
            <v>017-764-4121</v>
          </cell>
          <cell r="T400" t="str">
            <v>0172-28-5162</v>
          </cell>
          <cell r="U400" t="str">
            <v>北川ひ尿器科クリニック</v>
          </cell>
          <cell r="V400" t="str">
            <v>-</v>
          </cell>
          <cell r="W400" t="str">
            <v>-</v>
          </cell>
          <cell r="X400" t="str">
            <v>017-765-3355</v>
          </cell>
          <cell r="Y400" t="str">
            <v>〒030-0966　青森県青森市花園2-43-18</v>
          </cell>
          <cell r="AA400" t="str">
            <v>P12718-02</v>
          </cell>
          <cell r="AB400" t="str">
            <v>P12745-01</v>
          </cell>
          <cell r="AC400" t="str">
            <v>P12717-01</v>
          </cell>
          <cell r="AE400" t="str">
            <v/>
          </cell>
          <cell r="AF400" t="str">
            <v/>
          </cell>
          <cell r="AG400" t="str">
            <v/>
          </cell>
          <cell r="AH400" t="str">
            <v/>
          </cell>
          <cell r="AI400" t="str">
            <v/>
          </cell>
          <cell r="AJ400" t="str">
            <v/>
          </cell>
          <cell r="AK400" t="str">
            <v>SERVICE ASSEMBLY, BACK END PCB, NANOMAXX</v>
          </cell>
          <cell r="AL400" t="str">
            <v>SERVICE ASSEMBLY, POWER SUPPLY PCB, NANOMAXX</v>
          </cell>
          <cell r="AM400" t="str">
            <v>SERVICE ASSEMBLY, FRONT END PCB, NANOMAXX</v>
          </cell>
          <cell r="AN400" t="str">
            <v>SERVICE ASSEMBLY, FRONT END PCB, NANOMAXX</v>
          </cell>
          <cell r="AO400" t="str">
            <v/>
          </cell>
          <cell r="AP400" t="str">
            <v/>
          </cell>
          <cell r="AQ400" t="str">
            <v/>
          </cell>
          <cell r="AR400" t="str">
            <v/>
          </cell>
          <cell r="AS400" t="str">
            <v/>
          </cell>
          <cell r="AT400" t="str">
            <v/>
          </cell>
          <cell r="AU400">
            <v>41334</v>
          </cell>
        </row>
        <row r="401">
          <cell r="A401" t="str">
            <v>S16-0398</v>
          </cell>
          <cell r="B401" t="str">
            <v>熊本中央病院_0398 (2)</v>
          </cell>
          <cell r="C401" t="str">
            <v>SR#不要</v>
          </cell>
          <cell r="D401" t="str">
            <v>2016/06/02-01</v>
          </cell>
          <cell r="E401" t="str">
            <v>有償</v>
          </cell>
          <cell r="F401">
            <v>42534</v>
          </cell>
          <cell r="G401">
            <v>42534</v>
          </cell>
          <cell r="H401">
            <v>42655</v>
          </cell>
          <cell r="I401" t="str">
            <v>不明</v>
          </cell>
          <cell r="K401" t="str">
            <v>高橋</v>
          </cell>
          <cell r="L401">
            <v>3</v>
          </cell>
          <cell r="M401" t="str">
            <v>TiTAN</v>
          </cell>
          <cell r="N401" t="str">
            <v>0341TN</v>
          </cell>
          <cell r="O401" t="str">
            <v>P04338-02</v>
          </cell>
          <cell r="P401" t="str">
            <v>株式会社アイティーアイ　熊本支社</v>
          </cell>
          <cell r="Q401" t="str">
            <v>石川様</v>
          </cell>
          <cell r="R401" t="str">
            <v>〒860-0826　熊本県熊本市南区平田2-12-18</v>
          </cell>
          <cell r="S401" t="str">
            <v>096-326-7551</v>
          </cell>
          <cell r="T401" t="str">
            <v xml:space="preserve">096-326-7552 </v>
          </cell>
          <cell r="U401" t="str">
            <v>熊本中央病院</v>
          </cell>
          <cell r="V401" t="str">
            <v>野村様</v>
          </cell>
          <cell r="W401" t="str">
            <v>腎科</v>
          </cell>
          <cell r="X401" t="str">
            <v>096-370-3111</v>
          </cell>
          <cell r="Y401" t="str">
            <v xml:space="preserve">〒862-0965 熊本県熊本市南区田井島1-5-1  </v>
          </cell>
          <cell r="AA401" t="str">
            <v>P06733</v>
          </cell>
          <cell r="AB401" t="str">
            <v>P06902</v>
          </cell>
          <cell r="AC401" t="str">
            <v/>
          </cell>
          <cell r="AD401" t="str">
            <v/>
          </cell>
          <cell r="AE401" t="str">
            <v/>
          </cell>
          <cell r="AF401" t="str">
            <v/>
          </cell>
          <cell r="AG401" t="str">
            <v/>
          </cell>
          <cell r="AH401" t="str">
            <v/>
          </cell>
          <cell r="AI401" t="str">
            <v/>
          </cell>
          <cell r="AJ401" t="str">
            <v/>
          </cell>
          <cell r="AK401" t="str">
            <v>SERVICE ASSEMBLY MAIN PCBA, NEW CONN, TITAN HIGH MEMORY</v>
          </cell>
          <cell r="AL401" t="str">
            <v>SERVICE ASSEMBLY, POWER SUPPLY, 2.3.1 TITAN</v>
          </cell>
          <cell r="AM401" t="str">
            <v/>
          </cell>
          <cell r="AN401" t="str">
            <v/>
          </cell>
          <cell r="AO401" t="str">
            <v/>
          </cell>
          <cell r="AP401" t="str">
            <v/>
          </cell>
          <cell r="AQ401" t="str">
            <v/>
          </cell>
          <cell r="AR401" t="str">
            <v/>
          </cell>
          <cell r="AS401" t="str">
            <v/>
          </cell>
          <cell r="AT401" t="str">
            <v/>
          </cell>
          <cell r="AU401">
            <v>38412</v>
          </cell>
        </row>
        <row r="402">
          <cell r="A402" t="str">
            <v>S16-0399</v>
          </cell>
          <cell r="B402" t="str">
            <v>東京医科大学病院_0399 (2)</v>
          </cell>
          <cell r="C402" t="str">
            <v>SR#</v>
          </cell>
          <cell r="D402" t="str">
            <v>2016/06/08-04</v>
          </cell>
          <cell r="E402" t="str">
            <v>有償</v>
          </cell>
          <cell r="F402">
            <v>42534</v>
          </cell>
          <cell r="G402">
            <v>42534</v>
          </cell>
          <cell r="H402">
            <v>42548</v>
          </cell>
          <cell r="I402" t="str">
            <v>不明</v>
          </cell>
          <cell r="K402" t="str">
            <v>馬屋原</v>
          </cell>
          <cell r="L402">
            <v>3</v>
          </cell>
          <cell r="M402" t="str">
            <v>M-Turbo</v>
          </cell>
          <cell r="N402" t="str">
            <v>03J15L</v>
          </cell>
          <cell r="O402" t="str">
            <v>P09141-15</v>
          </cell>
          <cell r="P402" t="str">
            <v>日本光電東京　株式会社　新宿営業所</v>
          </cell>
          <cell r="Q402" t="str">
            <v>青柳様</v>
          </cell>
          <cell r="R402" t="str">
            <v>〒112-0002　東京都文京区小石川1-3-25　小石川大国ビル5F</v>
          </cell>
          <cell r="S402" t="str">
            <v>03-3815-9483</v>
          </cell>
          <cell r="T402" t="str">
            <v>03-3815-9433</v>
          </cell>
          <cell r="U402" t="str">
            <v>東京医科大学病院</v>
          </cell>
          <cell r="V402" t="str">
            <v>西山先生</v>
          </cell>
          <cell r="W402" t="str">
            <v>麻酔科</v>
          </cell>
          <cell r="X402" t="str">
            <v>03-3342-6111</v>
          </cell>
          <cell r="Y402" t="str">
            <v>〒160-0023　東京都新宿区西新宿6-7-1</v>
          </cell>
          <cell r="AA402" t="str">
            <v>P08856-01</v>
          </cell>
          <cell r="AB402" t="str">
            <v>P08306-01</v>
          </cell>
          <cell r="AC402" t="str">
            <v/>
          </cell>
          <cell r="AE402" t="str">
            <v/>
          </cell>
          <cell r="AF402" t="str">
            <v/>
          </cell>
          <cell r="AG402" t="str">
            <v/>
          </cell>
          <cell r="AH402" t="str">
            <v/>
          </cell>
          <cell r="AI402" t="str">
            <v/>
          </cell>
          <cell r="AJ402" t="str">
            <v/>
          </cell>
          <cell r="AK402" t="str">
            <v>SERVICE ASSEMBLY CONTROL PANEL, M-TURBO, ENGLISH</v>
          </cell>
          <cell r="AL402" t="str">
            <v>CONN,COMPRESSION</v>
          </cell>
          <cell r="AO402" t="str">
            <v/>
          </cell>
          <cell r="AP402" t="str">
            <v/>
          </cell>
          <cell r="AQ402" t="str">
            <v/>
          </cell>
          <cell r="AR402" t="str">
            <v/>
          </cell>
          <cell r="AS402" t="str">
            <v/>
          </cell>
          <cell r="AT402" t="str">
            <v/>
          </cell>
          <cell r="AU402">
            <v>40299</v>
          </cell>
        </row>
        <row r="403">
          <cell r="A403" t="str">
            <v>S16-0400</v>
          </cell>
          <cell r="B403" t="str">
            <v>国際医療研究センター_0400 (2)</v>
          </cell>
          <cell r="C403" t="str">
            <v>SR#</v>
          </cell>
          <cell r="D403" t="str">
            <v>2016/06/07-03</v>
          </cell>
          <cell r="E403" t="str">
            <v>有償</v>
          </cell>
          <cell r="F403">
            <v>42534</v>
          </cell>
          <cell r="G403">
            <v>42534</v>
          </cell>
          <cell r="H403">
            <v>42599</v>
          </cell>
          <cell r="I403" t="str">
            <v>不明</v>
          </cell>
          <cell r="K403" t="str">
            <v>高橋</v>
          </cell>
          <cell r="L403">
            <v>3</v>
          </cell>
          <cell r="M403" t="str">
            <v>S-Nerve</v>
          </cell>
          <cell r="N403" t="str">
            <v>03D6MW</v>
          </cell>
          <cell r="O403" t="str">
            <v>P12060-01</v>
          </cell>
          <cell r="P403" t="str">
            <v>株式会社イノメディックス　本郷営業所</v>
          </cell>
          <cell r="Q403" t="str">
            <v>田井様</v>
          </cell>
          <cell r="R403" t="str">
            <v>〒113-0034 東京都文京区湯島2-16-11</v>
          </cell>
          <cell r="S403" t="str">
            <v>03-3815-8921</v>
          </cell>
          <cell r="T403" t="str">
            <v>03-3815-8638</v>
          </cell>
          <cell r="U403" t="str">
            <v>国際医療研究センター</v>
          </cell>
          <cell r="V403" t="str">
            <v>-</v>
          </cell>
          <cell r="W403" t="str">
            <v>-</v>
          </cell>
          <cell r="X403" t="str">
            <v>03-3202-7181</v>
          </cell>
          <cell r="Y403" t="str">
            <v>〒162-8655　東京都新宿区戸山1-21-1</v>
          </cell>
          <cell r="AA403" t="str">
            <v>P09135-03</v>
          </cell>
          <cell r="AB403" t="str">
            <v/>
          </cell>
          <cell r="AD403" t="str">
            <v/>
          </cell>
          <cell r="AE403" t="str">
            <v/>
          </cell>
          <cell r="AF403" t="str">
            <v/>
          </cell>
          <cell r="AG403" t="str">
            <v/>
          </cell>
          <cell r="AH403" t="str">
            <v/>
          </cell>
          <cell r="AI403" t="str">
            <v/>
          </cell>
          <cell r="AJ403" t="str">
            <v/>
          </cell>
          <cell r="AK403" t="str">
            <v>SERVICE ASSEMBLY MAIN PCBA, S-SERIES</v>
          </cell>
          <cell r="AL403" t="str">
            <v/>
          </cell>
          <cell r="AN403" t="str">
            <v/>
          </cell>
          <cell r="AO403" t="str">
            <v/>
          </cell>
          <cell r="AP403" t="str">
            <v/>
          </cell>
          <cell r="AQ403" t="str">
            <v/>
          </cell>
          <cell r="AR403" t="str">
            <v/>
          </cell>
          <cell r="AS403" t="str">
            <v/>
          </cell>
          <cell r="AT403" t="str">
            <v/>
          </cell>
          <cell r="AU403">
            <v>39753</v>
          </cell>
        </row>
        <row r="404">
          <cell r="A404" t="str">
            <v>S16-0401</v>
          </cell>
          <cell r="B404" t="str">
            <v>恵寿総合病院_0401 (2)</v>
          </cell>
          <cell r="C404" t="str">
            <v>SR#4213987</v>
          </cell>
          <cell r="D404" t="str">
            <v>2016/05/26-04</v>
          </cell>
          <cell r="E404" t="str">
            <v>無償</v>
          </cell>
          <cell r="F404">
            <v>42534</v>
          </cell>
          <cell r="G404">
            <v>42534</v>
          </cell>
          <cell r="H404">
            <v>42548</v>
          </cell>
          <cell r="I404" t="str">
            <v>不明</v>
          </cell>
          <cell r="K404" t="str">
            <v>馬屋原</v>
          </cell>
          <cell r="L404">
            <v>3</v>
          </cell>
          <cell r="M404" t="str">
            <v>EDGE</v>
          </cell>
          <cell r="N404" t="str">
            <v>041BYQ</v>
          </cell>
          <cell r="O404" t="str">
            <v>P16360-62</v>
          </cell>
          <cell r="P404" t="str">
            <v>セントラルメディカル株式会社</v>
          </cell>
          <cell r="Q404" t="str">
            <v>モリ様</v>
          </cell>
          <cell r="R404" t="str">
            <v>〒920-0024 石川県金沢市西念3-1-5</v>
          </cell>
          <cell r="S404" t="str">
            <v>076-262-1111</v>
          </cell>
          <cell r="T404" t="str">
            <v>076-223-7255</v>
          </cell>
          <cell r="U404" t="str">
            <v>恵寿総合病院</v>
          </cell>
          <cell r="V404" t="str">
            <v>-</v>
          </cell>
          <cell r="W404" t="str">
            <v>-</v>
          </cell>
          <cell r="X404" t="str">
            <v>0767-52-3211</v>
          </cell>
          <cell r="Y404" t="str">
            <v>〒926-8605　石川県七尾市富岡町94</v>
          </cell>
          <cell r="AA404" t="str">
            <v>P15615-03</v>
          </cell>
          <cell r="AB404" t="str">
            <v/>
          </cell>
          <cell r="AC404" t="str">
            <v/>
          </cell>
          <cell r="AD404" t="str">
            <v/>
          </cell>
          <cell r="AE404" t="str">
            <v/>
          </cell>
          <cell r="AF404" t="str">
            <v/>
          </cell>
          <cell r="AG404" t="str">
            <v/>
          </cell>
          <cell r="AH404" t="str">
            <v/>
          </cell>
          <cell r="AI404" t="str">
            <v/>
          </cell>
          <cell r="AJ404" t="str">
            <v/>
          </cell>
          <cell r="AK404" t="str">
            <v>SERVICE ASSEMBLY, MAIN PCBA, EDGE</v>
          </cell>
          <cell r="AL404" t="str">
            <v/>
          </cell>
          <cell r="AM404" t="str">
            <v/>
          </cell>
          <cell r="AN404" t="str">
            <v/>
          </cell>
          <cell r="AO404" t="str">
            <v/>
          </cell>
          <cell r="AP404" t="str">
            <v/>
          </cell>
          <cell r="AQ404" t="str">
            <v/>
          </cell>
          <cell r="AR404" t="str">
            <v/>
          </cell>
          <cell r="AS404" t="str">
            <v/>
          </cell>
          <cell r="AT404" t="str">
            <v/>
          </cell>
          <cell r="AU404">
            <v>42125</v>
          </cell>
        </row>
        <row r="405">
          <cell r="A405" t="str">
            <v>S16-0402</v>
          </cell>
          <cell r="B405" t="str">
            <v>田無病院_0402 (2)</v>
          </cell>
          <cell r="C405" t="str">
            <v>SR#</v>
          </cell>
          <cell r="D405" t="str">
            <v>2016/06/09-09</v>
          </cell>
          <cell r="E405" t="str">
            <v>有償</v>
          </cell>
          <cell r="F405">
            <v>42534</v>
          </cell>
          <cell r="G405">
            <v>42534</v>
          </cell>
          <cell r="H405">
            <v>42535</v>
          </cell>
          <cell r="I405" t="str">
            <v>不明</v>
          </cell>
          <cell r="K405">
            <v>0</v>
          </cell>
          <cell r="M405" t="str">
            <v>TiTAN</v>
          </cell>
          <cell r="N405" t="str">
            <v>03900G</v>
          </cell>
          <cell r="O405" t="str">
            <v>P06590-02</v>
          </cell>
          <cell r="P405" t="str">
            <v>フクダ電子東京西販売株式会社</v>
          </cell>
          <cell r="Q405" t="str">
            <v>渡部様</v>
          </cell>
          <cell r="R405" t="str">
            <v>〒190-0011　東京都立川市高松町1-23-17</v>
          </cell>
          <cell r="S405" t="str">
            <v>042-525-3578</v>
          </cell>
          <cell r="T405" t="str">
            <v>042-527-7262</v>
          </cell>
          <cell r="U405" t="str">
            <v>田無病院</v>
          </cell>
          <cell r="V405" t="str">
            <v>-</v>
          </cell>
          <cell r="W405" t="str">
            <v>-</v>
          </cell>
          <cell r="X405" t="str">
            <v>042-461-2682</v>
          </cell>
          <cell r="Y405" t="str">
            <v xml:space="preserve">〒188-0002　東京都西東京市緑町3-6-1 </v>
          </cell>
          <cell r="AA405" t="str">
            <v/>
          </cell>
          <cell r="AB405" t="str">
            <v/>
          </cell>
          <cell r="AC405" t="str">
            <v/>
          </cell>
          <cell r="AD405" t="str">
            <v/>
          </cell>
          <cell r="AE405" t="str">
            <v/>
          </cell>
          <cell r="AF405" t="str">
            <v/>
          </cell>
          <cell r="AG405" t="str">
            <v/>
          </cell>
          <cell r="AH405" t="str">
            <v/>
          </cell>
          <cell r="AI405" t="str">
            <v/>
          </cell>
          <cell r="AJ405" t="str">
            <v/>
          </cell>
          <cell r="AK405" t="str">
            <v/>
          </cell>
          <cell r="AL405" t="str">
            <v/>
          </cell>
          <cell r="AM405" t="str">
            <v/>
          </cell>
          <cell r="AN405" t="str">
            <v/>
          </cell>
          <cell r="AO405" t="str">
            <v/>
          </cell>
          <cell r="AP405" t="str">
            <v/>
          </cell>
          <cell r="AQ405" t="str">
            <v/>
          </cell>
          <cell r="AR405" t="str">
            <v/>
          </cell>
          <cell r="AS405" t="str">
            <v/>
          </cell>
          <cell r="AT405" t="str">
            <v/>
          </cell>
          <cell r="AU405">
            <v>39295</v>
          </cell>
        </row>
        <row r="406">
          <cell r="A406" t="str">
            <v>S16-0403</v>
          </cell>
          <cell r="B406" t="str">
            <v>上津江診療所_0403 (2)</v>
          </cell>
          <cell r="C406" t="str">
            <v>SR#</v>
          </cell>
          <cell r="D406" t="str">
            <v>2016/05/31-01</v>
          </cell>
          <cell r="E406" t="str">
            <v>有償</v>
          </cell>
          <cell r="F406">
            <v>42534</v>
          </cell>
          <cell r="G406">
            <v>42534</v>
          </cell>
          <cell r="H406">
            <v>42548</v>
          </cell>
          <cell r="I406" t="str">
            <v>不明</v>
          </cell>
          <cell r="K406" t="str">
            <v>高橋</v>
          </cell>
          <cell r="L406">
            <v>3</v>
          </cell>
          <cell r="M406" t="str">
            <v>TiTAN</v>
          </cell>
          <cell r="N406" t="str">
            <v>03GHTQ</v>
          </cell>
          <cell r="O406" t="str">
            <v>P06590-03</v>
          </cell>
          <cell r="P406" t="str">
            <v>フクダ電子西部南販売株式会社</v>
          </cell>
          <cell r="Q406" t="str">
            <v>後藤様</v>
          </cell>
          <cell r="R406" t="str">
            <v>〒870-0850　大分県大分市賀来西1-10-13</v>
          </cell>
          <cell r="S406" t="str">
            <v>097-549-5066</v>
          </cell>
          <cell r="T406" t="str">
            <v>097-549-5139</v>
          </cell>
          <cell r="U406" t="str">
            <v>日田市立上津江診療所</v>
          </cell>
          <cell r="V406" t="str">
            <v>-</v>
          </cell>
          <cell r="W406" t="str">
            <v>-</v>
          </cell>
          <cell r="X406" t="str">
            <v>0973-54-3001</v>
          </cell>
          <cell r="Y406" t="str">
            <v>〒877-0311　大分県日田市上津江町川原3933</v>
          </cell>
          <cell r="AA406" t="str">
            <v/>
          </cell>
          <cell r="AB406" t="str">
            <v/>
          </cell>
          <cell r="AC406" t="str">
            <v/>
          </cell>
          <cell r="AD406" t="str">
            <v/>
          </cell>
          <cell r="AE406" t="str">
            <v/>
          </cell>
          <cell r="AF406" t="str">
            <v/>
          </cell>
          <cell r="AG406" t="str">
            <v/>
          </cell>
          <cell r="AH406" t="str">
            <v/>
          </cell>
          <cell r="AI406" t="str">
            <v/>
          </cell>
          <cell r="AJ406" t="str">
            <v/>
          </cell>
          <cell r="AK406" t="str">
            <v/>
          </cell>
          <cell r="AL406" t="str">
            <v/>
          </cell>
          <cell r="AM406" t="str">
            <v/>
          </cell>
          <cell r="AN406" t="str">
            <v/>
          </cell>
          <cell r="AO406" t="str">
            <v/>
          </cell>
          <cell r="AP406" t="str">
            <v/>
          </cell>
          <cell r="AQ406" t="str">
            <v/>
          </cell>
          <cell r="AR406" t="str">
            <v/>
          </cell>
          <cell r="AS406" t="str">
            <v/>
          </cell>
          <cell r="AT406" t="str">
            <v/>
          </cell>
          <cell r="AU406">
            <v>40026</v>
          </cell>
        </row>
        <row r="407">
          <cell r="A407" t="str">
            <v>S16-0404</v>
          </cell>
          <cell r="B407" t="str">
            <v>帝京大学病院_0404 (2)</v>
          </cell>
          <cell r="C407" t="str">
            <v>SR#不要</v>
          </cell>
          <cell r="D407" t="str">
            <v>-</v>
          </cell>
          <cell r="E407" t="str">
            <v>有償</v>
          </cell>
          <cell r="F407">
            <v>42534</v>
          </cell>
          <cell r="G407">
            <v>42534</v>
          </cell>
          <cell r="H407">
            <v>42579</v>
          </cell>
          <cell r="I407">
            <v>39715</v>
          </cell>
          <cell r="K407" t="str">
            <v>高橋</v>
          </cell>
          <cell r="L407" t="str">
            <v>-</v>
          </cell>
          <cell r="M407" t="str">
            <v>iLook25</v>
          </cell>
          <cell r="N407" t="str">
            <v>03BLRH</v>
          </cell>
          <cell r="O407" t="str">
            <v>P04303-02</v>
          </cell>
          <cell r="P407" t="str">
            <v>日本コヴィディエン株式会社　東京第二営業部</v>
          </cell>
          <cell r="Q407" t="str">
            <v>野間様</v>
          </cell>
          <cell r="R407" t="str">
            <v>〒108-0075  東京都港区港南一丁目2番70号　品川シーズンテラス　22F</v>
          </cell>
          <cell r="S407" t="str">
            <v>03-6774-4629</v>
          </cell>
          <cell r="T407" t="str">
            <v>03-6774-4740</v>
          </cell>
          <cell r="U407" t="str">
            <v>帝京大学医学部附属病院</v>
          </cell>
          <cell r="V407" t="str">
            <v>-</v>
          </cell>
          <cell r="W407" t="str">
            <v>-</v>
          </cell>
          <cell r="X407" t="str">
            <v>03-3964-1211</v>
          </cell>
          <cell r="Y407" t="str">
            <v>〒173-8606　東京都板橋区加賀2-11-1</v>
          </cell>
          <cell r="AA407" t="str">
            <v/>
          </cell>
          <cell r="AB407" t="str">
            <v/>
          </cell>
          <cell r="AC407" t="str">
            <v/>
          </cell>
          <cell r="AD407" t="str">
            <v/>
          </cell>
          <cell r="AE407" t="str">
            <v/>
          </cell>
          <cell r="AF407" t="str">
            <v/>
          </cell>
          <cell r="AG407" t="str">
            <v/>
          </cell>
          <cell r="AH407" t="str">
            <v/>
          </cell>
          <cell r="AI407" t="str">
            <v/>
          </cell>
          <cell r="AJ407" t="str">
            <v/>
          </cell>
          <cell r="AK407" t="str">
            <v/>
          </cell>
          <cell r="AL407" t="str">
            <v/>
          </cell>
          <cell r="AM407" t="str">
            <v/>
          </cell>
          <cell r="AN407" t="str">
            <v/>
          </cell>
          <cell r="AO407" t="str">
            <v/>
          </cell>
          <cell r="AP407" t="str">
            <v/>
          </cell>
          <cell r="AQ407" t="str">
            <v/>
          </cell>
          <cell r="AR407" t="str">
            <v/>
          </cell>
          <cell r="AS407" t="str">
            <v/>
          </cell>
          <cell r="AT407" t="str">
            <v/>
          </cell>
          <cell r="AU407">
            <v>39630</v>
          </cell>
        </row>
        <row r="408">
          <cell r="A408" t="str">
            <v>S16-0405</v>
          </cell>
          <cell r="B408" t="str">
            <v>飯塚病院_0405 (2)</v>
          </cell>
          <cell r="C408" t="str">
            <v>SR#不要</v>
          </cell>
          <cell r="D408" t="str">
            <v>-</v>
          </cell>
          <cell r="E408" t="str">
            <v>有償</v>
          </cell>
          <cell r="F408">
            <v>42535</v>
          </cell>
          <cell r="G408">
            <v>42535</v>
          </cell>
          <cell r="H408">
            <v>42639</v>
          </cell>
          <cell r="I408" t="str">
            <v>不明</v>
          </cell>
          <cell r="K408" t="str">
            <v>-</v>
          </cell>
          <cell r="L408" t="str">
            <v>-</v>
          </cell>
          <cell r="M408" t="str">
            <v>TiTAN</v>
          </cell>
          <cell r="N408" t="str">
            <v>038MLG(034GGC)</v>
          </cell>
          <cell r="O408" t="str">
            <v>P04723-03</v>
          </cell>
          <cell r="P408" t="str">
            <v>株式会社 日立製作所</v>
          </cell>
          <cell r="Q408" t="str">
            <v>吉崎様</v>
          </cell>
          <cell r="R408" t="str">
            <v>〒198-8577　東京都青梅市今井3-7-19</v>
          </cell>
          <cell r="S408" t="str">
            <v>0428-32-3140</v>
          </cell>
          <cell r="T408" t="str">
            <v>0428-32-3152</v>
          </cell>
          <cell r="U408" t="str">
            <v>株式会社麻生　飯塚病院</v>
          </cell>
          <cell r="AA408" t="str">
            <v/>
          </cell>
          <cell r="AB408" t="str">
            <v/>
          </cell>
          <cell r="AC408" t="str">
            <v/>
          </cell>
          <cell r="AD408" t="str">
            <v/>
          </cell>
          <cell r="AE408" t="str">
            <v/>
          </cell>
          <cell r="AF408" t="str">
            <v/>
          </cell>
          <cell r="AG408" t="str">
            <v/>
          </cell>
          <cell r="AH408" t="str">
            <v/>
          </cell>
          <cell r="AI408" t="str">
            <v/>
          </cell>
          <cell r="AJ408" t="str">
            <v/>
          </cell>
          <cell r="AK408" t="str">
            <v/>
          </cell>
          <cell r="AL408" t="str">
            <v/>
          </cell>
          <cell r="AM408" t="str">
            <v/>
          </cell>
          <cell r="AN408" t="str">
            <v/>
          </cell>
          <cell r="AO408" t="str">
            <v/>
          </cell>
          <cell r="AP408" t="str">
            <v/>
          </cell>
          <cell r="AQ408" t="str">
            <v/>
          </cell>
          <cell r="AR408" t="str">
            <v/>
          </cell>
          <cell r="AS408" t="str">
            <v/>
          </cell>
          <cell r="AT408" t="str">
            <v/>
          </cell>
          <cell r="AU408">
            <v>38596</v>
          </cell>
        </row>
        <row r="409">
          <cell r="A409" t="str">
            <v>S16-0406</v>
          </cell>
          <cell r="B409" t="str">
            <v>松江市立病院_0406 (2)</v>
          </cell>
          <cell r="C409" t="str">
            <v>SR#</v>
          </cell>
          <cell r="D409" t="str">
            <v>2016/06/09-03</v>
          </cell>
          <cell r="E409" t="str">
            <v>有償</v>
          </cell>
          <cell r="F409">
            <v>42535</v>
          </cell>
          <cell r="G409">
            <v>42535</v>
          </cell>
          <cell r="H409">
            <v>42558</v>
          </cell>
          <cell r="I409" t="str">
            <v>不明</v>
          </cell>
          <cell r="K409" t="str">
            <v>高橋</v>
          </cell>
          <cell r="L409">
            <v>3</v>
          </cell>
          <cell r="M409" t="str">
            <v>180Plus</v>
          </cell>
          <cell r="N409" t="str">
            <v>033LY7</v>
          </cell>
          <cell r="O409" t="str">
            <v>P04327-03</v>
          </cell>
          <cell r="P409" t="str">
            <v>小西医療器株式会社</v>
          </cell>
          <cell r="Q409" t="str">
            <v>立石様</v>
          </cell>
          <cell r="R409" t="str">
            <v>〒690-0038 島根県松江市平成町182-32</v>
          </cell>
          <cell r="S409" t="str">
            <v>0852-25-1590</v>
          </cell>
          <cell r="T409" t="str">
            <v>0852-27-7116</v>
          </cell>
          <cell r="U409" t="str">
            <v>松江市立病院</v>
          </cell>
          <cell r="V409" t="str">
            <v>-</v>
          </cell>
          <cell r="W409" t="str">
            <v>-</v>
          </cell>
          <cell r="X409" t="str">
            <v>0852-60-8000</v>
          </cell>
          <cell r="Y409" t="str">
            <v>〒690-8509 島根県松江市乃白町32-1</v>
          </cell>
          <cell r="AA409" t="str">
            <v>P00104-02</v>
          </cell>
          <cell r="AB409" t="str">
            <v/>
          </cell>
          <cell r="AC409" t="str">
            <v/>
          </cell>
          <cell r="AD409" t="str">
            <v/>
          </cell>
          <cell r="AE409" t="str">
            <v/>
          </cell>
          <cell r="AF409" t="str">
            <v/>
          </cell>
          <cell r="AG409" t="str">
            <v/>
          </cell>
          <cell r="AH409" t="str">
            <v/>
          </cell>
          <cell r="AI409" t="str">
            <v/>
          </cell>
          <cell r="AJ409" t="str">
            <v/>
          </cell>
          <cell r="AK409" t="str">
            <v>KEY, ON/OFF</v>
          </cell>
          <cell r="AL409" t="str">
            <v/>
          </cell>
          <cell r="AM409" t="str">
            <v/>
          </cell>
          <cell r="AN409" t="str">
            <v/>
          </cell>
          <cell r="AO409" t="str">
            <v/>
          </cell>
          <cell r="AP409" t="str">
            <v/>
          </cell>
          <cell r="AQ409" t="str">
            <v/>
          </cell>
          <cell r="AR409" t="str">
            <v/>
          </cell>
          <cell r="AS409" t="str">
            <v/>
          </cell>
          <cell r="AT409" t="str">
            <v/>
          </cell>
          <cell r="AU409">
            <v>38384</v>
          </cell>
        </row>
        <row r="410">
          <cell r="A410" t="str">
            <v>S16-0407</v>
          </cell>
          <cell r="B410" t="str">
            <v>和歌山医科大学附属病院_0407 (2)</v>
          </cell>
          <cell r="C410" t="str">
            <v>SR#</v>
          </cell>
          <cell r="D410" t="str">
            <v>2016/06/13-06</v>
          </cell>
          <cell r="E410" t="str">
            <v>有償</v>
          </cell>
          <cell r="F410">
            <v>42536</v>
          </cell>
          <cell r="G410">
            <v>42536</v>
          </cell>
          <cell r="H410">
            <v>42563</v>
          </cell>
          <cell r="I410">
            <v>39835</v>
          </cell>
          <cell r="K410" t="str">
            <v>-</v>
          </cell>
          <cell r="L410" t="str">
            <v>-</v>
          </cell>
          <cell r="M410" t="str">
            <v>iLook25</v>
          </cell>
          <cell r="N410" t="str">
            <v>03BLT6</v>
          </cell>
          <cell r="O410" t="str">
            <v>P04303-02</v>
          </cell>
          <cell r="P410" t="str">
            <v>セイコーメディカル株式会社</v>
          </cell>
          <cell r="Q410" t="str">
            <v>ナカヤ様</v>
          </cell>
          <cell r="R410" t="str">
            <v>〒640-8287　和歌山市築港6丁目9番地の10</v>
          </cell>
          <cell r="S410" t="str">
            <v>073-435-2333</v>
          </cell>
          <cell r="T410" t="str">
            <v>073-435-2223</v>
          </cell>
          <cell r="U410" t="str">
            <v>和歌山県立医科大学附属病院</v>
          </cell>
          <cell r="V410" t="str">
            <v>-</v>
          </cell>
          <cell r="W410" t="str">
            <v>-</v>
          </cell>
          <cell r="X410" t="str">
            <v>073-435-2333</v>
          </cell>
          <cell r="Y410" t="str">
            <v>〒640-8287　和歌山県和歌山市築港6丁目9番地の10</v>
          </cell>
          <cell r="AA410" t="str">
            <v/>
          </cell>
          <cell r="AB410" t="str">
            <v/>
          </cell>
          <cell r="AC410" t="str">
            <v/>
          </cell>
          <cell r="AD410" t="str">
            <v/>
          </cell>
          <cell r="AE410" t="str">
            <v/>
          </cell>
          <cell r="AF410" t="str">
            <v/>
          </cell>
          <cell r="AG410" t="str">
            <v/>
          </cell>
          <cell r="AH410" t="str">
            <v/>
          </cell>
          <cell r="AI410" t="str">
            <v/>
          </cell>
          <cell r="AJ410" t="str">
            <v/>
          </cell>
          <cell r="AK410" t="str">
            <v/>
          </cell>
          <cell r="AL410" t="str">
            <v/>
          </cell>
          <cell r="AM410" t="str">
            <v/>
          </cell>
          <cell r="AN410" t="str">
            <v/>
          </cell>
          <cell r="AO410" t="str">
            <v/>
          </cell>
          <cell r="AP410" t="str">
            <v/>
          </cell>
          <cell r="AQ410" t="str">
            <v/>
          </cell>
          <cell r="AR410" t="str">
            <v/>
          </cell>
          <cell r="AS410" t="str">
            <v/>
          </cell>
          <cell r="AT410" t="str">
            <v/>
          </cell>
          <cell r="AU410">
            <v>39630</v>
          </cell>
        </row>
        <row r="411">
          <cell r="A411" t="str">
            <v>S16-0408</v>
          </cell>
          <cell r="B411" t="str">
            <v>日本医科大学附属病院_0408 (2)</v>
          </cell>
          <cell r="C411" t="str">
            <v>SR#4215683</v>
          </cell>
          <cell r="D411" t="str">
            <v>-</v>
          </cell>
          <cell r="E411" t="str">
            <v>無償</v>
          </cell>
          <cell r="F411">
            <v>42536</v>
          </cell>
          <cell r="G411">
            <v>42536</v>
          </cell>
          <cell r="H411">
            <v>42646</v>
          </cell>
          <cell r="I411">
            <v>41810</v>
          </cell>
          <cell r="K411" t="str">
            <v>高橋</v>
          </cell>
          <cell r="L411">
            <v>3</v>
          </cell>
          <cell r="M411" t="str">
            <v>NanoMaxx</v>
          </cell>
          <cell r="N411" t="str">
            <v>03X61Y</v>
          </cell>
          <cell r="O411" t="str">
            <v>P12700-06</v>
          </cell>
          <cell r="P411" t="str">
            <v>日本コヴィディエン株式会社 東京第二営業所</v>
          </cell>
          <cell r="Q411" t="str">
            <v>谷口様</v>
          </cell>
          <cell r="R411" t="str">
            <v>〒108-0075  東京都港区港南一丁目2番70号　品川シーズンテラス　22F</v>
          </cell>
          <cell r="S411" t="str">
            <v>03-6774-4629</v>
          </cell>
          <cell r="T411" t="str">
            <v>03-6774-4740</v>
          </cell>
          <cell r="U411" t="str">
            <v>日本医科大学付属病院</v>
          </cell>
          <cell r="V411" t="str">
            <v>-</v>
          </cell>
          <cell r="W411" t="str">
            <v>-</v>
          </cell>
          <cell r="X411" t="str">
            <v>03-3822-2131</v>
          </cell>
          <cell r="Y411" t="str">
            <v>〒113-8603　東京都文京区千駄木1-1-5</v>
          </cell>
          <cell r="AA411" t="str">
            <v>P12718-02</v>
          </cell>
          <cell r="AB411" t="str">
            <v/>
          </cell>
          <cell r="AC411" t="str">
            <v/>
          </cell>
          <cell r="AD411" t="str">
            <v/>
          </cell>
          <cell r="AE411" t="str">
            <v/>
          </cell>
          <cell r="AF411" t="str">
            <v/>
          </cell>
          <cell r="AG411" t="str">
            <v/>
          </cell>
          <cell r="AH411" t="str">
            <v/>
          </cell>
          <cell r="AI411" t="str">
            <v/>
          </cell>
          <cell r="AJ411" t="str">
            <v/>
          </cell>
          <cell r="AK411" t="str">
            <v>SERVICE ASSEMBLY, BACK END PCB, NANOMAXX</v>
          </cell>
          <cell r="AL411" t="str">
            <v/>
          </cell>
          <cell r="AM411" t="str">
            <v/>
          </cell>
          <cell r="AN411" t="str">
            <v/>
          </cell>
          <cell r="AO411" t="str">
            <v/>
          </cell>
          <cell r="AP411" t="str">
            <v/>
          </cell>
          <cell r="AQ411" t="str">
            <v/>
          </cell>
          <cell r="AR411" t="str">
            <v/>
          </cell>
          <cell r="AS411" t="str">
            <v/>
          </cell>
          <cell r="AT411" t="str">
            <v/>
          </cell>
          <cell r="AU411">
            <v>41699</v>
          </cell>
        </row>
        <row r="412">
          <cell r="A412" t="str">
            <v>S16-0409</v>
          </cell>
          <cell r="B412" t="str">
            <v>成城マタニティクリニック_0409 (2)</v>
          </cell>
          <cell r="C412" t="str">
            <v>SR#</v>
          </cell>
          <cell r="D412" t="str">
            <v>2016/06/08-03</v>
          </cell>
          <cell r="E412" t="str">
            <v>有償</v>
          </cell>
          <cell r="F412">
            <v>42536</v>
          </cell>
          <cell r="G412">
            <v>42536</v>
          </cell>
          <cell r="H412">
            <v>42548</v>
          </cell>
          <cell r="I412" t="str">
            <v>不明</v>
          </cell>
          <cell r="K412" t="str">
            <v>高橋</v>
          </cell>
          <cell r="L412" t="str">
            <v>-</v>
          </cell>
          <cell r="M412" t="str">
            <v>Mini-Dock</v>
          </cell>
          <cell r="N412" t="str">
            <v>WK1NRY</v>
          </cell>
          <cell r="O412" t="str">
            <v>P12133-01</v>
          </cell>
          <cell r="P412" t="str">
            <v>相模原商事株式会社</v>
          </cell>
          <cell r="Q412" t="str">
            <v>森井様</v>
          </cell>
          <cell r="R412" t="str">
            <v>〒252-0317　神奈川県相模原市南区御園5-15-13</v>
          </cell>
          <cell r="S412" t="str">
            <v>042-743-0587</v>
          </cell>
          <cell r="T412" t="str">
            <v>042-748-7878</v>
          </cell>
          <cell r="U412" t="str">
            <v>成城マタニティクリニック</v>
          </cell>
          <cell r="V412" t="str">
            <v>-</v>
          </cell>
          <cell r="W412" t="str">
            <v>-</v>
          </cell>
          <cell r="X412" t="str">
            <v>03-5727-5335</v>
          </cell>
          <cell r="Y412" t="str">
            <v>〒157-0066　東京都世田谷区成城1-1-2</v>
          </cell>
          <cell r="AA412" t="str">
            <v/>
          </cell>
          <cell r="AB412" t="str">
            <v/>
          </cell>
          <cell r="AC412" t="str">
            <v/>
          </cell>
          <cell r="AD412" t="str">
            <v/>
          </cell>
          <cell r="AE412" t="str">
            <v/>
          </cell>
          <cell r="AF412" t="str">
            <v/>
          </cell>
          <cell r="AG412" t="str">
            <v/>
          </cell>
          <cell r="AH412" t="str">
            <v/>
          </cell>
          <cell r="AI412" t="str">
            <v/>
          </cell>
          <cell r="AJ412" t="str">
            <v/>
          </cell>
          <cell r="AK412" t="str">
            <v/>
          </cell>
          <cell r="AL412" t="str">
            <v/>
          </cell>
          <cell r="AM412" t="str">
            <v/>
          </cell>
          <cell r="AN412" t="str">
            <v/>
          </cell>
          <cell r="AO412" t="str">
            <v/>
          </cell>
          <cell r="AP412" t="str">
            <v/>
          </cell>
          <cell r="AQ412" t="str">
            <v/>
          </cell>
          <cell r="AR412" t="str">
            <v/>
          </cell>
          <cell r="AS412" t="str">
            <v/>
          </cell>
          <cell r="AT412" t="str">
            <v/>
          </cell>
          <cell r="AU412">
            <v>41365</v>
          </cell>
        </row>
        <row r="413">
          <cell r="A413" t="str">
            <v>S16-0410</v>
          </cell>
          <cell r="B413" t="str">
            <v>代替機NIM171_0410 (2)</v>
          </cell>
          <cell r="C413" t="str">
            <v>SR#</v>
          </cell>
          <cell r="D413" t="str">
            <v>-</v>
          </cell>
          <cell r="E413" t="str">
            <v>無償</v>
          </cell>
          <cell r="F413">
            <v>42536</v>
          </cell>
          <cell r="G413">
            <v>42536</v>
          </cell>
          <cell r="H413">
            <v>42544</v>
          </cell>
          <cell r="I413" t="str">
            <v>不明</v>
          </cell>
          <cell r="K413" t="str">
            <v>梶田</v>
          </cell>
          <cell r="L413">
            <v>3</v>
          </cell>
          <cell r="M413" t="str">
            <v>MicroMaxx</v>
          </cell>
          <cell r="N413" t="str">
            <v>WK0MX8</v>
          </cell>
          <cell r="O413" t="str">
            <v>P08063-07</v>
          </cell>
          <cell r="P413" t="str">
            <v>富士フイルムメディカル株式会社</v>
          </cell>
          <cell r="Q413" t="str">
            <v>-</v>
          </cell>
          <cell r="R413" t="str">
            <v>-</v>
          </cell>
          <cell r="S413" t="str">
            <v>03-6418-7190</v>
          </cell>
          <cell r="T413" t="str">
            <v>03-6418-7162</v>
          </cell>
          <cell r="U413" t="str">
            <v>代替機NIM171</v>
          </cell>
          <cell r="V413" t="str">
            <v>-</v>
          </cell>
          <cell r="W413" t="str">
            <v>-</v>
          </cell>
          <cell r="X413" t="str">
            <v>-</v>
          </cell>
          <cell r="Y413" t="str">
            <v>-</v>
          </cell>
          <cell r="AA413" t="str">
            <v/>
          </cell>
          <cell r="AB413" t="str">
            <v/>
          </cell>
          <cell r="AC413" t="str">
            <v/>
          </cell>
          <cell r="AD413" t="str">
            <v/>
          </cell>
          <cell r="AE413" t="str">
            <v/>
          </cell>
          <cell r="AF413" t="str">
            <v/>
          </cell>
          <cell r="AG413" t="str">
            <v/>
          </cell>
          <cell r="AH413" t="str">
            <v/>
          </cell>
          <cell r="AI413" t="str">
            <v/>
          </cell>
          <cell r="AJ413" t="str">
            <v/>
          </cell>
          <cell r="AK413" t="str">
            <v/>
          </cell>
          <cell r="AL413" t="str">
            <v/>
          </cell>
          <cell r="AM413" t="str">
            <v/>
          </cell>
          <cell r="AN413" t="str">
            <v/>
          </cell>
          <cell r="AO413" t="str">
            <v/>
          </cell>
          <cell r="AP413" t="str">
            <v/>
          </cell>
          <cell r="AQ413" t="str">
            <v/>
          </cell>
          <cell r="AR413" t="str">
            <v/>
          </cell>
          <cell r="AS413" t="str">
            <v/>
          </cell>
          <cell r="AT413" t="str">
            <v/>
          </cell>
          <cell r="AU413">
            <v>40848</v>
          </cell>
        </row>
        <row r="414">
          <cell r="A414" t="str">
            <v>S16-0411</v>
          </cell>
          <cell r="B414" t="str">
            <v>東部医療センター_0411 (2)</v>
          </cell>
          <cell r="C414" t="str">
            <v>SR#4217589</v>
          </cell>
          <cell r="D414" t="str">
            <v>2016/06/08-04</v>
          </cell>
          <cell r="E414" t="str">
            <v>無償</v>
          </cell>
          <cell r="F414">
            <v>42537</v>
          </cell>
          <cell r="G414">
            <v>42537</v>
          </cell>
          <cell r="H414">
            <v>42562</v>
          </cell>
          <cell r="I414" t="str">
            <v>不明</v>
          </cell>
          <cell r="K414" t="str">
            <v>高橋</v>
          </cell>
          <cell r="L414">
            <v>3</v>
          </cell>
          <cell r="M414" t="str">
            <v>M-Turbo</v>
          </cell>
          <cell r="N414" t="str">
            <v>WK27TB</v>
          </cell>
          <cell r="O414" t="str">
            <v>P09141-27</v>
          </cell>
          <cell r="P414" t="str">
            <v>株式会社八神製作所</v>
          </cell>
          <cell r="Q414" t="str">
            <v>鈴木様</v>
          </cell>
          <cell r="R414" t="str">
            <v>〒460-8318　愛知県名古屋市中区千代田二丁目16番30号</v>
          </cell>
          <cell r="S414" t="str">
            <v>052-251-6671</v>
          </cell>
          <cell r="T414" t="str">
            <v>052-251-7726</v>
          </cell>
          <cell r="U414" t="str">
            <v>名古屋市立東部医療センター</v>
          </cell>
          <cell r="V414" t="str">
            <v>-</v>
          </cell>
          <cell r="W414" t="str">
            <v>-</v>
          </cell>
          <cell r="X414" t="str">
            <v>052-51-6671</v>
          </cell>
          <cell r="Y414" t="str">
            <v>〒464-8547 愛知県名古屋市千種区若水一丁目2番23号</v>
          </cell>
          <cell r="AA414" t="str">
            <v>P19087-02</v>
          </cell>
          <cell r="AB414" t="str">
            <v/>
          </cell>
          <cell r="AC414" t="str">
            <v/>
          </cell>
          <cell r="AD414" t="str">
            <v/>
          </cell>
          <cell r="AE414" t="str">
            <v/>
          </cell>
          <cell r="AF414" t="str">
            <v/>
          </cell>
          <cell r="AG414" t="str">
            <v/>
          </cell>
          <cell r="AH414" t="str">
            <v/>
          </cell>
          <cell r="AI414" t="str">
            <v/>
          </cell>
          <cell r="AJ414" t="str">
            <v/>
          </cell>
          <cell r="AK414" t="str">
            <v>MAIN PCBA, M-Turbo</v>
          </cell>
          <cell r="AL414" t="str">
            <v/>
          </cell>
          <cell r="AM414" t="str">
            <v/>
          </cell>
          <cell r="AN414" t="str">
            <v/>
          </cell>
          <cell r="AO414" t="str">
            <v/>
          </cell>
          <cell r="AP414" t="str">
            <v/>
          </cell>
          <cell r="AQ414" t="str">
            <v/>
          </cell>
          <cell r="AR414" t="str">
            <v/>
          </cell>
          <cell r="AS414" t="str">
            <v/>
          </cell>
          <cell r="AT414" t="str">
            <v/>
          </cell>
          <cell r="AU414">
            <v>41699</v>
          </cell>
        </row>
        <row r="415">
          <cell r="A415" t="str">
            <v>S16-0412</v>
          </cell>
          <cell r="B415" t="str">
            <v>小田原循環器病院_0412 (2)</v>
          </cell>
          <cell r="C415" t="str">
            <v>SR#4215667</v>
          </cell>
          <cell r="D415" t="str">
            <v>2016/06/15-01</v>
          </cell>
          <cell r="E415" t="str">
            <v>無償</v>
          </cell>
          <cell r="F415">
            <v>42537</v>
          </cell>
          <cell r="G415">
            <v>42537</v>
          </cell>
          <cell r="H415">
            <v>42550</v>
          </cell>
          <cell r="I415" t="str">
            <v>不明</v>
          </cell>
          <cell r="K415">
            <v>0</v>
          </cell>
          <cell r="M415" t="str">
            <v>MicroMaxx</v>
          </cell>
          <cell r="N415" t="str">
            <v>WK0H2P</v>
          </cell>
          <cell r="O415" t="str">
            <v>P08063-06</v>
          </cell>
          <cell r="P415" t="str">
            <v>富士フイルムメディカル株式会社</v>
          </cell>
          <cell r="Q415" t="str">
            <v>芝滝 様</v>
          </cell>
          <cell r="S415" t="str">
            <v>03-6418-7190</v>
          </cell>
          <cell r="T415" t="str">
            <v>03-6418-7162</v>
          </cell>
          <cell r="U415" t="str">
            <v>小田原循環器病院</v>
          </cell>
          <cell r="AA415" t="str">
            <v>P00364-02</v>
          </cell>
          <cell r="AB415" t="str">
            <v/>
          </cell>
          <cell r="AC415" t="str">
            <v/>
          </cell>
          <cell r="AD415" t="str">
            <v/>
          </cell>
          <cell r="AE415" t="str">
            <v/>
          </cell>
          <cell r="AF415" t="str">
            <v/>
          </cell>
          <cell r="AG415" t="str">
            <v/>
          </cell>
          <cell r="AH415" t="str">
            <v/>
          </cell>
          <cell r="AI415" t="str">
            <v/>
          </cell>
          <cell r="AJ415" t="str">
            <v/>
          </cell>
          <cell r="AK415" t="str">
            <v>CONNECTOR, INTERPOSER</v>
          </cell>
          <cell r="AL415" t="str">
            <v/>
          </cell>
          <cell r="AM415" t="str">
            <v/>
          </cell>
          <cell r="AN415" t="str">
            <v/>
          </cell>
          <cell r="AO415" t="str">
            <v/>
          </cell>
          <cell r="AP415" t="str">
            <v/>
          </cell>
          <cell r="AQ415" t="str">
            <v/>
          </cell>
          <cell r="AR415" t="str">
            <v/>
          </cell>
          <cell r="AS415" t="str">
            <v/>
          </cell>
          <cell r="AT415" t="str">
            <v/>
          </cell>
          <cell r="AU415">
            <v>40756</v>
          </cell>
        </row>
        <row r="416">
          <cell r="A416" t="str">
            <v>S16-0413</v>
          </cell>
          <cell r="B416" t="str">
            <v>日高病院_0413 (2)</v>
          </cell>
          <cell r="C416" t="str">
            <v>SR#4215671</v>
          </cell>
          <cell r="D416" t="str">
            <v>2016/06/13-04</v>
          </cell>
          <cell r="E416" t="str">
            <v>無償</v>
          </cell>
          <cell r="F416">
            <v>42537</v>
          </cell>
          <cell r="G416">
            <v>42537</v>
          </cell>
          <cell r="H416">
            <v>42551</v>
          </cell>
          <cell r="I416" t="str">
            <v>不明</v>
          </cell>
          <cell r="K416" t="str">
            <v>馬屋原</v>
          </cell>
          <cell r="L416">
            <v>3</v>
          </cell>
          <cell r="M416" t="str">
            <v>M-Turbo</v>
          </cell>
          <cell r="N416" t="str">
            <v>WK0G6D</v>
          </cell>
          <cell r="O416" t="str">
            <v>P09141-23</v>
          </cell>
          <cell r="P416" t="str">
            <v>富士フイルムメディカル株式会社</v>
          </cell>
          <cell r="Q416" t="str">
            <v>風間 様</v>
          </cell>
          <cell r="R416" t="str">
            <v>〒379-2154　群馬県前橋市天川大島町2-26-13</v>
          </cell>
          <cell r="S416" t="str">
            <v>027-223-6760</v>
          </cell>
          <cell r="T416" t="str">
            <v>027-223-3017</v>
          </cell>
          <cell r="U416" t="str">
            <v>日高病院</v>
          </cell>
          <cell r="V416" t="str">
            <v>-</v>
          </cell>
          <cell r="W416" t="str">
            <v>-</v>
          </cell>
          <cell r="X416" t="str">
            <v>027-362-6201</v>
          </cell>
          <cell r="Y416" t="str">
            <v>〒370-0001　群馬県高崎市中尾町886</v>
          </cell>
          <cell r="AA416" t="str">
            <v>P19060-02</v>
          </cell>
          <cell r="AB416" t="str">
            <v/>
          </cell>
          <cell r="AC416" t="str">
            <v/>
          </cell>
          <cell r="AD416" t="str">
            <v/>
          </cell>
          <cell r="AE416" t="str">
            <v/>
          </cell>
          <cell r="AF416" t="str">
            <v/>
          </cell>
          <cell r="AG416" t="str">
            <v/>
          </cell>
          <cell r="AH416" t="str">
            <v/>
          </cell>
          <cell r="AI416" t="str">
            <v/>
          </cell>
          <cell r="AJ416" t="str">
            <v/>
          </cell>
          <cell r="AK416" t="str">
            <v>MAIN PCBA, M-Turbo</v>
          </cell>
          <cell r="AL416" t="str">
            <v/>
          </cell>
          <cell r="AM416" t="str">
            <v/>
          </cell>
          <cell r="AN416" t="str">
            <v/>
          </cell>
          <cell r="AO416" t="str">
            <v/>
          </cell>
          <cell r="AP416" t="str">
            <v/>
          </cell>
          <cell r="AQ416" t="str">
            <v/>
          </cell>
          <cell r="AR416" t="str">
            <v/>
          </cell>
          <cell r="AS416" t="str">
            <v/>
          </cell>
          <cell r="AT416" t="str">
            <v/>
          </cell>
          <cell r="AU416">
            <v>40787</v>
          </cell>
        </row>
        <row r="417">
          <cell r="A417" t="str">
            <v>S16-0414</v>
          </cell>
          <cell r="B417" t="str">
            <v>大阪大学医学部附属病院_0414 (2)</v>
          </cell>
          <cell r="C417" t="str">
            <v>SR#</v>
          </cell>
          <cell r="D417" t="str">
            <v>2016/05/23-04</v>
          </cell>
          <cell r="E417" t="str">
            <v>有償</v>
          </cell>
          <cell r="F417">
            <v>42537</v>
          </cell>
          <cell r="G417">
            <v>42537</v>
          </cell>
          <cell r="H417">
            <v>42563</v>
          </cell>
          <cell r="I417" t="str">
            <v>不明</v>
          </cell>
          <cell r="K417" t="str">
            <v>高橋</v>
          </cell>
          <cell r="L417" t="str">
            <v>-</v>
          </cell>
          <cell r="M417" t="str">
            <v>M-Turbo</v>
          </cell>
          <cell r="N417" t="str">
            <v>03JNJH</v>
          </cell>
          <cell r="O417" t="str">
            <v>P09141-16</v>
          </cell>
          <cell r="P417" t="str">
            <v>株式会社ダテメディカルサービス　大阪支店</v>
          </cell>
          <cell r="Q417" t="str">
            <v>中別府様</v>
          </cell>
          <cell r="R417" t="str">
            <v>〒564-0062　大阪府吹田市垂水町3-27-27　第2江坂三昌ビル6F</v>
          </cell>
          <cell r="S417" t="str">
            <v>06-6368-5776</v>
          </cell>
          <cell r="T417" t="str">
            <v>06-6387-8111</v>
          </cell>
          <cell r="U417" t="str">
            <v>大阪大学医学部附属病院</v>
          </cell>
          <cell r="V417" t="str">
            <v>-</v>
          </cell>
          <cell r="W417" t="str">
            <v>-</v>
          </cell>
          <cell r="X417" t="str">
            <v>06-6879-5111</v>
          </cell>
          <cell r="Y417" t="str">
            <v>〒565-0871　大阪府吹田市山田丘2-15</v>
          </cell>
          <cell r="AA417" t="str">
            <v/>
          </cell>
          <cell r="AB417" t="str">
            <v/>
          </cell>
          <cell r="AC417" t="str">
            <v/>
          </cell>
          <cell r="AD417" t="str">
            <v/>
          </cell>
          <cell r="AE417" t="str">
            <v/>
          </cell>
          <cell r="AF417" t="str">
            <v/>
          </cell>
          <cell r="AG417" t="str">
            <v/>
          </cell>
          <cell r="AH417" t="str">
            <v/>
          </cell>
          <cell r="AI417" t="str">
            <v/>
          </cell>
          <cell r="AJ417" t="str">
            <v/>
          </cell>
          <cell r="AK417" t="str">
            <v/>
          </cell>
          <cell r="AL417" t="str">
            <v/>
          </cell>
          <cell r="AM417" t="str">
            <v/>
          </cell>
          <cell r="AN417" t="str">
            <v/>
          </cell>
          <cell r="AO417" t="str">
            <v/>
          </cell>
          <cell r="AP417" t="str">
            <v/>
          </cell>
          <cell r="AQ417" t="str">
            <v/>
          </cell>
          <cell r="AR417" t="str">
            <v/>
          </cell>
          <cell r="AS417" t="str">
            <v/>
          </cell>
          <cell r="AT417" t="str">
            <v/>
          </cell>
          <cell r="AU417">
            <v>40391</v>
          </cell>
        </row>
        <row r="418">
          <cell r="A418" t="str">
            <v>S16-0415</v>
          </cell>
          <cell r="B418" t="str">
            <v>国立小倉医療センター_0415 (2)</v>
          </cell>
          <cell r="C418" t="str">
            <v>SR#不要</v>
          </cell>
          <cell r="D418" t="str">
            <v>2016/05/17-02</v>
          </cell>
          <cell r="E418" t="str">
            <v>有償</v>
          </cell>
          <cell r="F418">
            <v>42537</v>
          </cell>
          <cell r="G418">
            <v>42537</v>
          </cell>
          <cell r="H418">
            <v>42578</v>
          </cell>
          <cell r="I418" t="str">
            <v>不明</v>
          </cell>
          <cell r="K418" t="str">
            <v>高橋</v>
          </cell>
          <cell r="L418" t="str">
            <v>-</v>
          </cell>
          <cell r="M418" t="str">
            <v>MicroMaxx</v>
          </cell>
          <cell r="N418" t="str">
            <v>WK030C</v>
          </cell>
          <cell r="O418" t="str">
            <v>P08063-05</v>
          </cell>
          <cell r="P418" t="str">
            <v>株式会社アステム　ME北九州支店</v>
          </cell>
          <cell r="Q418" t="str">
            <v>原岡様</v>
          </cell>
          <cell r="R418" t="str">
            <v>〒802-0229　福岡県北九州市小倉南区下曽根新町13-1</v>
          </cell>
          <cell r="S418" t="str">
            <v>093-473-1514</v>
          </cell>
          <cell r="T418" t="str">
            <v>093-471-1862</v>
          </cell>
          <cell r="U418" t="str">
            <v>国立小倉医療センター　（循環器）</v>
          </cell>
          <cell r="V418" t="str">
            <v>鈴木先生</v>
          </cell>
          <cell r="W418" t="str">
            <v>循環器内科</v>
          </cell>
          <cell r="X418" t="str">
            <v>093-921-8881</v>
          </cell>
          <cell r="Y418" t="str">
            <v>〒802-8533 福岡県北九州市小倉南区春ケ丘10番1号</v>
          </cell>
          <cell r="AA418" t="str">
            <v>P07168-20</v>
          </cell>
          <cell r="AB418" t="str">
            <v/>
          </cell>
          <cell r="AC418" t="str">
            <v/>
          </cell>
          <cell r="AD418" t="str">
            <v/>
          </cell>
          <cell r="AE418" t="str">
            <v/>
          </cell>
          <cell r="AF418" t="str">
            <v/>
          </cell>
          <cell r="AG418" t="str">
            <v/>
          </cell>
          <cell r="AH418" t="str">
            <v/>
          </cell>
          <cell r="AI418" t="str">
            <v/>
          </cell>
          <cell r="AJ418" t="str">
            <v/>
          </cell>
          <cell r="AK418" t="str">
            <v>BATTERY PACK, 6 CELL, 11.25V, 5.2AMP-HOUR, LITHIUM-ION</v>
          </cell>
          <cell r="AL418" t="str">
            <v/>
          </cell>
          <cell r="AM418" t="str">
            <v/>
          </cell>
          <cell r="AN418" t="str">
            <v/>
          </cell>
          <cell r="AO418" t="str">
            <v/>
          </cell>
          <cell r="AP418" t="str">
            <v/>
          </cell>
          <cell r="AQ418" t="str">
            <v/>
          </cell>
          <cell r="AR418" t="str">
            <v/>
          </cell>
          <cell r="AS418" t="str">
            <v/>
          </cell>
          <cell r="AT418" t="str">
            <v/>
          </cell>
          <cell r="AU418">
            <v>40179</v>
          </cell>
        </row>
        <row r="419">
          <cell r="A419" t="str">
            <v>S16-0416</v>
          </cell>
          <cell r="B419" t="str">
            <v>みはま成田クリニック_0416 (2)</v>
          </cell>
          <cell r="C419" t="str">
            <v>SR#4215673</v>
          </cell>
          <cell r="D419" t="str">
            <v>2016/05/30-01</v>
          </cell>
          <cell r="E419" t="str">
            <v>無償</v>
          </cell>
          <cell r="F419">
            <v>42537</v>
          </cell>
          <cell r="G419">
            <v>42537</v>
          </cell>
          <cell r="H419">
            <v>42629</v>
          </cell>
          <cell r="I419" t="str">
            <v>不明</v>
          </cell>
          <cell r="K419" t="str">
            <v>高橋</v>
          </cell>
          <cell r="L419">
            <v>3</v>
          </cell>
          <cell r="M419" t="str">
            <v>M-Turbo</v>
          </cell>
          <cell r="N419" t="str">
            <v>WK2GVV</v>
          </cell>
          <cell r="O419" t="str">
            <v>P09141-28</v>
          </cell>
          <cell r="P419" t="str">
            <v>(施設直接）医療法人社団　誠仁会　みはま成田クリニック</v>
          </cell>
          <cell r="Q419" t="str">
            <v>小林様</v>
          </cell>
          <cell r="R419" t="str">
            <v>〒286-0041　千葉県成田市飯田町129-1</v>
          </cell>
          <cell r="S419" t="str">
            <v>0476-29-8811</v>
          </cell>
          <cell r="T419" t="str">
            <v>0476-29-8833</v>
          </cell>
          <cell r="U419" t="str">
            <v>みはま成田クリニック</v>
          </cell>
          <cell r="V419" t="str">
            <v>小林様</v>
          </cell>
          <cell r="W419" t="str">
            <v>ME科</v>
          </cell>
          <cell r="X419" t="str">
            <v>0476-29-8811</v>
          </cell>
          <cell r="Y419" t="str">
            <v>〒286-0041　千葉県成田市飯田町129-1</v>
          </cell>
          <cell r="AA419" t="str">
            <v/>
          </cell>
          <cell r="AB419" t="str">
            <v>P19087-02</v>
          </cell>
          <cell r="AC419" t="str">
            <v>L25x/13-6</v>
          </cell>
          <cell r="AD419" t="str">
            <v/>
          </cell>
          <cell r="AE419" t="str">
            <v/>
          </cell>
          <cell r="AF419" t="str">
            <v/>
          </cell>
          <cell r="AG419" t="str">
            <v/>
          </cell>
          <cell r="AH419" t="str">
            <v/>
          </cell>
          <cell r="AI419" t="str">
            <v/>
          </cell>
          <cell r="AJ419" t="str">
            <v/>
          </cell>
          <cell r="AK419" t="str">
            <v/>
          </cell>
          <cell r="AL419" t="str">
            <v>MAIN PCBA, M-Turbo</v>
          </cell>
          <cell r="AM419" t="str">
            <v>L25x/13-6リニアプローブ</v>
          </cell>
          <cell r="AN419" t="str">
            <v/>
          </cell>
          <cell r="AO419" t="str">
            <v/>
          </cell>
          <cell r="AP419" t="str">
            <v/>
          </cell>
          <cell r="AQ419" t="str">
            <v/>
          </cell>
          <cell r="AR419" t="str">
            <v/>
          </cell>
          <cell r="AS419" t="str">
            <v/>
          </cell>
          <cell r="AT419" t="str">
            <v/>
          </cell>
          <cell r="AU419">
            <v>41852</v>
          </cell>
        </row>
        <row r="420">
          <cell r="A420" t="str">
            <v>S16-0417</v>
          </cell>
          <cell r="B420" t="str">
            <v xml:space="preserve">八戸市民病院_0417(2) </v>
          </cell>
          <cell r="C420" t="str">
            <v>SR#</v>
          </cell>
          <cell r="D420" t="str">
            <v>2016/06/09-04</v>
          </cell>
          <cell r="E420" t="str">
            <v>有償</v>
          </cell>
          <cell r="F420">
            <v>42537</v>
          </cell>
          <cell r="G420">
            <v>42537</v>
          </cell>
          <cell r="H420">
            <v>42548</v>
          </cell>
          <cell r="I420" t="str">
            <v>不明</v>
          </cell>
          <cell r="K420" t="str">
            <v>-</v>
          </cell>
          <cell r="L420" t="str">
            <v>-</v>
          </cell>
          <cell r="M420" t="str">
            <v>C60/5-2</v>
          </cell>
          <cell r="N420" t="str">
            <v>03F2KP</v>
          </cell>
          <cell r="O420" t="str">
            <v>P04322-04</v>
          </cell>
          <cell r="P420" t="str">
            <v>株式会社シバタ医理科</v>
          </cell>
          <cell r="Q420" t="str">
            <v>佐々木様</v>
          </cell>
          <cell r="R420" t="str">
            <v xml:space="preserve">〒031-0821　青森県八戸市白銀３丁目８−１ </v>
          </cell>
          <cell r="S420" t="str">
            <v>0178-34-1122</v>
          </cell>
          <cell r="T420" t="str">
            <v>0178-34-1123</v>
          </cell>
          <cell r="U420" t="str">
            <v>八戸市立市民病院</v>
          </cell>
          <cell r="V420" t="str">
            <v>-</v>
          </cell>
          <cell r="W420" t="str">
            <v>-</v>
          </cell>
          <cell r="X420" t="str">
            <v>0178-72-5111</v>
          </cell>
          <cell r="Y420" t="str">
            <v>〒031-8555　青森県八戸市大字田向字毘沙門平1</v>
          </cell>
          <cell r="AA420" t="str">
            <v/>
          </cell>
          <cell r="AB420" t="str">
            <v/>
          </cell>
          <cell r="AC420" t="str">
            <v/>
          </cell>
          <cell r="AD420" t="str">
            <v/>
          </cell>
          <cell r="AE420" t="str">
            <v/>
          </cell>
          <cell r="AF420" t="str">
            <v/>
          </cell>
          <cell r="AG420" t="str">
            <v/>
          </cell>
          <cell r="AH420" t="str">
            <v/>
          </cell>
          <cell r="AI420" t="str">
            <v/>
          </cell>
          <cell r="AJ420" t="str">
            <v/>
          </cell>
          <cell r="AK420" t="str">
            <v/>
          </cell>
          <cell r="AL420" t="str">
            <v/>
          </cell>
          <cell r="AM420" t="str">
            <v/>
          </cell>
          <cell r="AN420" t="str">
            <v/>
          </cell>
          <cell r="AO420" t="str">
            <v/>
          </cell>
          <cell r="AP420" t="str">
            <v/>
          </cell>
          <cell r="AQ420" t="str">
            <v/>
          </cell>
          <cell r="AR420" t="str">
            <v/>
          </cell>
          <cell r="AS420" t="str">
            <v/>
          </cell>
          <cell r="AT420" t="str">
            <v/>
          </cell>
          <cell r="AU420">
            <v>39783</v>
          </cell>
        </row>
        <row r="421">
          <cell r="A421" t="str">
            <v>S16-0418</v>
          </cell>
          <cell r="B421" t="str">
            <v>近森病院_0418 (2)</v>
          </cell>
          <cell r="C421" t="str">
            <v>SR#不要</v>
          </cell>
          <cell r="D421" t="str">
            <v>2016/06/15-04</v>
          </cell>
          <cell r="E421" t="str">
            <v>有償</v>
          </cell>
          <cell r="F421">
            <v>42538</v>
          </cell>
          <cell r="G421">
            <v>42538</v>
          </cell>
          <cell r="H421">
            <v>42590</v>
          </cell>
          <cell r="I421">
            <v>39035</v>
          </cell>
          <cell r="K421" t="str">
            <v>高橋</v>
          </cell>
          <cell r="L421" t="str">
            <v>-</v>
          </cell>
          <cell r="M421" t="str">
            <v>iLook25</v>
          </cell>
          <cell r="N421" t="str">
            <v>035HY5</v>
          </cell>
          <cell r="O421" t="str">
            <v>P04303-02</v>
          </cell>
          <cell r="P421" t="str">
            <v>株式会社シーメック</v>
          </cell>
          <cell r="Q421" t="str">
            <v>西岡様</v>
          </cell>
          <cell r="R421" t="str">
            <v>〒780-0087　高知県高知市南久保9-8</v>
          </cell>
          <cell r="S421" t="str">
            <v>088-880-0666</v>
          </cell>
          <cell r="T421" t="str">
            <v>080-880-0668</v>
          </cell>
          <cell r="U421" t="str">
            <v>近森病院</v>
          </cell>
          <cell r="V421" t="str">
            <v>-</v>
          </cell>
          <cell r="W421" t="str">
            <v>-</v>
          </cell>
          <cell r="X421" t="str">
            <v>088-822-5231</v>
          </cell>
          <cell r="Y421" t="str">
            <v>〒780-8522　高知県高知市大川筋1-1-16</v>
          </cell>
          <cell r="AA421" t="str">
            <v/>
          </cell>
          <cell r="AB421" t="str">
            <v/>
          </cell>
          <cell r="AC421" t="str">
            <v/>
          </cell>
          <cell r="AD421" t="str">
            <v/>
          </cell>
          <cell r="AE421" t="str">
            <v/>
          </cell>
          <cell r="AF421" t="str">
            <v/>
          </cell>
          <cell r="AG421" t="str">
            <v/>
          </cell>
          <cell r="AH421" t="str">
            <v/>
          </cell>
          <cell r="AI421" t="str">
            <v/>
          </cell>
          <cell r="AJ421" t="str">
            <v/>
          </cell>
          <cell r="AK421" t="str">
            <v/>
          </cell>
          <cell r="AL421" t="str">
            <v/>
          </cell>
          <cell r="AM421" t="str">
            <v/>
          </cell>
          <cell r="AN421" t="str">
            <v/>
          </cell>
          <cell r="AO421" t="str">
            <v/>
          </cell>
          <cell r="AP421" t="str">
            <v/>
          </cell>
          <cell r="AQ421" t="str">
            <v/>
          </cell>
          <cell r="AR421" t="str">
            <v/>
          </cell>
          <cell r="AS421" t="str">
            <v/>
          </cell>
          <cell r="AT421" t="str">
            <v/>
          </cell>
          <cell r="AU421">
            <v>38808</v>
          </cell>
        </row>
        <row r="422">
          <cell r="A422" t="str">
            <v>S16-0419</v>
          </cell>
          <cell r="B422" t="str">
            <v>聖路加国際病院_0419 (2)</v>
          </cell>
          <cell r="C422" t="str">
            <v>SR#</v>
          </cell>
          <cell r="D422" t="str">
            <v>2016/06/14-02</v>
          </cell>
          <cell r="E422" t="str">
            <v>有償</v>
          </cell>
          <cell r="F422">
            <v>42538</v>
          </cell>
          <cell r="G422">
            <v>42538</v>
          </cell>
          <cell r="H422">
            <v>42681</v>
          </cell>
          <cell r="I422" t="str">
            <v>不明</v>
          </cell>
          <cell r="K422" t="str">
            <v>高橋</v>
          </cell>
          <cell r="L422">
            <v>3</v>
          </cell>
          <cell r="M422" t="str">
            <v>S-Nerve</v>
          </cell>
          <cell r="N422" t="str">
            <v>03JHGQ</v>
          </cell>
          <cell r="O422" t="str">
            <v>P12060-05</v>
          </cell>
          <cell r="P422" t="str">
            <v>株式会社イノメディックス　小石川営業所</v>
          </cell>
          <cell r="Q422" t="str">
            <v>岡田様</v>
          </cell>
          <cell r="R422" t="str">
            <v xml:space="preserve">〒112-0002 東京都文京区小石川4-17-15 </v>
          </cell>
          <cell r="S422" t="str">
            <v>03-3814-3644</v>
          </cell>
          <cell r="T422" t="str">
            <v>03-3815-8811</v>
          </cell>
          <cell r="U422" t="str">
            <v>聖路加国際病院</v>
          </cell>
          <cell r="V422" t="str">
            <v>-</v>
          </cell>
          <cell r="W422" t="str">
            <v>-</v>
          </cell>
          <cell r="X422" t="str">
            <v>03-3541-5151</v>
          </cell>
          <cell r="Y422" t="str">
            <v xml:space="preserve"> 〒104-8560　東京都中央区明石町9-1</v>
          </cell>
          <cell r="AA422" t="str">
            <v>P09135-03</v>
          </cell>
          <cell r="AB422" t="str">
            <v>P07753-20</v>
          </cell>
          <cell r="AC422" t="str">
            <v/>
          </cell>
          <cell r="AD422" t="str">
            <v/>
          </cell>
          <cell r="AE422" t="str">
            <v/>
          </cell>
          <cell r="AF422" t="str">
            <v/>
          </cell>
          <cell r="AG422" t="str">
            <v/>
          </cell>
          <cell r="AH422" t="str">
            <v/>
          </cell>
          <cell r="AI422" t="str">
            <v/>
          </cell>
          <cell r="AJ422" t="str">
            <v/>
          </cell>
          <cell r="AK422" t="str">
            <v>SERVICE ASSEMBLY MAIN PCBA, S-SERIES</v>
          </cell>
          <cell r="AL422" t="str">
            <v>BATTERY PACK, 6 CELL, 11.25V, 5.2 AMP-HOUR, LITHIUM-ION, TURBO S</v>
          </cell>
          <cell r="AM422" t="str">
            <v/>
          </cell>
          <cell r="AN422" t="str">
            <v/>
          </cell>
          <cell r="AO422" t="str">
            <v/>
          </cell>
          <cell r="AP422" t="str">
            <v/>
          </cell>
          <cell r="AQ422" t="str">
            <v/>
          </cell>
          <cell r="AR422" t="str">
            <v/>
          </cell>
          <cell r="AS422" t="str">
            <v/>
          </cell>
          <cell r="AT422" t="str">
            <v/>
          </cell>
          <cell r="AU422">
            <v>40330</v>
          </cell>
        </row>
        <row r="423">
          <cell r="A423" t="str">
            <v>S16-0420</v>
          </cell>
          <cell r="B423" t="str">
            <v>埼玉医科大学病院_0420 (2)</v>
          </cell>
          <cell r="C423" t="str">
            <v>SR#不要</v>
          </cell>
          <cell r="D423" t="str">
            <v>2016-06/02-03</v>
          </cell>
          <cell r="E423" t="str">
            <v>有償</v>
          </cell>
          <cell r="F423">
            <v>42538</v>
          </cell>
          <cell r="G423">
            <v>42538</v>
          </cell>
          <cell r="H423">
            <v>42704</v>
          </cell>
          <cell r="I423" t="str">
            <v>不明</v>
          </cell>
          <cell r="K423" t="str">
            <v>-</v>
          </cell>
          <cell r="L423" t="str">
            <v>-</v>
          </cell>
          <cell r="M423" t="str">
            <v>180Plus</v>
          </cell>
          <cell r="N423" t="str">
            <v>034GXV</v>
          </cell>
          <cell r="O423" t="str">
            <v>P04327-03</v>
          </cell>
          <cell r="P423" t="str">
            <v>富士フイルムメディカル株式会社</v>
          </cell>
          <cell r="Q423" t="str">
            <v>青木様</v>
          </cell>
          <cell r="S423" t="str">
            <v>048-645-6001</v>
          </cell>
          <cell r="T423" t="str">
            <v>048-645-6026</v>
          </cell>
          <cell r="U423" t="str">
            <v>埼玉医科大学病院</v>
          </cell>
          <cell r="AA423" t="str">
            <v/>
          </cell>
          <cell r="AB423" t="str">
            <v/>
          </cell>
          <cell r="AC423" t="str">
            <v/>
          </cell>
          <cell r="AD423" t="str">
            <v/>
          </cell>
          <cell r="AE423" t="str">
            <v/>
          </cell>
          <cell r="AF423" t="str">
            <v/>
          </cell>
          <cell r="AG423" t="str">
            <v/>
          </cell>
          <cell r="AH423" t="str">
            <v/>
          </cell>
          <cell r="AI423" t="str">
            <v/>
          </cell>
          <cell r="AJ423" t="str">
            <v/>
          </cell>
          <cell r="AK423" t="str">
            <v/>
          </cell>
          <cell r="AL423" t="str">
            <v/>
          </cell>
          <cell r="AM423" t="str">
            <v/>
          </cell>
          <cell r="AN423" t="str">
            <v/>
          </cell>
          <cell r="AO423" t="str">
            <v/>
          </cell>
          <cell r="AP423" t="str">
            <v/>
          </cell>
          <cell r="AQ423" t="str">
            <v/>
          </cell>
          <cell r="AR423" t="str">
            <v/>
          </cell>
          <cell r="AS423" t="str">
            <v/>
          </cell>
          <cell r="AT423" t="str">
            <v/>
          </cell>
          <cell r="AU423">
            <v>38565</v>
          </cell>
        </row>
        <row r="424">
          <cell r="A424" t="str">
            <v>S16-0421</v>
          </cell>
          <cell r="B424" t="str">
            <v>戸田駅前クリニック_0421 (2)</v>
          </cell>
          <cell r="C424" t="str">
            <v>SR#4233597</v>
          </cell>
          <cell r="D424" t="str">
            <v>2016/05/09-09</v>
          </cell>
          <cell r="E424" t="str">
            <v>有償</v>
          </cell>
          <cell r="F424">
            <v>42541</v>
          </cell>
          <cell r="G424">
            <v>42541</v>
          </cell>
          <cell r="H424">
            <v>42611</v>
          </cell>
          <cell r="I424" t="str">
            <v>不明</v>
          </cell>
          <cell r="K424" t="str">
            <v>高橋</v>
          </cell>
          <cell r="L424">
            <v>3</v>
          </cell>
          <cell r="M424" t="str">
            <v>M-Turbo</v>
          </cell>
          <cell r="N424" t="str">
            <v>03B4BN</v>
          </cell>
          <cell r="O424" t="str">
            <v>P09141-01</v>
          </cell>
          <cell r="P424" t="str">
            <v>富士フイルムメディカル株式会社　埼玉支店</v>
          </cell>
          <cell r="Q424" t="str">
            <v>保永様</v>
          </cell>
          <cell r="R424" t="str">
            <v>〒330-0842　埼玉県さいたま市大宮区浅間町2-240</v>
          </cell>
          <cell r="S424" t="str">
            <v>048-645-6001</v>
          </cell>
          <cell r="T424" t="str">
            <v>048-645-6026</v>
          </cell>
          <cell r="U424" t="str">
            <v>戸田駅前クリニック</v>
          </cell>
          <cell r="V424" t="str">
            <v>-</v>
          </cell>
          <cell r="W424" t="str">
            <v>-</v>
          </cell>
          <cell r="X424" t="str">
            <v>048-434-6325</v>
          </cell>
          <cell r="Y424" t="str">
            <v xml:space="preserve">〒335-0021 埼玉県戸田市大字新曽330-1　グランド静扇2F </v>
          </cell>
          <cell r="AA424" t="str">
            <v>P06973-01</v>
          </cell>
          <cell r="AB424" t="str">
            <v>P00163-01</v>
          </cell>
          <cell r="AC424" t="str">
            <v/>
          </cell>
          <cell r="AD424" t="str">
            <v/>
          </cell>
          <cell r="AE424" t="str">
            <v/>
          </cell>
          <cell r="AF424" t="str">
            <v/>
          </cell>
          <cell r="AG424" t="str">
            <v/>
          </cell>
          <cell r="AH424" t="str">
            <v/>
          </cell>
          <cell r="AI424" t="str">
            <v/>
          </cell>
          <cell r="AJ424" t="str">
            <v/>
          </cell>
          <cell r="AK424" t="str">
            <v>WIRE HARNESS, LCD, LVDS, 8"</v>
          </cell>
          <cell r="AL424" t="str">
            <v>BAT,3V,7MAH,BUTTON,LITH,RECHARG,PCB,ROHS</v>
          </cell>
          <cell r="AM424" t="str">
            <v/>
          </cell>
          <cell r="AN424" t="str">
            <v/>
          </cell>
          <cell r="AO424" t="str">
            <v/>
          </cell>
          <cell r="AP424" t="str">
            <v/>
          </cell>
          <cell r="AQ424" t="str">
            <v/>
          </cell>
          <cell r="AR424" t="str">
            <v/>
          </cell>
          <cell r="AS424" t="str">
            <v/>
          </cell>
          <cell r="AT424" t="str">
            <v/>
          </cell>
          <cell r="AU424">
            <v>39417</v>
          </cell>
        </row>
        <row r="425">
          <cell r="A425" t="str">
            <v>S16-0422</v>
          </cell>
          <cell r="B425" t="str">
            <v>飯塚病院_0422 (2)</v>
          </cell>
          <cell r="C425" t="str">
            <v>SR#不要</v>
          </cell>
          <cell r="D425" t="str">
            <v>-</v>
          </cell>
          <cell r="E425" t="str">
            <v>有償</v>
          </cell>
          <cell r="F425">
            <v>42541</v>
          </cell>
          <cell r="G425">
            <v>42541</v>
          </cell>
          <cell r="H425">
            <v>42622</v>
          </cell>
          <cell r="I425" t="str">
            <v>不明</v>
          </cell>
          <cell r="K425" t="str">
            <v>-</v>
          </cell>
          <cell r="L425" t="str">
            <v>-</v>
          </cell>
          <cell r="M425" t="str">
            <v>180Ⅱ</v>
          </cell>
          <cell r="N425" t="str">
            <v>02069Ｋ</v>
          </cell>
          <cell r="O425" t="str">
            <v>P02456-01</v>
          </cell>
          <cell r="P425" t="str">
            <v>株式会社アステム　メディカル筑豊支店</v>
          </cell>
          <cell r="Q425" t="str">
            <v>田代様</v>
          </cell>
          <cell r="R425" t="str">
            <v xml:space="preserve">〒820-0101　福岡県飯塚市綱分761-19 </v>
          </cell>
          <cell r="S425" t="str">
            <v>0948-82-2021</v>
          </cell>
          <cell r="T425" t="str">
            <v>0948-82-2543</v>
          </cell>
          <cell r="U425" t="str">
            <v>飯塚病院</v>
          </cell>
          <cell r="V425" t="str">
            <v>-</v>
          </cell>
          <cell r="W425" t="str">
            <v>-</v>
          </cell>
          <cell r="X425" t="str">
            <v>0948-22-3800</v>
          </cell>
          <cell r="Y425" t="str">
            <v>〒820-8505　福岡県飯塚市芳雄町3-83</v>
          </cell>
          <cell r="AA425" t="str">
            <v/>
          </cell>
          <cell r="AB425" t="str">
            <v/>
          </cell>
          <cell r="AC425" t="str">
            <v/>
          </cell>
          <cell r="AD425" t="str">
            <v/>
          </cell>
          <cell r="AE425" t="str">
            <v/>
          </cell>
          <cell r="AF425" t="str">
            <v/>
          </cell>
          <cell r="AG425" t="str">
            <v/>
          </cell>
          <cell r="AH425" t="str">
            <v/>
          </cell>
          <cell r="AI425" t="str">
            <v/>
          </cell>
          <cell r="AJ425" t="str">
            <v/>
          </cell>
          <cell r="AK425" t="str">
            <v/>
          </cell>
          <cell r="AL425" t="str">
            <v/>
          </cell>
          <cell r="AM425" t="str">
            <v/>
          </cell>
          <cell r="AN425" t="str">
            <v/>
          </cell>
          <cell r="AO425" t="str">
            <v/>
          </cell>
          <cell r="AP425" t="str">
            <v/>
          </cell>
          <cell r="AQ425" t="str">
            <v/>
          </cell>
          <cell r="AR425" t="str">
            <v/>
          </cell>
          <cell r="AS425" t="str">
            <v/>
          </cell>
          <cell r="AT425" t="str">
            <v/>
          </cell>
          <cell r="AU425">
            <v>37135</v>
          </cell>
        </row>
        <row r="426">
          <cell r="A426" t="str">
            <v>S16-0423</v>
          </cell>
          <cell r="B426" t="str">
            <v>昭島腎クリニック_0423</v>
          </cell>
          <cell r="C426" t="e">
            <v>#REF!</v>
          </cell>
          <cell r="D426" t="e">
            <v>#REF!</v>
          </cell>
          <cell r="E426" t="e">
            <v>#REF!</v>
          </cell>
          <cell r="F426" t="e">
            <v>#REF!</v>
          </cell>
          <cell r="G426" t="e">
            <v>#REF!</v>
          </cell>
          <cell r="H426" t="e">
            <v>#REF!</v>
          </cell>
          <cell r="I426" t="e">
            <v>#REF!</v>
          </cell>
          <cell r="K426" t="e">
            <v>#REF!</v>
          </cell>
          <cell r="M426" t="e">
            <v>#REF!</v>
          </cell>
          <cell r="N426" t="e">
            <v>#REF!</v>
          </cell>
          <cell r="O426" t="e">
            <v>#REF!</v>
          </cell>
          <cell r="P426" t="e">
            <v>#REF!</v>
          </cell>
          <cell r="Q426" t="e">
            <v>#REF!</v>
          </cell>
          <cell r="S426" t="e">
            <v>#REF!</v>
          </cell>
          <cell r="T426" t="e">
            <v>#REF!</v>
          </cell>
          <cell r="U426" t="e">
            <v>#REF!</v>
          </cell>
          <cell r="AA426" t="e">
            <v>#REF!</v>
          </cell>
          <cell r="AB426" t="e">
            <v>#REF!</v>
          </cell>
          <cell r="AC426" t="e">
            <v>#REF!</v>
          </cell>
          <cell r="AD426" t="e">
            <v>#REF!</v>
          </cell>
          <cell r="AE426" t="e">
            <v>#REF!</v>
          </cell>
          <cell r="AF426" t="e">
            <v>#REF!</v>
          </cell>
          <cell r="AG426" t="e">
            <v>#REF!</v>
          </cell>
          <cell r="AH426" t="e">
            <v>#REF!</v>
          </cell>
          <cell r="AI426" t="e">
            <v>#REF!</v>
          </cell>
          <cell r="AJ426" t="e">
            <v>#REF!</v>
          </cell>
          <cell r="AK426" t="e">
            <v>#REF!</v>
          </cell>
          <cell r="AL426" t="e">
            <v>#REF!</v>
          </cell>
          <cell r="AM426" t="e">
            <v>#REF!</v>
          </cell>
          <cell r="AN426" t="e">
            <v>#REF!</v>
          </cell>
          <cell r="AO426" t="e">
            <v>#REF!</v>
          </cell>
          <cell r="AP426" t="e">
            <v>#REF!</v>
          </cell>
          <cell r="AQ426" t="e">
            <v>#REF!</v>
          </cell>
          <cell r="AR426" t="e">
            <v>#REF!</v>
          </cell>
          <cell r="AS426" t="e">
            <v>#REF!</v>
          </cell>
          <cell r="AT426" t="e">
            <v>#REF!</v>
          </cell>
          <cell r="AU426" t="e">
            <v>#REF!</v>
          </cell>
        </row>
        <row r="427">
          <cell r="A427" t="str">
            <v>S16-0424</v>
          </cell>
          <cell r="B427" t="str">
            <v>竹田綜合病院_0424 (2)</v>
          </cell>
          <cell r="C427" t="str">
            <v>SR#</v>
          </cell>
          <cell r="D427" t="str">
            <v>2016/06/02-07</v>
          </cell>
          <cell r="E427" t="str">
            <v>有償</v>
          </cell>
          <cell r="F427">
            <v>42541</v>
          </cell>
          <cell r="G427">
            <v>42541</v>
          </cell>
          <cell r="H427">
            <v>42628</v>
          </cell>
          <cell r="I427" t="str">
            <v>不明</v>
          </cell>
          <cell r="K427" t="str">
            <v>高橋</v>
          </cell>
          <cell r="L427">
            <v>3</v>
          </cell>
          <cell r="M427" t="str">
            <v>TiTAN</v>
          </cell>
          <cell r="N427" t="str">
            <v>03DX23</v>
          </cell>
          <cell r="O427" t="str">
            <v>P06590-03</v>
          </cell>
          <cell r="P427" t="str">
            <v>サンセイ医機株式会社</v>
          </cell>
          <cell r="Q427" t="str">
            <v>田代様</v>
          </cell>
          <cell r="R427" t="str">
            <v>〒965-0064　福島県会津若松市神指町黒川字湯川168</v>
          </cell>
          <cell r="S427" t="str">
            <v>0242-39-6801</v>
          </cell>
          <cell r="T427" t="str">
            <v>0242-39-6802</v>
          </cell>
          <cell r="U427" t="str">
            <v>竹田綜合病院</v>
          </cell>
          <cell r="V427" t="str">
            <v>-</v>
          </cell>
          <cell r="W427" t="str">
            <v>-</v>
          </cell>
          <cell r="X427" t="str">
            <v>0242-27-5511</v>
          </cell>
          <cell r="Y427" t="str">
            <v>〒965-8585　福島県会津若松市山鹿町3-27</v>
          </cell>
          <cell r="AA427" t="str">
            <v>P03861-02</v>
          </cell>
          <cell r="AB427" t="str">
            <v/>
          </cell>
          <cell r="AC427" t="str">
            <v/>
          </cell>
          <cell r="AD427" t="str">
            <v/>
          </cell>
          <cell r="AE427" t="str">
            <v/>
          </cell>
          <cell r="AF427" t="str">
            <v/>
          </cell>
          <cell r="AG427" t="str">
            <v/>
          </cell>
          <cell r="AH427" t="str">
            <v/>
          </cell>
          <cell r="AI427" t="str">
            <v/>
          </cell>
          <cell r="AJ427" t="str">
            <v/>
          </cell>
          <cell r="AK427" t="str">
            <v>SERVICE ASSEMBLY DISPLAY, TITAN</v>
          </cell>
          <cell r="AL427" t="str">
            <v/>
          </cell>
          <cell r="AM427" t="str">
            <v/>
          </cell>
          <cell r="AN427" t="str">
            <v/>
          </cell>
          <cell r="AO427" t="str">
            <v/>
          </cell>
          <cell r="AP427" t="str">
            <v/>
          </cell>
          <cell r="AQ427" t="str">
            <v/>
          </cell>
          <cell r="AR427" t="str">
            <v/>
          </cell>
          <cell r="AS427" t="str">
            <v/>
          </cell>
          <cell r="AT427" t="str">
            <v/>
          </cell>
          <cell r="AU427">
            <v>39845</v>
          </cell>
        </row>
        <row r="428">
          <cell r="A428" t="str">
            <v>S16-0425</v>
          </cell>
          <cell r="B428" t="str">
            <v xml:space="preserve">おかむらクリニック_0425(2) </v>
          </cell>
          <cell r="C428" t="str">
            <v>SR#</v>
          </cell>
          <cell r="D428" t="str">
            <v>2016/06/08-02</v>
          </cell>
          <cell r="E428" t="str">
            <v>無償</v>
          </cell>
          <cell r="F428">
            <v>42542</v>
          </cell>
          <cell r="G428">
            <v>42542</v>
          </cell>
          <cell r="H428">
            <v>42549</v>
          </cell>
          <cell r="I428" t="str">
            <v>不明</v>
          </cell>
          <cell r="K428" t="str">
            <v>高橋</v>
          </cell>
          <cell r="L428">
            <v>3</v>
          </cell>
          <cell r="M428" t="str">
            <v>M-Turbo</v>
          </cell>
          <cell r="N428" t="str">
            <v>WK3GL4</v>
          </cell>
          <cell r="O428" t="str">
            <v>P16693-61</v>
          </cell>
          <cell r="P428" t="str">
            <v>富士フイルムメディカル株式会社</v>
          </cell>
          <cell r="Q428" t="str">
            <v>中原様</v>
          </cell>
          <cell r="R428" t="str">
            <v>〒532-0004　大阪府大阪市淀川区西宮原1-3-5</v>
          </cell>
          <cell r="S428" t="str">
            <v>06-6396-5102</v>
          </cell>
          <cell r="T428" t="str">
            <v>06-6396-5103</v>
          </cell>
          <cell r="U428" t="str">
            <v>おかむらクリニック</v>
          </cell>
          <cell r="V428" t="str">
            <v>-</v>
          </cell>
          <cell r="W428" t="str">
            <v>-</v>
          </cell>
          <cell r="X428" t="str">
            <v>0798-34-2030</v>
          </cell>
          <cell r="Y428" t="str">
            <v>〒662-0912　兵庫県西宮市松原町2-20-101</v>
          </cell>
          <cell r="AA428" t="str">
            <v/>
          </cell>
          <cell r="AB428" t="str">
            <v/>
          </cell>
          <cell r="AC428" t="str">
            <v/>
          </cell>
          <cell r="AD428" t="str">
            <v/>
          </cell>
          <cell r="AE428" t="str">
            <v/>
          </cell>
          <cell r="AF428" t="str">
            <v/>
          </cell>
          <cell r="AG428" t="str">
            <v/>
          </cell>
          <cell r="AH428" t="str">
            <v/>
          </cell>
          <cell r="AI428" t="str">
            <v/>
          </cell>
          <cell r="AJ428" t="str">
            <v/>
          </cell>
          <cell r="AK428" t="str">
            <v/>
          </cell>
          <cell r="AL428" t="str">
            <v/>
          </cell>
          <cell r="AM428" t="str">
            <v/>
          </cell>
          <cell r="AN428" t="str">
            <v/>
          </cell>
          <cell r="AO428" t="str">
            <v/>
          </cell>
          <cell r="AP428" t="str">
            <v/>
          </cell>
          <cell r="AQ428" t="str">
            <v/>
          </cell>
          <cell r="AR428" t="str">
            <v/>
          </cell>
          <cell r="AS428" t="str">
            <v/>
          </cell>
          <cell r="AT428" t="str">
            <v/>
          </cell>
          <cell r="AU428">
            <v>42278</v>
          </cell>
        </row>
        <row r="429">
          <cell r="A429" t="str">
            <v>S16-0426</v>
          </cell>
          <cell r="B429" t="str">
            <v>デモ機KAZ2_0426 (2)</v>
          </cell>
          <cell r="C429" t="str">
            <v>SR#4215675</v>
          </cell>
          <cell r="D429" t="str">
            <v>-</v>
          </cell>
          <cell r="E429" t="str">
            <v>無償</v>
          </cell>
          <cell r="F429">
            <v>42542</v>
          </cell>
          <cell r="G429">
            <v>42542</v>
          </cell>
          <cell r="H429">
            <v>42552</v>
          </cell>
          <cell r="I429" t="str">
            <v>―</v>
          </cell>
          <cell r="K429" t="str">
            <v>梶田</v>
          </cell>
          <cell r="L429">
            <v>3</v>
          </cell>
          <cell r="M429" t="str">
            <v>M-Turbo</v>
          </cell>
          <cell r="N429" t="str">
            <v>03BMYX</v>
          </cell>
          <cell r="O429" t="str">
            <v>P09141-02</v>
          </cell>
          <cell r="P429" t="str">
            <v>富士フイルムメディカル株式会社</v>
          </cell>
          <cell r="Q429" t="str">
            <v>―</v>
          </cell>
          <cell r="S429" t="str">
            <v>03-6418-7190</v>
          </cell>
          <cell r="T429" t="str">
            <v>03-6418-7162</v>
          </cell>
          <cell r="U429" t="str">
            <v>デモ機KAZ2</v>
          </cell>
          <cell r="AA429" t="str">
            <v>P19080-01</v>
          </cell>
          <cell r="AB429" t="str">
            <v>P18035-01</v>
          </cell>
          <cell r="AC429" t="str">
            <v/>
          </cell>
          <cell r="AD429" t="str">
            <v/>
          </cell>
          <cell r="AE429" t="str">
            <v/>
          </cell>
          <cell r="AF429" t="str">
            <v/>
          </cell>
          <cell r="AG429" t="str">
            <v/>
          </cell>
          <cell r="AH429" t="str">
            <v/>
          </cell>
          <cell r="AI429" t="str">
            <v/>
          </cell>
          <cell r="AJ429" t="str">
            <v/>
          </cell>
          <cell r="AK429" t="str">
            <v xml:space="preserve">BRACKET,  DIN CONNECTOR　 </v>
          </cell>
          <cell r="AL429" t="str">
            <v>CONN,RCPT,5 PIN CIRCULAR DIN</v>
          </cell>
          <cell r="AM429" t="str">
            <v/>
          </cell>
          <cell r="AN429" t="str">
            <v/>
          </cell>
          <cell r="AO429" t="str">
            <v/>
          </cell>
          <cell r="AP429" t="str">
            <v/>
          </cell>
          <cell r="AQ429" t="str">
            <v/>
          </cell>
          <cell r="AR429" t="str">
            <v/>
          </cell>
          <cell r="AS429" t="str">
            <v/>
          </cell>
          <cell r="AT429" t="str">
            <v/>
          </cell>
          <cell r="AU429">
            <v>39508</v>
          </cell>
        </row>
        <row r="430">
          <cell r="A430" t="str">
            <v>S16-0427</v>
          </cell>
          <cell r="B430" t="str">
            <v>有川医療センター_0427 (2)</v>
          </cell>
          <cell r="C430" t="str">
            <v>SR#</v>
          </cell>
          <cell r="D430" t="str">
            <v>2016/06/17-03</v>
          </cell>
          <cell r="E430" t="str">
            <v>有償</v>
          </cell>
          <cell r="F430">
            <v>42543</v>
          </cell>
          <cell r="G430">
            <v>42543</v>
          </cell>
          <cell r="H430">
            <v>42629</v>
          </cell>
          <cell r="I430" t="str">
            <v>不明</v>
          </cell>
          <cell r="K430" t="str">
            <v>高橋</v>
          </cell>
          <cell r="L430" t="str">
            <v>-</v>
          </cell>
          <cell r="M430" t="str">
            <v>C60x/5-2</v>
          </cell>
          <cell r="N430" t="str">
            <v>03XWJH</v>
          </cell>
          <cell r="O430" t="str">
            <v>P09149-08</v>
          </cell>
          <cell r="P430" t="str">
            <v>山下医科器械株式会社</v>
          </cell>
          <cell r="Q430" t="str">
            <v>伊東様</v>
          </cell>
          <cell r="R430" t="str">
            <v>〒857-8533 長崎県佐世保市湊町3-13</v>
          </cell>
          <cell r="S430" t="str">
            <v xml:space="preserve">0956-25-2111 </v>
          </cell>
          <cell r="T430" t="str">
            <v>0956-25-2116</v>
          </cell>
          <cell r="U430" t="str">
            <v>有川医療センター</v>
          </cell>
          <cell r="V430" t="str">
            <v>下山様</v>
          </cell>
          <cell r="W430" t="str">
            <v>臨床工学部</v>
          </cell>
          <cell r="X430" t="str">
            <v>0959-42-0320</v>
          </cell>
          <cell r="Y430" t="str">
            <v>〒857-4211　長崎県南松浦郡新上五島町有川郷2255</v>
          </cell>
          <cell r="AA430" t="str">
            <v>P09149-51</v>
          </cell>
          <cell r="AB430" t="str">
            <v/>
          </cell>
          <cell r="AC430" t="str">
            <v/>
          </cell>
          <cell r="AD430" t="str">
            <v/>
          </cell>
          <cell r="AE430" t="str">
            <v/>
          </cell>
          <cell r="AF430" t="str">
            <v/>
          </cell>
          <cell r="AG430" t="str">
            <v/>
          </cell>
          <cell r="AH430" t="str">
            <v/>
          </cell>
          <cell r="AI430" t="str">
            <v/>
          </cell>
          <cell r="AJ430" t="str">
            <v/>
          </cell>
          <cell r="AK430" t="str">
            <v>C60x/5-2 Convex Transducer (M-Turbo, Edge, S)</v>
          </cell>
          <cell r="AL430" t="str">
            <v/>
          </cell>
          <cell r="AM430" t="str">
            <v/>
          </cell>
          <cell r="AN430" t="str">
            <v/>
          </cell>
          <cell r="AO430" t="str">
            <v/>
          </cell>
          <cell r="AP430" t="str">
            <v/>
          </cell>
          <cell r="AQ430" t="str">
            <v/>
          </cell>
          <cell r="AR430" t="str">
            <v/>
          </cell>
          <cell r="AS430" t="str">
            <v/>
          </cell>
          <cell r="AT430" t="str">
            <v/>
          </cell>
          <cell r="AU430">
            <v>41730</v>
          </cell>
        </row>
        <row r="431">
          <cell r="A431" t="str">
            <v>S16-0428</v>
          </cell>
          <cell r="B431" t="str">
            <v>神戸中央市民病院_0428</v>
          </cell>
          <cell r="C431" t="str">
            <v>SR#</v>
          </cell>
          <cell r="D431" t="str">
            <v>-</v>
          </cell>
          <cell r="E431" t="str">
            <v>有償</v>
          </cell>
          <cell r="F431">
            <v>42543</v>
          </cell>
          <cell r="G431">
            <v>42543</v>
          </cell>
          <cell r="H431">
            <v>42565</v>
          </cell>
          <cell r="I431" t="str">
            <v>不明</v>
          </cell>
          <cell r="K431" t="str">
            <v>-</v>
          </cell>
          <cell r="L431" t="str">
            <v>-</v>
          </cell>
          <cell r="M431" t="str">
            <v>180Ⅱ</v>
          </cell>
          <cell r="N431" t="str">
            <v>030HGQ</v>
          </cell>
          <cell r="O431" t="str">
            <v>P02997-01</v>
          </cell>
          <cell r="P431" t="str">
            <v>宮野医療器 株式会社</v>
          </cell>
          <cell r="Q431" t="str">
            <v>松本様</v>
          </cell>
          <cell r="R431" t="str">
            <v>〒650-0047　兵庫県神戸市中央区港島南町4-6-1</v>
          </cell>
          <cell r="S431" t="str">
            <v>078-302-7001</v>
          </cell>
          <cell r="T431" t="str">
            <v>078-302-9302</v>
          </cell>
          <cell r="U431" t="str">
            <v>神戸中央市民病院</v>
          </cell>
          <cell r="AA431" t="str">
            <v/>
          </cell>
          <cell r="AB431" t="str">
            <v/>
          </cell>
          <cell r="AC431" t="str">
            <v/>
          </cell>
          <cell r="AD431" t="str">
            <v/>
          </cell>
          <cell r="AE431" t="str">
            <v/>
          </cell>
          <cell r="AF431" t="str">
            <v/>
          </cell>
          <cell r="AG431" t="str">
            <v/>
          </cell>
          <cell r="AH431" t="str">
            <v/>
          </cell>
          <cell r="AI431" t="str">
            <v/>
          </cell>
          <cell r="AJ431" t="str">
            <v/>
          </cell>
          <cell r="AK431" t="str">
            <v/>
          </cell>
          <cell r="AL431" t="str">
            <v/>
          </cell>
          <cell r="AM431" t="str">
            <v/>
          </cell>
          <cell r="AN431" t="str">
            <v/>
          </cell>
          <cell r="AO431" t="str">
            <v/>
          </cell>
          <cell r="AP431" t="str">
            <v/>
          </cell>
          <cell r="AQ431" t="str">
            <v/>
          </cell>
          <cell r="AR431" t="str">
            <v/>
          </cell>
          <cell r="AS431" t="str">
            <v/>
          </cell>
          <cell r="AT431" t="str">
            <v/>
          </cell>
          <cell r="AU431">
            <v>37500</v>
          </cell>
        </row>
        <row r="432">
          <cell r="A432" t="str">
            <v>S16-0429</v>
          </cell>
          <cell r="B432" t="str">
            <v>横浜市大附属市民総合医療センター_0429 (2)</v>
          </cell>
          <cell r="C432" t="str">
            <v>SR#</v>
          </cell>
          <cell r="D432" t="str">
            <v>2016/06/21-03</v>
          </cell>
          <cell r="E432" t="str">
            <v>無償</v>
          </cell>
          <cell r="F432">
            <v>42544</v>
          </cell>
          <cell r="G432">
            <v>42544</v>
          </cell>
          <cell r="H432">
            <v>42633</v>
          </cell>
          <cell r="I432" t="str">
            <v>不明</v>
          </cell>
          <cell r="K432" t="str">
            <v>高橋</v>
          </cell>
          <cell r="L432">
            <v>3</v>
          </cell>
          <cell r="M432" t="str">
            <v>EDGE</v>
          </cell>
          <cell r="N432" t="str">
            <v>0419MW</v>
          </cell>
          <cell r="O432" t="str">
            <v>P16360-62</v>
          </cell>
          <cell r="P432" t="str">
            <v>富士フイルムメディカル株式会社</v>
          </cell>
          <cell r="Q432" t="str">
            <v>芝滝様</v>
          </cell>
          <cell r="R432" t="str">
            <v>〒222-0033　神奈川県横浜市港北区新横浜2-8-11</v>
          </cell>
          <cell r="S432" t="str">
            <v>045-471-7311</v>
          </cell>
          <cell r="T432" t="str">
            <v>045-472-6321</v>
          </cell>
          <cell r="U432" t="str">
            <v>横浜市大学附属市民総合医療センター</v>
          </cell>
          <cell r="V432" t="str">
            <v>-</v>
          </cell>
          <cell r="W432" t="str">
            <v>-</v>
          </cell>
          <cell r="X432" t="str">
            <v>045-261-5656</v>
          </cell>
          <cell r="Y432" t="str">
            <v>〒232-0024　神奈川県横浜市南区浦舟町4-57</v>
          </cell>
          <cell r="AA432" t="str">
            <v>P13811-51</v>
          </cell>
          <cell r="AB432" t="str">
            <v/>
          </cell>
          <cell r="AC432" t="str">
            <v/>
          </cell>
          <cell r="AD432" t="str">
            <v/>
          </cell>
          <cell r="AE432" t="str">
            <v/>
          </cell>
          <cell r="AF432" t="str">
            <v/>
          </cell>
          <cell r="AG432" t="str">
            <v/>
          </cell>
          <cell r="AH432" t="str">
            <v/>
          </cell>
          <cell r="AI432" t="str">
            <v/>
          </cell>
          <cell r="AJ432" t="str">
            <v/>
          </cell>
          <cell r="AK432" t="str">
            <v>HFL50x/15-6リニアプローブ</v>
          </cell>
          <cell r="AL432" t="str">
            <v/>
          </cell>
          <cell r="AM432" t="str">
            <v/>
          </cell>
          <cell r="AN432" t="str">
            <v/>
          </cell>
          <cell r="AO432" t="str">
            <v/>
          </cell>
          <cell r="AP432" t="str">
            <v/>
          </cell>
          <cell r="AQ432" t="str">
            <v/>
          </cell>
          <cell r="AR432" t="str">
            <v/>
          </cell>
          <cell r="AS432" t="str">
            <v/>
          </cell>
          <cell r="AT432" t="str">
            <v/>
          </cell>
          <cell r="AU432">
            <v>42125</v>
          </cell>
        </row>
        <row r="433">
          <cell r="A433" t="str">
            <v>S16-0430</v>
          </cell>
          <cell r="B433" t="str">
            <v>佐野在宅診療所_0430 (2)</v>
          </cell>
          <cell r="C433" t="str">
            <v>SR#不要</v>
          </cell>
          <cell r="D433" t="str">
            <v>2016/06/20-05</v>
          </cell>
          <cell r="E433" t="str">
            <v>有償</v>
          </cell>
          <cell r="F433">
            <v>42544</v>
          </cell>
          <cell r="G433">
            <v>42544</v>
          </cell>
          <cell r="H433">
            <v>42584</v>
          </cell>
          <cell r="I433" t="str">
            <v>不明</v>
          </cell>
          <cell r="K433" t="str">
            <v>高橋</v>
          </cell>
          <cell r="L433">
            <v>3</v>
          </cell>
          <cell r="M433" t="str">
            <v>UP-897MD</v>
          </cell>
          <cell r="N433" t="str">
            <v>39538</v>
          </cell>
          <cell r="O433" t="str">
            <v>-</v>
          </cell>
          <cell r="P433" t="str">
            <v>サンメディックス株式会社　佐野営業所</v>
          </cell>
          <cell r="Q433" t="str">
            <v>江田様</v>
          </cell>
          <cell r="R433" t="str">
            <v>〒327-0003　栃木県佐野市大橋町1377</v>
          </cell>
          <cell r="S433" t="str">
            <v>0283-21-1007</v>
          </cell>
          <cell r="T433" t="str">
            <v>0283-21-1008</v>
          </cell>
          <cell r="U433" t="str">
            <v>佐野在宅診療所</v>
          </cell>
          <cell r="V433" t="str">
            <v>-</v>
          </cell>
          <cell r="W433" t="str">
            <v>-</v>
          </cell>
          <cell r="X433" t="str">
            <v>0283-21-2688</v>
          </cell>
          <cell r="Y433" t="str">
            <v>〒327-0003 栃木県佐野市大橋町字三ツ橋1997-23</v>
          </cell>
          <cell r="AA433" t="str">
            <v>385773312</v>
          </cell>
          <cell r="AB433" t="str">
            <v>385776202</v>
          </cell>
          <cell r="AC433" t="str">
            <v/>
          </cell>
          <cell r="AD433" t="str">
            <v/>
          </cell>
          <cell r="AE433" t="str">
            <v/>
          </cell>
          <cell r="AF433" t="str">
            <v/>
          </cell>
          <cell r="AG433" t="str">
            <v/>
          </cell>
          <cell r="AH433" t="str">
            <v/>
          </cell>
          <cell r="AI433" t="str">
            <v/>
          </cell>
          <cell r="AJ433" t="str">
            <v/>
          </cell>
          <cell r="AK433" t="str">
            <v>ドアパネル</v>
          </cell>
          <cell r="AL433" t="str">
            <v>プラテンローラ</v>
          </cell>
          <cell r="AM433" t="str">
            <v/>
          </cell>
          <cell r="AN433" t="str">
            <v/>
          </cell>
          <cell r="AO433" t="str">
            <v/>
          </cell>
          <cell r="AP433" t="str">
            <v/>
          </cell>
          <cell r="AQ433" t="str">
            <v/>
          </cell>
          <cell r="AR433" t="str">
            <v/>
          </cell>
          <cell r="AS433" t="str">
            <v/>
          </cell>
          <cell r="AT433" t="str">
            <v/>
          </cell>
          <cell r="AU433" t="str">
            <v>-</v>
          </cell>
        </row>
        <row r="434">
          <cell r="A434" t="str">
            <v>S16-0431</v>
          </cell>
          <cell r="B434" t="str">
            <v>代替機NIM104_0431 (2)</v>
          </cell>
          <cell r="C434" t="str">
            <v>SR#4217591</v>
          </cell>
          <cell r="D434" t="str">
            <v>-</v>
          </cell>
          <cell r="E434" t="str">
            <v>無償</v>
          </cell>
          <cell r="F434">
            <v>42545</v>
          </cell>
          <cell r="G434">
            <v>42545</v>
          </cell>
          <cell r="H434">
            <v>42566</v>
          </cell>
          <cell r="I434" t="str">
            <v>不明</v>
          </cell>
          <cell r="K434" t="str">
            <v>梶田</v>
          </cell>
          <cell r="L434">
            <v>3</v>
          </cell>
          <cell r="M434" t="str">
            <v>M-Turbo</v>
          </cell>
          <cell r="N434" t="str">
            <v>03CDGV</v>
          </cell>
          <cell r="O434" t="str">
            <v>P09141-03</v>
          </cell>
          <cell r="P434" t="str">
            <v>富士フイルムメディカル株式会社</v>
          </cell>
          <cell r="Q434" t="str">
            <v>-</v>
          </cell>
          <cell r="R434" t="str">
            <v>-</v>
          </cell>
          <cell r="S434" t="str">
            <v>03-6418-7190</v>
          </cell>
          <cell r="T434" t="str">
            <v>03-6418-7162</v>
          </cell>
          <cell r="U434" t="str">
            <v>代替機NIM104</v>
          </cell>
          <cell r="V434" t="str">
            <v>-</v>
          </cell>
          <cell r="W434" t="str">
            <v>-</v>
          </cell>
          <cell r="X434" t="str">
            <v>-</v>
          </cell>
          <cell r="Y434" t="str">
            <v>-</v>
          </cell>
          <cell r="AA434" t="str">
            <v>P08850-02</v>
          </cell>
          <cell r="AB434" t="str">
            <v>P19087-02</v>
          </cell>
          <cell r="AD434" t="str">
            <v/>
          </cell>
          <cell r="AE434" t="str">
            <v/>
          </cell>
          <cell r="AF434" t="str">
            <v/>
          </cell>
          <cell r="AG434" t="str">
            <v/>
          </cell>
          <cell r="AH434" t="str">
            <v/>
          </cell>
          <cell r="AI434" t="str">
            <v/>
          </cell>
          <cell r="AJ434" t="str">
            <v/>
          </cell>
          <cell r="AK434" t="str">
            <v>SERVICE ASSEMBLY, POWER SUPPLY, M/S TURBO, EDGE</v>
          </cell>
          <cell r="AL434" t="str">
            <v>MAIN PCBA, M-Turbo</v>
          </cell>
          <cell r="AN434" t="str">
            <v/>
          </cell>
          <cell r="AO434" t="str">
            <v/>
          </cell>
          <cell r="AP434" t="str">
            <v/>
          </cell>
          <cell r="AQ434" t="str">
            <v/>
          </cell>
          <cell r="AR434" t="str">
            <v/>
          </cell>
          <cell r="AS434" t="str">
            <v/>
          </cell>
          <cell r="AT434" t="str">
            <v/>
          </cell>
          <cell r="AU434">
            <v>39569</v>
          </cell>
        </row>
        <row r="435">
          <cell r="A435" t="str">
            <v>S16-0432</v>
          </cell>
          <cell r="B435" t="str">
            <v>大分循環器病院_0432 (2)</v>
          </cell>
          <cell r="C435" t="str">
            <v>SR#</v>
          </cell>
          <cell r="D435" t="str">
            <v>2016/0/20-02</v>
          </cell>
          <cell r="E435" t="str">
            <v>有償</v>
          </cell>
          <cell r="F435">
            <v>42545</v>
          </cell>
          <cell r="G435">
            <v>42545</v>
          </cell>
          <cell r="H435">
            <v>42629</v>
          </cell>
          <cell r="I435">
            <v>41282</v>
          </cell>
          <cell r="K435" t="str">
            <v>高橋</v>
          </cell>
          <cell r="L435" t="str">
            <v>-</v>
          </cell>
          <cell r="M435" t="str">
            <v>P21x/5-1</v>
          </cell>
          <cell r="N435" t="str">
            <v>03RLH1</v>
          </cell>
          <cell r="O435" t="str">
            <v>P09171-06</v>
          </cell>
          <cell r="P435" t="str">
            <v>株式会社アステム ME大分第2支店</v>
          </cell>
          <cell r="Q435" t="str">
            <v>首藤様</v>
          </cell>
          <cell r="R435" t="str">
            <v>〒870-8602　大分県大分市西大道2-3-8</v>
          </cell>
          <cell r="S435" t="str">
            <v>097-543-6788</v>
          </cell>
          <cell r="T435" t="str">
            <v>097-515-3638</v>
          </cell>
          <cell r="U435" t="str">
            <v>大分循環器病院　検査部</v>
          </cell>
          <cell r="V435" t="str">
            <v>梁井様</v>
          </cell>
          <cell r="W435" t="str">
            <v>検査部</v>
          </cell>
          <cell r="X435" t="str">
            <v>097-544-8800</v>
          </cell>
          <cell r="Y435" t="str">
            <v>〒870-0837　大分県大分市大平町4組</v>
          </cell>
          <cell r="AA435" t="str">
            <v>P09171-51</v>
          </cell>
          <cell r="AB435" t="str">
            <v/>
          </cell>
          <cell r="AC435" t="str">
            <v/>
          </cell>
          <cell r="AD435" t="str">
            <v/>
          </cell>
          <cell r="AE435" t="str">
            <v/>
          </cell>
          <cell r="AF435" t="str">
            <v/>
          </cell>
          <cell r="AG435" t="str">
            <v/>
          </cell>
          <cell r="AH435" t="str">
            <v/>
          </cell>
          <cell r="AI435" t="str">
            <v/>
          </cell>
          <cell r="AJ435" t="str">
            <v/>
          </cell>
          <cell r="AK435" t="str">
            <v>P21x/5-1 Phased Array Transducer (M-Turbo, Edge, S)</v>
          </cell>
          <cell r="AL435" t="str">
            <v/>
          </cell>
          <cell r="AM435" t="str">
            <v/>
          </cell>
          <cell r="AN435" t="str">
            <v/>
          </cell>
          <cell r="AO435" t="str">
            <v/>
          </cell>
          <cell r="AP435" t="str">
            <v/>
          </cell>
          <cell r="AQ435" t="str">
            <v/>
          </cell>
          <cell r="AR435" t="str">
            <v/>
          </cell>
          <cell r="AS435" t="str">
            <v/>
          </cell>
          <cell r="AT435" t="str">
            <v/>
          </cell>
          <cell r="AU435">
            <v>41122</v>
          </cell>
        </row>
        <row r="436">
          <cell r="A436" t="str">
            <v>S16-0433</v>
          </cell>
          <cell r="B436" t="str">
            <v>関西医科大学附属病院_0433 (2)</v>
          </cell>
          <cell r="C436" t="str">
            <v>SR#</v>
          </cell>
          <cell r="D436" t="str">
            <v>2016/06/20-07</v>
          </cell>
          <cell r="E436" t="str">
            <v>有償</v>
          </cell>
          <cell r="F436">
            <v>42545</v>
          </cell>
          <cell r="G436">
            <v>42545</v>
          </cell>
          <cell r="H436">
            <v>42689</v>
          </cell>
          <cell r="I436" t="str">
            <v>不明</v>
          </cell>
          <cell r="K436" t="str">
            <v>高橋</v>
          </cell>
          <cell r="L436">
            <v>3</v>
          </cell>
          <cell r="M436" t="str">
            <v>S-Nerve</v>
          </cell>
          <cell r="N436" t="str">
            <v>03H9XY</v>
          </cell>
          <cell r="O436" t="str">
            <v>P12060-04</v>
          </cell>
          <cell r="P436" t="str">
            <v>株式会社城南メディカル</v>
          </cell>
          <cell r="Q436" t="str">
            <v>西田様</v>
          </cell>
          <cell r="R436" t="str">
            <v>〒601-8141 京都府京都市南区上鳥羽卯ノ花48-1</v>
          </cell>
          <cell r="S436" t="str">
            <v>075-691-6700</v>
          </cell>
          <cell r="T436" t="str">
            <v>075-691-1161</v>
          </cell>
          <cell r="U436" t="str">
            <v>関西医科大学附属病院　麻酔科</v>
          </cell>
          <cell r="V436" t="str">
            <v>-</v>
          </cell>
          <cell r="W436" t="str">
            <v>麻酔科</v>
          </cell>
          <cell r="X436" t="str">
            <v>072-804-0101</v>
          </cell>
          <cell r="Y436" t="str">
            <v>〒573-1191　大阪府枚方市新町2-3-1</v>
          </cell>
          <cell r="AA436" t="str">
            <v>P09135-03</v>
          </cell>
          <cell r="AB436" t="str">
            <v/>
          </cell>
          <cell r="AC436" t="str">
            <v/>
          </cell>
          <cell r="AD436" t="str">
            <v/>
          </cell>
          <cell r="AE436" t="str">
            <v/>
          </cell>
          <cell r="AF436" t="str">
            <v/>
          </cell>
          <cell r="AG436" t="str">
            <v/>
          </cell>
          <cell r="AH436" t="str">
            <v/>
          </cell>
          <cell r="AI436" t="str">
            <v/>
          </cell>
          <cell r="AJ436" t="str">
            <v/>
          </cell>
          <cell r="AK436" t="str">
            <v>SERVICE ASSEMBLY MAIN PCBA, S-SERIES</v>
          </cell>
          <cell r="AL436" t="str">
            <v/>
          </cell>
          <cell r="AM436" t="str">
            <v/>
          </cell>
          <cell r="AN436" t="str">
            <v/>
          </cell>
          <cell r="AO436" t="str">
            <v/>
          </cell>
          <cell r="AP436" t="str">
            <v/>
          </cell>
          <cell r="AQ436" t="str">
            <v/>
          </cell>
          <cell r="AR436" t="str">
            <v/>
          </cell>
          <cell r="AS436" t="str">
            <v/>
          </cell>
          <cell r="AT436" t="str">
            <v/>
          </cell>
          <cell r="AU436">
            <v>40118</v>
          </cell>
        </row>
        <row r="437">
          <cell r="A437" t="str">
            <v>S16-0434</v>
          </cell>
          <cell r="B437" t="str">
            <v>山口大学医学部附属病院_0434 (2)</v>
          </cell>
          <cell r="C437" t="str">
            <v>SR#</v>
          </cell>
          <cell r="D437" t="str">
            <v>2016/06/17-02</v>
          </cell>
          <cell r="E437" t="str">
            <v>有償</v>
          </cell>
          <cell r="F437">
            <v>42545</v>
          </cell>
          <cell r="G437">
            <v>42545</v>
          </cell>
          <cell r="H437">
            <v>42570</v>
          </cell>
          <cell r="I437" t="str">
            <v>不明</v>
          </cell>
          <cell r="K437" t="str">
            <v>高橋</v>
          </cell>
          <cell r="L437">
            <v>3</v>
          </cell>
          <cell r="M437" t="str">
            <v>MicroMaxx</v>
          </cell>
          <cell r="N437" t="str">
            <v>035V6G</v>
          </cell>
          <cell r="O437" t="str">
            <v>P05670-03</v>
          </cell>
          <cell r="P437" t="str">
            <v>ティーエスアルフレッサ株式会社 宇部機器試薬支店</v>
          </cell>
          <cell r="Q437" t="str">
            <v>姫宮様</v>
          </cell>
          <cell r="R437" t="str">
            <v>〒759-0204　山口県宇部市大字妻崎開作950-1</v>
          </cell>
          <cell r="S437" t="str">
            <v>0836-41-6212</v>
          </cell>
          <cell r="T437" t="str">
            <v>0836-41-6316</v>
          </cell>
          <cell r="U437" t="str">
            <v>山口大学医学部附属病院　麻酔科</v>
          </cell>
          <cell r="V437" t="str">
            <v>原田様</v>
          </cell>
          <cell r="W437" t="str">
            <v>麻酔科</v>
          </cell>
          <cell r="X437" t="str">
            <v>0836-22-2616</v>
          </cell>
          <cell r="Y437" t="str">
            <v>〒755-8505　山口県宇部市南小串1-1-1</v>
          </cell>
          <cell r="AA437" t="str">
            <v>P05463-01</v>
          </cell>
          <cell r="AB437" t="str">
            <v/>
          </cell>
          <cell r="AC437" t="str">
            <v/>
          </cell>
          <cell r="AD437" t="str">
            <v/>
          </cell>
          <cell r="AE437" t="str">
            <v/>
          </cell>
          <cell r="AF437" t="str">
            <v/>
          </cell>
          <cell r="AG437" t="str">
            <v/>
          </cell>
          <cell r="AH437" t="str">
            <v/>
          </cell>
          <cell r="AI437" t="str">
            <v/>
          </cell>
          <cell r="AJ437" t="str">
            <v/>
          </cell>
          <cell r="AK437" t="str">
            <v>SERVICE ASSEMBLY DISPLAY, MICROMAXX</v>
          </cell>
          <cell r="AL437" t="str">
            <v/>
          </cell>
          <cell r="AM437" t="str">
            <v/>
          </cell>
          <cell r="AN437" t="str">
            <v/>
          </cell>
          <cell r="AO437" t="str">
            <v/>
          </cell>
          <cell r="AP437" t="str">
            <v/>
          </cell>
          <cell r="AQ437" t="str">
            <v/>
          </cell>
          <cell r="AR437" t="str">
            <v/>
          </cell>
          <cell r="AS437" t="str">
            <v/>
          </cell>
          <cell r="AT437" t="str">
            <v/>
          </cell>
          <cell r="AU437">
            <v>38808</v>
          </cell>
        </row>
        <row r="438">
          <cell r="A438" t="str">
            <v>S16-0435</v>
          </cell>
          <cell r="B438" t="str">
            <v>第一東和会病院_0435 (2)</v>
          </cell>
          <cell r="C438" t="str">
            <v>SR#</v>
          </cell>
          <cell r="D438" t="str">
            <v>-</v>
          </cell>
          <cell r="E438" t="str">
            <v>無償</v>
          </cell>
          <cell r="F438">
            <v>42545</v>
          </cell>
          <cell r="G438">
            <v>42545</v>
          </cell>
          <cell r="H438">
            <v>42549</v>
          </cell>
          <cell r="I438" t="str">
            <v>不明</v>
          </cell>
          <cell r="K438" t="str">
            <v>高橋</v>
          </cell>
          <cell r="L438">
            <v>5</v>
          </cell>
          <cell r="M438" t="str">
            <v>M-Turbo</v>
          </cell>
          <cell r="N438" t="str">
            <v>WK21JN</v>
          </cell>
          <cell r="O438" t="str">
            <v>P16693-02</v>
          </cell>
          <cell r="P438" t="str">
            <v>石黒メディカルシステム株式会社　大阪支店</v>
          </cell>
          <cell r="Q438" t="str">
            <v>大橋様</v>
          </cell>
          <cell r="R438" t="str">
            <v>〒569-1145　大阪府高槻市富田丘町9-5</v>
          </cell>
          <cell r="S438" t="str">
            <v>072-696-1496</v>
          </cell>
          <cell r="T438" t="str">
            <v>072-696-1961</v>
          </cell>
          <cell r="U438" t="str">
            <v>第一東和会病院</v>
          </cell>
          <cell r="V438" t="str">
            <v>-</v>
          </cell>
          <cell r="W438" t="str">
            <v>-</v>
          </cell>
          <cell r="X438" t="str">
            <v>072-671-1008</v>
          </cell>
          <cell r="Y438" t="str">
            <v>〒569-0081 大阪府高槻市宮野町2-17</v>
          </cell>
          <cell r="AA438" t="str">
            <v/>
          </cell>
          <cell r="AB438" t="str">
            <v/>
          </cell>
          <cell r="AC438" t="str">
            <v/>
          </cell>
          <cell r="AD438" t="str">
            <v/>
          </cell>
          <cell r="AE438" t="str">
            <v/>
          </cell>
          <cell r="AF438" t="str">
            <v/>
          </cell>
          <cell r="AG438" t="str">
            <v/>
          </cell>
          <cell r="AH438" t="str">
            <v/>
          </cell>
          <cell r="AI438" t="str">
            <v/>
          </cell>
          <cell r="AJ438" t="str">
            <v/>
          </cell>
          <cell r="AK438" t="str">
            <v/>
          </cell>
          <cell r="AL438" t="str">
            <v/>
          </cell>
          <cell r="AM438" t="str">
            <v/>
          </cell>
          <cell r="AN438" t="str">
            <v/>
          </cell>
          <cell r="AO438" t="str">
            <v/>
          </cell>
          <cell r="AP438" t="str">
            <v/>
          </cell>
          <cell r="AQ438" t="str">
            <v/>
          </cell>
          <cell r="AR438" t="str">
            <v/>
          </cell>
          <cell r="AS438" t="str">
            <v/>
          </cell>
          <cell r="AT438" t="str">
            <v/>
          </cell>
          <cell r="AU438">
            <v>41579</v>
          </cell>
        </row>
        <row r="439">
          <cell r="A439" t="str">
            <v>S16-0436</v>
          </cell>
          <cell r="B439" t="str">
            <v>近畿大学医学部附属病院_0436</v>
          </cell>
          <cell r="C439" t="e">
            <v>#REF!</v>
          </cell>
          <cell r="D439" t="e">
            <v>#REF!</v>
          </cell>
          <cell r="E439" t="e">
            <v>#REF!</v>
          </cell>
          <cell r="F439" t="e">
            <v>#REF!</v>
          </cell>
          <cell r="G439" t="e">
            <v>#REF!</v>
          </cell>
          <cell r="H439" t="e">
            <v>#REF!</v>
          </cell>
          <cell r="I439" t="e">
            <v>#REF!</v>
          </cell>
          <cell r="K439" t="e">
            <v>#REF!</v>
          </cell>
          <cell r="M439" t="e">
            <v>#REF!</v>
          </cell>
          <cell r="N439" t="e">
            <v>#REF!</v>
          </cell>
          <cell r="O439" t="e">
            <v>#REF!</v>
          </cell>
          <cell r="P439" t="e">
            <v>#REF!</v>
          </cell>
          <cell r="Q439" t="e">
            <v>#REF!</v>
          </cell>
          <cell r="S439" t="e">
            <v>#REF!</v>
          </cell>
          <cell r="T439" t="e">
            <v>#REF!</v>
          </cell>
          <cell r="U439" t="e">
            <v>#REF!</v>
          </cell>
          <cell r="AA439" t="e">
            <v>#REF!</v>
          </cell>
          <cell r="AB439" t="e">
            <v>#REF!</v>
          </cell>
          <cell r="AC439" t="e">
            <v>#REF!</v>
          </cell>
          <cell r="AD439" t="e">
            <v>#REF!</v>
          </cell>
          <cell r="AE439" t="e">
            <v>#REF!</v>
          </cell>
          <cell r="AF439" t="e">
            <v>#REF!</v>
          </cell>
          <cell r="AG439" t="e">
            <v>#REF!</v>
          </cell>
          <cell r="AH439" t="e">
            <v>#REF!</v>
          </cell>
          <cell r="AI439" t="e">
            <v>#REF!</v>
          </cell>
          <cell r="AJ439" t="e">
            <v>#REF!</v>
          </cell>
          <cell r="AK439" t="e">
            <v>#REF!</v>
          </cell>
          <cell r="AL439" t="e">
            <v>#REF!</v>
          </cell>
          <cell r="AM439" t="e">
            <v>#REF!</v>
          </cell>
          <cell r="AN439" t="e">
            <v>#REF!</v>
          </cell>
          <cell r="AO439" t="e">
            <v>#REF!</v>
          </cell>
          <cell r="AP439" t="e">
            <v>#REF!</v>
          </cell>
          <cell r="AQ439" t="e">
            <v>#REF!</v>
          </cell>
          <cell r="AR439" t="e">
            <v>#REF!</v>
          </cell>
          <cell r="AS439" t="e">
            <v>#REF!</v>
          </cell>
          <cell r="AT439" t="e">
            <v>#REF!</v>
          </cell>
          <cell r="AU439" t="e">
            <v>#REF!</v>
          </cell>
        </row>
        <row r="440">
          <cell r="A440" t="str">
            <v>S16-0437</v>
          </cell>
          <cell r="B440" t="str">
            <v>大分赤十字病院_0437 (2)</v>
          </cell>
          <cell r="C440" t="str">
            <v>SR#</v>
          </cell>
          <cell r="D440" t="str">
            <v>2016/05/20-05</v>
          </cell>
          <cell r="E440" t="str">
            <v>有償</v>
          </cell>
          <cell r="F440">
            <v>42548</v>
          </cell>
          <cell r="G440">
            <v>42548</v>
          </cell>
          <cell r="H440">
            <v>42634</v>
          </cell>
          <cell r="I440" t="str">
            <v>不明</v>
          </cell>
          <cell r="K440" t="str">
            <v>高橋</v>
          </cell>
          <cell r="L440" t="str">
            <v>-</v>
          </cell>
          <cell r="M440" t="str">
            <v>C60e/5-2</v>
          </cell>
          <cell r="N440" t="str">
            <v>03G7TH</v>
          </cell>
          <cell r="O440" t="str">
            <v>P05675-09</v>
          </cell>
          <cell r="P440" t="str">
            <v>株式会社アステム　ME大分支店</v>
          </cell>
          <cell r="Q440" t="str">
            <v>中島様</v>
          </cell>
          <cell r="R440" t="str">
            <v>〒870-8602　大分県大分市西大道2-3-62</v>
          </cell>
          <cell r="S440" t="str">
            <v>097-543-6221</v>
          </cell>
          <cell r="T440" t="str">
            <v>097-545-3638</v>
          </cell>
          <cell r="U440" t="str">
            <v>大分赤十字病院　東6病棟</v>
          </cell>
          <cell r="V440" t="str">
            <v>向 哲男様</v>
          </cell>
          <cell r="W440" t="str">
            <v>東6病棟</v>
          </cell>
          <cell r="X440" t="str">
            <v>097-532-6181</v>
          </cell>
          <cell r="Y440" t="str">
            <v>〒870-0033　大分県大分市千代町3丁目2-37</v>
          </cell>
          <cell r="AA440" t="str">
            <v>P05675-50</v>
          </cell>
          <cell r="AB440" t="str">
            <v/>
          </cell>
          <cell r="AC440" t="str">
            <v/>
          </cell>
          <cell r="AD440" t="str">
            <v/>
          </cell>
          <cell r="AE440" t="str">
            <v/>
          </cell>
          <cell r="AF440" t="str">
            <v/>
          </cell>
          <cell r="AG440" t="str">
            <v/>
          </cell>
          <cell r="AH440" t="str">
            <v/>
          </cell>
          <cell r="AI440" t="str">
            <v/>
          </cell>
          <cell r="AJ440" t="str">
            <v/>
          </cell>
          <cell r="AK440" t="str">
            <v>C60e/5-2 Convex Transducer (MicroMaxx)</v>
          </cell>
          <cell r="AL440" t="str">
            <v/>
          </cell>
          <cell r="AM440" t="str">
            <v/>
          </cell>
          <cell r="AN440" t="str">
            <v/>
          </cell>
          <cell r="AO440" t="str">
            <v/>
          </cell>
          <cell r="AP440" t="str">
            <v/>
          </cell>
          <cell r="AQ440" t="str">
            <v/>
          </cell>
          <cell r="AR440" t="str">
            <v/>
          </cell>
          <cell r="AS440" t="str">
            <v/>
          </cell>
          <cell r="AT440" t="str">
            <v/>
          </cell>
          <cell r="AU440">
            <v>39934</v>
          </cell>
        </row>
        <row r="441">
          <cell r="A441" t="str">
            <v>S16-0438</v>
          </cell>
          <cell r="B441" t="str">
            <v>獨協医科大学越谷病院_0438 (2)</v>
          </cell>
          <cell r="C441" t="str">
            <v>SR#4230111</v>
          </cell>
          <cell r="D441" t="str">
            <v>2016/05/24-05</v>
          </cell>
          <cell r="E441" t="str">
            <v>有償</v>
          </cell>
          <cell r="F441">
            <v>42548</v>
          </cell>
          <cell r="G441">
            <v>42548</v>
          </cell>
          <cell r="H441">
            <v>42584</v>
          </cell>
          <cell r="I441" t="str">
            <v>不明</v>
          </cell>
          <cell r="K441" t="str">
            <v>高橋</v>
          </cell>
          <cell r="L441">
            <v>3</v>
          </cell>
          <cell r="M441" t="str">
            <v>MicroMaxx</v>
          </cell>
          <cell r="N441" t="str">
            <v>038K7N</v>
          </cell>
          <cell r="O441" t="str">
            <v>P08063-01</v>
          </cell>
          <cell r="P441" t="str">
            <v>株式会社栗原医療器械店　さいたま支店</v>
          </cell>
          <cell r="Q441" t="str">
            <v>木村様</v>
          </cell>
          <cell r="R441" t="str">
            <v>〒337-0051 埼玉県さいたま市見沼区東大宮6-3-3</v>
          </cell>
          <cell r="S441" t="str">
            <v>048-687-5210</v>
          </cell>
          <cell r="T441" t="str">
            <v>048-687-5259</v>
          </cell>
          <cell r="U441" t="str">
            <v>獨協医科大学越谷病院</v>
          </cell>
          <cell r="V441" t="str">
            <v>-</v>
          </cell>
          <cell r="W441" t="str">
            <v>-</v>
          </cell>
          <cell r="X441" t="str">
            <v>048-965-1111</v>
          </cell>
          <cell r="Y441" t="str">
            <v>〒343-8555　埼玉県越谷市南越谷2-1-50</v>
          </cell>
          <cell r="AA441" t="str">
            <v>P05463-01</v>
          </cell>
          <cell r="AB441" t="str">
            <v>P07168-20</v>
          </cell>
          <cell r="AC441" t="str">
            <v/>
          </cell>
          <cell r="AD441" t="str">
            <v/>
          </cell>
          <cell r="AE441" t="str">
            <v/>
          </cell>
          <cell r="AF441" t="str">
            <v/>
          </cell>
          <cell r="AG441" t="str">
            <v/>
          </cell>
          <cell r="AH441" t="str">
            <v/>
          </cell>
          <cell r="AI441" t="str">
            <v/>
          </cell>
          <cell r="AJ441" t="str">
            <v/>
          </cell>
          <cell r="AK441" t="str">
            <v>SERVICE ASSEMBLY DISPLAY, MICROMAXX</v>
          </cell>
          <cell r="AL441" t="str">
            <v>BATTERY PACK, 6 CELL, 11.25V, 5.2AMP-HOUR, LITHIUM-ION</v>
          </cell>
          <cell r="AM441" t="str">
            <v/>
          </cell>
          <cell r="AN441" t="str">
            <v/>
          </cell>
          <cell r="AO441" t="str">
            <v/>
          </cell>
          <cell r="AP441" t="str">
            <v/>
          </cell>
          <cell r="AQ441" t="str">
            <v/>
          </cell>
          <cell r="AR441" t="str">
            <v/>
          </cell>
          <cell r="AS441" t="str">
            <v/>
          </cell>
          <cell r="AT441" t="str">
            <v/>
          </cell>
          <cell r="AU441">
            <v>39203</v>
          </cell>
        </row>
        <row r="442">
          <cell r="A442" t="str">
            <v>S16-0439</v>
          </cell>
          <cell r="B442" t="str">
            <v>上天草市立天草総合病院_0439 (2)</v>
          </cell>
          <cell r="C442" t="str">
            <v>SR#不要</v>
          </cell>
          <cell r="D442" t="str">
            <v>2016/06/07-02</v>
          </cell>
          <cell r="E442" t="str">
            <v>有償</v>
          </cell>
          <cell r="F442">
            <v>42548</v>
          </cell>
          <cell r="G442">
            <v>42548</v>
          </cell>
          <cell r="H442">
            <v>42598</v>
          </cell>
          <cell r="I442" t="str">
            <v>不明</v>
          </cell>
          <cell r="K442" t="str">
            <v>高橋</v>
          </cell>
          <cell r="L442">
            <v>3</v>
          </cell>
          <cell r="M442" t="str">
            <v>TiTAN</v>
          </cell>
          <cell r="N442" t="str">
            <v>0352DD</v>
          </cell>
          <cell r="O442" t="str">
            <v>P04338-04</v>
          </cell>
          <cell r="P442" t="str">
            <v>アイティーアイ株式会社天草営業所</v>
          </cell>
          <cell r="Q442" t="str">
            <v>河野様</v>
          </cell>
          <cell r="R442" t="str">
            <v>〒863-0014　熊本県天草市東浜町7番9号</v>
          </cell>
          <cell r="S442" t="str">
            <v>0969-23-2061</v>
          </cell>
          <cell r="T442" t="str">
            <v>0969-23-2062</v>
          </cell>
          <cell r="U442" t="str">
            <v>上天草病院</v>
          </cell>
          <cell r="V442" t="str">
            <v>-</v>
          </cell>
          <cell r="W442" t="str">
            <v>-</v>
          </cell>
          <cell r="X442" t="str">
            <v>0969-62-1122</v>
          </cell>
          <cell r="Y442" t="str">
            <v>〒866-0293　熊本県上天草市龍ヶ岳町高戸1419-19</v>
          </cell>
          <cell r="AA442" t="str">
            <v>P12165</v>
          </cell>
          <cell r="AB442" t="str">
            <v/>
          </cell>
          <cell r="AC442" t="str">
            <v/>
          </cell>
          <cell r="AD442" t="str">
            <v/>
          </cell>
          <cell r="AE442" t="str">
            <v/>
          </cell>
          <cell r="AF442" t="str">
            <v/>
          </cell>
          <cell r="AG442" t="str">
            <v/>
          </cell>
          <cell r="AH442" t="str">
            <v/>
          </cell>
          <cell r="AI442" t="str">
            <v/>
          </cell>
          <cell r="AJ442" t="str">
            <v/>
          </cell>
          <cell r="AK442" t="str">
            <v>SERVICE ASSEMBLY, MDS(E) DVI MINIDOCK</v>
          </cell>
          <cell r="AL442" t="str">
            <v/>
          </cell>
          <cell r="AM442" t="str">
            <v/>
          </cell>
          <cell r="AN442" t="str">
            <v/>
          </cell>
          <cell r="AO442" t="str">
            <v/>
          </cell>
          <cell r="AP442" t="str">
            <v/>
          </cell>
          <cell r="AQ442" t="str">
            <v/>
          </cell>
          <cell r="AR442" t="str">
            <v/>
          </cell>
          <cell r="AS442" t="str">
            <v/>
          </cell>
          <cell r="AT442" t="str">
            <v/>
          </cell>
          <cell r="AU442">
            <v>38626</v>
          </cell>
        </row>
        <row r="443">
          <cell r="A443" t="str">
            <v>S16-0440</v>
          </cell>
          <cell r="B443" t="str">
            <v>代替機FST5_0440 (2)</v>
          </cell>
          <cell r="C443" t="str">
            <v>SR#4217593</v>
          </cell>
          <cell r="D443" t="str">
            <v>-</v>
          </cell>
          <cell r="E443" t="str">
            <v>無償</v>
          </cell>
          <cell r="F443">
            <v>42549</v>
          </cell>
          <cell r="G443">
            <v>42549</v>
          </cell>
          <cell r="H443">
            <v>42613</v>
          </cell>
          <cell r="I443" t="str">
            <v>―</v>
          </cell>
          <cell r="K443" t="str">
            <v>梶田</v>
          </cell>
          <cell r="L443">
            <v>3</v>
          </cell>
          <cell r="M443" t="str">
            <v>S-Nerve</v>
          </cell>
          <cell r="N443" t="str">
            <v>03X636</v>
          </cell>
          <cell r="O443" t="str">
            <v>P12060-11</v>
          </cell>
          <cell r="P443" t="str">
            <v>富士フイルムメディカル株式会社</v>
          </cell>
          <cell r="Q443" t="str">
            <v>―</v>
          </cell>
          <cell r="R443" t="str">
            <v>-</v>
          </cell>
          <cell r="S443" t="str">
            <v>03-6418-7190</v>
          </cell>
          <cell r="T443" t="str">
            <v>03-6418-7162</v>
          </cell>
          <cell r="U443" t="str">
            <v>代替機FST5</v>
          </cell>
          <cell r="V443" t="str">
            <v>-</v>
          </cell>
          <cell r="W443" t="str">
            <v>-</v>
          </cell>
          <cell r="X443" t="str">
            <v>-</v>
          </cell>
          <cell r="Y443" t="str">
            <v>-</v>
          </cell>
          <cell r="AA443" t="str">
            <v>P09135-03</v>
          </cell>
          <cell r="AB443" t="str">
            <v>P07753-20</v>
          </cell>
          <cell r="AC443" t="str">
            <v/>
          </cell>
          <cell r="AD443" t="str">
            <v/>
          </cell>
          <cell r="AE443" t="str">
            <v/>
          </cell>
          <cell r="AF443" t="str">
            <v/>
          </cell>
          <cell r="AG443" t="str">
            <v/>
          </cell>
          <cell r="AH443" t="str">
            <v/>
          </cell>
          <cell r="AI443" t="str">
            <v/>
          </cell>
          <cell r="AJ443" t="str">
            <v/>
          </cell>
          <cell r="AK443" t="str">
            <v>SERVICE ASSEMBLY MAIN PCBA, S-SERIES</v>
          </cell>
          <cell r="AL443" t="str">
            <v>BATTERY PACK, 6 CELL, 11.25V, 5.2 AMP-HOUR, LITHIUM-ION, TURBO S</v>
          </cell>
          <cell r="AM443" t="str">
            <v/>
          </cell>
          <cell r="AN443" t="str">
            <v/>
          </cell>
          <cell r="AO443" t="str">
            <v/>
          </cell>
          <cell r="AP443" t="str">
            <v/>
          </cell>
          <cell r="AQ443" t="str">
            <v/>
          </cell>
          <cell r="AR443" t="str">
            <v/>
          </cell>
          <cell r="AS443" t="str">
            <v/>
          </cell>
          <cell r="AT443" t="str">
            <v/>
          </cell>
          <cell r="AU443">
            <v>41640</v>
          </cell>
        </row>
        <row r="444">
          <cell r="A444" t="str">
            <v>S16-0441</v>
          </cell>
          <cell r="B444" t="str">
            <v>岐阜市民病院_0441 (2)</v>
          </cell>
          <cell r="C444" t="str">
            <v>SR#不要</v>
          </cell>
          <cell r="D444" t="str">
            <v>2016/04/06-05</v>
          </cell>
          <cell r="E444" t="str">
            <v>有償</v>
          </cell>
          <cell r="F444">
            <v>42549</v>
          </cell>
          <cell r="G444">
            <v>42549</v>
          </cell>
          <cell r="H444">
            <v>42689</v>
          </cell>
          <cell r="I444" t="str">
            <v>不明</v>
          </cell>
          <cell r="K444">
            <v>0</v>
          </cell>
          <cell r="M444" t="str">
            <v>C60x/5-2</v>
          </cell>
          <cell r="N444" t="str">
            <v>03W86X</v>
          </cell>
          <cell r="O444" t="str">
            <v>P09149-08</v>
          </cell>
          <cell r="P444" t="str">
            <v>富士フイルムメディカル株式会社</v>
          </cell>
          <cell r="Q444" t="str">
            <v>藤吉様</v>
          </cell>
          <cell r="R444" t="str">
            <v>〒920-0919　石川県金沢市南町4-55　WAKITA金沢ビル2F</v>
          </cell>
          <cell r="S444" t="str">
            <v>076-223-1722</v>
          </cell>
          <cell r="T444" t="str">
            <v>076-223-3179</v>
          </cell>
          <cell r="U444" t="str">
            <v>岐阜市民病院</v>
          </cell>
          <cell r="V444" t="str">
            <v>-</v>
          </cell>
          <cell r="W444" t="str">
            <v>-</v>
          </cell>
          <cell r="X444" t="str">
            <v>058-251-1101</v>
          </cell>
          <cell r="Y444" t="str">
            <v>〒500-8513　岐阜県岐阜市鹿島町7丁目1番地</v>
          </cell>
          <cell r="AA444" t="str">
            <v/>
          </cell>
          <cell r="AB444" t="str">
            <v/>
          </cell>
          <cell r="AC444" t="str">
            <v/>
          </cell>
          <cell r="AD444" t="str">
            <v/>
          </cell>
          <cell r="AE444" t="str">
            <v/>
          </cell>
          <cell r="AF444" t="str">
            <v/>
          </cell>
          <cell r="AG444" t="str">
            <v/>
          </cell>
          <cell r="AH444" t="str">
            <v/>
          </cell>
          <cell r="AI444" t="str">
            <v/>
          </cell>
          <cell r="AJ444" t="str">
            <v/>
          </cell>
          <cell r="AK444" t="str">
            <v/>
          </cell>
          <cell r="AL444" t="str">
            <v/>
          </cell>
          <cell r="AM444" t="str">
            <v/>
          </cell>
          <cell r="AN444" t="str">
            <v/>
          </cell>
          <cell r="AO444" t="str">
            <v/>
          </cell>
          <cell r="AP444" t="str">
            <v/>
          </cell>
          <cell r="AQ444" t="str">
            <v/>
          </cell>
          <cell r="AR444" t="str">
            <v/>
          </cell>
          <cell r="AS444" t="str">
            <v/>
          </cell>
          <cell r="AT444" t="str">
            <v/>
          </cell>
          <cell r="AU444">
            <v>41548</v>
          </cell>
        </row>
        <row r="445">
          <cell r="A445" t="str">
            <v>S16-0442</v>
          </cell>
          <cell r="B445" t="str">
            <v>昭島腎クリニック_0442 (2)</v>
          </cell>
          <cell r="C445" t="str">
            <v>SR#4220351</v>
          </cell>
          <cell r="D445" t="str">
            <v>2016/06/22-05</v>
          </cell>
          <cell r="E445" t="str">
            <v>無償</v>
          </cell>
          <cell r="F445">
            <v>42549</v>
          </cell>
          <cell r="G445">
            <v>42549</v>
          </cell>
          <cell r="H445">
            <v>42676</v>
          </cell>
          <cell r="I445" t="str">
            <v>不明</v>
          </cell>
          <cell r="K445" t="str">
            <v>高橋</v>
          </cell>
          <cell r="L445">
            <v>3</v>
          </cell>
          <cell r="M445" t="str">
            <v>MicroMaxx</v>
          </cell>
          <cell r="N445" t="str">
            <v>WK0G0B</v>
          </cell>
          <cell r="O445" t="str">
            <v>P08063-06</v>
          </cell>
          <cell r="P445" t="str">
            <v>フクダ電子東京西販売株式会社</v>
          </cell>
          <cell r="Q445" t="str">
            <v>平沼様</v>
          </cell>
          <cell r="R445" t="str">
            <v>〒190-0011　東京都立川市高松町1-23-17</v>
          </cell>
          <cell r="S445" t="str">
            <v xml:space="preserve">042-525-3578 </v>
          </cell>
          <cell r="T445" t="str">
            <v>042-527-7262</v>
          </cell>
          <cell r="U445" t="str">
            <v>昭島腎クリニック</v>
          </cell>
          <cell r="V445" t="str">
            <v>-</v>
          </cell>
          <cell r="W445" t="str">
            <v>-</v>
          </cell>
          <cell r="X445" t="str">
            <v>042-546-8581</v>
          </cell>
          <cell r="Y445" t="str">
            <v>〒196-0003 東京都昭島市松原町4丁目7-3</v>
          </cell>
          <cell r="AA445" t="str">
            <v>P07418-02</v>
          </cell>
          <cell r="AB445" t="str">
            <v/>
          </cell>
          <cell r="AC445" t="str">
            <v/>
          </cell>
          <cell r="AD445" t="str">
            <v/>
          </cell>
          <cell r="AE445" t="str">
            <v/>
          </cell>
          <cell r="AF445" t="str">
            <v/>
          </cell>
          <cell r="AG445" t="str">
            <v/>
          </cell>
          <cell r="AH445" t="str">
            <v/>
          </cell>
          <cell r="AI445" t="str">
            <v/>
          </cell>
          <cell r="AJ445" t="str">
            <v/>
          </cell>
          <cell r="AK445" t="str">
            <v>SERVICE ASSEMBLY MAIN PCBA, D2, MICROMAXX</v>
          </cell>
          <cell r="AL445" t="str">
            <v/>
          </cell>
          <cell r="AM445" t="str">
            <v/>
          </cell>
          <cell r="AN445" t="str">
            <v/>
          </cell>
          <cell r="AO445" t="str">
            <v/>
          </cell>
          <cell r="AP445" t="str">
            <v/>
          </cell>
          <cell r="AQ445" t="str">
            <v/>
          </cell>
          <cell r="AR445" t="str">
            <v/>
          </cell>
          <cell r="AS445" t="str">
            <v/>
          </cell>
          <cell r="AT445" t="str">
            <v/>
          </cell>
          <cell r="AU445">
            <v>40756</v>
          </cell>
        </row>
        <row r="446">
          <cell r="A446" t="str">
            <v>S16-0443</v>
          </cell>
          <cell r="B446" t="str">
            <v>代替機NIM21_0443 (2)</v>
          </cell>
          <cell r="C446" t="str">
            <v>SR#4217595</v>
          </cell>
          <cell r="D446" t="str">
            <v>-</v>
          </cell>
          <cell r="E446" t="str">
            <v>無償</v>
          </cell>
          <cell r="F446">
            <v>42550</v>
          </cell>
          <cell r="G446">
            <v>42550</v>
          </cell>
          <cell r="H446">
            <v>42625</v>
          </cell>
          <cell r="I446" t="str">
            <v>-</v>
          </cell>
          <cell r="K446" t="str">
            <v>-</v>
          </cell>
          <cell r="L446" t="str">
            <v>-</v>
          </cell>
          <cell r="M446" t="str">
            <v>180Plus</v>
          </cell>
          <cell r="N446" t="str">
            <v>032Y2W</v>
          </cell>
          <cell r="O446" t="str">
            <v>P04326-03</v>
          </cell>
          <cell r="P446" t="str">
            <v>富士フイルムメディカル株式会社</v>
          </cell>
          <cell r="Q446" t="str">
            <v>テクニカルサポート</v>
          </cell>
          <cell r="R446" t="str">
            <v>-</v>
          </cell>
          <cell r="S446" t="str">
            <v>03-6418-7190</v>
          </cell>
          <cell r="T446" t="str">
            <v>03-6418-7162</v>
          </cell>
          <cell r="U446" t="str">
            <v>代替機NIM21</v>
          </cell>
          <cell r="AA446" t="str">
            <v>P00104-02</v>
          </cell>
          <cell r="AB446" t="str">
            <v>P00340-02</v>
          </cell>
          <cell r="AC446" t="str">
            <v>P00343-01</v>
          </cell>
          <cell r="AD446" t="str">
            <v/>
          </cell>
          <cell r="AE446" t="str">
            <v/>
          </cell>
          <cell r="AF446" t="str">
            <v/>
          </cell>
          <cell r="AG446" t="str">
            <v/>
          </cell>
          <cell r="AH446" t="str">
            <v/>
          </cell>
          <cell r="AI446" t="str">
            <v/>
          </cell>
          <cell r="AJ446" t="str">
            <v/>
          </cell>
          <cell r="AK446" t="str">
            <v>KEY, ON/OFF</v>
          </cell>
          <cell r="AL446" t="str">
            <v>LENS, DISPLAY</v>
          </cell>
          <cell r="AM446" t="str">
            <v>HINGE, DISPLAY</v>
          </cell>
          <cell r="AN446" t="str">
            <v/>
          </cell>
          <cell r="AO446" t="str">
            <v/>
          </cell>
          <cell r="AP446" t="str">
            <v/>
          </cell>
          <cell r="AQ446" t="str">
            <v/>
          </cell>
          <cell r="AR446" t="str">
            <v/>
          </cell>
          <cell r="AS446" t="str">
            <v/>
          </cell>
          <cell r="AT446" t="str">
            <v/>
          </cell>
          <cell r="AU446">
            <v>38231</v>
          </cell>
        </row>
        <row r="447">
          <cell r="A447" t="str">
            <v>S16-0444</v>
          </cell>
          <cell r="B447" t="str">
            <v>新潟県立中央病院_0444</v>
          </cell>
          <cell r="C447" t="e">
            <v>#REF!</v>
          </cell>
          <cell r="D447" t="e">
            <v>#REF!</v>
          </cell>
          <cell r="E447" t="e">
            <v>#REF!</v>
          </cell>
          <cell r="F447" t="e">
            <v>#REF!</v>
          </cell>
          <cell r="G447" t="e">
            <v>#REF!</v>
          </cell>
          <cell r="H447" t="e">
            <v>#REF!</v>
          </cell>
          <cell r="I447" t="e">
            <v>#REF!</v>
          </cell>
          <cell r="K447" t="e">
            <v>#REF!</v>
          </cell>
          <cell r="M447" t="e">
            <v>#REF!</v>
          </cell>
          <cell r="N447" t="e">
            <v>#REF!</v>
          </cell>
          <cell r="O447" t="e">
            <v>#REF!</v>
          </cell>
          <cell r="P447" t="e">
            <v>#REF!</v>
          </cell>
          <cell r="Q447" t="e">
            <v>#REF!</v>
          </cell>
          <cell r="S447" t="e">
            <v>#REF!</v>
          </cell>
          <cell r="T447" t="e">
            <v>#REF!</v>
          </cell>
          <cell r="U447" t="e">
            <v>#REF!</v>
          </cell>
          <cell r="AA447" t="e">
            <v>#REF!</v>
          </cell>
          <cell r="AB447" t="e">
            <v>#REF!</v>
          </cell>
          <cell r="AC447" t="e">
            <v>#REF!</v>
          </cell>
          <cell r="AD447" t="e">
            <v>#REF!</v>
          </cell>
          <cell r="AE447" t="e">
            <v>#REF!</v>
          </cell>
          <cell r="AF447" t="e">
            <v>#REF!</v>
          </cell>
          <cell r="AG447" t="e">
            <v>#REF!</v>
          </cell>
          <cell r="AH447" t="e">
            <v>#REF!</v>
          </cell>
          <cell r="AI447" t="e">
            <v>#REF!</v>
          </cell>
          <cell r="AJ447" t="e">
            <v>#REF!</v>
          </cell>
          <cell r="AK447" t="e">
            <v>#REF!</v>
          </cell>
          <cell r="AL447" t="e">
            <v>#REF!</v>
          </cell>
          <cell r="AM447" t="e">
            <v>#REF!</v>
          </cell>
          <cell r="AN447" t="e">
            <v>#REF!</v>
          </cell>
          <cell r="AO447" t="e">
            <v>#REF!</v>
          </cell>
          <cell r="AP447" t="e">
            <v>#REF!</v>
          </cell>
          <cell r="AQ447" t="e">
            <v>#REF!</v>
          </cell>
          <cell r="AR447" t="e">
            <v>#REF!</v>
          </cell>
          <cell r="AS447" t="e">
            <v>#REF!</v>
          </cell>
          <cell r="AT447" t="e">
            <v>#REF!</v>
          </cell>
          <cell r="AU447" t="e">
            <v>#REF!</v>
          </cell>
        </row>
        <row r="448">
          <cell r="A448" t="str">
            <v>S16-0445</v>
          </cell>
          <cell r="B448" t="str">
            <v>県立広島病院_0445 (2)</v>
          </cell>
          <cell r="C448" t="str">
            <v>SR#不要</v>
          </cell>
          <cell r="D448" t="str">
            <v>2016/06/24-05</v>
          </cell>
          <cell r="E448" t="str">
            <v>有償</v>
          </cell>
          <cell r="F448">
            <v>42550</v>
          </cell>
          <cell r="G448">
            <v>42550</v>
          </cell>
          <cell r="H448">
            <v>42622</v>
          </cell>
          <cell r="I448" t="str">
            <v>不明</v>
          </cell>
          <cell r="K448" t="str">
            <v>-</v>
          </cell>
          <cell r="L448" t="str">
            <v>-</v>
          </cell>
          <cell r="M448" t="str">
            <v>SLAx/13-6</v>
          </cell>
          <cell r="N448" t="str">
            <v>03KMLX</v>
          </cell>
          <cell r="O448" t="str">
            <v>P12645-01</v>
          </cell>
          <cell r="P448" t="str">
            <v>ティーエスアルフレッサ株式会社 広島機器試薬支店</v>
          </cell>
          <cell r="Q448" t="str">
            <v>高木様</v>
          </cell>
          <cell r="R448" t="str">
            <v>〒733-8633　広島県広島市商工センター1-2-19</v>
          </cell>
          <cell r="S448" t="str">
            <v>082-501-0466</v>
          </cell>
          <cell r="T448" t="str">
            <v>082-279-7133</v>
          </cell>
          <cell r="U448" t="str">
            <v>県立広島病院　腎臓内科</v>
          </cell>
          <cell r="V448" t="str">
            <v>ト部様</v>
          </cell>
          <cell r="W448" t="str">
            <v>肝臓内科</v>
          </cell>
          <cell r="X448" t="str">
            <v>082-254-1818</v>
          </cell>
          <cell r="Y448" t="str">
            <v>〒734-8530　広島県広島市南区宇品神田1-5-54</v>
          </cell>
          <cell r="AA448" t="str">
            <v/>
          </cell>
          <cell r="AB448" t="str">
            <v/>
          </cell>
          <cell r="AC448" t="str">
            <v/>
          </cell>
          <cell r="AD448" t="str">
            <v/>
          </cell>
          <cell r="AE448" t="str">
            <v/>
          </cell>
          <cell r="AF448" t="str">
            <v/>
          </cell>
          <cell r="AG448" t="str">
            <v/>
          </cell>
          <cell r="AH448" t="str">
            <v/>
          </cell>
          <cell r="AI448" t="str">
            <v/>
          </cell>
          <cell r="AJ448" t="str">
            <v/>
          </cell>
          <cell r="AK448" t="str">
            <v/>
          </cell>
          <cell r="AL448" t="str">
            <v/>
          </cell>
          <cell r="AM448" t="str">
            <v/>
          </cell>
          <cell r="AN448" t="str">
            <v/>
          </cell>
          <cell r="AO448" t="str">
            <v/>
          </cell>
          <cell r="AP448" t="str">
            <v/>
          </cell>
          <cell r="AQ448" t="str">
            <v/>
          </cell>
          <cell r="AR448" t="str">
            <v/>
          </cell>
          <cell r="AS448" t="str">
            <v/>
          </cell>
          <cell r="AT448" t="str">
            <v/>
          </cell>
          <cell r="AU448">
            <v>40544</v>
          </cell>
        </row>
        <row r="449">
          <cell r="A449" t="str">
            <v>S16-0446</v>
          </cell>
          <cell r="B449" t="str">
            <v>日本医科大学附属病院_0446</v>
          </cell>
          <cell r="C449" t="e">
            <v>#REF!</v>
          </cell>
          <cell r="D449" t="e">
            <v>#REF!</v>
          </cell>
          <cell r="E449" t="e">
            <v>#REF!</v>
          </cell>
          <cell r="F449" t="e">
            <v>#REF!</v>
          </cell>
          <cell r="G449" t="e">
            <v>#REF!</v>
          </cell>
          <cell r="H449" t="e">
            <v>#REF!</v>
          </cell>
          <cell r="I449" t="e">
            <v>#REF!</v>
          </cell>
          <cell r="K449" t="e">
            <v>#REF!</v>
          </cell>
          <cell r="M449" t="e">
            <v>#REF!</v>
          </cell>
          <cell r="N449" t="e">
            <v>#REF!</v>
          </cell>
          <cell r="O449" t="e">
            <v>#REF!</v>
          </cell>
          <cell r="P449" t="e">
            <v>#REF!</v>
          </cell>
          <cell r="Q449" t="e">
            <v>#REF!</v>
          </cell>
          <cell r="R449" t="str">
            <v>〒106-0031　東京都港区西麻布2-26-30 富士フイルム西麻布ビル</v>
          </cell>
          <cell r="S449" t="e">
            <v>#REF!</v>
          </cell>
          <cell r="T449" t="e">
            <v>#REF!</v>
          </cell>
          <cell r="U449" t="e">
            <v>#REF!</v>
          </cell>
          <cell r="V449" t="str">
            <v>-</v>
          </cell>
          <cell r="W449" t="str">
            <v>-</v>
          </cell>
          <cell r="X449" t="str">
            <v>03-3822-2131</v>
          </cell>
          <cell r="Y449" t="str">
            <v>〒113-8603　東京都文京区千駄木1-1-5</v>
          </cell>
          <cell r="AA449" t="e">
            <v>#REF!</v>
          </cell>
          <cell r="AB449" t="e">
            <v>#REF!</v>
          </cell>
          <cell r="AC449" t="e">
            <v>#REF!</v>
          </cell>
          <cell r="AD449" t="e">
            <v>#REF!</v>
          </cell>
          <cell r="AE449" t="e">
            <v>#REF!</v>
          </cell>
          <cell r="AF449" t="e">
            <v>#REF!</v>
          </cell>
          <cell r="AG449" t="e">
            <v>#REF!</v>
          </cell>
          <cell r="AH449" t="e">
            <v>#REF!</v>
          </cell>
          <cell r="AI449" t="e">
            <v>#REF!</v>
          </cell>
          <cell r="AJ449" t="e">
            <v>#REF!</v>
          </cell>
          <cell r="AK449" t="e">
            <v>#REF!</v>
          </cell>
          <cell r="AL449" t="e">
            <v>#REF!</v>
          </cell>
          <cell r="AM449" t="e">
            <v>#REF!</v>
          </cell>
          <cell r="AN449" t="e">
            <v>#REF!</v>
          </cell>
          <cell r="AO449" t="e">
            <v>#REF!</v>
          </cell>
          <cell r="AP449" t="e">
            <v>#REF!</v>
          </cell>
          <cell r="AQ449" t="e">
            <v>#REF!</v>
          </cell>
          <cell r="AR449" t="e">
            <v>#REF!</v>
          </cell>
          <cell r="AS449" t="e">
            <v>#REF!</v>
          </cell>
          <cell r="AT449" t="e">
            <v>#REF!</v>
          </cell>
          <cell r="AU449" t="e">
            <v>#REF!</v>
          </cell>
        </row>
        <row r="450">
          <cell r="A450" t="str">
            <v>S16-0447</v>
          </cell>
          <cell r="B450" t="str">
            <v>武蔵野赤十字病院_0447 (2)</v>
          </cell>
          <cell r="C450" t="str">
            <v>SR#不要</v>
          </cell>
          <cell r="D450" t="str">
            <v>2016/06/27-01</v>
          </cell>
          <cell r="E450" t="str">
            <v>有償</v>
          </cell>
          <cell r="F450">
            <v>42551</v>
          </cell>
          <cell r="G450">
            <v>42551</v>
          </cell>
          <cell r="H450">
            <v>42584</v>
          </cell>
          <cell r="I450" t="str">
            <v>不明</v>
          </cell>
          <cell r="K450" t="str">
            <v>高橋</v>
          </cell>
          <cell r="L450">
            <v>3</v>
          </cell>
          <cell r="M450" t="str">
            <v>UP-897MD</v>
          </cell>
          <cell r="N450" t="str">
            <v>33961</v>
          </cell>
          <cell r="O450" t="str">
            <v>-</v>
          </cell>
          <cell r="P450" t="str">
            <v>フクダ電子東京西販売株式会社</v>
          </cell>
          <cell r="Q450" t="str">
            <v>田中様</v>
          </cell>
          <cell r="R450" t="str">
            <v>〒190-0011　東京都立川市高松町1-23-17</v>
          </cell>
          <cell r="S450" t="str">
            <v>042-525-3578</v>
          </cell>
          <cell r="T450" t="str">
            <v>042-527-7262</v>
          </cell>
          <cell r="U450" t="str">
            <v>武蔵野赤十字病院</v>
          </cell>
          <cell r="V450" t="str">
            <v>櫻木様</v>
          </cell>
          <cell r="W450" t="str">
            <v>ME</v>
          </cell>
          <cell r="X450" t="str">
            <v>0422-32-3111</v>
          </cell>
          <cell r="Y450" t="str">
            <v>〒180-8610 東京都武蔵野市境南町1-26-1</v>
          </cell>
          <cell r="AA450" t="str">
            <v>147435011</v>
          </cell>
          <cell r="AB450" t="str">
            <v>385776202</v>
          </cell>
          <cell r="AC450" t="str">
            <v>P00536-02</v>
          </cell>
          <cell r="AD450" t="str">
            <v/>
          </cell>
          <cell r="AE450" t="str">
            <v/>
          </cell>
          <cell r="AF450" t="str">
            <v/>
          </cell>
          <cell r="AG450" t="str">
            <v/>
          </cell>
          <cell r="AH450" t="str">
            <v/>
          </cell>
          <cell r="AI450" t="str">
            <v/>
          </cell>
          <cell r="AJ450" t="str">
            <v/>
          </cell>
          <cell r="AK450" t="str">
            <v>スイッチングレギュレータ</v>
          </cell>
          <cell r="AL450" t="str">
            <v>プラテンローラ</v>
          </cell>
          <cell r="AM450" t="str">
            <v>ビデオケーブル（BNC/RCA)</v>
          </cell>
          <cell r="AN450" t="str">
            <v/>
          </cell>
          <cell r="AO450" t="str">
            <v/>
          </cell>
          <cell r="AP450" t="str">
            <v/>
          </cell>
          <cell r="AQ450" t="str">
            <v/>
          </cell>
          <cell r="AR450" t="str">
            <v/>
          </cell>
          <cell r="AS450" t="str">
            <v/>
          </cell>
          <cell r="AT450" t="str">
            <v/>
          </cell>
          <cell r="AU450" t="str">
            <v>-</v>
          </cell>
        </row>
        <row r="451">
          <cell r="A451" t="str">
            <v>S16-0448</v>
          </cell>
          <cell r="B451" t="str">
            <v>仙台医療センター_0448 (2)</v>
          </cell>
          <cell r="C451" t="str">
            <v>SR#</v>
          </cell>
          <cell r="D451" t="str">
            <v>2016/06/22-04</v>
          </cell>
          <cell r="E451" t="str">
            <v>有償</v>
          </cell>
          <cell r="F451">
            <v>42551</v>
          </cell>
          <cell r="G451">
            <v>42551</v>
          </cell>
          <cell r="H451">
            <v>42564</v>
          </cell>
          <cell r="I451" t="str">
            <v>不明</v>
          </cell>
          <cell r="K451" t="str">
            <v>高橋</v>
          </cell>
          <cell r="L451">
            <v>3</v>
          </cell>
          <cell r="M451" t="str">
            <v>MicroMaxx</v>
          </cell>
          <cell r="N451" t="str">
            <v>WK0CF1</v>
          </cell>
          <cell r="O451" t="str">
            <v>P14179-01</v>
          </cell>
          <cell r="P451" t="str">
            <v>丸木医科器械株式会社</v>
          </cell>
          <cell r="Q451" t="str">
            <v>鎌田様</v>
          </cell>
          <cell r="R451" t="str">
            <v>〒981-1105 宮城県仙台市太白区西中田3-20-7</v>
          </cell>
          <cell r="S451" t="str">
            <v>022-242-6001</v>
          </cell>
          <cell r="T451" t="str">
            <v>022-242-6101</v>
          </cell>
          <cell r="U451" t="str">
            <v>仙台医療センター</v>
          </cell>
          <cell r="V451" t="str">
            <v>-</v>
          </cell>
          <cell r="W451" t="str">
            <v>-</v>
          </cell>
          <cell r="X451" t="str">
            <v>022-293-1111</v>
          </cell>
          <cell r="Y451" t="str">
            <v>〒983-8520 宮城県仙台市宮城野区宮城野2-8-8</v>
          </cell>
          <cell r="AA451" t="str">
            <v>P07168-20</v>
          </cell>
          <cell r="AB451" t="str">
            <v/>
          </cell>
          <cell r="AC451" t="str">
            <v/>
          </cell>
          <cell r="AD451" t="str">
            <v/>
          </cell>
          <cell r="AE451" t="str">
            <v/>
          </cell>
          <cell r="AF451" t="str">
            <v/>
          </cell>
          <cell r="AG451" t="str">
            <v/>
          </cell>
          <cell r="AH451" t="str">
            <v/>
          </cell>
          <cell r="AI451" t="str">
            <v/>
          </cell>
          <cell r="AJ451" t="str">
            <v/>
          </cell>
          <cell r="AK451" t="str">
            <v>BATTERY PACK, 6 CELL, 11.25V, 5.2AMP-HOUR, LITHIUM-ION</v>
          </cell>
          <cell r="AL451" t="str">
            <v/>
          </cell>
          <cell r="AM451" t="str">
            <v/>
          </cell>
          <cell r="AN451" t="str">
            <v/>
          </cell>
          <cell r="AO451" t="str">
            <v/>
          </cell>
          <cell r="AP451" t="str">
            <v/>
          </cell>
          <cell r="AQ451" t="str">
            <v/>
          </cell>
          <cell r="AR451" t="str">
            <v/>
          </cell>
          <cell r="AS451" t="str">
            <v/>
          </cell>
          <cell r="AT451" t="str">
            <v/>
          </cell>
          <cell r="AU451">
            <v>40603</v>
          </cell>
        </row>
        <row r="452">
          <cell r="A452" t="str">
            <v>S16-0449</v>
          </cell>
          <cell r="B452" t="str">
            <v>関門医療センター_0449 (2)</v>
          </cell>
          <cell r="C452" t="str">
            <v>SR#不要</v>
          </cell>
          <cell r="D452" t="str">
            <v>-</v>
          </cell>
          <cell r="E452" t="str">
            <v>有償</v>
          </cell>
          <cell r="F452">
            <v>42551</v>
          </cell>
          <cell r="G452">
            <v>42551</v>
          </cell>
          <cell r="H452">
            <v>42579</v>
          </cell>
          <cell r="I452">
            <v>40238</v>
          </cell>
          <cell r="K452" t="str">
            <v>高橋</v>
          </cell>
          <cell r="L452">
            <v>3</v>
          </cell>
          <cell r="M452" t="str">
            <v>iLook25</v>
          </cell>
          <cell r="N452" t="str">
            <v>038750</v>
          </cell>
          <cell r="O452" t="str">
            <v>P04303-02</v>
          </cell>
          <cell r="P452" t="str">
            <v>日本コヴィディエン株式会社　九州第一営業所</v>
          </cell>
          <cell r="Q452" t="str">
            <v>原 様</v>
          </cell>
          <cell r="R452" t="str">
            <v>〒108-0075  東京都港区港南一丁目2番70号　品川シーズンテラス　22F</v>
          </cell>
          <cell r="S452" t="str">
            <v>03-6774-4629</v>
          </cell>
          <cell r="T452" t="str">
            <v>03-6774-4740</v>
          </cell>
          <cell r="U452" t="str">
            <v>関門医療センター</v>
          </cell>
          <cell r="V452" t="str">
            <v>-</v>
          </cell>
          <cell r="W452" t="str">
            <v>-</v>
          </cell>
          <cell r="X452" t="str">
            <v xml:space="preserve">083-241-1199 </v>
          </cell>
          <cell r="Y452" t="str">
            <v>〒752-8510　山口県下関市長府外浦町1番1号</v>
          </cell>
          <cell r="AA452" t="str">
            <v>P03157-02</v>
          </cell>
          <cell r="AB452" t="str">
            <v/>
          </cell>
          <cell r="AC452" t="str">
            <v/>
          </cell>
          <cell r="AD452" t="str">
            <v/>
          </cell>
          <cell r="AE452" t="str">
            <v/>
          </cell>
          <cell r="AF452" t="str">
            <v/>
          </cell>
          <cell r="AG452" t="str">
            <v/>
          </cell>
          <cell r="AH452" t="str">
            <v/>
          </cell>
          <cell r="AI452" t="str">
            <v/>
          </cell>
          <cell r="AJ452" t="str">
            <v/>
          </cell>
          <cell r="AK452" t="str">
            <v>SERVICE ASSEMBLY, L25 TRANSDUCER, ILOOK</v>
          </cell>
          <cell r="AL452" t="str">
            <v/>
          </cell>
          <cell r="AM452" t="str">
            <v/>
          </cell>
          <cell r="AN452" t="str">
            <v/>
          </cell>
          <cell r="AO452" t="str">
            <v/>
          </cell>
          <cell r="AP452" t="str">
            <v/>
          </cell>
          <cell r="AQ452" t="str">
            <v/>
          </cell>
          <cell r="AR452" t="str">
            <v/>
          </cell>
          <cell r="AS452" t="str">
            <v/>
          </cell>
          <cell r="AT452" t="str">
            <v/>
          </cell>
          <cell r="AU452">
            <v>39114</v>
          </cell>
        </row>
        <row r="453">
          <cell r="A453" t="str">
            <v>S16-0450</v>
          </cell>
          <cell r="B453" t="str">
            <v>佐渡総合病院_0450 (2)</v>
          </cell>
          <cell r="C453" t="str">
            <v>SR#4219447</v>
          </cell>
          <cell r="D453" t="str">
            <v>2016/06/24-02</v>
          </cell>
          <cell r="E453" t="str">
            <v>無償</v>
          </cell>
          <cell r="F453">
            <v>42551</v>
          </cell>
          <cell r="G453">
            <v>7</v>
          </cell>
          <cell r="H453">
            <v>42566</v>
          </cell>
          <cell r="I453" t="str">
            <v>不明</v>
          </cell>
          <cell r="K453" t="str">
            <v>高橋</v>
          </cell>
          <cell r="L453">
            <v>3</v>
          </cell>
          <cell r="M453" t="str">
            <v>EDGE</v>
          </cell>
          <cell r="N453" t="str">
            <v>03Q92J</v>
          </cell>
          <cell r="O453" t="str">
            <v>P16360-02</v>
          </cell>
          <cell r="P453" t="str">
            <v>株式会社新潟ムトウ</v>
          </cell>
          <cell r="Q453" t="str">
            <v>角鹿様</v>
          </cell>
          <cell r="R453" t="str">
            <v xml:space="preserve">〒952-1209 新潟県佐渡市千種1095-1 ヒルサイド木戸沢 B棟1号 </v>
          </cell>
          <cell r="S453" t="str">
            <v>0259-61-1321</v>
          </cell>
          <cell r="T453" t="str">
            <v>0259-63-3121</v>
          </cell>
          <cell r="U453" t="str">
            <v>佐渡総合病院</v>
          </cell>
          <cell r="V453" t="str">
            <v>-</v>
          </cell>
          <cell r="W453" t="str">
            <v>-</v>
          </cell>
          <cell r="X453" t="str">
            <v>0259-63-3121</v>
          </cell>
          <cell r="Y453" t="str">
            <v>〒952-1209　新潟県佐渡市千種161番地</v>
          </cell>
          <cell r="AA453" t="str">
            <v>P15615-03</v>
          </cell>
          <cell r="AB453" t="str">
            <v/>
          </cell>
          <cell r="AC453" t="str">
            <v/>
          </cell>
          <cell r="AD453" t="str">
            <v/>
          </cell>
          <cell r="AE453" t="str">
            <v/>
          </cell>
          <cell r="AF453" t="str">
            <v/>
          </cell>
          <cell r="AG453" t="str">
            <v/>
          </cell>
          <cell r="AH453" t="str">
            <v/>
          </cell>
          <cell r="AI453" t="str">
            <v/>
          </cell>
          <cell r="AJ453" t="str">
            <v/>
          </cell>
          <cell r="AK453" t="str">
            <v>SERVICE ASSEMBLY, MAIN PCBA, EDGE</v>
          </cell>
          <cell r="AL453" t="str">
            <v/>
          </cell>
          <cell r="AM453" t="str">
            <v/>
          </cell>
          <cell r="AN453" t="str">
            <v/>
          </cell>
          <cell r="AO453" t="str">
            <v/>
          </cell>
          <cell r="AP453" t="str">
            <v/>
          </cell>
          <cell r="AQ453" t="str">
            <v/>
          </cell>
          <cell r="AR453" t="str">
            <v/>
          </cell>
          <cell r="AS453" t="str">
            <v/>
          </cell>
          <cell r="AT453" t="str">
            <v/>
          </cell>
          <cell r="AU453">
            <v>41061</v>
          </cell>
        </row>
        <row r="454">
          <cell r="A454" t="str">
            <v>S16-0451</v>
          </cell>
          <cell r="B454" t="str">
            <v>三春町立三春病院_0451</v>
          </cell>
          <cell r="C454" t="e">
            <v>#REF!</v>
          </cell>
          <cell r="D454" t="e">
            <v>#REF!</v>
          </cell>
          <cell r="E454" t="e">
            <v>#REF!</v>
          </cell>
          <cell r="F454" t="e">
            <v>#REF!</v>
          </cell>
          <cell r="G454" t="e">
            <v>#REF!</v>
          </cell>
          <cell r="H454" t="e">
            <v>#REF!</v>
          </cell>
          <cell r="I454" t="e">
            <v>#REF!</v>
          </cell>
          <cell r="K454" t="e">
            <v>#REF!</v>
          </cell>
          <cell r="M454" t="e">
            <v>#REF!</v>
          </cell>
          <cell r="N454" t="e">
            <v>#REF!</v>
          </cell>
          <cell r="O454" t="e">
            <v>#REF!</v>
          </cell>
          <cell r="P454" t="e">
            <v>#REF!</v>
          </cell>
          <cell r="Q454" t="e">
            <v>#REF!</v>
          </cell>
          <cell r="S454" t="e">
            <v>#REF!</v>
          </cell>
          <cell r="T454" t="e">
            <v>#REF!</v>
          </cell>
          <cell r="U454" t="e">
            <v>#REF!</v>
          </cell>
          <cell r="AA454" t="e">
            <v>#REF!</v>
          </cell>
          <cell r="AB454" t="e">
            <v>#REF!</v>
          </cell>
          <cell r="AC454" t="e">
            <v>#REF!</v>
          </cell>
          <cell r="AD454" t="e">
            <v>#REF!</v>
          </cell>
          <cell r="AE454" t="e">
            <v>#REF!</v>
          </cell>
          <cell r="AF454" t="e">
            <v>#REF!</v>
          </cell>
          <cell r="AG454" t="e">
            <v>#REF!</v>
          </cell>
          <cell r="AH454" t="e">
            <v>#REF!</v>
          </cell>
          <cell r="AI454" t="e">
            <v>#REF!</v>
          </cell>
          <cell r="AJ454" t="e">
            <v>#REF!</v>
          </cell>
          <cell r="AK454" t="e">
            <v>#REF!</v>
          </cell>
          <cell r="AL454" t="e">
            <v>#REF!</v>
          </cell>
          <cell r="AM454" t="e">
            <v>#REF!</v>
          </cell>
          <cell r="AN454" t="e">
            <v>#REF!</v>
          </cell>
          <cell r="AO454" t="e">
            <v>#REF!</v>
          </cell>
          <cell r="AP454" t="e">
            <v>#REF!</v>
          </cell>
          <cell r="AQ454" t="e">
            <v>#REF!</v>
          </cell>
          <cell r="AR454" t="e">
            <v>#REF!</v>
          </cell>
          <cell r="AS454" t="e">
            <v>#REF!</v>
          </cell>
          <cell r="AT454" t="e">
            <v>#REF!</v>
          </cell>
          <cell r="AU454" t="e">
            <v>#REF!</v>
          </cell>
        </row>
        <row r="455">
          <cell r="A455" t="str">
            <v>S16-0452</v>
          </cell>
          <cell r="B455" t="str">
            <v>札幌循環器病院_0452 (2)</v>
          </cell>
          <cell r="C455" t="str">
            <v>SR#</v>
          </cell>
          <cell r="D455" t="str">
            <v>2016/06/24-03</v>
          </cell>
          <cell r="E455" t="str">
            <v>無償</v>
          </cell>
          <cell r="F455">
            <v>42551</v>
          </cell>
          <cell r="G455">
            <v>42551</v>
          </cell>
          <cell r="H455">
            <v>42557</v>
          </cell>
          <cell r="I455" t="str">
            <v>不明</v>
          </cell>
          <cell r="K455" t="str">
            <v>高橋</v>
          </cell>
          <cell r="L455" t="str">
            <v>-</v>
          </cell>
          <cell r="M455" t="str">
            <v>EDGE</v>
          </cell>
          <cell r="N455" t="str">
            <v>042QV9</v>
          </cell>
          <cell r="O455" t="str">
            <v>P16360-63</v>
          </cell>
          <cell r="P455" t="str">
            <v>富士フイルムメディカル株式会社　札幌支店</v>
          </cell>
          <cell r="Q455" t="str">
            <v>山内様</v>
          </cell>
          <cell r="R455" t="str">
            <v>〒001-0018　北海道札幌市北区北18条西3-1-38</v>
          </cell>
          <cell r="S455" t="str">
            <v>03-6418-7190</v>
          </cell>
          <cell r="T455" t="str">
            <v>03-6418-7162</v>
          </cell>
          <cell r="U455" t="str">
            <v>札幌循環器病院</v>
          </cell>
          <cell r="V455" t="str">
            <v>-</v>
          </cell>
          <cell r="W455" t="str">
            <v>-</v>
          </cell>
          <cell r="X455" t="str">
            <v>011-747-5821</v>
          </cell>
          <cell r="Y455" t="str">
            <v>〒060-0011 北海道札幌市中央区北１１条西１４丁目２９－１５</v>
          </cell>
          <cell r="AA455" t="str">
            <v/>
          </cell>
          <cell r="AB455" t="str">
            <v/>
          </cell>
          <cell r="AC455" t="str">
            <v/>
          </cell>
          <cell r="AD455" t="str">
            <v/>
          </cell>
          <cell r="AE455" t="str">
            <v/>
          </cell>
          <cell r="AF455" t="str">
            <v/>
          </cell>
          <cell r="AG455" t="str">
            <v/>
          </cell>
          <cell r="AH455" t="str">
            <v/>
          </cell>
          <cell r="AI455" t="str">
            <v/>
          </cell>
          <cell r="AJ455" t="str">
            <v/>
          </cell>
          <cell r="AK455" t="str">
            <v/>
          </cell>
          <cell r="AL455" t="str">
            <v/>
          </cell>
          <cell r="AM455" t="str">
            <v/>
          </cell>
          <cell r="AN455" t="str">
            <v/>
          </cell>
          <cell r="AO455" t="str">
            <v/>
          </cell>
          <cell r="AP455" t="str">
            <v/>
          </cell>
          <cell r="AQ455" t="str">
            <v/>
          </cell>
          <cell r="AR455" t="str">
            <v/>
          </cell>
          <cell r="AS455" t="str">
            <v/>
          </cell>
          <cell r="AT455" t="str">
            <v/>
          </cell>
          <cell r="AU455">
            <v>42370</v>
          </cell>
        </row>
        <row r="456">
          <cell r="A456" t="str">
            <v>S16-0453</v>
          </cell>
          <cell r="B456" t="str">
            <v>長野赤十字病院_0453 (2)</v>
          </cell>
          <cell r="C456" t="str">
            <v>SR#</v>
          </cell>
          <cell r="D456" t="str">
            <v>2016/06/28-03</v>
          </cell>
          <cell r="E456" t="str">
            <v>有償</v>
          </cell>
          <cell r="F456">
            <v>42552</v>
          </cell>
          <cell r="G456">
            <v>42552</v>
          </cell>
          <cell r="H456">
            <v>42629</v>
          </cell>
          <cell r="I456">
            <v>40147</v>
          </cell>
          <cell r="K456" t="str">
            <v>-</v>
          </cell>
          <cell r="L456" t="str">
            <v>-</v>
          </cell>
          <cell r="M456" t="str">
            <v>MicroMaxx</v>
          </cell>
          <cell r="N456" t="str">
            <v>03FM6F</v>
          </cell>
          <cell r="O456" t="str">
            <v>P08063-05</v>
          </cell>
          <cell r="P456" t="str">
            <v>株式会社上條器械店 長野営業所</v>
          </cell>
          <cell r="Q456" t="str">
            <v>高橋様</v>
          </cell>
          <cell r="R456" t="str">
            <v>〒380-0921　長野県長野市栗田501-1</v>
          </cell>
          <cell r="S456" t="str">
            <v>026-227-2952</v>
          </cell>
          <cell r="T456" t="str">
            <v>026-227-4339</v>
          </cell>
          <cell r="U456" t="str">
            <v>長野赤十字病院</v>
          </cell>
          <cell r="V456" t="str">
            <v>-</v>
          </cell>
          <cell r="W456" t="str">
            <v>ICU</v>
          </cell>
          <cell r="X456" t="str">
            <v>026-226-4131</v>
          </cell>
          <cell r="Y456" t="str">
            <v>〒380-8582　長野県長野市若里五丁目22番1号</v>
          </cell>
          <cell r="AA456" t="str">
            <v/>
          </cell>
          <cell r="AB456" t="str">
            <v/>
          </cell>
          <cell r="AC456" t="str">
            <v/>
          </cell>
          <cell r="AD456" t="str">
            <v/>
          </cell>
          <cell r="AE456" t="str">
            <v/>
          </cell>
          <cell r="AF456" t="str">
            <v/>
          </cell>
          <cell r="AG456" t="str">
            <v/>
          </cell>
          <cell r="AH456" t="str">
            <v/>
          </cell>
          <cell r="AI456" t="str">
            <v/>
          </cell>
          <cell r="AJ456" t="str">
            <v/>
          </cell>
          <cell r="AK456" t="str">
            <v/>
          </cell>
          <cell r="AL456" t="str">
            <v/>
          </cell>
          <cell r="AM456" t="str">
            <v/>
          </cell>
          <cell r="AN456" t="str">
            <v/>
          </cell>
          <cell r="AO456" t="str">
            <v/>
          </cell>
          <cell r="AP456" t="str">
            <v/>
          </cell>
          <cell r="AQ456" t="str">
            <v/>
          </cell>
          <cell r="AR456" t="str">
            <v/>
          </cell>
          <cell r="AS456" t="str">
            <v/>
          </cell>
          <cell r="AT456" t="str">
            <v/>
          </cell>
          <cell r="AU456">
            <v>39873</v>
          </cell>
        </row>
        <row r="457">
          <cell r="A457" t="str">
            <v>S16-0454</v>
          </cell>
          <cell r="B457" t="str">
            <v>のぼり病院_0454 (2)</v>
          </cell>
          <cell r="C457" t="str">
            <v>SR#</v>
          </cell>
          <cell r="D457" t="str">
            <v>2016/06/22-02</v>
          </cell>
          <cell r="E457" t="str">
            <v>有償</v>
          </cell>
          <cell r="F457">
            <v>42552</v>
          </cell>
          <cell r="G457">
            <v>42552</v>
          </cell>
          <cell r="H457">
            <v>42557</v>
          </cell>
          <cell r="I457" t="str">
            <v>不明</v>
          </cell>
          <cell r="K457" t="str">
            <v>高橋</v>
          </cell>
          <cell r="L457">
            <v>3</v>
          </cell>
          <cell r="M457">
            <v>180</v>
          </cell>
          <cell r="N457" t="str">
            <v>01LBWK</v>
          </cell>
          <cell r="O457" t="str">
            <v>P01102-03</v>
          </cell>
          <cell r="P457" t="str">
            <v>大同医科器械株式会社 鹿児島営業所</v>
          </cell>
          <cell r="Q457" t="str">
            <v>平田様</v>
          </cell>
          <cell r="R457" t="str">
            <v>〒890-0072　鹿児島県鹿児島市新栄町20-24</v>
          </cell>
          <cell r="S457" t="str">
            <v>099-813-0303</v>
          </cell>
          <cell r="T457" t="str">
            <v xml:space="preserve">099-813-0185 </v>
          </cell>
          <cell r="U457" t="str">
            <v>産婦人科 のぼり病院</v>
          </cell>
          <cell r="V457" t="str">
            <v>峯苫様</v>
          </cell>
          <cell r="W457" t="str">
            <v>産婦人科</v>
          </cell>
          <cell r="X457" t="str">
            <v>099-256-1313</v>
          </cell>
          <cell r="Y457" t="str">
            <v>〒890-0054 鹿児島市荒田1丁目13-13</v>
          </cell>
          <cell r="AA457" t="str">
            <v>P00343-01</v>
          </cell>
          <cell r="AB457" t="str">
            <v/>
          </cell>
          <cell r="AC457" t="str">
            <v/>
          </cell>
          <cell r="AD457" t="str">
            <v/>
          </cell>
          <cell r="AE457" t="str">
            <v/>
          </cell>
          <cell r="AF457" t="str">
            <v/>
          </cell>
          <cell r="AG457" t="str">
            <v/>
          </cell>
          <cell r="AH457" t="str">
            <v/>
          </cell>
          <cell r="AI457" t="str">
            <v/>
          </cell>
          <cell r="AJ457" t="str">
            <v/>
          </cell>
          <cell r="AK457" t="str">
            <v>HINGE, DISPLAY</v>
          </cell>
          <cell r="AL457" t="str">
            <v/>
          </cell>
          <cell r="AM457" t="str">
            <v/>
          </cell>
          <cell r="AN457" t="str">
            <v/>
          </cell>
          <cell r="AO457" t="str">
            <v/>
          </cell>
          <cell r="AP457" t="str">
            <v/>
          </cell>
          <cell r="AQ457" t="str">
            <v/>
          </cell>
          <cell r="AR457" t="str">
            <v/>
          </cell>
          <cell r="AS457" t="str">
            <v/>
          </cell>
          <cell r="AT457" t="str">
            <v/>
          </cell>
          <cell r="AU457">
            <v>36647</v>
          </cell>
        </row>
        <row r="458">
          <cell r="A458" t="str">
            <v>S16-0455</v>
          </cell>
          <cell r="B458" t="str">
            <v>北川ひ尿器科クリニック_0455 (2)</v>
          </cell>
          <cell r="C458" t="str">
            <v>SR#4221689</v>
          </cell>
          <cell r="D458" t="str">
            <v>-</v>
          </cell>
          <cell r="E458" t="str">
            <v>無償</v>
          </cell>
          <cell r="F458">
            <v>42555</v>
          </cell>
          <cell r="G458">
            <v>42555</v>
          </cell>
          <cell r="H458">
            <v>42646</v>
          </cell>
          <cell r="I458">
            <v>41571</v>
          </cell>
          <cell r="K458" t="str">
            <v>高橋</v>
          </cell>
          <cell r="L458">
            <v>3</v>
          </cell>
          <cell r="M458" t="str">
            <v>NanoMaxx</v>
          </cell>
          <cell r="N458" t="str">
            <v>03VTBB</v>
          </cell>
          <cell r="O458" t="str">
            <v>P12700-06</v>
          </cell>
          <cell r="P458" t="str">
            <v>日本コヴィディエン株式会社　東日本透析営業所</v>
          </cell>
          <cell r="Q458" t="str">
            <v>高松様</v>
          </cell>
          <cell r="R458" t="str">
            <v>〒108-0075  東京都港区港南一丁目2番70号　品川シーズンテラス　22F</v>
          </cell>
          <cell r="S458" t="str">
            <v>03-6774-4629</v>
          </cell>
          <cell r="T458" t="str">
            <v>03-6774-4740</v>
          </cell>
          <cell r="U458" t="str">
            <v>北川ひ尿器科クリニック</v>
          </cell>
          <cell r="V458" t="str">
            <v>-</v>
          </cell>
          <cell r="W458" t="str">
            <v>-</v>
          </cell>
          <cell r="X458" t="str">
            <v>017-765-3355</v>
          </cell>
          <cell r="Y458" t="str">
            <v>〒030-0966　青森県青森市花園2-43-18</v>
          </cell>
          <cell r="AA458" t="str">
            <v>P12718-02</v>
          </cell>
          <cell r="AB458" t="str">
            <v/>
          </cell>
          <cell r="AC458" t="str">
            <v/>
          </cell>
          <cell r="AD458" t="str">
            <v/>
          </cell>
          <cell r="AE458" t="str">
            <v/>
          </cell>
          <cell r="AF458" t="str">
            <v/>
          </cell>
          <cell r="AG458" t="str">
            <v/>
          </cell>
          <cell r="AH458" t="str">
            <v/>
          </cell>
          <cell r="AI458" t="str">
            <v/>
          </cell>
          <cell r="AJ458" t="str">
            <v/>
          </cell>
          <cell r="AK458" t="str">
            <v>SERVICE ASSEMBLY, BACK END PCB, NANOMAXX</v>
          </cell>
          <cell r="AL458" t="str">
            <v/>
          </cell>
          <cell r="AM458" t="str">
            <v/>
          </cell>
          <cell r="AN458" t="str">
            <v/>
          </cell>
          <cell r="AO458" t="str">
            <v/>
          </cell>
          <cell r="AP458" t="str">
            <v/>
          </cell>
          <cell r="AQ458" t="str">
            <v/>
          </cell>
          <cell r="AR458" t="str">
            <v/>
          </cell>
          <cell r="AS458" t="str">
            <v/>
          </cell>
          <cell r="AT458" t="str">
            <v/>
          </cell>
          <cell r="AU458">
            <v>41456</v>
          </cell>
        </row>
        <row r="459">
          <cell r="A459" t="str">
            <v>S16-0456</v>
          </cell>
          <cell r="B459" t="str">
            <v>守谷慶友病院_0456 (2)</v>
          </cell>
          <cell r="C459" t="str">
            <v>SR#</v>
          </cell>
          <cell r="D459" t="str">
            <v>-</v>
          </cell>
          <cell r="E459" t="str">
            <v>無償</v>
          </cell>
          <cell r="F459">
            <v>42555</v>
          </cell>
          <cell r="G459">
            <v>42555</v>
          </cell>
          <cell r="H459">
            <v>42563</v>
          </cell>
          <cell r="I459">
            <v>41395</v>
          </cell>
          <cell r="K459" t="str">
            <v>高橋</v>
          </cell>
          <cell r="L459" t="str">
            <v>-</v>
          </cell>
          <cell r="M459" t="str">
            <v>NanoMaxx</v>
          </cell>
          <cell r="N459" t="str">
            <v>03T9N3</v>
          </cell>
          <cell r="O459" t="str">
            <v>P12700-06</v>
          </cell>
          <cell r="P459" t="str">
            <v>日本コヴィディエン株式会社　東日本透析営業所</v>
          </cell>
          <cell r="Q459" t="str">
            <v>酒井様</v>
          </cell>
          <cell r="R459" t="str">
            <v>〒108-0075  東京都港区港南一丁目2番70号　品川シーズンテラス　22F</v>
          </cell>
          <cell r="S459" t="str">
            <v>03-6774-4629</v>
          </cell>
          <cell r="T459" t="str">
            <v>03-6774-4740</v>
          </cell>
          <cell r="U459" t="str">
            <v>守谷慶友病院</v>
          </cell>
          <cell r="V459" t="str">
            <v>-</v>
          </cell>
          <cell r="W459" t="str">
            <v>-</v>
          </cell>
          <cell r="X459" t="str">
            <v>0297-45-3311</v>
          </cell>
          <cell r="Y459" t="str">
            <v>〒302-0118　茨城県守谷市立沢980-1</v>
          </cell>
          <cell r="AA459" t="str">
            <v/>
          </cell>
          <cell r="AB459" t="str">
            <v/>
          </cell>
          <cell r="AC459" t="str">
            <v/>
          </cell>
          <cell r="AD459" t="str">
            <v/>
          </cell>
          <cell r="AE459" t="str">
            <v/>
          </cell>
          <cell r="AF459" t="str">
            <v/>
          </cell>
          <cell r="AG459" t="str">
            <v/>
          </cell>
          <cell r="AH459" t="str">
            <v/>
          </cell>
          <cell r="AI459" t="str">
            <v/>
          </cell>
          <cell r="AJ459" t="str">
            <v/>
          </cell>
          <cell r="AK459" t="str">
            <v/>
          </cell>
          <cell r="AL459" t="str">
            <v/>
          </cell>
          <cell r="AM459" t="str">
            <v/>
          </cell>
          <cell r="AN459" t="str">
            <v/>
          </cell>
          <cell r="AO459" t="str">
            <v/>
          </cell>
          <cell r="AP459" t="str">
            <v/>
          </cell>
          <cell r="AQ459" t="str">
            <v/>
          </cell>
          <cell r="AR459" t="str">
            <v/>
          </cell>
          <cell r="AS459" t="str">
            <v/>
          </cell>
          <cell r="AT459" t="str">
            <v/>
          </cell>
          <cell r="AU459">
            <v>41244</v>
          </cell>
        </row>
        <row r="460">
          <cell r="A460" t="str">
            <v>S16-0457</v>
          </cell>
          <cell r="B460" t="str">
            <v>高知医療センター_0457 (2)</v>
          </cell>
          <cell r="C460" t="str">
            <v>SR#不要</v>
          </cell>
          <cell r="D460" t="str">
            <v>2016/06/28-06</v>
          </cell>
          <cell r="E460" t="str">
            <v>有償</v>
          </cell>
          <cell r="F460">
            <v>42555</v>
          </cell>
          <cell r="G460">
            <v>42555</v>
          </cell>
          <cell r="H460">
            <v>42572</v>
          </cell>
          <cell r="I460" t="str">
            <v>不明</v>
          </cell>
          <cell r="K460" t="str">
            <v>高橋</v>
          </cell>
          <cell r="L460" t="str">
            <v>-</v>
          </cell>
          <cell r="M460" t="str">
            <v>S-Nerve</v>
          </cell>
          <cell r="N460" t="str">
            <v>03HN0L</v>
          </cell>
          <cell r="O460" t="str">
            <v>P12060-05</v>
          </cell>
          <cell r="P460" t="str">
            <v>株式会社末徳屋医療器店</v>
          </cell>
          <cell r="Q460" t="str">
            <v>藤井様</v>
          </cell>
          <cell r="R460" t="str">
            <v>〒780-0863　高知県高知市与力町4-15</v>
          </cell>
          <cell r="S460" t="str">
            <v>088-875-4451</v>
          </cell>
          <cell r="T460" t="str">
            <v>088-823-2536</v>
          </cell>
          <cell r="U460" t="str">
            <v>高知医療センター</v>
          </cell>
          <cell r="V460" t="str">
            <v>濱田様</v>
          </cell>
          <cell r="W460" t="str">
            <v>CE</v>
          </cell>
          <cell r="X460" t="str">
            <v>088-837-3000</v>
          </cell>
          <cell r="Y460" t="str">
            <v>〒781-8555　高知県高知市池2125番地1</v>
          </cell>
          <cell r="AA460" t="str">
            <v/>
          </cell>
          <cell r="AB460" t="str">
            <v/>
          </cell>
          <cell r="AC460" t="str">
            <v/>
          </cell>
          <cell r="AD460" t="str">
            <v/>
          </cell>
          <cell r="AE460" t="str">
            <v/>
          </cell>
          <cell r="AF460" t="str">
            <v/>
          </cell>
          <cell r="AG460" t="str">
            <v/>
          </cell>
          <cell r="AH460" t="str">
            <v/>
          </cell>
          <cell r="AI460" t="str">
            <v/>
          </cell>
          <cell r="AJ460" t="str">
            <v/>
          </cell>
          <cell r="AK460" t="str">
            <v/>
          </cell>
          <cell r="AL460" t="str">
            <v/>
          </cell>
          <cell r="AM460" t="str">
            <v/>
          </cell>
          <cell r="AN460" t="str">
            <v/>
          </cell>
          <cell r="AO460" t="str">
            <v/>
          </cell>
          <cell r="AP460" t="str">
            <v/>
          </cell>
          <cell r="AQ460" t="str">
            <v/>
          </cell>
          <cell r="AR460" t="str">
            <v/>
          </cell>
          <cell r="AS460" t="str">
            <v/>
          </cell>
          <cell r="AT460" t="str">
            <v/>
          </cell>
          <cell r="AU460">
            <v>40238</v>
          </cell>
        </row>
        <row r="461">
          <cell r="A461" t="str">
            <v>S16-0458</v>
          </cell>
          <cell r="B461" t="str">
            <v>松江生協病院_0458 (2)</v>
          </cell>
          <cell r="C461" t="str">
            <v>SR#4233593</v>
          </cell>
          <cell r="D461" t="str">
            <v xml:space="preserve"> -</v>
          </cell>
          <cell r="E461" t="str">
            <v>有償</v>
          </cell>
          <cell r="F461">
            <v>42555</v>
          </cell>
          <cell r="G461">
            <v>42555</v>
          </cell>
          <cell r="H461">
            <v>42612</v>
          </cell>
          <cell r="I461" t="str">
            <v>不明</v>
          </cell>
          <cell r="K461" t="str">
            <v>高橋</v>
          </cell>
          <cell r="L461">
            <v>3</v>
          </cell>
          <cell r="M461" t="str">
            <v>TiTAN</v>
          </cell>
          <cell r="N461" t="str">
            <v xml:space="preserve">03356P </v>
          </cell>
          <cell r="O461" t="str">
            <v>P04338-01</v>
          </cell>
          <cell r="P461" t="str">
            <v>株式会社日立製作所</v>
          </cell>
          <cell r="Q461" t="str">
            <v>吉崎様</v>
          </cell>
          <cell r="R461" t="str">
            <v>〒198-8577　東京都青梅市今井3-7-19</v>
          </cell>
          <cell r="S461" t="str">
            <v xml:space="preserve">0428-32-3140 </v>
          </cell>
          <cell r="T461" t="str">
            <v>0428-32-3152</v>
          </cell>
          <cell r="U461" t="str">
            <v>松江生協病院</v>
          </cell>
          <cell r="V461" t="str">
            <v>-</v>
          </cell>
          <cell r="W461" t="str">
            <v>-</v>
          </cell>
          <cell r="X461" t="str">
            <v>0852-23-1111</v>
          </cell>
          <cell r="Y461" t="str">
            <v>〒690-8522　島根県松江市西津田8-8-8</v>
          </cell>
          <cell r="AA461" t="str">
            <v/>
          </cell>
          <cell r="AB461" t="str">
            <v>P03833-02</v>
          </cell>
          <cell r="AC461" t="str">
            <v>P03834-02</v>
          </cell>
          <cell r="AD461" t="str">
            <v>P08060-03</v>
          </cell>
          <cell r="AE461" t="str">
            <v>P02173-02</v>
          </cell>
          <cell r="AF461" t="str">
            <v/>
          </cell>
          <cell r="AG461" t="str">
            <v/>
          </cell>
          <cell r="AH461" t="str">
            <v/>
          </cell>
          <cell r="AI461" t="str">
            <v/>
          </cell>
          <cell r="AJ461" t="str">
            <v/>
          </cell>
          <cell r="AK461" t="str">
            <v/>
          </cell>
          <cell r="AL461" t="str">
            <v>SHIELD, PERIMETER, SHORT</v>
          </cell>
          <cell r="AM461" t="str">
            <v>SHIELD, PERIMETER, LONG</v>
          </cell>
          <cell r="AN461" t="str">
            <v>HINGE, 6LB, TURBO, C3, C2</v>
          </cell>
          <cell r="AO461" t="str">
            <v>WIRE HARNESS, DISPLAY, C2</v>
          </cell>
          <cell r="AP461" t="str">
            <v/>
          </cell>
          <cell r="AQ461" t="str">
            <v/>
          </cell>
          <cell r="AR461" t="str">
            <v/>
          </cell>
          <cell r="AS461" t="str">
            <v/>
          </cell>
          <cell r="AT461" t="str">
            <v/>
          </cell>
          <cell r="AU461">
            <v>38261</v>
          </cell>
        </row>
        <row r="462">
          <cell r="A462" t="str">
            <v>S16-0459</v>
          </cell>
          <cell r="B462" t="str">
            <v>常滑市民病院_0459 (2)</v>
          </cell>
          <cell r="C462" t="str">
            <v>SR#</v>
          </cell>
          <cell r="D462" t="str">
            <v>2016/06/27-03</v>
          </cell>
          <cell r="E462" t="str">
            <v>有償</v>
          </cell>
          <cell r="F462">
            <v>42555</v>
          </cell>
          <cell r="G462">
            <v>42555</v>
          </cell>
          <cell r="H462">
            <v>42565</v>
          </cell>
          <cell r="I462" t="str">
            <v>不明</v>
          </cell>
          <cell r="K462" t="str">
            <v>高橋</v>
          </cell>
          <cell r="L462">
            <v>3</v>
          </cell>
          <cell r="M462">
            <v>180</v>
          </cell>
          <cell r="N462" t="str">
            <v>01J3XP</v>
          </cell>
          <cell r="O462" t="str">
            <v>P01102-01</v>
          </cell>
          <cell r="P462" t="str">
            <v>株式会社八神製作所　大府営業所</v>
          </cell>
          <cell r="Q462" t="str">
            <v>佐藤様</v>
          </cell>
          <cell r="R462" t="str">
            <v>〒474-0038　愛知県大府市森岡町2-385</v>
          </cell>
          <cell r="S462" t="str">
            <v>0562-45-5501</v>
          </cell>
          <cell r="T462" t="str">
            <v>0562-45-6540</v>
          </cell>
          <cell r="U462" t="str">
            <v>常滑市民病院</v>
          </cell>
          <cell r="V462" t="str">
            <v>羽田野様</v>
          </cell>
          <cell r="W462" t="str">
            <v>ME</v>
          </cell>
          <cell r="X462" t="str">
            <v>0569-35-3１70</v>
          </cell>
          <cell r="Y462" t="str">
            <v>〒479-8510　愛知県常滑市飛香台3-3-3</v>
          </cell>
          <cell r="AA462" t="str">
            <v>P00538-03</v>
          </cell>
          <cell r="AB462" t="str">
            <v>P00104-02</v>
          </cell>
          <cell r="AC462" t="str">
            <v/>
          </cell>
          <cell r="AD462" t="str">
            <v/>
          </cell>
          <cell r="AE462" t="str">
            <v/>
          </cell>
          <cell r="AF462" t="str">
            <v/>
          </cell>
          <cell r="AG462" t="str">
            <v/>
          </cell>
          <cell r="AH462" t="str">
            <v/>
          </cell>
          <cell r="AI462" t="str">
            <v/>
          </cell>
          <cell r="AJ462" t="str">
            <v/>
          </cell>
          <cell r="AK462" t="str">
            <v>POWER SUPPLY, 85-264 VAC, 50-60HZ, 16V, 45W, 180</v>
          </cell>
          <cell r="AL462" t="str">
            <v>KEY, ON/OFF</v>
          </cell>
          <cell r="AM462" t="str">
            <v/>
          </cell>
          <cell r="AN462" t="str">
            <v/>
          </cell>
          <cell r="AO462" t="str">
            <v/>
          </cell>
          <cell r="AP462" t="str">
            <v/>
          </cell>
          <cell r="AQ462" t="str">
            <v/>
          </cell>
          <cell r="AR462" t="str">
            <v/>
          </cell>
          <cell r="AS462" t="str">
            <v/>
          </cell>
          <cell r="AT462" t="str">
            <v/>
          </cell>
          <cell r="AU462">
            <v>36586</v>
          </cell>
        </row>
        <row r="463">
          <cell r="A463" t="str">
            <v>S16-0460</v>
          </cell>
          <cell r="B463" t="str">
            <v>つかだファミリークリニック_0460 (2)</v>
          </cell>
          <cell r="C463" t="str">
            <v>SR#4219445</v>
          </cell>
          <cell r="D463" t="str">
            <v>2016/06/20-09</v>
          </cell>
          <cell r="E463" t="str">
            <v>無償</v>
          </cell>
          <cell r="F463">
            <v>42555</v>
          </cell>
          <cell r="G463">
            <v>42555</v>
          </cell>
          <cell r="H463">
            <v>42563</v>
          </cell>
          <cell r="I463" t="str">
            <v>不明</v>
          </cell>
          <cell r="K463" t="str">
            <v>高橋</v>
          </cell>
          <cell r="L463">
            <v>3</v>
          </cell>
          <cell r="M463" t="str">
            <v>M-Turbo</v>
          </cell>
          <cell r="N463" t="str">
            <v>WK168H</v>
          </cell>
          <cell r="O463" t="str">
            <v>P09141-24</v>
          </cell>
          <cell r="P463" t="str">
            <v>富士フイルムメディカル株式会社</v>
          </cell>
          <cell r="Q463" t="str">
            <v>望月様</v>
          </cell>
          <cell r="R463" t="str">
            <v>〒260-0843　千葉県千葉市中央区末広5-6-15</v>
          </cell>
          <cell r="S463" t="str">
            <v>043-261-8801</v>
          </cell>
          <cell r="T463" t="str">
            <v>043-261-8807</v>
          </cell>
          <cell r="U463" t="str">
            <v>つかだファミリークリニック</v>
          </cell>
          <cell r="V463" t="str">
            <v>-</v>
          </cell>
          <cell r="W463" t="str">
            <v>-</v>
          </cell>
          <cell r="X463" t="str">
            <v>0476-26-4750</v>
          </cell>
          <cell r="Y463" t="str">
            <v>〒286-0036　千葉県成田市加良部5-7-2</v>
          </cell>
          <cell r="AA463" t="str">
            <v>P19087-02</v>
          </cell>
          <cell r="AB463" t="str">
            <v/>
          </cell>
          <cell r="AC463" t="str">
            <v/>
          </cell>
          <cell r="AD463" t="str">
            <v/>
          </cell>
          <cell r="AE463" t="str">
            <v/>
          </cell>
          <cell r="AF463" t="str">
            <v/>
          </cell>
          <cell r="AG463" t="str">
            <v/>
          </cell>
          <cell r="AH463" t="str">
            <v/>
          </cell>
          <cell r="AI463" t="str">
            <v/>
          </cell>
          <cell r="AJ463" t="str">
            <v/>
          </cell>
          <cell r="AK463" t="str">
            <v>MAIN PCBA, M-Turbo</v>
          </cell>
          <cell r="AL463" t="str">
            <v/>
          </cell>
          <cell r="AM463" t="str">
            <v/>
          </cell>
          <cell r="AN463" t="str">
            <v/>
          </cell>
          <cell r="AO463" t="str">
            <v/>
          </cell>
          <cell r="AP463" t="str">
            <v/>
          </cell>
          <cell r="AQ463" t="str">
            <v/>
          </cell>
          <cell r="AR463" t="str">
            <v/>
          </cell>
          <cell r="AS463" t="str">
            <v/>
          </cell>
          <cell r="AT463" t="str">
            <v/>
          </cell>
          <cell r="AU463">
            <v>41091</v>
          </cell>
        </row>
        <row r="464">
          <cell r="A464" t="str">
            <v>S16-0461</v>
          </cell>
          <cell r="B464" t="str">
            <v>亀田第一病院_0461</v>
          </cell>
          <cell r="C464" t="e">
            <v>#REF!</v>
          </cell>
          <cell r="D464" t="e">
            <v>#REF!</v>
          </cell>
          <cell r="E464" t="e">
            <v>#REF!</v>
          </cell>
          <cell r="F464" t="e">
            <v>#REF!</v>
          </cell>
          <cell r="G464" t="e">
            <v>#REF!</v>
          </cell>
          <cell r="H464" t="e">
            <v>#REF!</v>
          </cell>
          <cell r="I464" t="e">
            <v>#REF!</v>
          </cell>
          <cell r="K464" t="e">
            <v>#REF!</v>
          </cell>
          <cell r="M464" t="e">
            <v>#REF!</v>
          </cell>
          <cell r="N464" t="e">
            <v>#REF!</v>
          </cell>
          <cell r="O464" t="e">
            <v>#REF!</v>
          </cell>
          <cell r="P464" t="e">
            <v>#REF!</v>
          </cell>
          <cell r="Q464" t="e">
            <v>#REF!</v>
          </cell>
          <cell r="S464" t="e">
            <v>#REF!</v>
          </cell>
          <cell r="T464" t="e">
            <v>#REF!</v>
          </cell>
          <cell r="U464" t="e">
            <v>#REF!</v>
          </cell>
          <cell r="AA464" t="e">
            <v>#REF!</v>
          </cell>
          <cell r="AB464" t="e">
            <v>#REF!</v>
          </cell>
          <cell r="AC464" t="e">
            <v>#REF!</v>
          </cell>
          <cell r="AD464" t="e">
            <v>#REF!</v>
          </cell>
          <cell r="AE464" t="e">
            <v>#REF!</v>
          </cell>
          <cell r="AF464" t="e">
            <v>#REF!</v>
          </cell>
          <cell r="AG464" t="e">
            <v>#REF!</v>
          </cell>
          <cell r="AH464" t="e">
            <v>#REF!</v>
          </cell>
          <cell r="AI464" t="e">
            <v>#REF!</v>
          </cell>
          <cell r="AJ464" t="e">
            <v>#REF!</v>
          </cell>
          <cell r="AK464" t="e">
            <v>#REF!</v>
          </cell>
          <cell r="AL464" t="e">
            <v>#REF!</v>
          </cell>
          <cell r="AM464" t="e">
            <v>#REF!</v>
          </cell>
          <cell r="AN464" t="e">
            <v>#REF!</v>
          </cell>
          <cell r="AO464" t="e">
            <v>#REF!</v>
          </cell>
          <cell r="AP464" t="e">
            <v>#REF!</v>
          </cell>
          <cell r="AQ464" t="e">
            <v>#REF!</v>
          </cell>
          <cell r="AR464" t="e">
            <v>#REF!</v>
          </cell>
          <cell r="AS464" t="e">
            <v>#REF!</v>
          </cell>
          <cell r="AT464" t="e">
            <v>#REF!</v>
          </cell>
          <cell r="AU464" t="e">
            <v>#REF!</v>
          </cell>
        </row>
        <row r="465">
          <cell r="A465" t="str">
            <v>S16-0462</v>
          </cell>
          <cell r="B465" t="str">
            <v>京都市立病院_0462 (2)</v>
          </cell>
          <cell r="C465" t="str">
            <v>SR#不要</v>
          </cell>
          <cell r="D465" t="str">
            <v>-</v>
          </cell>
          <cell r="E465" t="str">
            <v>有償</v>
          </cell>
          <cell r="F465">
            <v>42556</v>
          </cell>
          <cell r="G465">
            <v>42556</v>
          </cell>
          <cell r="H465">
            <v>42572</v>
          </cell>
          <cell r="I465">
            <v>40322</v>
          </cell>
          <cell r="K465" t="str">
            <v>-</v>
          </cell>
          <cell r="L465" t="str">
            <v>-</v>
          </cell>
          <cell r="M465" t="str">
            <v>iLook25</v>
          </cell>
          <cell r="N465" t="str">
            <v>0329X1</v>
          </cell>
          <cell r="O465" t="str">
            <v>P04303-01</v>
          </cell>
          <cell r="P465" t="str">
            <v>日本コヴィディエン株式会社　京滋兵庫営業所</v>
          </cell>
          <cell r="Q465" t="str">
            <v>江邉様</v>
          </cell>
          <cell r="R465" t="str">
            <v>〒108-0075  東京都港区港南一丁目2番70号　品川シーズンテラス　22F</v>
          </cell>
          <cell r="S465" t="str">
            <v>03-6774-4629</v>
          </cell>
          <cell r="T465" t="str">
            <v>03-6774-4740</v>
          </cell>
          <cell r="U465" t="str">
            <v>京都市立病院</v>
          </cell>
          <cell r="V465" t="str">
            <v>-</v>
          </cell>
          <cell r="W465" t="str">
            <v>-</v>
          </cell>
          <cell r="X465" t="str">
            <v>075-311-5311</v>
          </cell>
          <cell r="Y465" t="str">
            <v>〒604-8845　京都府京都市中京区壬生東高田町1-2</v>
          </cell>
          <cell r="AA465" t="str">
            <v/>
          </cell>
          <cell r="AB465" t="str">
            <v/>
          </cell>
          <cell r="AC465" t="str">
            <v/>
          </cell>
          <cell r="AD465" t="str">
            <v/>
          </cell>
          <cell r="AE465" t="str">
            <v/>
          </cell>
          <cell r="AF465" t="str">
            <v/>
          </cell>
          <cell r="AG465" t="str">
            <v/>
          </cell>
          <cell r="AH465" t="str">
            <v/>
          </cell>
          <cell r="AI465" t="str">
            <v/>
          </cell>
          <cell r="AJ465" t="str">
            <v/>
          </cell>
          <cell r="AK465" t="str">
            <v/>
          </cell>
          <cell r="AL465" t="str">
            <v/>
          </cell>
          <cell r="AM465" t="str">
            <v/>
          </cell>
          <cell r="AN465" t="str">
            <v/>
          </cell>
          <cell r="AO465" t="str">
            <v/>
          </cell>
          <cell r="AP465" t="str">
            <v/>
          </cell>
          <cell r="AQ465" t="str">
            <v/>
          </cell>
          <cell r="AR465" t="str">
            <v/>
          </cell>
          <cell r="AS465" t="str">
            <v/>
          </cell>
          <cell r="AT465" t="str">
            <v/>
          </cell>
          <cell r="AU465">
            <v>38139</v>
          </cell>
        </row>
        <row r="466">
          <cell r="A466" t="str">
            <v>S16-0463</v>
          </cell>
          <cell r="B466" t="str">
            <v>国立循環器病研究センター_0463 (2)</v>
          </cell>
          <cell r="C466" t="str">
            <v>SR#</v>
          </cell>
          <cell r="D466" t="str">
            <v>2016/07/04-04</v>
          </cell>
          <cell r="E466" t="str">
            <v>有償</v>
          </cell>
          <cell r="F466">
            <v>42557</v>
          </cell>
          <cell r="G466">
            <v>42557</v>
          </cell>
          <cell r="H466">
            <v>42584</v>
          </cell>
          <cell r="I466" t="str">
            <v>不明</v>
          </cell>
          <cell r="K466" t="str">
            <v>高橋</v>
          </cell>
          <cell r="L466">
            <v>3</v>
          </cell>
          <cell r="M466" t="str">
            <v>180Plus</v>
          </cell>
          <cell r="N466" t="str">
            <v>083P89</v>
          </cell>
          <cell r="O466" t="str">
            <v>P04327-04</v>
          </cell>
          <cell r="P466" t="str">
            <v>株式会社エム・イー・サイエンス</v>
          </cell>
          <cell r="Q466" t="str">
            <v>林様</v>
          </cell>
          <cell r="R466" t="str">
            <v>〒532-0002　大阪府大阪市淀川区東三国4-14-24</v>
          </cell>
          <cell r="S466" t="str">
            <v>06-6394-6300</v>
          </cell>
          <cell r="T466" t="str">
            <v>06-6394-6449</v>
          </cell>
          <cell r="U466" t="str">
            <v>国立循環器病研究センター</v>
          </cell>
          <cell r="V466" t="str">
            <v>-</v>
          </cell>
          <cell r="W466" t="str">
            <v>-</v>
          </cell>
          <cell r="X466" t="str">
            <v>06-6833-5012</v>
          </cell>
          <cell r="Y466" t="str">
            <v>〒565-8565 大阪府吹田市藤白台5-7-1</v>
          </cell>
          <cell r="AA466" t="str">
            <v>P00538-03</v>
          </cell>
          <cell r="AB466" t="str">
            <v>P00104-02</v>
          </cell>
          <cell r="AC466" t="str">
            <v>P00340-02</v>
          </cell>
          <cell r="AD466" t="str">
            <v>P00343-01</v>
          </cell>
          <cell r="AE466" t="str">
            <v>P01213-01</v>
          </cell>
          <cell r="AF466" t="str">
            <v/>
          </cell>
          <cell r="AG466" t="str">
            <v/>
          </cell>
          <cell r="AH466" t="str">
            <v/>
          </cell>
          <cell r="AI466" t="str">
            <v/>
          </cell>
          <cell r="AJ466" t="str">
            <v/>
          </cell>
          <cell r="AK466" t="str">
            <v>POWER SUPPLY, 85-264 VAC, 50-60HZ, 16V, 45W, 180</v>
          </cell>
          <cell r="AL466" t="str">
            <v>KEY, ON/OFF</v>
          </cell>
          <cell r="AM466" t="str">
            <v>LENS, DISPLAY</v>
          </cell>
          <cell r="AN466" t="str">
            <v>HINGE, DISPLAY</v>
          </cell>
          <cell r="AO466" t="str">
            <v>FLEX CIRCUIT, FAB, C1 DISPLAY</v>
          </cell>
          <cell r="AP466" t="str">
            <v/>
          </cell>
          <cell r="AQ466" t="str">
            <v/>
          </cell>
          <cell r="AR466" t="str">
            <v/>
          </cell>
          <cell r="AS466" t="str">
            <v/>
          </cell>
          <cell r="AT466" t="str">
            <v/>
          </cell>
          <cell r="AU466">
            <v>39264</v>
          </cell>
        </row>
        <row r="467">
          <cell r="A467" t="str">
            <v>S16-0464</v>
          </cell>
          <cell r="B467" t="str">
            <v>北川ひ尿器科クリニック_0464 (2)</v>
          </cell>
          <cell r="C467" t="str">
            <v>SR#4219443</v>
          </cell>
          <cell r="D467" t="str">
            <v>2016・06/22-01</v>
          </cell>
          <cell r="E467" t="str">
            <v>無償</v>
          </cell>
          <cell r="F467">
            <v>42557</v>
          </cell>
          <cell r="G467">
            <v>42557</v>
          </cell>
          <cell r="H467">
            <v>42579</v>
          </cell>
          <cell r="I467" t="str">
            <v>不明</v>
          </cell>
          <cell r="K467" t="str">
            <v>高橋</v>
          </cell>
          <cell r="L467">
            <v>3</v>
          </cell>
          <cell r="M467" t="str">
            <v>M-Turbo</v>
          </cell>
          <cell r="N467" t="str">
            <v>WK3FM2</v>
          </cell>
          <cell r="O467" t="str">
            <v>P16693-61</v>
          </cell>
          <cell r="P467" t="str">
            <v>株式会社北斗医理科　青森営業所</v>
          </cell>
          <cell r="Q467" t="str">
            <v>新屋様</v>
          </cell>
          <cell r="R467" t="str">
            <v>〒030-0131　青森県青森市問屋町2-13-8</v>
          </cell>
          <cell r="S467" t="str">
            <v>017-764-4121</v>
          </cell>
          <cell r="T467" t="str">
            <v>017-728-4131</v>
          </cell>
          <cell r="U467" t="str">
            <v>北川ひ尿器科クリニック</v>
          </cell>
          <cell r="V467" t="str">
            <v>西巻様</v>
          </cell>
          <cell r="W467" t="str">
            <v>透析室</v>
          </cell>
          <cell r="X467" t="str">
            <v>017-765-3355</v>
          </cell>
          <cell r="Y467" t="str">
            <v>〒030-0966　青森県青森市花園2-43-18</v>
          </cell>
          <cell r="AA467" t="str">
            <v>P19087-02</v>
          </cell>
          <cell r="AB467" t="str">
            <v/>
          </cell>
          <cell r="AC467" t="str">
            <v/>
          </cell>
          <cell r="AD467" t="str">
            <v/>
          </cell>
          <cell r="AE467" t="str">
            <v/>
          </cell>
          <cell r="AF467" t="str">
            <v/>
          </cell>
          <cell r="AG467" t="str">
            <v/>
          </cell>
          <cell r="AH467" t="str">
            <v/>
          </cell>
          <cell r="AI467" t="str">
            <v/>
          </cell>
          <cell r="AJ467" t="str">
            <v/>
          </cell>
          <cell r="AK467" t="str">
            <v>MAIN PCBA, M-Turbo</v>
          </cell>
          <cell r="AL467" t="str">
            <v/>
          </cell>
          <cell r="AM467" t="str">
            <v/>
          </cell>
          <cell r="AN467" t="str">
            <v/>
          </cell>
          <cell r="AO467" t="str">
            <v/>
          </cell>
          <cell r="AP467" t="str">
            <v/>
          </cell>
          <cell r="AQ467" t="str">
            <v/>
          </cell>
          <cell r="AR467" t="str">
            <v/>
          </cell>
          <cell r="AS467" t="str">
            <v/>
          </cell>
          <cell r="AT467" t="str">
            <v/>
          </cell>
          <cell r="AU467">
            <v>42278</v>
          </cell>
        </row>
        <row r="468">
          <cell r="A468" t="str">
            <v>S16-0465</v>
          </cell>
          <cell r="B468" t="str">
            <v>デモ機KUM5_0465 (2)</v>
          </cell>
          <cell r="C468" t="str">
            <v>SR#4221907</v>
          </cell>
          <cell r="D468" t="str">
            <v>-</v>
          </cell>
          <cell r="E468" t="str">
            <v>無償</v>
          </cell>
          <cell r="F468">
            <v>42557</v>
          </cell>
          <cell r="G468">
            <v>42557</v>
          </cell>
          <cell r="H468">
            <v>42625</v>
          </cell>
          <cell r="I468" t="str">
            <v>-</v>
          </cell>
          <cell r="K468" t="str">
            <v>梶田</v>
          </cell>
          <cell r="L468">
            <v>3</v>
          </cell>
          <cell r="M468" t="str">
            <v>EDGE Stand</v>
          </cell>
          <cell r="N468" t="str">
            <v>WK2D4B</v>
          </cell>
          <cell r="O468" t="str">
            <v>P16365-01</v>
          </cell>
          <cell r="P468" t="str">
            <v>富士フイルムメディカル株式会社</v>
          </cell>
          <cell r="Q468" t="str">
            <v>-</v>
          </cell>
          <cell r="R468" t="str">
            <v>-</v>
          </cell>
          <cell r="S468" t="str">
            <v>03-6418-7190</v>
          </cell>
          <cell r="T468" t="str">
            <v>03-6418-7162</v>
          </cell>
          <cell r="U468" t="str">
            <v>デモ機KUM5</v>
          </cell>
          <cell r="V468" t="str">
            <v>-</v>
          </cell>
          <cell r="W468" t="str">
            <v>-</v>
          </cell>
          <cell r="X468" t="str">
            <v>-</v>
          </cell>
          <cell r="Y468" t="str">
            <v>-</v>
          </cell>
          <cell r="AA468" t="str">
            <v>P15512-01</v>
          </cell>
          <cell r="AB468" t="str">
            <v/>
          </cell>
          <cell r="AC468" t="str">
            <v/>
          </cell>
          <cell r="AD468" t="str">
            <v/>
          </cell>
          <cell r="AE468" t="str">
            <v/>
          </cell>
          <cell r="AF468" t="str">
            <v/>
          </cell>
          <cell r="AG468" t="str">
            <v/>
          </cell>
          <cell r="AH468" t="str">
            <v/>
          </cell>
          <cell r="AI468" t="str">
            <v/>
          </cell>
          <cell r="AJ468" t="str">
            <v/>
          </cell>
          <cell r="AK468" t="str">
            <v>CASTER EDGE　STAND</v>
          </cell>
          <cell r="AL468" t="str">
            <v/>
          </cell>
          <cell r="AM468" t="str">
            <v/>
          </cell>
          <cell r="AN468" t="str">
            <v/>
          </cell>
          <cell r="AO468" t="str">
            <v/>
          </cell>
          <cell r="AP468" t="str">
            <v/>
          </cell>
          <cell r="AQ468" t="str">
            <v/>
          </cell>
          <cell r="AR468" t="str">
            <v/>
          </cell>
          <cell r="AS468" t="str">
            <v/>
          </cell>
          <cell r="AT468" t="str">
            <v/>
          </cell>
          <cell r="AU468">
            <v>41760</v>
          </cell>
        </row>
        <row r="469">
          <cell r="A469" t="str">
            <v>S16-0466</v>
          </cell>
          <cell r="B469" t="str">
            <v>丘ノ規病院_0466 (2)</v>
          </cell>
          <cell r="C469" t="str">
            <v>SR#4221631</v>
          </cell>
          <cell r="D469" t="str">
            <v>-</v>
          </cell>
          <cell r="E469" t="str">
            <v>無償</v>
          </cell>
          <cell r="F469">
            <v>42557</v>
          </cell>
          <cell r="G469">
            <v>42557</v>
          </cell>
          <cell r="H469">
            <v>42577</v>
          </cell>
          <cell r="I469">
            <v>40689</v>
          </cell>
          <cell r="K469" t="str">
            <v>高橋</v>
          </cell>
          <cell r="L469">
            <v>3</v>
          </cell>
          <cell r="M469" t="str">
            <v>NanoMaxx</v>
          </cell>
          <cell r="N469" t="str">
            <v>03K0FR</v>
          </cell>
          <cell r="O469" t="str">
            <v>P12700-03</v>
          </cell>
          <cell r="P469" t="str">
            <v>日本コヴィディエン株式会社　営業企画室</v>
          </cell>
          <cell r="Q469" t="str">
            <v>岡田様</v>
          </cell>
          <cell r="R469" t="str">
            <v>〒108-0075  東京都港区港南一丁目2番70号　品川シーズンテラス　22F</v>
          </cell>
          <cell r="S469" t="str">
            <v>03-6774-4629</v>
          </cell>
          <cell r="T469" t="str">
            <v>03-6774-4740</v>
          </cell>
          <cell r="U469" t="str">
            <v>丘ノ規病院</v>
          </cell>
          <cell r="V469" t="str">
            <v>-</v>
          </cell>
          <cell r="W469" t="str">
            <v>-</v>
          </cell>
          <cell r="X469" t="str">
            <v xml:space="preserve">093-602-6631 </v>
          </cell>
          <cell r="Y469" t="str">
            <v>〒807-0831 福岡県北九州市八幡西区大字則松104-1</v>
          </cell>
          <cell r="AA469" t="str">
            <v>P09196-03</v>
          </cell>
          <cell r="AB469" t="str">
            <v/>
          </cell>
          <cell r="AC469" t="str">
            <v/>
          </cell>
          <cell r="AD469" t="str">
            <v/>
          </cell>
          <cell r="AE469" t="str">
            <v/>
          </cell>
          <cell r="AF469" t="str">
            <v/>
          </cell>
          <cell r="AG469" t="str">
            <v/>
          </cell>
          <cell r="AH469" t="str">
            <v/>
          </cell>
          <cell r="AI469" t="str">
            <v/>
          </cell>
          <cell r="AJ469" t="str">
            <v/>
          </cell>
          <cell r="AK469" t="str">
            <v>CABLE ASSY, FAN</v>
          </cell>
          <cell r="AL469" t="str">
            <v/>
          </cell>
          <cell r="AM469" t="str">
            <v/>
          </cell>
          <cell r="AN469" t="str">
            <v/>
          </cell>
          <cell r="AO469" t="str">
            <v/>
          </cell>
          <cell r="AP469" t="str">
            <v/>
          </cell>
          <cell r="AQ469" t="str">
            <v/>
          </cell>
          <cell r="AR469" t="str">
            <v/>
          </cell>
          <cell r="AS469" t="str">
            <v/>
          </cell>
          <cell r="AT469" t="str">
            <v/>
          </cell>
          <cell r="AU469">
            <v>40848</v>
          </cell>
        </row>
        <row r="470">
          <cell r="A470" t="str">
            <v>S16-0467</v>
          </cell>
          <cell r="B470" t="str">
            <v>栃木県立がんセンター_0467 (2)</v>
          </cell>
          <cell r="C470" t="str">
            <v>SR#不要</v>
          </cell>
          <cell r="D470" t="str">
            <v>2016/06/21-02</v>
          </cell>
          <cell r="E470" t="str">
            <v>有償</v>
          </cell>
          <cell r="F470">
            <v>42557</v>
          </cell>
          <cell r="G470">
            <v>42557</v>
          </cell>
          <cell r="H470">
            <v>42578</v>
          </cell>
          <cell r="I470" t="str">
            <v>不明</v>
          </cell>
          <cell r="K470" t="str">
            <v>高橋</v>
          </cell>
          <cell r="M470" t="str">
            <v>UP-895MD</v>
          </cell>
          <cell r="N470" t="str">
            <v>42025</v>
          </cell>
          <cell r="O470" t="str">
            <v>-</v>
          </cell>
          <cell r="P470" t="str">
            <v>有限会社いわしや丸富器械店</v>
          </cell>
          <cell r="Q470" t="str">
            <v>宇野沢様</v>
          </cell>
          <cell r="R470" t="str">
            <v>〒320-0811　栃木県宇都宮市大通り2-2-4</v>
          </cell>
          <cell r="S470" t="str">
            <v>028-633-4325</v>
          </cell>
          <cell r="T470" t="str">
            <v>028-633-3760</v>
          </cell>
          <cell r="U470" t="str">
            <v>栃木県立がんセンター</v>
          </cell>
          <cell r="V470" t="str">
            <v>-</v>
          </cell>
          <cell r="W470" t="str">
            <v>-</v>
          </cell>
          <cell r="X470" t="str">
            <v>028-658-5151</v>
          </cell>
          <cell r="Y470" t="str">
            <v>〒320-0834 栃木県宇都宮市陽南4-9-13</v>
          </cell>
          <cell r="AA470" t="str">
            <v>―</v>
          </cell>
          <cell r="AB470" t="str">
            <v/>
          </cell>
          <cell r="AC470" t="str">
            <v/>
          </cell>
          <cell r="AD470" t="str">
            <v/>
          </cell>
          <cell r="AE470" t="str">
            <v/>
          </cell>
          <cell r="AF470" t="str">
            <v/>
          </cell>
          <cell r="AG470" t="str">
            <v/>
          </cell>
          <cell r="AH470" t="str">
            <v/>
          </cell>
          <cell r="AI470" t="str">
            <v/>
          </cell>
          <cell r="AJ470" t="str">
            <v/>
          </cell>
          <cell r="AK470" t="str">
            <v>リモート端子</v>
          </cell>
          <cell r="AL470" t="str">
            <v/>
          </cell>
          <cell r="AM470" t="str">
            <v/>
          </cell>
          <cell r="AN470" t="str">
            <v/>
          </cell>
          <cell r="AO470" t="str">
            <v/>
          </cell>
          <cell r="AP470" t="str">
            <v/>
          </cell>
          <cell r="AQ470" t="str">
            <v/>
          </cell>
          <cell r="AR470" t="str">
            <v/>
          </cell>
          <cell r="AS470" t="str">
            <v/>
          </cell>
          <cell r="AT470" t="str">
            <v/>
          </cell>
          <cell r="AU470" t="str">
            <v>-</v>
          </cell>
        </row>
        <row r="471">
          <cell r="A471" t="str">
            <v>S16-0468</v>
          </cell>
          <cell r="B471" t="str">
            <v>新潟大学医歯学総合病院_0468 (2)</v>
          </cell>
          <cell r="C471" t="str">
            <v>SR#4219441</v>
          </cell>
          <cell r="D471" t="str">
            <v>2016/07/05-01</v>
          </cell>
          <cell r="E471" t="str">
            <v>無償</v>
          </cell>
          <cell r="F471">
            <v>42557</v>
          </cell>
          <cell r="G471">
            <v>42557</v>
          </cell>
          <cell r="H471">
            <v>42556</v>
          </cell>
          <cell r="I471" t="str">
            <v>不明</v>
          </cell>
          <cell r="K471" t="str">
            <v>梶田</v>
          </cell>
          <cell r="L471">
            <v>3</v>
          </cell>
          <cell r="M471" t="str">
            <v>X-Porte</v>
          </cell>
          <cell r="N471" t="str">
            <v>040CCF</v>
          </cell>
          <cell r="O471" t="str">
            <v>P19320-51</v>
          </cell>
          <cell r="P471" t="str">
            <v>源川医科器械株式会社　本社</v>
          </cell>
          <cell r="Q471" t="str">
            <v>遠藤様</v>
          </cell>
          <cell r="S471" t="str">
            <v>025-229-7766</v>
          </cell>
          <cell r="T471" t="str">
            <v>025-229-7770</v>
          </cell>
          <cell r="U471" t="str">
            <v>新潟大学医歯学総合病院　ICU</v>
          </cell>
          <cell r="AA471" t="str">
            <v>P18673-01N</v>
          </cell>
          <cell r="AB471" t="str">
            <v/>
          </cell>
          <cell r="AC471" t="str">
            <v/>
          </cell>
          <cell r="AD471" t="str">
            <v/>
          </cell>
          <cell r="AE471" t="str">
            <v/>
          </cell>
          <cell r="AF471" t="str">
            <v/>
          </cell>
          <cell r="AG471" t="str">
            <v/>
          </cell>
          <cell r="AH471" t="str">
            <v/>
          </cell>
          <cell r="AI471" t="str">
            <v/>
          </cell>
          <cell r="AJ471" t="str">
            <v/>
          </cell>
          <cell r="AK471" t="str">
            <v>X-PORTE ENGINE, CW, JAPAN</v>
          </cell>
          <cell r="AL471" t="str">
            <v/>
          </cell>
          <cell r="AM471" t="str">
            <v/>
          </cell>
          <cell r="AN471" t="str">
            <v/>
          </cell>
          <cell r="AO471" t="str">
            <v/>
          </cell>
          <cell r="AP471" t="str">
            <v/>
          </cell>
          <cell r="AQ471" t="str">
            <v/>
          </cell>
          <cell r="AR471" t="str">
            <v/>
          </cell>
          <cell r="AS471" t="str">
            <v/>
          </cell>
          <cell r="AT471" t="str">
            <v/>
          </cell>
          <cell r="AU471">
            <v>42005</v>
          </cell>
        </row>
        <row r="472">
          <cell r="A472" t="str">
            <v>S16-0469</v>
          </cell>
          <cell r="B472" t="str">
            <v>大分記念病院_0469 (2)</v>
          </cell>
          <cell r="C472" t="str">
            <v>SR#4221629</v>
          </cell>
          <cell r="D472" t="str">
            <v>-</v>
          </cell>
          <cell r="E472" t="str">
            <v>無償</v>
          </cell>
          <cell r="F472">
            <v>42558</v>
          </cell>
          <cell r="G472">
            <v>42558</v>
          </cell>
          <cell r="H472">
            <v>42629</v>
          </cell>
          <cell r="I472">
            <v>40893</v>
          </cell>
          <cell r="K472" t="str">
            <v>高橋</v>
          </cell>
          <cell r="L472">
            <v>3</v>
          </cell>
          <cell r="M472" t="str">
            <v>NanoMaxx</v>
          </cell>
          <cell r="N472" t="str">
            <v>03MHL5</v>
          </cell>
          <cell r="O472" t="str">
            <v>P12700-04</v>
          </cell>
          <cell r="P472" t="str">
            <v>日本コヴィディエン株式会社　南日本透析営業所</v>
          </cell>
          <cell r="Q472" t="str">
            <v>内田様</v>
          </cell>
          <cell r="R472" t="str">
            <v>〒108-0075  東京都港区港南一丁目2番70号　品川シーズンテラス　22F</v>
          </cell>
          <cell r="S472" t="str">
            <v>03-6774-4629</v>
          </cell>
          <cell r="T472" t="str">
            <v>03-6774-4740</v>
          </cell>
          <cell r="U472" t="str">
            <v>大分記念病院</v>
          </cell>
          <cell r="V472" t="str">
            <v>-</v>
          </cell>
          <cell r="W472" t="str">
            <v>-</v>
          </cell>
          <cell r="X472" t="str">
            <v>097-543-5005</v>
          </cell>
          <cell r="Y472" t="str">
            <v>〒870-0854 大分県大分市羽屋9-5</v>
          </cell>
          <cell r="AA472" t="str">
            <v/>
          </cell>
          <cell r="AB472" t="str">
            <v>P12718-02</v>
          </cell>
          <cell r="AC472" t="str">
            <v/>
          </cell>
          <cell r="AD472" t="str">
            <v/>
          </cell>
          <cell r="AE472" t="str">
            <v/>
          </cell>
          <cell r="AF472" t="str">
            <v/>
          </cell>
          <cell r="AG472" t="str">
            <v/>
          </cell>
          <cell r="AH472" t="str">
            <v/>
          </cell>
          <cell r="AI472" t="str">
            <v/>
          </cell>
          <cell r="AJ472" t="str">
            <v/>
          </cell>
          <cell r="AK472" t="str">
            <v/>
          </cell>
          <cell r="AL472" t="str">
            <v>SERVICE ASSEMBLY, BACK END PCB, NANOMAXX</v>
          </cell>
          <cell r="AM472" t="str">
            <v/>
          </cell>
          <cell r="AN472" t="str">
            <v/>
          </cell>
          <cell r="AO472" t="str">
            <v/>
          </cell>
          <cell r="AP472" t="str">
            <v/>
          </cell>
          <cell r="AQ472" t="str">
            <v/>
          </cell>
          <cell r="AR472" t="str">
            <v/>
          </cell>
          <cell r="AS472" t="str">
            <v/>
          </cell>
          <cell r="AT472" t="str">
            <v/>
          </cell>
          <cell r="AU472">
            <v>40756</v>
          </cell>
        </row>
        <row r="473">
          <cell r="A473" t="str">
            <v>S16-0470</v>
          </cell>
          <cell r="B473" t="str">
            <v>加藤病院_0470 (2)</v>
          </cell>
          <cell r="C473" t="str">
            <v>SR#不要</v>
          </cell>
          <cell r="D473" t="str">
            <v>2016/07/01-06</v>
          </cell>
          <cell r="E473" t="str">
            <v>有償</v>
          </cell>
          <cell r="F473">
            <v>42558</v>
          </cell>
          <cell r="G473">
            <v>42558</v>
          </cell>
          <cell r="H473">
            <v>42585</v>
          </cell>
          <cell r="I473" t="str">
            <v>2015年4月</v>
          </cell>
          <cell r="K473" t="str">
            <v>高橋</v>
          </cell>
          <cell r="L473">
            <v>3</v>
          </cell>
          <cell r="M473" t="str">
            <v>UP-897MD</v>
          </cell>
          <cell r="N473" t="str">
            <v>39795</v>
          </cell>
          <cell r="O473" t="str">
            <v>-</v>
          </cell>
          <cell r="P473" t="str">
            <v>ティーエスアルフレッサ株式会社　浜田支店</v>
          </cell>
          <cell r="Q473" t="str">
            <v>狩野様</v>
          </cell>
          <cell r="R473" t="str">
            <v>〒697-0006　島根県浜田市下府町388-30</v>
          </cell>
          <cell r="S473" t="str">
            <v>0855-28-1414</v>
          </cell>
          <cell r="T473" t="str">
            <v>0855-28-1414</v>
          </cell>
          <cell r="U473" t="str">
            <v>仁寿会　加藤病院</v>
          </cell>
          <cell r="V473" t="str">
            <v>石橋様</v>
          </cell>
          <cell r="W473" t="str">
            <v>検査科</v>
          </cell>
          <cell r="X473" t="str">
            <v>0855-72-0640</v>
          </cell>
          <cell r="Y473" t="str">
            <v>〒696-0001 島根県邑智郡川本町川本383-1</v>
          </cell>
          <cell r="AA473" t="str">
            <v>A1078892B</v>
          </cell>
          <cell r="AB473" t="str">
            <v/>
          </cell>
          <cell r="AC473" t="str">
            <v/>
          </cell>
          <cell r="AD473" t="str">
            <v/>
          </cell>
          <cell r="AE473" t="str">
            <v/>
          </cell>
          <cell r="AF473" t="str">
            <v/>
          </cell>
          <cell r="AG473" t="str">
            <v/>
          </cell>
          <cell r="AH473" t="str">
            <v/>
          </cell>
          <cell r="AI473" t="str">
            <v/>
          </cell>
          <cell r="AJ473" t="str">
            <v/>
          </cell>
          <cell r="AK473" t="str">
            <v>SE-768　MOUNT</v>
          </cell>
          <cell r="AL473" t="str">
            <v/>
          </cell>
          <cell r="AM473" t="str">
            <v/>
          </cell>
          <cell r="AN473" t="str">
            <v/>
          </cell>
          <cell r="AO473" t="str">
            <v/>
          </cell>
          <cell r="AP473" t="str">
            <v/>
          </cell>
          <cell r="AQ473" t="str">
            <v/>
          </cell>
          <cell r="AR473" t="str">
            <v/>
          </cell>
          <cell r="AS473" t="str">
            <v/>
          </cell>
          <cell r="AT473" t="str">
            <v/>
          </cell>
          <cell r="AU473" t="str">
            <v>-</v>
          </cell>
        </row>
        <row r="474">
          <cell r="A474" t="str">
            <v>S16-0471</v>
          </cell>
          <cell r="B474" t="str">
            <v>大阪警察病院_0471 (2)</v>
          </cell>
          <cell r="C474" t="str">
            <v>SR#4220349</v>
          </cell>
          <cell r="D474" t="str">
            <v>2016/06/29-02</v>
          </cell>
          <cell r="E474" t="str">
            <v>無償</v>
          </cell>
          <cell r="F474">
            <v>42559</v>
          </cell>
          <cell r="G474">
            <v>42559</v>
          </cell>
          <cell r="H474">
            <v>42647</v>
          </cell>
          <cell r="I474" t="str">
            <v>不明</v>
          </cell>
          <cell r="K474" t="str">
            <v>高橋</v>
          </cell>
          <cell r="L474">
            <v>3</v>
          </cell>
          <cell r="M474" t="str">
            <v>M-Turbo</v>
          </cell>
          <cell r="N474" t="str">
            <v>WK32PG</v>
          </cell>
          <cell r="O474" t="str">
            <v>P16693-60</v>
          </cell>
          <cell r="P474" t="str">
            <v>小西医療器株式会社</v>
          </cell>
          <cell r="Q474" t="str">
            <v>真住居様</v>
          </cell>
          <cell r="R474" t="str">
            <v>〒540-0038 大阪府大阪市中央区内淡路町2-1-5</v>
          </cell>
          <cell r="S474" t="str">
            <v>06-6941-1365</v>
          </cell>
          <cell r="T474" t="str">
            <v>06-6941-1089</v>
          </cell>
          <cell r="U474" t="str">
            <v>大阪警察病院</v>
          </cell>
          <cell r="V474" t="str">
            <v>-</v>
          </cell>
          <cell r="W474" t="str">
            <v>-</v>
          </cell>
          <cell r="X474" t="str">
            <v>06-6771-6051</v>
          </cell>
          <cell r="Y474" t="str">
            <v>〒543-0035 大阪府大阪市天王寺区北山町10-31</v>
          </cell>
          <cell r="AA474" t="str">
            <v>P19087-02</v>
          </cell>
          <cell r="AB474" t="str">
            <v/>
          </cell>
          <cell r="AC474" t="str">
            <v/>
          </cell>
          <cell r="AD474" t="str">
            <v/>
          </cell>
          <cell r="AE474" t="str">
            <v/>
          </cell>
          <cell r="AF474" t="str">
            <v/>
          </cell>
          <cell r="AG474" t="str">
            <v/>
          </cell>
          <cell r="AH474" t="str">
            <v/>
          </cell>
          <cell r="AI474" t="str">
            <v/>
          </cell>
          <cell r="AJ474" t="str">
            <v/>
          </cell>
          <cell r="AK474" t="str">
            <v>MAIN PCBA, M-Turbo</v>
          </cell>
          <cell r="AL474" t="str">
            <v/>
          </cell>
          <cell r="AM474" t="str">
            <v/>
          </cell>
          <cell r="AN474" t="str">
            <v/>
          </cell>
          <cell r="AO474" t="str">
            <v/>
          </cell>
          <cell r="AP474" t="str">
            <v/>
          </cell>
          <cell r="AQ474" t="str">
            <v/>
          </cell>
          <cell r="AR474" t="str">
            <v/>
          </cell>
          <cell r="AS474" t="str">
            <v/>
          </cell>
          <cell r="AT474" t="str">
            <v/>
          </cell>
          <cell r="AU474">
            <v>42095</v>
          </cell>
        </row>
        <row r="475">
          <cell r="A475" t="str">
            <v>S16-0472</v>
          </cell>
          <cell r="B475" t="str">
            <v>應天堂内科中田町CL_0472 (2)</v>
          </cell>
          <cell r="C475" t="str">
            <v>SR#4220339</v>
          </cell>
          <cell r="D475" t="str">
            <v>2016/07/06-02</v>
          </cell>
          <cell r="E475" t="str">
            <v>無償</v>
          </cell>
          <cell r="F475">
            <v>42559</v>
          </cell>
          <cell r="G475">
            <v>42559</v>
          </cell>
          <cell r="H475">
            <v>42606</v>
          </cell>
          <cell r="I475" t="str">
            <v>不明</v>
          </cell>
          <cell r="K475" t="str">
            <v>高橋</v>
          </cell>
          <cell r="L475">
            <v>3</v>
          </cell>
          <cell r="M475" t="str">
            <v>MicroMaxx</v>
          </cell>
          <cell r="N475" t="str">
            <v>WK1DMP</v>
          </cell>
          <cell r="O475" t="str">
            <v>P08063-07</v>
          </cell>
          <cell r="P475" t="str">
            <v>富士フイルムメディカル株式会社　神奈川支店</v>
          </cell>
          <cell r="Q475" t="str">
            <v>芝滝様</v>
          </cell>
          <cell r="R475" t="str">
            <v>〒222-0033　神奈川県横浜市港北区新横浜2-8-11</v>
          </cell>
          <cell r="S475" t="str">
            <v>045-471-7311</v>
          </cell>
          <cell r="T475" t="str">
            <v>045-472-6321</v>
          </cell>
          <cell r="U475" t="str">
            <v>應天堂内科中田町クリニック</v>
          </cell>
          <cell r="V475" t="str">
            <v>-</v>
          </cell>
          <cell r="W475" t="str">
            <v>-</v>
          </cell>
          <cell r="X475" t="str">
            <v xml:space="preserve"> 045-800-3330</v>
          </cell>
          <cell r="Y475" t="str">
            <v>〒245-0014　神奈川県横浜市泉区中田南3-6-1　希光ビル2F</v>
          </cell>
          <cell r="AA475" t="str">
            <v/>
          </cell>
          <cell r="AB475" t="str">
            <v>P05471-01</v>
          </cell>
          <cell r="AC475" t="str">
            <v>P07418-02</v>
          </cell>
          <cell r="AD475" t="str">
            <v/>
          </cell>
          <cell r="AE475" t="str">
            <v/>
          </cell>
          <cell r="AF475" t="str">
            <v/>
          </cell>
          <cell r="AG475" t="str">
            <v/>
          </cell>
          <cell r="AH475" t="str">
            <v/>
          </cell>
          <cell r="AI475" t="str">
            <v/>
          </cell>
          <cell r="AJ475" t="str">
            <v/>
          </cell>
          <cell r="AK475" t="str">
            <v/>
          </cell>
          <cell r="AL475" t="str">
            <v>SERVICE ASSEMBLY, POWER SUPPLY, MICROMAXX</v>
          </cell>
          <cell r="AM475" t="str">
            <v>SERVICE ASSEMBLY MAIN PCBA, D2, MICROMAXX</v>
          </cell>
          <cell r="AN475" t="str">
            <v/>
          </cell>
          <cell r="AO475" t="str">
            <v/>
          </cell>
          <cell r="AP475" t="str">
            <v/>
          </cell>
          <cell r="AQ475" t="str">
            <v/>
          </cell>
          <cell r="AR475" t="str">
            <v/>
          </cell>
          <cell r="AS475" t="str">
            <v/>
          </cell>
          <cell r="AT475" t="str">
            <v/>
          </cell>
          <cell r="AU475">
            <v>41426</v>
          </cell>
        </row>
        <row r="476">
          <cell r="A476" t="str">
            <v>S16-0473</v>
          </cell>
          <cell r="B476" t="str">
            <v>北里大学病院_0473 (2)</v>
          </cell>
          <cell r="C476" t="str">
            <v>SR#4220341</v>
          </cell>
          <cell r="D476" t="str">
            <v>2016/07/06-01</v>
          </cell>
          <cell r="E476" t="str">
            <v>無償</v>
          </cell>
          <cell r="F476">
            <v>42559</v>
          </cell>
          <cell r="G476">
            <v>42559</v>
          </cell>
          <cell r="H476">
            <v>42646</v>
          </cell>
          <cell r="I476" t="str">
            <v>不明</v>
          </cell>
          <cell r="K476" t="str">
            <v>高橋</v>
          </cell>
          <cell r="L476">
            <v>3</v>
          </cell>
          <cell r="M476" t="str">
            <v>M-Turbo</v>
          </cell>
          <cell r="N476" t="str">
            <v>WK1YN5</v>
          </cell>
          <cell r="O476" t="str">
            <v>P09141-26</v>
          </cell>
          <cell r="P476" t="str">
            <v>株式会社イノメディックス　相模原営業所</v>
          </cell>
          <cell r="Q476" t="str">
            <v>梶原様</v>
          </cell>
          <cell r="R476" t="str">
            <v>〒252-0206　神奈川県相模原市中央区淵野辺4-19-16</v>
          </cell>
          <cell r="S476" t="str">
            <v>042-752-7611</v>
          </cell>
          <cell r="T476" t="str">
            <v>042-752-2449</v>
          </cell>
          <cell r="U476" t="str">
            <v>北里大学病院　透析室</v>
          </cell>
          <cell r="V476" t="str">
            <v>-</v>
          </cell>
          <cell r="W476" t="str">
            <v>-</v>
          </cell>
          <cell r="X476" t="str">
            <v>042-778-8111</v>
          </cell>
          <cell r="Y476" t="str">
            <v>〒252-0375 神奈川県相模原市南区北里1-15-1</v>
          </cell>
          <cell r="AA476" t="str">
            <v>P19087-02</v>
          </cell>
          <cell r="AB476" t="str">
            <v>P08850-02</v>
          </cell>
          <cell r="AC476" t="str">
            <v/>
          </cell>
          <cell r="AD476" t="str">
            <v/>
          </cell>
          <cell r="AE476" t="str">
            <v/>
          </cell>
          <cell r="AF476" t="str">
            <v/>
          </cell>
          <cell r="AG476" t="str">
            <v/>
          </cell>
          <cell r="AH476" t="str">
            <v/>
          </cell>
          <cell r="AI476" t="str">
            <v/>
          </cell>
          <cell r="AJ476" t="str">
            <v/>
          </cell>
          <cell r="AK476" t="str">
            <v>MAIN PCBA, M-Turbo</v>
          </cell>
          <cell r="AL476" t="str">
            <v>SERVICE ASSEMBLY, POWER SUPPLY, M/S TURBO, EDGE</v>
          </cell>
          <cell r="AM476" t="str">
            <v/>
          </cell>
          <cell r="AN476" t="str">
            <v/>
          </cell>
          <cell r="AO476" t="str">
            <v/>
          </cell>
          <cell r="AP476" t="str">
            <v/>
          </cell>
          <cell r="AQ476" t="str">
            <v/>
          </cell>
          <cell r="AR476" t="str">
            <v/>
          </cell>
          <cell r="AS476" t="str">
            <v/>
          </cell>
          <cell r="AT476" t="str">
            <v/>
          </cell>
          <cell r="AU476">
            <v>41579</v>
          </cell>
        </row>
        <row r="477">
          <cell r="A477" t="str">
            <v>S16-0474</v>
          </cell>
          <cell r="B477" t="str">
            <v>神居ペインクリニック_0474 (2)</v>
          </cell>
          <cell r="C477" t="str">
            <v>SR#4230107</v>
          </cell>
          <cell r="D477" t="str">
            <v>2016/06/27-02</v>
          </cell>
          <cell r="E477" t="str">
            <v>無償</v>
          </cell>
          <cell r="F477">
            <v>42562</v>
          </cell>
          <cell r="G477">
            <v>42562</v>
          </cell>
          <cell r="H477">
            <v>42587</v>
          </cell>
          <cell r="I477" t="str">
            <v>不明</v>
          </cell>
          <cell r="K477" t="str">
            <v>高橋</v>
          </cell>
          <cell r="L477" t="str">
            <v>-</v>
          </cell>
          <cell r="M477" t="str">
            <v>M-Turbo</v>
          </cell>
          <cell r="N477" t="str">
            <v>WK1HKQ</v>
          </cell>
          <cell r="O477" t="str">
            <v>P09141-25</v>
          </cell>
          <cell r="P477" t="str">
            <v>株式会社竹山　旭川支店</v>
          </cell>
          <cell r="Q477" t="str">
            <v>福地様</v>
          </cell>
          <cell r="R477" t="str">
            <v>〒079-8402　北海道旭川市秋月2条2丁目5-22</v>
          </cell>
          <cell r="S477" t="str">
            <v>0166-73-3011</v>
          </cell>
          <cell r="T477" t="str">
            <v>0166-47-5311</v>
          </cell>
          <cell r="U477" t="str">
            <v>神居ペインクリニック</v>
          </cell>
          <cell r="V477" t="str">
            <v>-</v>
          </cell>
          <cell r="W477" t="str">
            <v>-</v>
          </cell>
          <cell r="X477" t="str">
            <v>0166-62-8600</v>
          </cell>
          <cell r="Y477" t="str">
            <v>〒070-8013 北海道旭川市神居3条9丁目1-3</v>
          </cell>
          <cell r="AA477" t="str">
            <v/>
          </cell>
          <cell r="AB477" t="str">
            <v/>
          </cell>
          <cell r="AC477" t="str">
            <v/>
          </cell>
          <cell r="AD477" t="str">
            <v/>
          </cell>
          <cell r="AE477" t="str">
            <v/>
          </cell>
          <cell r="AF477" t="str">
            <v/>
          </cell>
          <cell r="AG477" t="str">
            <v/>
          </cell>
          <cell r="AH477" t="str">
            <v/>
          </cell>
          <cell r="AI477" t="str">
            <v/>
          </cell>
          <cell r="AJ477" t="str">
            <v/>
          </cell>
          <cell r="AK477" t="str">
            <v/>
          </cell>
          <cell r="AL477" t="str">
            <v/>
          </cell>
          <cell r="AM477" t="str">
            <v/>
          </cell>
          <cell r="AN477" t="str">
            <v/>
          </cell>
          <cell r="AO477" t="str">
            <v/>
          </cell>
          <cell r="AP477" t="str">
            <v/>
          </cell>
          <cell r="AQ477" t="str">
            <v/>
          </cell>
          <cell r="AR477" t="str">
            <v/>
          </cell>
          <cell r="AS477" t="str">
            <v/>
          </cell>
          <cell r="AT477" t="str">
            <v/>
          </cell>
          <cell r="AU477">
            <v>41334</v>
          </cell>
        </row>
        <row r="478">
          <cell r="A478" t="str">
            <v>S16-0475</v>
          </cell>
          <cell r="B478" t="str">
            <v>福田病院_0475 (2)</v>
          </cell>
          <cell r="C478" t="str">
            <v>SR#4220337</v>
          </cell>
          <cell r="D478" t="str">
            <v>2016/06/21-01</v>
          </cell>
          <cell r="E478" t="str">
            <v>無償</v>
          </cell>
          <cell r="F478">
            <v>42562</v>
          </cell>
          <cell r="G478">
            <v>42562</v>
          </cell>
          <cell r="H478">
            <v>42601</v>
          </cell>
          <cell r="I478" t="str">
            <v>不明</v>
          </cell>
          <cell r="K478" t="str">
            <v>高橋</v>
          </cell>
          <cell r="L478">
            <v>3</v>
          </cell>
          <cell r="M478" t="str">
            <v>S-Nerve</v>
          </cell>
          <cell r="N478" t="str">
            <v>03XTYM</v>
          </cell>
          <cell r="O478" t="str">
            <v>P12060-12</v>
          </cell>
          <cell r="P478" t="str">
            <v>アイティーアイ株式会社　熊本支社</v>
          </cell>
          <cell r="Q478" t="str">
            <v>許斐様</v>
          </cell>
          <cell r="R478" t="str">
            <v>〒860-0826　熊本県熊本市南区平田2-12-18</v>
          </cell>
          <cell r="S478" t="str">
            <v>096-326-7551</v>
          </cell>
          <cell r="T478" t="str">
            <v>096-326-7552</v>
          </cell>
          <cell r="U478" t="str">
            <v>福田病院</v>
          </cell>
          <cell r="X478" t="str">
            <v>096-322-2995</v>
          </cell>
          <cell r="Y478" t="str">
            <v>〒860-0004 熊本県熊本市中央区新町2丁目2-6</v>
          </cell>
          <cell r="AA478" t="str">
            <v>P09135-03</v>
          </cell>
          <cell r="AB478" t="str">
            <v/>
          </cell>
          <cell r="AC478" t="str">
            <v/>
          </cell>
          <cell r="AD478" t="str">
            <v/>
          </cell>
          <cell r="AE478" t="str">
            <v/>
          </cell>
          <cell r="AF478" t="str">
            <v/>
          </cell>
          <cell r="AG478" t="str">
            <v/>
          </cell>
          <cell r="AH478" t="str">
            <v/>
          </cell>
          <cell r="AI478" t="str">
            <v/>
          </cell>
          <cell r="AJ478" t="str">
            <v/>
          </cell>
          <cell r="AK478" t="str">
            <v>SERVICE ASSEMBLY MAIN PCBA, S-SERIES</v>
          </cell>
          <cell r="AL478" t="str">
            <v/>
          </cell>
          <cell r="AM478" t="str">
            <v/>
          </cell>
          <cell r="AN478" t="str">
            <v/>
          </cell>
          <cell r="AO478" t="str">
            <v/>
          </cell>
          <cell r="AP478" t="str">
            <v/>
          </cell>
          <cell r="AQ478" t="str">
            <v/>
          </cell>
          <cell r="AR478" t="str">
            <v/>
          </cell>
          <cell r="AS478" t="str">
            <v/>
          </cell>
          <cell r="AT478" t="str">
            <v/>
          </cell>
          <cell r="AU478">
            <v>41699</v>
          </cell>
        </row>
        <row r="479">
          <cell r="A479" t="str">
            <v>S16-0476</v>
          </cell>
          <cell r="B479" t="str">
            <v>日鋼記念病院_0476 (2)</v>
          </cell>
          <cell r="C479" t="str">
            <v>SR#不要</v>
          </cell>
          <cell r="D479" t="str">
            <v>-</v>
          </cell>
          <cell r="E479" t="str">
            <v>有償</v>
          </cell>
          <cell r="F479">
            <v>42562</v>
          </cell>
          <cell r="G479">
            <v>42562</v>
          </cell>
          <cell r="H479">
            <v>42571</v>
          </cell>
          <cell r="I479" t="str">
            <v>不明</v>
          </cell>
          <cell r="K479" t="str">
            <v>-</v>
          </cell>
          <cell r="L479" t="str">
            <v>-</v>
          </cell>
          <cell r="M479" t="str">
            <v>NanoMaxx</v>
          </cell>
          <cell r="N479" t="str">
            <v>03K0N1</v>
          </cell>
          <cell r="O479" t="str">
            <v>P12700-30</v>
          </cell>
          <cell r="P479" t="str">
            <v>日本コヴィディエン株式会社　札幌北東北営業所</v>
          </cell>
          <cell r="Q479" t="str">
            <v>佐藤様</v>
          </cell>
          <cell r="R479" t="str">
            <v>〒108-0075  東京都港区港南一丁目2番70号　品川シーズンテラス　22F</v>
          </cell>
          <cell r="S479" t="str">
            <v>03-6774-4629</v>
          </cell>
          <cell r="T479" t="str">
            <v>03-6774-4740</v>
          </cell>
          <cell r="U479" t="str">
            <v>日鋼記念病院</v>
          </cell>
          <cell r="V479" t="str">
            <v>-</v>
          </cell>
          <cell r="W479" t="str">
            <v>-</v>
          </cell>
          <cell r="X479" t="str">
            <v>0143-24-1331</v>
          </cell>
          <cell r="Y479" t="str">
            <v>〒051-0005　北海道室蘭市新富町1-5-13</v>
          </cell>
          <cell r="AA479" t="str">
            <v/>
          </cell>
          <cell r="AB479" t="str">
            <v/>
          </cell>
          <cell r="AC479" t="str">
            <v/>
          </cell>
          <cell r="AD479" t="str">
            <v/>
          </cell>
          <cell r="AE479" t="str">
            <v/>
          </cell>
          <cell r="AF479" t="str">
            <v/>
          </cell>
          <cell r="AG479" t="str">
            <v/>
          </cell>
          <cell r="AH479" t="str">
            <v/>
          </cell>
          <cell r="AI479" t="str">
            <v/>
          </cell>
          <cell r="AJ479" t="str">
            <v/>
          </cell>
          <cell r="AK479" t="str">
            <v/>
          </cell>
          <cell r="AL479" t="str">
            <v/>
          </cell>
          <cell r="AM479" t="str">
            <v/>
          </cell>
          <cell r="AN479" t="str">
            <v/>
          </cell>
          <cell r="AO479" t="str">
            <v/>
          </cell>
          <cell r="AP479" t="str">
            <v/>
          </cell>
          <cell r="AQ479" t="str">
            <v/>
          </cell>
          <cell r="AR479" t="str">
            <v/>
          </cell>
          <cell r="AS479" t="str">
            <v/>
          </cell>
          <cell r="AT479" t="str">
            <v/>
          </cell>
          <cell r="AU479">
            <v>40483</v>
          </cell>
        </row>
        <row r="480">
          <cell r="A480" t="str">
            <v>S16-0477</v>
          </cell>
          <cell r="B480" t="str">
            <v>ヨナハ総合病院_0477</v>
          </cell>
          <cell r="C480" t="e">
            <v>#REF!</v>
          </cell>
          <cell r="D480" t="e">
            <v>#REF!</v>
          </cell>
          <cell r="E480" t="e">
            <v>#REF!</v>
          </cell>
          <cell r="F480" t="e">
            <v>#REF!</v>
          </cell>
          <cell r="G480" t="e">
            <v>#REF!</v>
          </cell>
          <cell r="H480" t="e">
            <v>#REF!</v>
          </cell>
          <cell r="I480" t="e">
            <v>#REF!</v>
          </cell>
          <cell r="K480" t="e">
            <v>#REF!</v>
          </cell>
          <cell r="M480" t="e">
            <v>#REF!</v>
          </cell>
          <cell r="N480" t="e">
            <v>#REF!</v>
          </cell>
          <cell r="O480" t="e">
            <v>#REF!</v>
          </cell>
          <cell r="P480" t="e">
            <v>#REF!</v>
          </cell>
          <cell r="Q480" t="e">
            <v>#REF!</v>
          </cell>
          <cell r="S480" t="e">
            <v>#REF!</v>
          </cell>
          <cell r="T480" t="e">
            <v>#REF!</v>
          </cell>
          <cell r="U480" t="e">
            <v>#REF!</v>
          </cell>
          <cell r="AA480" t="e">
            <v>#REF!</v>
          </cell>
          <cell r="AB480" t="e">
            <v>#REF!</v>
          </cell>
          <cell r="AC480" t="e">
            <v>#REF!</v>
          </cell>
          <cell r="AD480" t="e">
            <v>#REF!</v>
          </cell>
          <cell r="AE480" t="e">
            <v>#REF!</v>
          </cell>
          <cell r="AF480" t="e">
            <v>#REF!</v>
          </cell>
          <cell r="AG480" t="e">
            <v>#REF!</v>
          </cell>
          <cell r="AH480" t="e">
            <v>#REF!</v>
          </cell>
          <cell r="AI480" t="e">
            <v>#REF!</v>
          </cell>
          <cell r="AJ480" t="e">
            <v>#REF!</v>
          </cell>
          <cell r="AK480" t="e">
            <v>#REF!</v>
          </cell>
          <cell r="AL480" t="e">
            <v>#REF!</v>
          </cell>
          <cell r="AM480" t="e">
            <v>#REF!</v>
          </cell>
          <cell r="AN480" t="e">
            <v>#REF!</v>
          </cell>
          <cell r="AO480" t="e">
            <v>#REF!</v>
          </cell>
          <cell r="AP480" t="e">
            <v>#REF!</v>
          </cell>
          <cell r="AQ480" t="e">
            <v>#REF!</v>
          </cell>
          <cell r="AR480" t="e">
            <v>#REF!</v>
          </cell>
          <cell r="AS480" t="e">
            <v>#REF!</v>
          </cell>
          <cell r="AT480" t="e">
            <v>#REF!</v>
          </cell>
          <cell r="AU480" t="e">
            <v>#REF!</v>
          </cell>
        </row>
        <row r="481">
          <cell r="A481" t="str">
            <v>S16-0478</v>
          </cell>
          <cell r="B481" t="str">
            <v>長岡中央病院_0478 (2)</v>
          </cell>
          <cell r="C481" t="str">
            <v>SR#4221627</v>
          </cell>
          <cell r="D481" t="str">
            <v>2016/07/05-02</v>
          </cell>
          <cell r="E481" t="str">
            <v>無償</v>
          </cell>
          <cell r="F481">
            <v>42562</v>
          </cell>
          <cell r="G481">
            <v>42562</v>
          </cell>
          <cell r="H481">
            <v>42647</v>
          </cell>
          <cell r="I481" t="str">
            <v>不明</v>
          </cell>
          <cell r="K481" t="str">
            <v>高橋</v>
          </cell>
          <cell r="L481">
            <v>3</v>
          </cell>
          <cell r="M481" t="str">
            <v>S-Nerve</v>
          </cell>
          <cell r="N481" t="str">
            <v>03N18M</v>
          </cell>
          <cell r="O481" t="str">
            <v>P12060-07</v>
          </cell>
          <cell r="P481" t="str">
            <v>源川医科器械株式会社　長岡営業所</v>
          </cell>
          <cell r="Q481" t="str">
            <v>成田様</v>
          </cell>
          <cell r="R481" t="str">
            <v>〒940-0877　新潟県長岡市稲保4-720-6</v>
          </cell>
          <cell r="S481" t="str">
            <v>0258-22-6711</v>
          </cell>
          <cell r="T481" t="str">
            <v>0258-22-6722</v>
          </cell>
          <cell r="U481" t="str">
            <v>長岡中央病院</v>
          </cell>
          <cell r="V481" t="str">
            <v>-</v>
          </cell>
          <cell r="W481" t="str">
            <v>-</v>
          </cell>
          <cell r="X481" t="str">
            <v>0258-35-3700</v>
          </cell>
          <cell r="Y481" t="str">
            <v>〒940-8653 新潟県長岡市川崎町2041番地</v>
          </cell>
          <cell r="AA481" t="str">
            <v>P09135-03</v>
          </cell>
          <cell r="AB481" t="str">
            <v/>
          </cell>
          <cell r="AC481" t="str">
            <v/>
          </cell>
          <cell r="AD481" t="str">
            <v/>
          </cell>
          <cell r="AE481" t="str">
            <v/>
          </cell>
          <cell r="AF481" t="str">
            <v/>
          </cell>
          <cell r="AG481" t="str">
            <v/>
          </cell>
          <cell r="AH481" t="str">
            <v/>
          </cell>
          <cell r="AI481" t="str">
            <v/>
          </cell>
          <cell r="AJ481" t="str">
            <v/>
          </cell>
          <cell r="AK481" t="str">
            <v>SERVICE ASSEMBLY MAIN PCBA, S-SERIES</v>
          </cell>
          <cell r="AL481" t="str">
            <v/>
          </cell>
          <cell r="AM481" t="str">
            <v/>
          </cell>
          <cell r="AN481" t="str">
            <v/>
          </cell>
          <cell r="AO481" t="str">
            <v/>
          </cell>
          <cell r="AP481" t="str">
            <v/>
          </cell>
          <cell r="AQ481" t="str">
            <v/>
          </cell>
          <cell r="AR481" t="str">
            <v/>
          </cell>
          <cell r="AS481" t="str">
            <v/>
          </cell>
          <cell r="AT481" t="str">
            <v/>
          </cell>
          <cell r="AU481">
            <v>40817</v>
          </cell>
        </row>
        <row r="482">
          <cell r="A482" t="str">
            <v>S16-0479</v>
          </cell>
          <cell r="B482" t="str">
            <v>帝京大学病院_0479 (2)</v>
          </cell>
          <cell r="C482" t="str">
            <v>SR#不要</v>
          </cell>
          <cell r="D482" t="str">
            <v>-</v>
          </cell>
          <cell r="E482" t="str">
            <v>有償</v>
          </cell>
          <cell r="F482">
            <v>42562</v>
          </cell>
          <cell r="G482">
            <v>42562</v>
          </cell>
          <cell r="H482">
            <v>42592</v>
          </cell>
          <cell r="I482" t="str">
            <v>不明</v>
          </cell>
          <cell r="K482" t="str">
            <v>-</v>
          </cell>
          <cell r="L482" t="str">
            <v>-</v>
          </cell>
          <cell r="M482" t="str">
            <v>iLook Stand</v>
          </cell>
          <cell r="N482" t="str">
            <v>03526J</v>
          </cell>
          <cell r="O482" t="str">
            <v>P04307-01</v>
          </cell>
          <cell r="P482" t="str">
            <v>日本コヴィディエン株式会社</v>
          </cell>
          <cell r="Q482" t="str">
            <v>野間様</v>
          </cell>
          <cell r="R482" t="str">
            <v>〒108-0075  東京都港区港南一丁目2番70号　品川シーズンテラス　22F</v>
          </cell>
          <cell r="S482" t="str">
            <v>03-6774-4629</v>
          </cell>
          <cell r="T482" t="str">
            <v>03-6774-4740</v>
          </cell>
          <cell r="U482" t="str">
            <v>帝京大学医学部附属病院</v>
          </cell>
          <cell r="V482" t="str">
            <v>-</v>
          </cell>
          <cell r="W482" t="str">
            <v>-</v>
          </cell>
          <cell r="X482" t="str">
            <v>03-3964-1211</v>
          </cell>
          <cell r="Y482" t="str">
            <v>〒173-8606　東京都板橋区加賀2-11-1</v>
          </cell>
          <cell r="AA482" t="str">
            <v/>
          </cell>
          <cell r="AB482" t="str">
            <v/>
          </cell>
          <cell r="AC482" t="str">
            <v/>
          </cell>
          <cell r="AD482" t="str">
            <v/>
          </cell>
          <cell r="AE482" t="str">
            <v/>
          </cell>
          <cell r="AF482" t="str">
            <v/>
          </cell>
          <cell r="AG482" t="str">
            <v/>
          </cell>
          <cell r="AH482" t="str">
            <v/>
          </cell>
          <cell r="AI482" t="str">
            <v/>
          </cell>
          <cell r="AJ482" t="str">
            <v/>
          </cell>
          <cell r="AK482" t="str">
            <v/>
          </cell>
          <cell r="AL482" t="str">
            <v/>
          </cell>
          <cell r="AM482" t="str">
            <v/>
          </cell>
          <cell r="AN482" t="str">
            <v/>
          </cell>
          <cell r="AO482" t="str">
            <v/>
          </cell>
          <cell r="AP482" t="str">
            <v/>
          </cell>
          <cell r="AQ482" t="str">
            <v/>
          </cell>
          <cell r="AR482" t="str">
            <v/>
          </cell>
          <cell r="AS482" t="str">
            <v/>
          </cell>
          <cell r="AT482" t="str">
            <v/>
          </cell>
          <cell r="AU482">
            <v>38626</v>
          </cell>
        </row>
        <row r="483">
          <cell r="A483" t="str">
            <v>S16-0480</v>
          </cell>
          <cell r="B483" t="str">
            <v>苫小牧市立病院_0480 (2)</v>
          </cell>
          <cell r="C483" t="str">
            <v>SR#4233591</v>
          </cell>
          <cell r="D483" t="str">
            <v>2016/06/01-01</v>
          </cell>
          <cell r="E483" t="str">
            <v>有償</v>
          </cell>
          <cell r="F483">
            <v>42563</v>
          </cell>
          <cell r="G483">
            <v>42563</v>
          </cell>
          <cell r="H483">
            <v>42612</v>
          </cell>
          <cell r="I483" t="str">
            <v>不明</v>
          </cell>
          <cell r="K483" t="str">
            <v>高橋</v>
          </cell>
          <cell r="L483">
            <v>3</v>
          </cell>
          <cell r="M483" t="str">
            <v>MicroMaxx</v>
          </cell>
          <cell r="N483" t="str">
            <v>0367MM</v>
          </cell>
          <cell r="O483" t="str">
            <v>P05670-04</v>
          </cell>
          <cell r="P483" t="str">
            <v>株式会社ムトウ　苫小牧支店</v>
          </cell>
          <cell r="Q483" t="str">
            <v>石井様</v>
          </cell>
          <cell r="R483" t="str">
            <v>〒053-0031 北海道苫小牧市春日町1丁目9番11号</v>
          </cell>
          <cell r="S483" t="str">
            <v>0144-34-6010</v>
          </cell>
          <cell r="T483" t="str">
            <v>0144-34-7892</v>
          </cell>
          <cell r="U483" t="str">
            <v>苫小牧市立病院</v>
          </cell>
          <cell r="V483" t="str">
            <v>-</v>
          </cell>
          <cell r="W483" t="str">
            <v>-</v>
          </cell>
          <cell r="X483" t="str">
            <v>0144-33-3131</v>
          </cell>
          <cell r="Y483" t="str">
            <v>〒053-8567　北海道苫小牧市清水町1丁目5番20号</v>
          </cell>
          <cell r="AA483" t="str">
            <v/>
          </cell>
          <cell r="AB483" t="str">
            <v/>
          </cell>
          <cell r="AC483" t="str">
            <v>P07168</v>
          </cell>
          <cell r="AD483" t="str">
            <v/>
          </cell>
          <cell r="AE483" t="str">
            <v/>
          </cell>
          <cell r="AF483" t="str">
            <v/>
          </cell>
          <cell r="AG483" t="str">
            <v/>
          </cell>
          <cell r="AH483" t="str">
            <v/>
          </cell>
          <cell r="AI483" t="str">
            <v/>
          </cell>
          <cell r="AJ483" t="str">
            <v/>
          </cell>
          <cell r="AK483" t="str">
            <v/>
          </cell>
          <cell r="AL483" t="str">
            <v/>
          </cell>
          <cell r="AM483" t="str">
            <v>BATTERY PACK, 6 CELL, 11.25V, 5.2AMP-HOUR, LITHIUM-ION</v>
          </cell>
          <cell r="AN483" t="str">
            <v/>
          </cell>
          <cell r="AO483" t="str">
            <v/>
          </cell>
          <cell r="AP483" t="str">
            <v/>
          </cell>
          <cell r="AQ483" t="str">
            <v/>
          </cell>
          <cell r="AR483" t="str">
            <v/>
          </cell>
          <cell r="AS483" t="str">
            <v/>
          </cell>
          <cell r="AT483" t="str">
            <v/>
          </cell>
          <cell r="AU483">
            <v>38899</v>
          </cell>
        </row>
        <row r="484">
          <cell r="A484" t="str">
            <v>S16-0481</v>
          </cell>
          <cell r="B484" t="str">
            <v>ABEクリニック_0481 (2)</v>
          </cell>
          <cell r="C484" t="str">
            <v>SR#不要</v>
          </cell>
          <cell r="D484" t="str">
            <v>2016/07/08-04</v>
          </cell>
          <cell r="E484" t="str">
            <v>無償</v>
          </cell>
          <cell r="F484">
            <v>42563</v>
          </cell>
          <cell r="G484">
            <v>42563</v>
          </cell>
          <cell r="H484">
            <v>42568</v>
          </cell>
          <cell r="I484" t="str">
            <v>不明</v>
          </cell>
          <cell r="K484" t="str">
            <v>高橋</v>
          </cell>
          <cell r="L484" t="str">
            <v>-</v>
          </cell>
          <cell r="M484" t="str">
            <v>M-Turbo</v>
          </cell>
          <cell r="N484" t="str">
            <v>WK359L</v>
          </cell>
          <cell r="O484" t="str">
            <v>P16693-62C</v>
          </cell>
          <cell r="P484" t="str">
            <v>富士フイルムメディカル株式会社</v>
          </cell>
          <cell r="Q484" t="str">
            <v>西條様</v>
          </cell>
          <cell r="R484" t="str">
            <v>〒020-0034　岩手県盛岡市盛岡駅前通8-17　明治安田生命盛岡駅前ビル4F</v>
          </cell>
          <cell r="S484" t="str">
            <v>03-6418-7190</v>
          </cell>
          <cell r="T484" t="str">
            <v>03-6418-7162</v>
          </cell>
          <cell r="U484" t="str">
            <v>ABEビルクリニック</v>
          </cell>
          <cell r="V484" t="str">
            <v>-</v>
          </cell>
          <cell r="W484" t="str">
            <v>-</v>
          </cell>
          <cell r="X484" t="str">
            <v>0178-22-7927</v>
          </cell>
          <cell r="Y484" t="str">
            <v>〒 031-0053　青森県八戸市本徒士町10-2</v>
          </cell>
          <cell r="AA484" t="str">
            <v/>
          </cell>
          <cell r="AB484" t="str">
            <v/>
          </cell>
          <cell r="AC484" t="str">
            <v/>
          </cell>
          <cell r="AD484" t="str">
            <v/>
          </cell>
          <cell r="AE484" t="str">
            <v/>
          </cell>
          <cell r="AF484" t="str">
            <v/>
          </cell>
          <cell r="AG484" t="str">
            <v/>
          </cell>
          <cell r="AH484" t="str">
            <v/>
          </cell>
          <cell r="AI484" t="str">
            <v/>
          </cell>
          <cell r="AJ484" t="str">
            <v/>
          </cell>
          <cell r="AK484" t="str">
            <v/>
          </cell>
          <cell r="AL484" t="str">
            <v/>
          </cell>
          <cell r="AM484" t="str">
            <v/>
          </cell>
          <cell r="AN484" t="str">
            <v/>
          </cell>
          <cell r="AO484" t="str">
            <v/>
          </cell>
          <cell r="AP484" t="str">
            <v/>
          </cell>
          <cell r="AQ484" t="str">
            <v/>
          </cell>
          <cell r="AR484" t="str">
            <v/>
          </cell>
          <cell r="AS484" t="str">
            <v/>
          </cell>
          <cell r="AT484" t="str">
            <v/>
          </cell>
          <cell r="AU484">
            <v>42339</v>
          </cell>
        </row>
        <row r="485">
          <cell r="A485" t="str">
            <v>S16-0482</v>
          </cell>
          <cell r="B485" t="str">
            <v>済生会茨木病院_0482 (2)</v>
          </cell>
          <cell r="C485" t="str">
            <v>SR#</v>
          </cell>
          <cell r="D485" t="str">
            <v>-</v>
          </cell>
          <cell r="E485" t="str">
            <v>有償</v>
          </cell>
          <cell r="F485">
            <v>42564</v>
          </cell>
          <cell r="G485">
            <v>42564</v>
          </cell>
          <cell r="H485">
            <v>42676</v>
          </cell>
          <cell r="I485">
            <v>39686</v>
          </cell>
          <cell r="K485" t="str">
            <v>高橋</v>
          </cell>
          <cell r="L485">
            <v>3</v>
          </cell>
          <cell r="M485" t="str">
            <v>iLook25</v>
          </cell>
          <cell r="N485" t="str">
            <v>036JPD</v>
          </cell>
          <cell r="O485" t="str">
            <v>P04303-02</v>
          </cell>
          <cell r="P485" t="str">
            <v>日本コヴィディエン株式会社 大阪営業所</v>
          </cell>
          <cell r="Q485" t="str">
            <v>草野様</v>
          </cell>
          <cell r="R485" t="str">
            <v>〒108-0075  東京都港区港南一丁目2番70号　品川シーズンテラス　22F</v>
          </cell>
          <cell r="S485" t="str">
            <v>03-6774-4629</v>
          </cell>
          <cell r="T485" t="str">
            <v>03-6774-4740</v>
          </cell>
          <cell r="U485" t="str">
            <v>済生会茨木病院</v>
          </cell>
          <cell r="V485" t="str">
            <v>-</v>
          </cell>
          <cell r="W485" t="str">
            <v>-</v>
          </cell>
          <cell r="X485" t="str">
            <v>072-622-8651</v>
          </cell>
          <cell r="Y485" t="str">
            <v>〒567-0035　大阪府茨木市見付山2-1-45</v>
          </cell>
          <cell r="AA485" t="str">
            <v>P03156-02</v>
          </cell>
          <cell r="AB485" t="str">
            <v/>
          </cell>
          <cell r="AC485" t="str">
            <v/>
          </cell>
          <cell r="AD485" t="str">
            <v/>
          </cell>
          <cell r="AE485" t="str">
            <v/>
          </cell>
          <cell r="AF485" t="str">
            <v/>
          </cell>
          <cell r="AG485" t="str">
            <v/>
          </cell>
          <cell r="AH485" t="str">
            <v/>
          </cell>
          <cell r="AI485" t="str">
            <v/>
          </cell>
          <cell r="AJ485" t="str">
            <v/>
          </cell>
          <cell r="AK485" t="str">
            <v>SERVICE ASSEMBLY, MAIN PCB, ILOOK25</v>
          </cell>
          <cell r="AL485" t="str">
            <v/>
          </cell>
          <cell r="AM485" t="str">
            <v/>
          </cell>
          <cell r="AN485" t="str">
            <v/>
          </cell>
          <cell r="AO485" t="str">
            <v/>
          </cell>
          <cell r="AP485" t="str">
            <v/>
          </cell>
          <cell r="AQ485" t="str">
            <v/>
          </cell>
          <cell r="AR485" t="str">
            <v/>
          </cell>
          <cell r="AS485" t="str">
            <v/>
          </cell>
          <cell r="AT485" t="str">
            <v/>
          </cell>
          <cell r="AU485">
            <v>39052</v>
          </cell>
        </row>
        <row r="486">
          <cell r="A486" t="str">
            <v>S16-0483</v>
          </cell>
          <cell r="B486" t="str">
            <v>国際親善総合病院_0483 (2)</v>
          </cell>
          <cell r="C486" t="str">
            <v>SR#不要</v>
          </cell>
          <cell r="D486" t="str">
            <v>2016/03/28-04</v>
          </cell>
          <cell r="E486" t="str">
            <v>有償</v>
          </cell>
          <cell r="F486">
            <v>42564</v>
          </cell>
          <cell r="G486">
            <v>42564</v>
          </cell>
          <cell r="H486">
            <v>42688</v>
          </cell>
          <cell r="I486" t="str">
            <v>不明</v>
          </cell>
          <cell r="K486" t="str">
            <v>-</v>
          </cell>
          <cell r="L486" t="str">
            <v>-</v>
          </cell>
          <cell r="M486" t="str">
            <v>SonoHeart</v>
          </cell>
          <cell r="N486" t="str">
            <v>01LC19</v>
          </cell>
          <cell r="O486" t="str">
            <v>P01349-01</v>
          </cell>
          <cell r="P486" t="str">
            <v>株式会社イノメディックス　横浜営業所</v>
          </cell>
          <cell r="Q486" t="str">
            <v>鈴木様</v>
          </cell>
          <cell r="R486" t="str">
            <v>〒224-0041 神奈川県横浜市都筑区仲町台5-2-43</v>
          </cell>
          <cell r="S486" t="str">
            <v>045-949-6271</v>
          </cell>
          <cell r="T486" t="str">
            <v>045-949-6275</v>
          </cell>
          <cell r="U486" t="str">
            <v>国際親善総合病院</v>
          </cell>
          <cell r="V486" t="str">
            <v>-</v>
          </cell>
          <cell r="W486" t="str">
            <v>-</v>
          </cell>
          <cell r="X486" t="str">
            <v>045-813-0221</v>
          </cell>
          <cell r="Y486" t="str">
            <v>〒245-0006 神奈川県横浜市泉区西が岡1-28-1</v>
          </cell>
          <cell r="AA486" t="str">
            <v/>
          </cell>
          <cell r="AB486" t="str">
            <v/>
          </cell>
          <cell r="AC486" t="str">
            <v/>
          </cell>
          <cell r="AD486" t="str">
            <v/>
          </cell>
          <cell r="AE486" t="str">
            <v/>
          </cell>
          <cell r="AF486" t="str">
            <v/>
          </cell>
          <cell r="AG486" t="str">
            <v/>
          </cell>
          <cell r="AH486" t="str">
            <v/>
          </cell>
          <cell r="AI486" t="str">
            <v/>
          </cell>
          <cell r="AJ486" t="str">
            <v/>
          </cell>
          <cell r="AK486" t="str">
            <v/>
          </cell>
          <cell r="AL486" t="str">
            <v/>
          </cell>
          <cell r="AM486" t="str">
            <v/>
          </cell>
          <cell r="AN486" t="str">
            <v/>
          </cell>
          <cell r="AO486" t="str">
            <v/>
          </cell>
          <cell r="AP486" t="str">
            <v/>
          </cell>
          <cell r="AQ486" t="str">
            <v/>
          </cell>
          <cell r="AR486" t="str">
            <v/>
          </cell>
          <cell r="AS486" t="str">
            <v/>
          </cell>
          <cell r="AT486" t="str">
            <v/>
          </cell>
          <cell r="AU486">
            <v>36739</v>
          </cell>
        </row>
        <row r="487">
          <cell r="A487" t="str">
            <v>S16-0484</v>
          </cell>
          <cell r="B487" t="str">
            <v>兵庫県立淡路医療センター_0484 (2)</v>
          </cell>
          <cell r="C487" t="str">
            <v>SR#</v>
          </cell>
          <cell r="D487" t="str">
            <v>-</v>
          </cell>
          <cell r="E487" t="str">
            <v>有償</v>
          </cell>
          <cell r="F487">
            <v>42564</v>
          </cell>
          <cell r="G487">
            <v>42564</v>
          </cell>
          <cell r="H487">
            <v>42611</v>
          </cell>
          <cell r="I487" t="str">
            <v>不明</v>
          </cell>
          <cell r="K487" t="str">
            <v>高橋</v>
          </cell>
          <cell r="L487">
            <v>3</v>
          </cell>
          <cell r="M487" t="str">
            <v>P17/5-1</v>
          </cell>
          <cell r="N487" t="str">
            <v>03LBBR</v>
          </cell>
          <cell r="O487" t="str">
            <v>P06528-05</v>
          </cell>
          <cell r="P487" t="str">
            <v>フクダ電子兵庫販売株式会社</v>
          </cell>
          <cell r="Q487" t="str">
            <v>西元様</v>
          </cell>
          <cell r="R487" t="str">
            <v>〒650-0047　兵庫県神戸市中央区港島南町6-5-3</v>
          </cell>
          <cell r="S487" t="str">
            <v>078-302-3001</v>
          </cell>
          <cell r="T487" t="str">
            <v>078-302-3008</v>
          </cell>
          <cell r="U487" t="str">
            <v>兵庫県立淡路医療センター</v>
          </cell>
          <cell r="AA487" t="str">
            <v>P06528-50</v>
          </cell>
          <cell r="AB487" t="str">
            <v/>
          </cell>
          <cell r="AC487" t="str">
            <v/>
          </cell>
          <cell r="AD487" t="str">
            <v/>
          </cell>
          <cell r="AE487" t="str">
            <v/>
          </cell>
          <cell r="AF487" t="str">
            <v/>
          </cell>
          <cell r="AG487" t="str">
            <v/>
          </cell>
          <cell r="AH487" t="str">
            <v/>
          </cell>
          <cell r="AI487" t="str">
            <v/>
          </cell>
          <cell r="AJ487" t="str">
            <v/>
          </cell>
          <cell r="AK487" t="str">
            <v>P17/5-1 Phased Array Transducer (MicroMaxx)</v>
          </cell>
          <cell r="AL487" t="str">
            <v/>
          </cell>
          <cell r="AM487" t="str">
            <v/>
          </cell>
          <cell r="AN487" t="str">
            <v/>
          </cell>
          <cell r="AO487" t="str">
            <v/>
          </cell>
          <cell r="AP487" t="str">
            <v/>
          </cell>
          <cell r="AQ487" t="str">
            <v/>
          </cell>
          <cell r="AR487" t="str">
            <v/>
          </cell>
          <cell r="AS487" t="str">
            <v/>
          </cell>
          <cell r="AT487" t="str">
            <v/>
          </cell>
          <cell r="AU487">
            <v>40575</v>
          </cell>
        </row>
        <row r="488">
          <cell r="A488" t="str">
            <v>S16-0485</v>
          </cell>
          <cell r="B488" t="str">
            <v>代替機NIM64_0485 (2)</v>
          </cell>
          <cell r="C488" t="str">
            <v>SR#4221675</v>
          </cell>
          <cell r="D488" t="str">
            <v>-</v>
          </cell>
          <cell r="E488" t="str">
            <v>無償</v>
          </cell>
          <cell r="F488">
            <v>42565</v>
          </cell>
          <cell r="G488">
            <v>42565</v>
          </cell>
          <cell r="H488">
            <v>42674</v>
          </cell>
          <cell r="I488" t="str">
            <v>―</v>
          </cell>
          <cell r="K488" t="str">
            <v>梶田</v>
          </cell>
          <cell r="L488">
            <v>3</v>
          </cell>
          <cell r="M488" t="str">
            <v>TiTAN</v>
          </cell>
          <cell r="N488" t="str">
            <v>0346CV</v>
          </cell>
          <cell r="O488" t="str">
            <v>P04723-01</v>
          </cell>
          <cell r="P488" t="str">
            <v>富士フイルムメディカル株式会社</v>
          </cell>
          <cell r="Q488" t="str">
            <v>テクニカルサポート</v>
          </cell>
          <cell r="R488" t="str">
            <v>-</v>
          </cell>
          <cell r="S488" t="str">
            <v>03-6418-7190</v>
          </cell>
          <cell r="T488" t="str">
            <v>03-6418-7162</v>
          </cell>
          <cell r="U488" t="str">
            <v>代替機NIM64</v>
          </cell>
          <cell r="V488" t="str">
            <v>-</v>
          </cell>
          <cell r="W488" t="str">
            <v>-</v>
          </cell>
          <cell r="X488" t="str">
            <v>-</v>
          </cell>
          <cell r="Y488" t="str">
            <v>-</v>
          </cell>
          <cell r="AA488" t="str">
            <v>P06902-01</v>
          </cell>
          <cell r="AB488" t="str">
            <v>P06733-01</v>
          </cell>
          <cell r="AC488" t="str">
            <v/>
          </cell>
          <cell r="AD488" t="str">
            <v/>
          </cell>
          <cell r="AE488" t="str">
            <v/>
          </cell>
          <cell r="AF488" t="str">
            <v/>
          </cell>
          <cell r="AG488" t="str">
            <v/>
          </cell>
          <cell r="AH488" t="str">
            <v/>
          </cell>
          <cell r="AI488" t="str">
            <v/>
          </cell>
          <cell r="AJ488" t="str">
            <v/>
          </cell>
          <cell r="AK488" t="str">
            <v>SERVICE ASSEMBLY, POWER SUPPLY, 2.3.1 TITAN</v>
          </cell>
          <cell r="AL488" t="str">
            <v>SERVICE ASSEMBLY MAIN PCBA, NEW CONN, TITAN HIGH MEMORY</v>
          </cell>
          <cell r="AM488" t="str">
            <v/>
          </cell>
          <cell r="AN488" t="str">
            <v/>
          </cell>
          <cell r="AO488" t="str">
            <v/>
          </cell>
          <cell r="AP488" t="str">
            <v/>
          </cell>
          <cell r="AQ488" t="str">
            <v/>
          </cell>
          <cell r="AR488" t="str">
            <v/>
          </cell>
          <cell r="AS488" t="str">
            <v/>
          </cell>
          <cell r="AT488" t="str">
            <v/>
          </cell>
          <cell r="AU488">
            <v>38473</v>
          </cell>
        </row>
        <row r="489">
          <cell r="A489" t="str">
            <v>S16-0486</v>
          </cell>
          <cell r="B489" t="str">
            <v>長野赤十字病院_0486 (2)</v>
          </cell>
          <cell r="C489" t="str">
            <v>SR#不要</v>
          </cell>
          <cell r="D489" t="str">
            <v>2016/07/11-02</v>
          </cell>
          <cell r="E489" t="str">
            <v>無償</v>
          </cell>
          <cell r="F489">
            <v>42565</v>
          </cell>
          <cell r="G489">
            <v>42565</v>
          </cell>
          <cell r="H489">
            <v>42578</v>
          </cell>
          <cell r="I489" t="str">
            <v>不明</v>
          </cell>
          <cell r="K489" t="str">
            <v>-</v>
          </cell>
          <cell r="L489" t="str">
            <v>-</v>
          </cell>
          <cell r="M489" t="str">
            <v>Mini-Dock</v>
          </cell>
          <cell r="N489" t="str">
            <v>WT093N</v>
          </cell>
          <cell r="O489" t="str">
            <v>P12316-01</v>
          </cell>
          <cell r="P489" t="str">
            <v>株式会社上條器械店 長野営業所</v>
          </cell>
          <cell r="Q489" t="str">
            <v>小嶋様</v>
          </cell>
          <cell r="R489" t="str">
            <v>〒380-0921　長野県長野市栗田501-1</v>
          </cell>
          <cell r="S489" t="str">
            <v>026-227-2952</v>
          </cell>
          <cell r="T489" t="str">
            <v>026-227-4339</v>
          </cell>
          <cell r="U489" t="str">
            <v>長野赤十字病院 COP</v>
          </cell>
          <cell r="V489" t="str">
            <v>坂口師長</v>
          </cell>
          <cell r="W489" t="str">
            <v>COP</v>
          </cell>
          <cell r="X489" t="str">
            <v>026-226-4131</v>
          </cell>
          <cell r="Y489" t="str">
            <v>〒380-8582　長野県長野市若里五丁目22番1号</v>
          </cell>
          <cell r="AA489" t="str">
            <v/>
          </cell>
          <cell r="AB489" t="str">
            <v/>
          </cell>
          <cell r="AC489" t="str">
            <v/>
          </cell>
          <cell r="AD489" t="str">
            <v/>
          </cell>
          <cell r="AE489" t="str">
            <v/>
          </cell>
          <cell r="AF489" t="str">
            <v/>
          </cell>
          <cell r="AG489" t="str">
            <v/>
          </cell>
          <cell r="AH489" t="str">
            <v/>
          </cell>
          <cell r="AI489" t="str">
            <v/>
          </cell>
          <cell r="AJ489" t="str">
            <v/>
          </cell>
          <cell r="AK489" t="str">
            <v/>
          </cell>
          <cell r="AL489" t="str">
            <v/>
          </cell>
          <cell r="AM489" t="str">
            <v/>
          </cell>
          <cell r="AN489" t="str">
            <v/>
          </cell>
          <cell r="AO489" t="str">
            <v/>
          </cell>
          <cell r="AP489" t="str">
            <v/>
          </cell>
          <cell r="AQ489" t="str">
            <v/>
          </cell>
          <cell r="AR489" t="str">
            <v/>
          </cell>
          <cell r="AS489" t="str">
            <v/>
          </cell>
          <cell r="AT489" t="str">
            <v/>
          </cell>
          <cell r="AU489">
            <v>40513</v>
          </cell>
        </row>
        <row r="490">
          <cell r="A490" t="str">
            <v>S16-0487</v>
          </cell>
          <cell r="B490" t="str">
            <v>呉医療センター_0487 (2)</v>
          </cell>
          <cell r="C490" t="str">
            <v>SR#不要</v>
          </cell>
          <cell r="D490" t="str">
            <v>2016/07/08-01</v>
          </cell>
          <cell r="E490" t="str">
            <v>有償</v>
          </cell>
          <cell r="F490">
            <v>42565</v>
          </cell>
          <cell r="G490">
            <v>42565</v>
          </cell>
          <cell r="H490">
            <v>42586</v>
          </cell>
          <cell r="I490" t="str">
            <v>不明</v>
          </cell>
          <cell r="K490" t="str">
            <v>高橋</v>
          </cell>
          <cell r="L490" t="str">
            <v>-</v>
          </cell>
          <cell r="M490">
            <v>180</v>
          </cell>
          <cell r="N490" t="str">
            <v>01LBPT</v>
          </cell>
          <cell r="O490" t="str">
            <v>P01102-03</v>
          </cell>
          <cell r="P490" t="str">
            <v>ティーエスアルフレッサ株式会社呉支店</v>
          </cell>
          <cell r="Q490" t="str">
            <v>岡崎様</v>
          </cell>
          <cell r="R490" t="str">
            <v>〒737-0822　広島県呉市築地町5-16</v>
          </cell>
          <cell r="S490" t="str">
            <v>0823-22-2313</v>
          </cell>
          <cell r="T490" t="str">
            <v>0823-22-3249</v>
          </cell>
          <cell r="U490" t="str">
            <v>呉医療センター 7B 0823-22-3111</v>
          </cell>
          <cell r="V490" t="str">
            <v>中野先生</v>
          </cell>
          <cell r="W490" t="str">
            <v>7B</v>
          </cell>
          <cell r="X490" t="str">
            <v>0823-22-3111</v>
          </cell>
          <cell r="Y490" t="str">
            <v>〒736-0023 広島県呉市青山町3-1</v>
          </cell>
          <cell r="AA490" t="str">
            <v/>
          </cell>
          <cell r="AB490" t="str">
            <v/>
          </cell>
          <cell r="AC490" t="str">
            <v/>
          </cell>
          <cell r="AD490" t="str">
            <v/>
          </cell>
          <cell r="AE490" t="str">
            <v/>
          </cell>
          <cell r="AF490" t="str">
            <v/>
          </cell>
          <cell r="AG490" t="str">
            <v/>
          </cell>
          <cell r="AH490" t="str">
            <v/>
          </cell>
          <cell r="AI490" t="str">
            <v/>
          </cell>
          <cell r="AJ490" t="str">
            <v/>
          </cell>
          <cell r="AK490" t="str">
            <v/>
          </cell>
          <cell r="AL490" t="str">
            <v/>
          </cell>
          <cell r="AM490" t="str">
            <v/>
          </cell>
          <cell r="AN490" t="str">
            <v/>
          </cell>
          <cell r="AO490" t="str">
            <v/>
          </cell>
          <cell r="AP490" t="str">
            <v/>
          </cell>
          <cell r="AQ490" t="str">
            <v/>
          </cell>
          <cell r="AR490" t="str">
            <v/>
          </cell>
          <cell r="AS490" t="str">
            <v/>
          </cell>
          <cell r="AT490" t="str">
            <v/>
          </cell>
          <cell r="AU490">
            <v>36678</v>
          </cell>
        </row>
        <row r="491">
          <cell r="A491" t="str">
            <v>S16-0488</v>
          </cell>
          <cell r="B491" t="str">
            <v>ももたろう往診クリニック_0488 (2)</v>
          </cell>
          <cell r="C491" t="str">
            <v>SR#不要</v>
          </cell>
          <cell r="D491" t="str">
            <v>2016/07/04-01</v>
          </cell>
          <cell r="E491" t="str">
            <v>有償</v>
          </cell>
          <cell r="F491">
            <v>42566</v>
          </cell>
          <cell r="G491">
            <v>42566</v>
          </cell>
          <cell r="H491">
            <v>42577</v>
          </cell>
          <cell r="I491" t="str">
            <v>不明</v>
          </cell>
          <cell r="K491" t="str">
            <v>高橋</v>
          </cell>
          <cell r="L491" t="str">
            <v>-</v>
          </cell>
          <cell r="M491" t="str">
            <v>MicroMaxx</v>
          </cell>
          <cell r="N491" t="str">
            <v>WK0BY9</v>
          </cell>
          <cell r="O491" t="str">
            <v>P14179-01</v>
          </cell>
          <cell r="P491" t="str">
            <v>株式会社カワニシ 岡山支店</v>
          </cell>
          <cell r="Q491" t="str">
            <v>中村様</v>
          </cell>
          <cell r="R491" t="str">
            <v>〒700-8528　岡山県岡山市北区今1-4-31</v>
          </cell>
          <cell r="S491" t="str">
            <v>086-241-1112</v>
          </cell>
          <cell r="T491" t="str">
            <v>086-241-5943</v>
          </cell>
          <cell r="U491" t="str">
            <v>ももたろう往診クリニック</v>
          </cell>
          <cell r="V491" t="str">
            <v>小森先生</v>
          </cell>
          <cell r="W491" t="str">
            <v>-</v>
          </cell>
          <cell r="X491" t="str">
            <v>086-242-3232</v>
          </cell>
          <cell r="Y491" t="str">
            <v>〒700-0953　岡山県岡山市南区西市101-4-2</v>
          </cell>
          <cell r="AA491" t="str">
            <v/>
          </cell>
          <cell r="AB491" t="str">
            <v/>
          </cell>
          <cell r="AC491" t="str">
            <v/>
          </cell>
          <cell r="AD491" t="str">
            <v/>
          </cell>
          <cell r="AE491" t="str">
            <v/>
          </cell>
          <cell r="AF491" t="str">
            <v/>
          </cell>
          <cell r="AG491" t="str">
            <v/>
          </cell>
          <cell r="AH491" t="str">
            <v/>
          </cell>
          <cell r="AI491" t="str">
            <v/>
          </cell>
          <cell r="AJ491" t="str">
            <v/>
          </cell>
          <cell r="AK491" t="str">
            <v/>
          </cell>
          <cell r="AL491" t="str">
            <v/>
          </cell>
          <cell r="AM491" t="str">
            <v/>
          </cell>
          <cell r="AN491" t="str">
            <v/>
          </cell>
          <cell r="AO491" t="str">
            <v/>
          </cell>
          <cell r="AP491" t="str">
            <v/>
          </cell>
          <cell r="AQ491" t="str">
            <v/>
          </cell>
          <cell r="AR491" t="str">
            <v/>
          </cell>
          <cell r="AS491" t="str">
            <v/>
          </cell>
          <cell r="AT491" t="str">
            <v/>
          </cell>
          <cell r="AU491">
            <v>40575</v>
          </cell>
        </row>
        <row r="492">
          <cell r="A492" t="str">
            <v>S16-0489</v>
          </cell>
          <cell r="B492" t="str">
            <v>代替機NIM8_0489 (2)</v>
          </cell>
          <cell r="C492" t="str">
            <v>SR#4221625</v>
          </cell>
          <cell r="D492" t="str">
            <v>-</v>
          </cell>
          <cell r="E492" t="str">
            <v>無償</v>
          </cell>
          <cell r="F492">
            <v>42566</v>
          </cell>
          <cell r="G492">
            <v>42566</v>
          </cell>
          <cell r="H492">
            <v>42625</v>
          </cell>
          <cell r="I492" t="str">
            <v>―</v>
          </cell>
          <cell r="K492" t="str">
            <v>梶田</v>
          </cell>
          <cell r="L492">
            <v>3</v>
          </cell>
          <cell r="M492" t="str">
            <v>180Plus</v>
          </cell>
          <cell r="N492" t="str">
            <v>032D0Z</v>
          </cell>
          <cell r="O492" t="str">
            <v>P04327-01</v>
          </cell>
          <cell r="P492" t="str">
            <v>富士フイルムメディカル株式会社</v>
          </cell>
          <cell r="Q492" t="str">
            <v>テクニカルサポート</v>
          </cell>
          <cell r="R492" t="str">
            <v>-</v>
          </cell>
          <cell r="S492" t="str">
            <v>03-6418-7190</v>
          </cell>
          <cell r="T492" t="str">
            <v>03-6418-7162</v>
          </cell>
          <cell r="U492" t="str">
            <v>代替機NIM8</v>
          </cell>
          <cell r="V492" t="str">
            <v>-</v>
          </cell>
          <cell r="W492" t="str">
            <v>-</v>
          </cell>
          <cell r="X492" t="str">
            <v>-</v>
          </cell>
          <cell r="Y492" t="str">
            <v>-</v>
          </cell>
          <cell r="AA492" t="str">
            <v>P00104-02</v>
          </cell>
          <cell r="AB492" t="str">
            <v/>
          </cell>
          <cell r="AC492" t="str">
            <v/>
          </cell>
          <cell r="AD492" t="str">
            <v/>
          </cell>
          <cell r="AE492" t="str">
            <v/>
          </cell>
          <cell r="AF492" t="str">
            <v/>
          </cell>
          <cell r="AG492" t="str">
            <v/>
          </cell>
          <cell r="AH492" t="str">
            <v/>
          </cell>
          <cell r="AI492" t="str">
            <v/>
          </cell>
          <cell r="AJ492" t="str">
            <v/>
          </cell>
          <cell r="AK492" t="str">
            <v>KEY, ON/OFF</v>
          </cell>
          <cell r="AL492" t="str">
            <v/>
          </cell>
          <cell r="AM492" t="str">
            <v/>
          </cell>
          <cell r="AN492" t="str">
            <v/>
          </cell>
          <cell r="AO492" t="str">
            <v/>
          </cell>
          <cell r="AP492" t="str">
            <v/>
          </cell>
          <cell r="AQ492" t="str">
            <v/>
          </cell>
          <cell r="AR492" t="str">
            <v/>
          </cell>
          <cell r="AS492" t="str">
            <v/>
          </cell>
          <cell r="AT492" t="str">
            <v/>
          </cell>
          <cell r="AU492">
            <v>38078</v>
          </cell>
        </row>
        <row r="493">
          <cell r="A493" t="str">
            <v>S16-0490</v>
          </cell>
          <cell r="B493" t="str">
            <v>札幌東徳洲会病院_0490</v>
          </cell>
          <cell r="C493" t="e">
            <v>#REF!</v>
          </cell>
          <cell r="D493" t="e">
            <v>#REF!</v>
          </cell>
          <cell r="E493" t="e">
            <v>#REF!</v>
          </cell>
          <cell r="F493" t="e">
            <v>#REF!</v>
          </cell>
          <cell r="G493" t="e">
            <v>#REF!</v>
          </cell>
          <cell r="H493" t="e">
            <v>#REF!</v>
          </cell>
          <cell r="I493" t="e">
            <v>#REF!</v>
          </cell>
          <cell r="K493" t="e">
            <v>#REF!</v>
          </cell>
          <cell r="M493" t="e">
            <v>#REF!</v>
          </cell>
          <cell r="N493" t="e">
            <v>#REF!</v>
          </cell>
          <cell r="O493" t="e">
            <v>#REF!</v>
          </cell>
          <cell r="P493" t="e">
            <v>#REF!</v>
          </cell>
          <cell r="Q493" t="e">
            <v>#REF!</v>
          </cell>
          <cell r="S493" t="e">
            <v>#REF!</v>
          </cell>
          <cell r="T493" t="e">
            <v>#REF!</v>
          </cell>
          <cell r="U493" t="e">
            <v>#REF!</v>
          </cell>
          <cell r="AA493" t="e">
            <v>#REF!</v>
          </cell>
          <cell r="AB493" t="e">
            <v>#REF!</v>
          </cell>
          <cell r="AC493" t="e">
            <v>#REF!</v>
          </cell>
          <cell r="AD493" t="e">
            <v>#REF!</v>
          </cell>
          <cell r="AE493" t="e">
            <v>#REF!</v>
          </cell>
          <cell r="AF493" t="e">
            <v>#REF!</v>
          </cell>
          <cell r="AG493" t="e">
            <v>#REF!</v>
          </cell>
          <cell r="AH493" t="e">
            <v>#REF!</v>
          </cell>
          <cell r="AI493" t="e">
            <v>#REF!</v>
          </cell>
          <cell r="AJ493" t="e">
            <v>#REF!</v>
          </cell>
          <cell r="AK493" t="e">
            <v>#REF!</v>
          </cell>
          <cell r="AL493" t="e">
            <v>#REF!</v>
          </cell>
          <cell r="AM493" t="e">
            <v>#REF!</v>
          </cell>
          <cell r="AN493" t="e">
            <v>#REF!</v>
          </cell>
          <cell r="AO493" t="e">
            <v>#REF!</v>
          </cell>
          <cell r="AP493" t="e">
            <v>#REF!</v>
          </cell>
          <cell r="AQ493" t="e">
            <v>#REF!</v>
          </cell>
          <cell r="AR493" t="e">
            <v>#REF!</v>
          </cell>
          <cell r="AS493" t="e">
            <v>#REF!</v>
          </cell>
          <cell r="AT493" t="e">
            <v>#REF!</v>
          </cell>
          <cell r="AU493" t="e">
            <v>#REF!</v>
          </cell>
        </row>
        <row r="494">
          <cell r="A494" t="str">
            <v>S16-0491</v>
          </cell>
          <cell r="B494" t="str">
            <v>大阪警察病院_0491 (2)</v>
          </cell>
          <cell r="C494" t="str">
            <v>SR#</v>
          </cell>
          <cell r="D494" t="str">
            <v>2016/06/30-03</v>
          </cell>
          <cell r="E494" t="str">
            <v>有償</v>
          </cell>
          <cell r="F494">
            <v>42566</v>
          </cell>
          <cell r="G494">
            <v>42566</v>
          </cell>
          <cell r="H494">
            <v>42684</v>
          </cell>
          <cell r="I494">
            <v>40431</v>
          </cell>
          <cell r="K494" t="str">
            <v>高橋</v>
          </cell>
          <cell r="L494">
            <v>3</v>
          </cell>
          <cell r="M494" t="str">
            <v>MicroMaxx</v>
          </cell>
          <cell r="N494" t="str">
            <v>WK052P</v>
          </cell>
          <cell r="O494" t="str">
            <v>P08063-05</v>
          </cell>
          <cell r="P494" t="str">
            <v>株式会社日立製作所 ヘルスケア大阪営業所</v>
          </cell>
          <cell r="Q494" t="str">
            <v>中西様</v>
          </cell>
          <cell r="R494" t="str">
            <v>〒564-0051　大阪府吹田市豊津町41-35</v>
          </cell>
          <cell r="S494" t="str">
            <v>06-4861-4866</v>
          </cell>
          <cell r="T494" t="str">
            <v>06-4861-4860</v>
          </cell>
          <cell r="U494" t="str">
            <v>大阪警察病院 呼吸器科</v>
          </cell>
          <cell r="V494" t="str">
            <v>今村様</v>
          </cell>
          <cell r="W494" t="str">
            <v>呼吸器科</v>
          </cell>
          <cell r="X494" t="str">
            <v>06-6771-6051</v>
          </cell>
          <cell r="Y494" t="str">
            <v>〒543-0035　大阪府大阪市天王寺区北山町10-31</v>
          </cell>
          <cell r="AA494" t="str">
            <v>P18035-01</v>
          </cell>
          <cell r="AB494" t="str">
            <v>P19080-01</v>
          </cell>
          <cell r="AC494" t="str">
            <v>P05463-01</v>
          </cell>
          <cell r="AD494" t="str">
            <v/>
          </cell>
          <cell r="AE494" t="str">
            <v/>
          </cell>
          <cell r="AF494" t="str">
            <v/>
          </cell>
          <cell r="AG494" t="str">
            <v/>
          </cell>
          <cell r="AH494" t="str">
            <v/>
          </cell>
          <cell r="AI494" t="str">
            <v/>
          </cell>
          <cell r="AJ494" t="str">
            <v/>
          </cell>
          <cell r="AK494" t="str">
            <v>CONN,RCPT,5 PIN CIRCULAR DIN,SN CONTACTS,SHIELDED,LOW PROFILE,ROHS</v>
          </cell>
          <cell r="AL494" t="str">
            <v xml:space="preserve">BRACKET,  DIN CONNECTOR　 </v>
          </cell>
          <cell r="AM494" t="str">
            <v>SERVICE ASSEMBLY DISPLAY, MICROMAXX</v>
          </cell>
          <cell r="AN494" t="str">
            <v/>
          </cell>
          <cell r="AO494" t="str">
            <v/>
          </cell>
          <cell r="AP494" t="str">
            <v/>
          </cell>
          <cell r="AQ494" t="str">
            <v/>
          </cell>
          <cell r="AR494" t="str">
            <v/>
          </cell>
          <cell r="AS494" t="str">
            <v/>
          </cell>
          <cell r="AT494" t="str">
            <v/>
          </cell>
          <cell r="AU494">
            <v>40360</v>
          </cell>
        </row>
        <row r="495">
          <cell r="A495" t="str">
            <v>S16-0492</v>
          </cell>
          <cell r="B495" t="str">
            <v>横浜市立大学病院_0492</v>
          </cell>
          <cell r="C495" t="e">
            <v>#REF!</v>
          </cell>
          <cell r="D495" t="e">
            <v>#REF!</v>
          </cell>
          <cell r="E495" t="e">
            <v>#REF!</v>
          </cell>
          <cell r="F495" t="e">
            <v>#REF!</v>
          </cell>
          <cell r="G495" t="e">
            <v>#REF!</v>
          </cell>
          <cell r="H495" t="e">
            <v>#REF!</v>
          </cell>
          <cell r="I495" t="e">
            <v>#REF!</v>
          </cell>
          <cell r="K495" t="e">
            <v>#REF!</v>
          </cell>
          <cell r="M495" t="e">
            <v>#REF!</v>
          </cell>
          <cell r="N495" t="e">
            <v>#REF!</v>
          </cell>
          <cell r="O495" t="e">
            <v>#REF!</v>
          </cell>
          <cell r="P495" t="e">
            <v>#REF!</v>
          </cell>
          <cell r="Q495" t="e">
            <v>#REF!</v>
          </cell>
          <cell r="S495" t="e">
            <v>#REF!</v>
          </cell>
          <cell r="T495" t="e">
            <v>#REF!</v>
          </cell>
          <cell r="U495" t="e">
            <v>#REF!</v>
          </cell>
          <cell r="AA495" t="e">
            <v>#REF!</v>
          </cell>
          <cell r="AB495" t="e">
            <v>#REF!</v>
          </cell>
          <cell r="AC495" t="e">
            <v>#REF!</v>
          </cell>
          <cell r="AD495" t="e">
            <v>#REF!</v>
          </cell>
          <cell r="AE495" t="e">
            <v>#REF!</v>
          </cell>
          <cell r="AF495" t="e">
            <v>#REF!</v>
          </cell>
          <cell r="AG495" t="e">
            <v>#REF!</v>
          </cell>
          <cell r="AH495" t="e">
            <v>#REF!</v>
          </cell>
          <cell r="AI495" t="e">
            <v>#REF!</v>
          </cell>
          <cell r="AJ495" t="e">
            <v>#REF!</v>
          </cell>
          <cell r="AK495" t="e">
            <v>#REF!</v>
          </cell>
          <cell r="AL495" t="e">
            <v>#REF!</v>
          </cell>
          <cell r="AM495" t="e">
            <v>#REF!</v>
          </cell>
          <cell r="AN495" t="e">
            <v>#REF!</v>
          </cell>
          <cell r="AO495" t="e">
            <v>#REF!</v>
          </cell>
          <cell r="AP495" t="e">
            <v>#REF!</v>
          </cell>
          <cell r="AQ495" t="e">
            <v>#REF!</v>
          </cell>
          <cell r="AR495" t="e">
            <v>#REF!</v>
          </cell>
          <cell r="AS495" t="e">
            <v>#REF!</v>
          </cell>
          <cell r="AT495" t="e">
            <v>#REF!</v>
          </cell>
          <cell r="AU495" t="e">
            <v>#REF!</v>
          </cell>
        </row>
        <row r="496">
          <cell r="A496" t="str">
            <v>S16-0493</v>
          </cell>
          <cell r="B496" t="str">
            <v>神戸市立医療センター中央市民病院_0493 (2)</v>
          </cell>
          <cell r="C496" t="str">
            <v>SR#4221677</v>
          </cell>
          <cell r="D496" t="str">
            <v>2016/07/07-04</v>
          </cell>
          <cell r="E496" t="str">
            <v>無償</v>
          </cell>
          <cell r="F496">
            <v>42570</v>
          </cell>
          <cell r="G496">
            <v>0</v>
          </cell>
          <cell r="H496">
            <v>42646</v>
          </cell>
          <cell r="I496">
            <v>42178</v>
          </cell>
          <cell r="K496" t="str">
            <v>高橋</v>
          </cell>
          <cell r="L496">
            <v>3</v>
          </cell>
          <cell r="M496" t="str">
            <v>NanoMaxx</v>
          </cell>
          <cell r="N496" t="str">
            <v>040DB7</v>
          </cell>
          <cell r="O496" t="str">
            <v>P12700-60</v>
          </cell>
          <cell r="P496" t="str">
            <v>宮野医療器株式会社</v>
          </cell>
          <cell r="Q496" t="str">
            <v>松本様</v>
          </cell>
          <cell r="R496" t="str">
            <v>〒650-0047　兵庫県神戸市中央区港島南町4-6-1</v>
          </cell>
          <cell r="S496" t="str">
            <v>078-302-7001</v>
          </cell>
          <cell r="T496" t="str">
            <v>078-302-9302</v>
          </cell>
          <cell r="U496" t="str">
            <v>神戸市立医療センター中央市民病院 呼吸内科</v>
          </cell>
          <cell r="V496" t="str">
            <v>中川先生</v>
          </cell>
          <cell r="W496" t="str">
            <v>呼吸器内科</v>
          </cell>
          <cell r="X496" t="str">
            <v>078-302-4321</v>
          </cell>
          <cell r="Y496" t="str">
            <v>〒650-0047 兵庫県神戸市中央区港島南町2-1-1</v>
          </cell>
          <cell r="AA496" t="str">
            <v>P12718-02</v>
          </cell>
          <cell r="AB496" t="str">
            <v>P13373-30</v>
          </cell>
          <cell r="AC496" t="str">
            <v/>
          </cell>
          <cell r="AD496" t="str">
            <v/>
          </cell>
          <cell r="AE496" t="str">
            <v/>
          </cell>
          <cell r="AF496" t="str">
            <v/>
          </cell>
          <cell r="AG496" t="str">
            <v/>
          </cell>
          <cell r="AH496" t="str">
            <v/>
          </cell>
          <cell r="AI496" t="str">
            <v/>
          </cell>
          <cell r="AJ496" t="str">
            <v/>
          </cell>
          <cell r="AK496" t="str">
            <v>SERVICE ASSEMBLY, BACK END PCB, NANOMAXX</v>
          </cell>
          <cell r="AL496" t="str">
            <v>NANOMAXX DOCK, JAPAN</v>
          </cell>
          <cell r="AM496" t="str">
            <v/>
          </cell>
          <cell r="AN496" t="str">
            <v/>
          </cell>
          <cell r="AO496" t="str">
            <v/>
          </cell>
          <cell r="AP496" t="str">
            <v/>
          </cell>
          <cell r="AQ496" t="str">
            <v/>
          </cell>
          <cell r="AR496" t="str">
            <v/>
          </cell>
          <cell r="AS496" t="str">
            <v/>
          </cell>
          <cell r="AT496" t="str">
            <v/>
          </cell>
          <cell r="AU496">
            <v>42064</v>
          </cell>
        </row>
        <row r="497">
          <cell r="A497" t="str">
            <v>S16-0494</v>
          </cell>
          <cell r="B497" t="str">
            <v>自治医科大学病院_0494 (2)</v>
          </cell>
          <cell r="C497" t="str">
            <v>SR#不要</v>
          </cell>
          <cell r="D497" t="str">
            <v>-</v>
          </cell>
          <cell r="E497" t="str">
            <v>有償</v>
          </cell>
          <cell r="F497">
            <v>42570</v>
          </cell>
          <cell r="G497">
            <v>0</v>
          </cell>
          <cell r="H497">
            <v>42622</v>
          </cell>
          <cell r="I497" t="str">
            <v>不明</v>
          </cell>
          <cell r="K497" t="str">
            <v>-</v>
          </cell>
          <cell r="L497" t="str">
            <v>-</v>
          </cell>
          <cell r="M497">
            <v>180</v>
          </cell>
          <cell r="N497" t="str">
            <v>01J3X3</v>
          </cell>
          <cell r="O497" t="str">
            <v>P01102-01</v>
          </cell>
          <cell r="P497" t="str">
            <v>富士フイルムメディカル株式会社</v>
          </cell>
          <cell r="Q497" t="str">
            <v>風間様　下様</v>
          </cell>
          <cell r="S497" t="str">
            <v>03-6418-7190</v>
          </cell>
          <cell r="T497" t="str">
            <v>03-6418-7162</v>
          </cell>
          <cell r="U497" t="str">
            <v>自治医科大学病院</v>
          </cell>
          <cell r="AA497" t="str">
            <v/>
          </cell>
          <cell r="AB497" t="str">
            <v/>
          </cell>
          <cell r="AC497" t="str">
            <v/>
          </cell>
          <cell r="AD497" t="str">
            <v/>
          </cell>
          <cell r="AE497" t="str">
            <v/>
          </cell>
          <cell r="AF497" t="str">
            <v/>
          </cell>
          <cell r="AG497" t="str">
            <v/>
          </cell>
          <cell r="AH497" t="str">
            <v/>
          </cell>
          <cell r="AI497" t="str">
            <v/>
          </cell>
          <cell r="AJ497" t="str">
            <v/>
          </cell>
          <cell r="AK497" t="str">
            <v/>
          </cell>
          <cell r="AL497" t="str">
            <v/>
          </cell>
          <cell r="AM497" t="str">
            <v/>
          </cell>
          <cell r="AN497" t="str">
            <v/>
          </cell>
          <cell r="AO497" t="str">
            <v/>
          </cell>
          <cell r="AP497" t="str">
            <v/>
          </cell>
          <cell r="AQ497" t="str">
            <v/>
          </cell>
          <cell r="AR497" t="str">
            <v/>
          </cell>
          <cell r="AS497" t="str">
            <v/>
          </cell>
          <cell r="AT497" t="str">
            <v/>
          </cell>
          <cell r="AU497">
            <v>36586</v>
          </cell>
        </row>
        <row r="498">
          <cell r="A498" t="str">
            <v>S16-0495</v>
          </cell>
          <cell r="B498" t="str">
            <v>三重大学病院_0495(2)</v>
          </cell>
          <cell r="C498" t="str">
            <v>SR#不要</v>
          </cell>
          <cell r="D498" t="str">
            <v>-</v>
          </cell>
          <cell r="E498" t="str">
            <v>有償</v>
          </cell>
          <cell r="F498">
            <v>42570</v>
          </cell>
          <cell r="G498">
            <v>0</v>
          </cell>
          <cell r="H498">
            <v>42578</v>
          </cell>
          <cell r="I498">
            <v>39477</v>
          </cell>
          <cell r="K498" t="str">
            <v>-</v>
          </cell>
          <cell r="L498" t="str">
            <v>-</v>
          </cell>
          <cell r="M498" t="str">
            <v>iLook25</v>
          </cell>
          <cell r="N498" t="str">
            <v>03858C</v>
          </cell>
          <cell r="O498" t="str">
            <v>P04303-02</v>
          </cell>
          <cell r="P498" t="str">
            <v>日本コヴィディエン株式会社　東海北陸営業所</v>
          </cell>
          <cell r="Q498" t="str">
            <v>佐藤様</v>
          </cell>
          <cell r="R498" t="str">
            <v>〒108-0075  東京都港区港南一丁目2番70号　品川シーズンテラス　22F</v>
          </cell>
          <cell r="S498" t="str">
            <v>03-6774-4629</v>
          </cell>
          <cell r="T498" t="str">
            <v>03-6774-4740</v>
          </cell>
          <cell r="U498" t="str">
            <v>三重大学医学部附属病院</v>
          </cell>
          <cell r="V498" t="str">
            <v>-</v>
          </cell>
          <cell r="W498" t="str">
            <v>-</v>
          </cell>
          <cell r="X498" t="str">
            <v>059-232-1111</v>
          </cell>
          <cell r="Y498" t="str">
            <v>〒514-8507 三重県津市江戸橋2-174</v>
          </cell>
          <cell r="AA498" t="str">
            <v/>
          </cell>
          <cell r="AB498" t="str">
            <v/>
          </cell>
          <cell r="AC498" t="str">
            <v/>
          </cell>
          <cell r="AD498" t="str">
            <v/>
          </cell>
          <cell r="AE498" t="str">
            <v/>
          </cell>
          <cell r="AF498" t="str">
            <v/>
          </cell>
          <cell r="AG498" t="str">
            <v/>
          </cell>
          <cell r="AH498" t="str">
            <v/>
          </cell>
          <cell r="AI498" t="str">
            <v/>
          </cell>
          <cell r="AJ498" t="str">
            <v/>
          </cell>
          <cell r="AK498" t="str">
            <v/>
          </cell>
          <cell r="AL498" t="str">
            <v/>
          </cell>
          <cell r="AM498" t="str">
            <v/>
          </cell>
          <cell r="AN498" t="str">
            <v/>
          </cell>
          <cell r="AO498" t="str">
            <v/>
          </cell>
          <cell r="AP498" t="str">
            <v/>
          </cell>
          <cell r="AQ498" t="str">
            <v/>
          </cell>
          <cell r="AR498" t="str">
            <v/>
          </cell>
          <cell r="AS498" t="str">
            <v/>
          </cell>
          <cell r="AT498" t="str">
            <v/>
          </cell>
          <cell r="AU498">
            <v>39114</v>
          </cell>
        </row>
        <row r="499">
          <cell r="A499" t="str">
            <v>S16-0496</v>
          </cell>
          <cell r="B499" t="str">
            <v>北見赤十字病院_0496 (2)</v>
          </cell>
          <cell r="C499" t="str">
            <v>SR#不要</v>
          </cell>
          <cell r="D499" t="str">
            <v>2016/07/14-01</v>
          </cell>
          <cell r="E499" t="str">
            <v>有償</v>
          </cell>
          <cell r="F499">
            <v>42570</v>
          </cell>
          <cell r="G499">
            <v>0</v>
          </cell>
          <cell r="H499">
            <v>42688</v>
          </cell>
          <cell r="I499" t="str">
            <v>不明</v>
          </cell>
          <cell r="K499" t="str">
            <v>-</v>
          </cell>
          <cell r="L499" t="str">
            <v>-</v>
          </cell>
          <cell r="M499">
            <v>180</v>
          </cell>
          <cell r="N499" t="str">
            <v>01J3YZ</v>
          </cell>
          <cell r="O499" t="str">
            <v>P01102-01</v>
          </cell>
          <cell r="P499" t="str">
            <v>株式会社ムトウ　北見支店</v>
          </cell>
          <cell r="Q499" t="str">
            <v>神崎様</v>
          </cell>
          <cell r="R499" t="str">
            <v>〒090-0056  北海道北見市卸町3丁目5番地2</v>
          </cell>
          <cell r="S499" t="str">
            <v>0157-66-1610</v>
          </cell>
          <cell r="T499" t="str">
            <v>0157-66-1010</v>
          </cell>
          <cell r="U499" t="str">
            <v>北見赤十字病院</v>
          </cell>
          <cell r="V499" t="str">
            <v>-</v>
          </cell>
          <cell r="W499" t="str">
            <v>-</v>
          </cell>
          <cell r="X499" t="str">
            <v>0157-24-3115</v>
          </cell>
          <cell r="Y499" t="str">
            <v>〒090-8666 北海道北見市北6条東2丁目</v>
          </cell>
          <cell r="AA499" t="str">
            <v/>
          </cell>
          <cell r="AB499" t="str">
            <v/>
          </cell>
          <cell r="AC499" t="str">
            <v/>
          </cell>
          <cell r="AD499" t="str">
            <v/>
          </cell>
          <cell r="AE499" t="str">
            <v/>
          </cell>
          <cell r="AF499" t="str">
            <v/>
          </cell>
          <cell r="AG499" t="str">
            <v/>
          </cell>
          <cell r="AH499" t="str">
            <v/>
          </cell>
          <cell r="AI499" t="str">
            <v/>
          </cell>
          <cell r="AJ499" t="str">
            <v/>
          </cell>
          <cell r="AK499" t="str">
            <v/>
          </cell>
          <cell r="AL499" t="str">
            <v/>
          </cell>
          <cell r="AM499" t="str">
            <v/>
          </cell>
          <cell r="AN499" t="str">
            <v/>
          </cell>
          <cell r="AO499" t="str">
            <v/>
          </cell>
          <cell r="AP499" t="str">
            <v/>
          </cell>
          <cell r="AQ499" t="str">
            <v/>
          </cell>
          <cell r="AR499" t="str">
            <v/>
          </cell>
          <cell r="AS499" t="str">
            <v/>
          </cell>
          <cell r="AT499" t="str">
            <v/>
          </cell>
          <cell r="AU499">
            <v>36586</v>
          </cell>
        </row>
        <row r="500">
          <cell r="A500" t="str">
            <v>S16-0497</v>
          </cell>
          <cell r="B500" t="str">
            <v>自衛隊福岡病院_0497 (2)</v>
          </cell>
          <cell r="C500" t="str">
            <v>SR#4230117</v>
          </cell>
          <cell r="D500" t="str">
            <v>2016/07/13-01</v>
          </cell>
          <cell r="E500" t="str">
            <v>有償</v>
          </cell>
          <cell r="F500">
            <v>42570</v>
          </cell>
          <cell r="G500">
            <v>0</v>
          </cell>
          <cell r="H500">
            <v>42594</v>
          </cell>
          <cell r="I500" t="str">
            <v>不明</v>
          </cell>
          <cell r="K500" t="str">
            <v>高橋</v>
          </cell>
          <cell r="L500">
            <v>3</v>
          </cell>
          <cell r="M500" t="str">
            <v>180Ⅱ</v>
          </cell>
          <cell r="N500" t="str">
            <v>0206ZX</v>
          </cell>
          <cell r="O500" t="str">
            <v>P02456-01</v>
          </cell>
          <cell r="P500" t="str">
            <v>株式会社キシヤ　本社　営業4課</v>
          </cell>
          <cell r="Q500" t="str">
            <v>古谷様</v>
          </cell>
          <cell r="R500" t="str">
            <v>〒812-0062 　福岡県福岡市東区松島1-41-21</v>
          </cell>
          <cell r="S500" t="str">
            <v>092-622-8000</v>
          </cell>
          <cell r="T500" t="str">
            <v>092-623-1313</v>
          </cell>
          <cell r="U500" t="str">
            <v>自衛隊福岡病院 衛生資材課</v>
          </cell>
          <cell r="V500" t="str">
            <v>中原様</v>
          </cell>
          <cell r="W500" t="str">
            <v>衛生資材課</v>
          </cell>
          <cell r="X500" t="str">
            <v>092-581-0431</v>
          </cell>
          <cell r="Y500" t="str">
            <v>〒816-0826　福岡県春日市小倉東1-61</v>
          </cell>
          <cell r="AA500" t="str">
            <v>P00538-03</v>
          </cell>
          <cell r="AB500" t="str">
            <v>P00343-01</v>
          </cell>
          <cell r="AC500" t="str">
            <v>P00340-02</v>
          </cell>
          <cell r="AD500" t="str">
            <v>P01213-01</v>
          </cell>
          <cell r="AE500" t="str">
            <v/>
          </cell>
          <cell r="AF500" t="str">
            <v/>
          </cell>
          <cell r="AG500" t="str">
            <v/>
          </cell>
          <cell r="AH500" t="str">
            <v/>
          </cell>
          <cell r="AI500" t="str">
            <v/>
          </cell>
          <cell r="AJ500" t="str">
            <v/>
          </cell>
          <cell r="AK500" t="str">
            <v>POWER SUPPLY, 85-264 VAC, 50-60HZ, 16V, 45W, 180</v>
          </cell>
          <cell r="AL500" t="str">
            <v>HINGE, DISPLAY</v>
          </cell>
          <cell r="AM500" t="str">
            <v>LENS, DISPLAY</v>
          </cell>
          <cell r="AN500" t="str">
            <v>FLEX CIRCUIT, FAB, C1 DISPLAY</v>
          </cell>
          <cell r="AO500" t="str">
            <v/>
          </cell>
          <cell r="AP500" t="str">
            <v/>
          </cell>
          <cell r="AQ500" t="str">
            <v/>
          </cell>
          <cell r="AR500" t="str">
            <v/>
          </cell>
          <cell r="AS500" t="str">
            <v/>
          </cell>
          <cell r="AT500" t="str">
            <v/>
          </cell>
          <cell r="AU500">
            <v>37196</v>
          </cell>
        </row>
        <row r="501">
          <cell r="A501" t="str">
            <v>S16-0498</v>
          </cell>
          <cell r="B501" t="str">
            <v>宝塚市立病院_0498 (2)</v>
          </cell>
          <cell r="C501" t="str">
            <v>SR#不要</v>
          </cell>
          <cell r="D501" t="str">
            <v>2016/07/21-02</v>
          </cell>
          <cell r="E501" t="str">
            <v>有償</v>
          </cell>
          <cell r="F501">
            <v>42571</v>
          </cell>
          <cell r="G501">
            <v>0</v>
          </cell>
          <cell r="H501">
            <v>42668</v>
          </cell>
          <cell r="I501">
            <v>38754</v>
          </cell>
          <cell r="K501" t="str">
            <v>-</v>
          </cell>
          <cell r="L501" t="str">
            <v>-</v>
          </cell>
          <cell r="M501" t="str">
            <v>TiTAN</v>
          </cell>
          <cell r="N501" t="str">
            <v>0341VM</v>
          </cell>
          <cell r="O501" t="str">
            <v>P04723-01</v>
          </cell>
          <cell r="P501" t="str">
            <v>株式会社日立製作所 ﾍﾙｽｹｱ東京事業所</v>
          </cell>
          <cell r="Q501" t="str">
            <v>吉崎様</v>
          </cell>
          <cell r="R501" t="str">
            <v>〒198-8577　東京都青梅市今井3-7-19</v>
          </cell>
          <cell r="S501" t="str">
            <v>0428-32-3140</v>
          </cell>
          <cell r="T501" t="str">
            <v>0428-32-3152</v>
          </cell>
          <cell r="U501" t="str">
            <v>宝塚市立病院</v>
          </cell>
          <cell r="V501" t="str">
            <v>-</v>
          </cell>
          <cell r="W501" t="str">
            <v>-</v>
          </cell>
          <cell r="X501" t="str">
            <v>0797-87-1161</v>
          </cell>
          <cell r="Y501" t="str">
            <v>〒665-0827　兵庫県宝塚市小浜4-5-1</v>
          </cell>
          <cell r="AA501" t="str">
            <v/>
          </cell>
          <cell r="AB501" t="str">
            <v/>
          </cell>
          <cell r="AC501" t="str">
            <v/>
          </cell>
          <cell r="AD501" t="str">
            <v/>
          </cell>
          <cell r="AE501" t="str">
            <v/>
          </cell>
          <cell r="AF501" t="str">
            <v/>
          </cell>
          <cell r="AG501" t="str">
            <v/>
          </cell>
          <cell r="AH501" t="str">
            <v/>
          </cell>
          <cell r="AI501" t="str">
            <v/>
          </cell>
          <cell r="AJ501" t="str">
            <v/>
          </cell>
          <cell r="AK501" t="str">
            <v/>
          </cell>
          <cell r="AL501" t="str">
            <v/>
          </cell>
          <cell r="AM501" t="str">
            <v/>
          </cell>
          <cell r="AN501" t="str">
            <v/>
          </cell>
          <cell r="AO501" t="str">
            <v/>
          </cell>
          <cell r="AP501" t="str">
            <v/>
          </cell>
          <cell r="AQ501" t="str">
            <v/>
          </cell>
          <cell r="AR501" t="str">
            <v/>
          </cell>
          <cell r="AS501" t="str">
            <v/>
          </cell>
          <cell r="AT501" t="str">
            <v/>
          </cell>
          <cell r="AU501">
            <v>38412</v>
          </cell>
        </row>
        <row r="502">
          <cell r="A502" t="str">
            <v>S16-0499</v>
          </cell>
          <cell r="B502" t="str">
            <v>埼玉協同病院_0499 (2)</v>
          </cell>
          <cell r="C502" t="str">
            <v>SR#不要</v>
          </cell>
          <cell r="D502" t="str">
            <v>―</v>
          </cell>
          <cell r="E502" t="str">
            <v>有償</v>
          </cell>
          <cell r="F502">
            <v>42571</v>
          </cell>
          <cell r="G502">
            <v>0</v>
          </cell>
          <cell r="H502">
            <v>42621</v>
          </cell>
          <cell r="I502">
            <v>39063</v>
          </cell>
          <cell r="K502" t="str">
            <v>高橋</v>
          </cell>
          <cell r="L502" t="str">
            <v>-</v>
          </cell>
          <cell r="M502" t="str">
            <v>iLook25</v>
          </cell>
          <cell r="N502" t="str">
            <v>036PYX</v>
          </cell>
          <cell r="O502" t="str">
            <v>P04303-02</v>
          </cell>
          <cell r="P502" t="str">
            <v>日本コヴィディエン株式会社 南関東営業所</v>
          </cell>
          <cell r="Q502" t="str">
            <v>宮澤様</v>
          </cell>
          <cell r="R502" t="str">
            <v>〒108-0075  東京都港区港南一丁目2番70号　品川シーズンテラス　22F</v>
          </cell>
          <cell r="S502" t="str">
            <v>03-6774-4629</v>
          </cell>
          <cell r="T502" t="str">
            <v>03-6774-4740</v>
          </cell>
          <cell r="U502" t="str">
            <v>埼玉協同病院</v>
          </cell>
          <cell r="V502" t="str">
            <v>-</v>
          </cell>
          <cell r="W502" t="str">
            <v>-</v>
          </cell>
          <cell r="X502" t="str">
            <v>048-296-4771</v>
          </cell>
          <cell r="Y502" t="str">
            <v xml:space="preserve"> 〒333-0831　埼玉県川口市木曽路1317</v>
          </cell>
          <cell r="AA502" t="str">
            <v/>
          </cell>
          <cell r="AB502" t="str">
            <v/>
          </cell>
          <cell r="AC502" t="str">
            <v/>
          </cell>
          <cell r="AD502" t="str">
            <v/>
          </cell>
          <cell r="AE502" t="str">
            <v/>
          </cell>
          <cell r="AF502" t="str">
            <v/>
          </cell>
          <cell r="AG502" t="str">
            <v/>
          </cell>
          <cell r="AH502" t="str">
            <v/>
          </cell>
          <cell r="AI502" t="str">
            <v/>
          </cell>
          <cell r="AJ502" t="str">
            <v/>
          </cell>
          <cell r="AK502" t="str">
            <v/>
          </cell>
          <cell r="AL502" t="str">
            <v/>
          </cell>
          <cell r="AM502" t="str">
            <v/>
          </cell>
          <cell r="AN502" t="str">
            <v/>
          </cell>
          <cell r="AO502" t="str">
            <v/>
          </cell>
          <cell r="AP502" t="str">
            <v/>
          </cell>
          <cell r="AQ502" t="str">
            <v/>
          </cell>
          <cell r="AR502" t="str">
            <v/>
          </cell>
          <cell r="AS502" t="str">
            <v/>
          </cell>
          <cell r="AT502" t="str">
            <v/>
          </cell>
          <cell r="AU502">
            <v>38930</v>
          </cell>
        </row>
        <row r="503">
          <cell r="A503" t="str">
            <v>S16-0500</v>
          </cell>
          <cell r="B503" t="str">
            <v>川崎医科大学附属病院_0500 (2)</v>
          </cell>
          <cell r="C503" t="str">
            <v>SR#不要</v>
          </cell>
          <cell r="D503" t="str">
            <v>2016/07/15-02</v>
          </cell>
          <cell r="E503" t="str">
            <v>有償</v>
          </cell>
          <cell r="F503">
            <v>42571</v>
          </cell>
          <cell r="G503">
            <v>0</v>
          </cell>
          <cell r="H503">
            <v>42586</v>
          </cell>
          <cell r="I503" t="str">
            <v>不明</v>
          </cell>
          <cell r="K503" t="str">
            <v>高橋</v>
          </cell>
          <cell r="L503" t="str">
            <v>-</v>
          </cell>
          <cell r="M503" t="str">
            <v>180Plus</v>
          </cell>
          <cell r="N503" t="str">
            <v>033M9P</v>
          </cell>
          <cell r="O503" t="str">
            <v>P04327-03</v>
          </cell>
          <cell r="P503" t="str">
            <v>ティーエスアルフレッサ株式会社  岡山機器試薬支店</v>
          </cell>
          <cell r="Q503" t="str">
            <v>神谷様</v>
          </cell>
          <cell r="R503" t="str">
            <v>〒701-0165　岡山県岡山市北区大内田828-4</v>
          </cell>
          <cell r="S503" t="str">
            <v>086-293-7710</v>
          </cell>
          <cell r="T503" t="str">
            <v>086-293-7705</v>
          </cell>
          <cell r="U503" t="str">
            <v>川崎医科大学附属病院</v>
          </cell>
          <cell r="V503" t="str">
            <v>-</v>
          </cell>
          <cell r="W503" t="str">
            <v>-</v>
          </cell>
          <cell r="X503" t="str">
            <v>086-462-1111</v>
          </cell>
          <cell r="Y503" t="str">
            <v>〒701-0192　岡山県倉敷市松島577</v>
          </cell>
          <cell r="AA503" t="str">
            <v/>
          </cell>
          <cell r="AB503" t="str">
            <v/>
          </cell>
          <cell r="AC503" t="str">
            <v/>
          </cell>
          <cell r="AD503" t="str">
            <v/>
          </cell>
          <cell r="AE503" t="str">
            <v/>
          </cell>
          <cell r="AF503" t="str">
            <v/>
          </cell>
          <cell r="AG503" t="str">
            <v/>
          </cell>
          <cell r="AH503" t="str">
            <v/>
          </cell>
          <cell r="AI503" t="str">
            <v/>
          </cell>
          <cell r="AJ503" t="str">
            <v/>
          </cell>
          <cell r="AK503" t="str">
            <v/>
          </cell>
          <cell r="AL503" t="str">
            <v/>
          </cell>
          <cell r="AM503" t="str">
            <v/>
          </cell>
          <cell r="AN503" t="str">
            <v/>
          </cell>
          <cell r="AO503" t="str">
            <v/>
          </cell>
          <cell r="AP503" t="str">
            <v/>
          </cell>
          <cell r="AQ503" t="str">
            <v/>
          </cell>
          <cell r="AR503" t="str">
            <v/>
          </cell>
          <cell r="AS503" t="str">
            <v/>
          </cell>
          <cell r="AT503" t="str">
            <v/>
          </cell>
          <cell r="AU503">
            <v>38384</v>
          </cell>
        </row>
        <row r="504">
          <cell r="A504" t="str">
            <v>S16-0501</v>
          </cell>
          <cell r="B504" t="str">
            <v>代替機NIM130_0501 (2)</v>
          </cell>
          <cell r="C504" t="str">
            <v>SR#4221909</v>
          </cell>
          <cell r="D504" t="str">
            <v>-</v>
          </cell>
          <cell r="E504" t="str">
            <v>無償</v>
          </cell>
          <cell r="F504">
            <v>42571</v>
          </cell>
          <cell r="G504">
            <v>0</v>
          </cell>
          <cell r="H504">
            <v>42622</v>
          </cell>
          <cell r="I504" t="str">
            <v>-</v>
          </cell>
          <cell r="K504" t="str">
            <v>梶田</v>
          </cell>
          <cell r="L504">
            <v>3</v>
          </cell>
          <cell r="M504" t="str">
            <v>S-Nerve</v>
          </cell>
          <cell r="N504" t="str">
            <v>03D53V</v>
          </cell>
          <cell r="O504" t="str">
            <v>P10284-02</v>
          </cell>
          <cell r="P504" t="str">
            <v>富士フイルムメディカル株式会社</v>
          </cell>
          <cell r="Q504" t="str">
            <v>-</v>
          </cell>
          <cell r="R504" t="str">
            <v>-</v>
          </cell>
          <cell r="S504" t="str">
            <v>03-6418-7190</v>
          </cell>
          <cell r="T504" t="str">
            <v>03-6418-7162</v>
          </cell>
          <cell r="U504" t="str">
            <v xml:space="preserve"> 代替機NIM130</v>
          </cell>
          <cell r="V504" t="str">
            <v>-</v>
          </cell>
          <cell r="W504" t="str">
            <v>-</v>
          </cell>
          <cell r="X504" t="str">
            <v>-</v>
          </cell>
          <cell r="Y504" t="str">
            <v>-</v>
          </cell>
          <cell r="AA504" t="str">
            <v>P09135-03</v>
          </cell>
          <cell r="AB504" t="str">
            <v/>
          </cell>
          <cell r="AC504" t="str">
            <v/>
          </cell>
          <cell r="AD504" t="str">
            <v/>
          </cell>
          <cell r="AE504" t="str">
            <v/>
          </cell>
          <cell r="AF504" t="str">
            <v/>
          </cell>
          <cell r="AG504" t="str">
            <v/>
          </cell>
          <cell r="AH504" t="str">
            <v/>
          </cell>
          <cell r="AI504" t="str">
            <v/>
          </cell>
          <cell r="AJ504" t="str">
            <v/>
          </cell>
          <cell r="AK504" t="str">
            <v>SERVICE ASSEMBLY MAIN PCBA, S-SERIES</v>
          </cell>
          <cell r="AL504" t="str">
            <v/>
          </cell>
          <cell r="AM504" t="str">
            <v/>
          </cell>
          <cell r="AN504" t="str">
            <v/>
          </cell>
          <cell r="AO504" t="str">
            <v/>
          </cell>
          <cell r="AP504" t="str">
            <v/>
          </cell>
          <cell r="AQ504" t="str">
            <v/>
          </cell>
          <cell r="AR504" t="str">
            <v/>
          </cell>
          <cell r="AS504" t="str">
            <v/>
          </cell>
          <cell r="AT504" t="str">
            <v/>
          </cell>
          <cell r="AU504">
            <v>39692</v>
          </cell>
        </row>
        <row r="505">
          <cell r="A505" t="str">
            <v>S16-0502</v>
          </cell>
          <cell r="B505" t="str">
            <v>光輝病院_0502 (2)</v>
          </cell>
          <cell r="C505" t="str">
            <v>SR#4224429</v>
          </cell>
          <cell r="D505" t="str">
            <v>-</v>
          </cell>
          <cell r="E505" t="str">
            <v>無償</v>
          </cell>
          <cell r="F505">
            <v>42571</v>
          </cell>
          <cell r="G505">
            <v>0</v>
          </cell>
          <cell r="H505">
            <v>42668</v>
          </cell>
          <cell r="I505">
            <v>41857</v>
          </cell>
          <cell r="K505" t="str">
            <v>高橋</v>
          </cell>
          <cell r="L505">
            <v>3</v>
          </cell>
          <cell r="M505" t="str">
            <v>NanoMaxx</v>
          </cell>
          <cell r="N505" t="str">
            <v>03XV5Q</v>
          </cell>
          <cell r="O505" t="str">
            <v>P12700-06</v>
          </cell>
          <cell r="P505" t="str">
            <v>日本コヴィディエン株式会社　営業企画室　西日本Inside Sales</v>
          </cell>
          <cell r="Q505" t="str">
            <v>鈴木様</v>
          </cell>
          <cell r="R505" t="str">
            <v>〒108-0075  東京都港区港南一丁目2番70号　品川シーズンテラス　22F</v>
          </cell>
          <cell r="S505" t="str">
            <v>03-6774-4629</v>
          </cell>
          <cell r="T505" t="str">
            <v>03-6774-4740</v>
          </cell>
          <cell r="U505" t="str">
            <v>光輝会　光輝病院</v>
          </cell>
          <cell r="V505" t="str">
            <v>-</v>
          </cell>
          <cell r="W505" t="str">
            <v>-</v>
          </cell>
          <cell r="X505" t="str">
            <v>0820-58-1111</v>
          </cell>
          <cell r="Y505" t="str">
            <v>〒742-1193 山口県熊毛郡平生町大字佐賀字鳩ヶ峯2-77</v>
          </cell>
          <cell r="AA505" t="str">
            <v>P12718-02</v>
          </cell>
          <cell r="AB505" t="str">
            <v/>
          </cell>
          <cell r="AC505" t="str">
            <v/>
          </cell>
          <cell r="AD505" t="str">
            <v/>
          </cell>
          <cell r="AE505" t="str">
            <v/>
          </cell>
          <cell r="AF505" t="str">
            <v/>
          </cell>
          <cell r="AG505" t="str">
            <v/>
          </cell>
          <cell r="AH505" t="str">
            <v/>
          </cell>
          <cell r="AI505" t="str">
            <v/>
          </cell>
          <cell r="AJ505" t="str">
            <v/>
          </cell>
          <cell r="AK505" t="str">
            <v>SERVICE ASSEMBLY, BACK END PCB, NANOMAXX</v>
          </cell>
          <cell r="AL505" t="str">
            <v/>
          </cell>
          <cell r="AM505" t="str">
            <v/>
          </cell>
          <cell r="AN505" t="str">
            <v/>
          </cell>
          <cell r="AO505" t="str">
            <v/>
          </cell>
          <cell r="AP505" t="str">
            <v/>
          </cell>
          <cell r="AQ505" t="str">
            <v/>
          </cell>
          <cell r="AR505" t="str">
            <v/>
          </cell>
          <cell r="AS505" t="str">
            <v/>
          </cell>
          <cell r="AT505" t="str">
            <v/>
          </cell>
          <cell r="AU505">
            <v>41699</v>
          </cell>
        </row>
        <row r="506">
          <cell r="A506" t="str">
            <v>S16-0503</v>
          </cell>
          <cell r="B506" t="str">
            <v>菅医院_0503 (2)</v>
          </cell>
          <cell r="C506" t="str">
            <v>SR#不要</v>
          </cell>
          <cell r="D506" t="str">
            <v>　-</v>
          </cell>
          <cell r="E506" t="str">
            <v>有償</v>
          </cell>
          <cell r="F506">
            <v>42572</v>
          </cell>
          <cell r="G506">
            <v>0</v>
          </cell>
          <cell r="H506">
            <v>42598</v>
          </cell>
          <cell r="I506" t="str">
            <v>不明</v>
          </cell>
          <cell r="K506" t="str">
            <v>-</v>
          </cell>
          <cell r="L506" t="str">
            <v>-</v>
          </cell>
          <cell r="M506" t="str">
            <v>V-Universal Stand</v>
          </cell>
          <cell r="N506" t="str">
            <v>WM04ZR</v>
          </cell>
          <cell r="O506" t="str">
            <v>P13383-01</v>
          </cell>
          <cell r="P506" t="str">
            <v>日本コヴィディエン株式会社　 南日本透析営業所</v>
          </cell>
          <cell r="Q506" t="str">
            <v>讃井様</v>
          </cell>
          <cell r="R506" t="str">
            <v>〒108-0075  東京都港区港南一丁目2番70号　品川シーズンテラス　22F</v>
          </cell>
          <cell r="S506" t="str">
            <v>03-6774-4629</v>
          </cell>
          <cell r="T506" t="str">
            <v>03-6774-4740</v>
          </cell>
          <cell r="U506" t="str">
            <v>菅医院</v>
          </cell>
          <cell r="V506" t="str">
            <v>-</v>
          </cell>
          <cell r="W506" t="str">
            <v>-</v>
          </cell>
          <cell r="X506" t="str">
            <v>0957-74-2457</v>
          </cell>
          <cell r="Y506" t="str">
            <v>〒854-0512　長崎県雲仙市小浜町北木指3035-3</v>
          </cell>
          <cell r="AA506" t="str">
            <v/>
          </cell>
          <cell r="AB506" t="str">
            <v/>
          </cell>
          <cell r="AC506" t="str">
            <v/>
          </cell>
          <cell r="AD506" t="str">
            <v/>
          </cell>
          <cell r="AE506" t="str">
            <v/>
          </cell>
          <cell r="AF506" t="str">
            <v/>
          </cell>
          <cell r="AG506" t="str">
            <v/>
          </cell>
          <cell r="AH506" t="str">
            <v/>
          </cell>
          <cell r="AI506" t="str">
            <v/>
          </cell>
          <cell r="AJ506" t="str">
            <v/>
          </cell>
          <cell r="AK506" t="str">
            <v/>
          </cell>
          <cell r="AL506" t="str">
            <v/>
          </cell>
          <cell r="AM506" t="str">
            <v/>
          </cell>
          <cell r="AN506" t="str">
            <v/>
          </cell>
          <cell r="AO506" t="str">
            <v/>
          </cell>
          <cell r="AP506" t="str">
            <v/>
          </cell>
          <cell r="AQ506" t="str">
            <v/>
          </cell>
          <cell r="AR506" t="str">
            <v/>
          </cell>
          <cell r="AS506" t="str">
            <v/>
          </cell>
          <cell r="AT506" t="str">
            <v/>
          </cell>
          <cell r="AU506">
            <v>40210</v>
          </cell>
        </row>
        <row r="507">
          <cell r="A507" t="str">
            <v>S16-0504</v>
          </cell>
          <cell r="B507" t="str">
            <v>岡田医院_0504 (2)</v>
          </cell>
          <cell r="C507" t="str">
            <v>SR#不要</v>
          </cell>
          <cell r="D507" t="str">
            <v>2016/07/15-01</v>
          </cell>
          <cell r="E507" t="str">
            <v>有償</v>
          </cell>
          <cell r="F507">
            <v>42573</v>
          </cell>
          <cell r="G507">
            <v>0</v>
          </cell>
          <cell r="H507">
            <v>42654</v>
          </cell>
          <cell r="I507" t="str">
            <v>―</v>
          </cell>
          <cell r="K507" t="str">
            <v>高橋</v>
          </cell>
          <cell r="L507" t="str">
            <v>-</v>
          </cell>
          <cell r="M507" t="str">
            <v>MicroMaxx</v>
          </cell>
          <cell r="N507" t="str">
            <v>03BLXB</v>
          </cell>
          <cell r="O507" t="str">
            <v>P08063-03</v>
          </cell>
          <cell r="P507" t="str">
            <v xml:space="preserve"> 岡田医院　在宅部</v>
          </cell>
          <cell r="Q507" t="str">
            <v>岡田徹也様</v>
          </cell>
          <cell r="R507" t="str">
            <v>〒177-0051 東京都練馬区関町北1-8-9</v>
          </cell>
          <cell r="S507" t="str">
            <v>03-6712-0388</v>
          </cell>
          <cell r="T507" t="str">
            <v>03-6712-0387</v>
          </cell>
          <cell r="U507" t="str">
            <v xml:space="preserve"> 岡田医院</v>
          </cell>
          <cell r="V507" t="str">
            <v>-</v>
          </cell>
          <cell r="W507" t="str">
            <v>在宅部</v>
          </cell>
          <cell r="X507" t="str">
            <v>03-6712-0388</v>
          </cell>
          <cell r="Y507" t="str">
            <v>〒177-0051 東京都練馬区関町北1-8-9</v>
          </cell>
          <cell r="AA507" t="str">
            <v/>
          </cell>
          <cell r="AB507" t="str">
            <v/>
          </cell>
          <cell r="AC507" t="str">
            <v/>
          </cell>
          <cell r="AD507" t="str">
            <v/>
          </cell>
          <cell r="AE507" t="str">
            <v/>
          </cell>
          <cell r="AF507" t="str">
            <v/>
          </cell>
          <cell r="AG507" t="str">
            <v/>
          </cell>
          <cell r="AH507" t="str">
            <v/>
          </cell>
          <cell r="AI507" t="str">
            <v/>
          </cell>
          <cell r="AJ507" t="str">
            <v/>
          </cell>
          <cell r="AK507" t="str">
            <v/>
          </cell>
          <cell r="AL507" t="str">
            <v/>
          </cell>
          <cell r="AM507" t="str">
            <v/>
          </cell>
          <cell r="AN507" t="str">
            <v/>
          </cell>
          <cell r="AO507" t="str">
            <v/>
          </cell>
          <cell r="AP507" t="str">
            <v/>
          </cell>
          <cell r="AQ507" t="str">
            <v/>
          </cell>
          <cell r="AR507" t="str">
            <v/>
          </cell>
          <cell r="AS507" t="str">
            <v/>
          </cell>
          <cell r="AT507" t="str">
            <v/>
          </cell>
          <cell r="AU507">
            <v>39569</v>
          </cell>
        </row>
        <row r="508">
          <cell r="A508" t="str">
            <v>S16-0505</v>
          </cell>
          <cell r="B508" t="str">
            <v>さかいペインクリニック_0505 (2)</v>
          </cell>
          <cell r="C508" t="str">
            <v>SR#4229551</v>
          </cell>
          <cell r="D508" t="str">
            <v>2016/07/06-04</v>
          </cell>
          <cell r="E508" t="str">
            <v>無償</v>
          </cell>
          <cell r="F508">
            <v>42573</v>
          </cell>
          <cell r="G508">
            <v>0</v>
          </cell>
          <cell r="H508">
            <v>42647</v>
          </cell>
          <cell r="I508" t="str">
            <v>2011/6/27</v>
          </cell>
          <cell r="K508" t="str">
            <v>高橋</v>
          </cell>
          <cell r="L508">
            <v>3</v>
          </cell>
          <cell r="M508" t="str">
            <v>S-Nerve</v>
          </cell>
          <cell r="N508" t="str">
            <v>03MF3V</v>
          </cell>
          <cell r="O508" t="str">
            <v>P12060-07</v>
          </cell>
          <cell r="P508" t="str">
            <v>富士フイルムメディカル株式会社</v>
          </cell>
          <cell r="Q508" t="str">
            <v>遠藤様</v>
          </cell>
          <cell r="R508" t="str">
            <v>〒532-0004　大阪府大阪市淀川区西宮原1-3-5</v>
          </cell>
          <cell r="S508" t="str">
            <v>06-6396-5102</v>
          </cell>
          <cell r="T508" t="str">
            <v>06-6396-5103</v>
          </cell>
          <cell r="U508" t="str">
            <v xml:space="preserve"> さかいペインクリニック</v>
          </cell>
          <cell r="V508" t="str">
            <v>-</v>
          </cell>
          <cell r="W508" t="str">
            <v>-</v>
          </cell>
          <cell r="X508" t="str">
            <v>072-971-1899</v>
          </cell>
          <cell r="Y508" t="str">
            <v>〒582-0007　大阪府柏原市上市1-2-2　アゼリア柏原416</v>
          </cell>
          <cell r="AA508" t="str">
            <v>P09135-03</v>
          </cell>
          <cell r="AB508" t="str">
            <v>P08850-02</v>
          </cell>
          <cell r="AC508" t="str">
            <v/>
          </cell>
          <cell r="AD508" t="str">
            <v/>
          </cell>
          <cell r="AE508" t="str">
            <v/>
          </cell>
          <cell r="AF508" t="str">
            <v/>
          </cell>
          <cell r="AG508" t="str">
            <v/>
          </cell>
          <cell r="AH508" t="str">
            <v/>
          </cell>
          <cell r="AI508" t="str">
            <v/>
          </cell>
          <cell r="AJ508" t="str">
            <v/>
          </cell>
          <cell r="AK508" t="str">
            <v>SERVICE ASSEMBLY MAIN PCBA, S-SERIES</v>
          </cell>
          <cell r="AL508" t="str">
            <v>SERVICE ASSEMBLY, POWER SUPPLY, M/S TURBO, EDGE</v>
          </cell>
          <cell r="AM508" t="str">
            <v/>
          </cell>
          <cell r="AN508" t="str">
            <v/>
          </cell>
          <cell r="AO508" t="str">
            <v/>
          </cell>
          <cell r="AP508" t="str">
            <v/>
          </cell>
          <cell r="AQ508" t="str">
            <v/>
          </cell>
          <cell r="AR508" t="str">
            <v/>
          </cell>
          <cell r="AS508" t="str">
            <v/>
          </cell>
          <cell r="AT508" t="str">
            <v/>
          </cell>
          <cell r="AU508">
            <v>40695</v>
          </cell>
        </row>
        <row r="509">
          <cell r="A509" t="str">
            <v>S16-0506</v>
          </cell>
          <cell r="B509" t="str">
            <v>代替機NIM190_0506 (2)</v>
          </cell>
          <cell r="C509" t="str">
            <v>SR#4224435</v>
          </cell>
          <cell r="D509">
            <v>0</v>
          </cell>
          <cell r="E509" t="str">
            <v>無償</v>
          </cell>
          <cell r="F509">
            <v>42573</v>
          </cell>
          <cell r="G509">
            <v>0</v>
          </cell>
          <cell r="H509">
            <v>42586</v>
          </cell>
          <cell r="I509" t="str">
            <v>―</v>
          </cell>
          <cell r="K509" t="str">
            <v>梶田</v>
          </cell>
          <cell r="L509">
            <v>3</v>
          </cell>
          <cell r="M509" t="str">
            <v>EDGE</v>
          </cell>
          <cell r="N509" t="str">
            <v>03WRLZ</v>
          </cell>
          <cell r="O509" t="str">
            <v>P16360-04</v>
          </cell>
          <cell r="P509" t="str">
            <v>富士フイルムメディカル株式会社</v>
          </cell>
          <cell r="Q509" t="str">
            <v>テクニカルサポート</v>
          </cell>
          <cell r="R509" t="str">
            <v>-</v>
          </cell>
          <cell r="S509" t="str">
            <v>03-6418-7190</v>
          </cell>
          <cell r="T509" t="str">
            <v>03-6418-7162</v>
          </cell>
          <cell r="U509" t="str">
            <v xml:space="preserve"> 代替機NIM190</v>
          </cell>
          <cell r="V509" t="str">
            <v>-</v>
          </cell>
          <cell r="W509" t="str">
            <v>-</v>
          </cell>
          <cell r="X509" t="str">
            <v>-</v>
          </cell>
          <cell r="Y509" t="str">
            <v>-</v>
          </cell>
          <cell r="AA509" t="str">
            <v>P15615-03</v>
          </cell>
          <cell r="AB509" t="str">
            <v/>
          </cell>
          <cell r="AC509" t="str">
            <v/>
          </cell>
          <cell r="AD509" t="str">
            <v/>
          </cell>
          <cell r="AE509" t="str">
            <v/>
          </cell>
          <cell r="AF509" t="str">
            <v/>
          </cell>
          <cell r="AG509" t="str">
            <v/>
          </cell>
          <cell r="AH509" t="str">
            <v/>
          </cell>
          <cell r="AI509" t="str">
            <v/>
          </cell>
          <cell r="AJ509" t="str">
            <v/>
          </cell>
          <cell r="AK509" t="str">
            <v>SERVICE ASSEMBLY, MAIN PCBA, EDGE</v>
          </cell>
          <cell r="AL509" t="str">
            <v/>
          </cell>
          <cell r="AM509" t="str">
            <v/>
          </cell>
          <cell r="AN509" t="str">
            <v/>
          </cell>
          <cell r="AO509" t="str">
            <v/>
          </cell>
          <cell r="AP509" t="str">
            <v/>
          </cell>
          <cell r="AQ509" t="str">
            <v/>
          </cell>
          <cell r="AR509" t="str">
            <v/>
          </cell>
          <cell r="AS509" t="str">
            <v/>
          </cell>
          <cell r="AT509" t="str">
            <v/>
          </cell>
          <cell r="AU509">
            <v>41609</v>
          </cell>
        </row>
        <row r="510">
          <cell r="A510" t="str">
            <v>S16-0507</v>
          </cell>
          <cell r="B510" t="str">
            <v>愛媛県立中央病院_0507 (2)</v>
          </cell>
          <cell r="C510" t="str">
            <v>SR#</v>
          </cell>
          <cell r="D510" t="str">
            <v>2016/07/07-01</v>
          </cell>
          <cell r="E510" t="str">
            <v>有償</v>
          </cell>
          <cell r="F510">
            <v>42576</v>
          </cell>
          <cell r="G510">
            <v>0</v>
          </cell>
          <cell r="H510">
            <v>42628</v>
          </cell>
          <cell r="I510" t="str">
            <v>不明</v>
          </cell>
          <cell r="K510" t="str">
            <v>高橋</v>
          </cell>
          <cell r="L510">
            <v>3</v>
          </cell>
          <cell r="M510" t="str">
            <v>180Ⅱ</v>
          </cell>
          <cell r="N510" t="str">
            <v>0206Z0</v>
          </cell>
          <cell r="O510" t="str">
            <v>P02456-01</v>
          </cell>
          <cell r="P510" t="str">
            <v>株式会社カワニシ　松山支店</v>
          </cell>
          <cell r="Q510" t="str">
            <v>榎谷様</v>
          </cell>
          <cell r="R510" t="str">
            <v>〒791-2112　愛媛県伊予郡砥部町重光241-3</v>
          </cell>
          <cell r="S510" t="str">
            <v>089-956-7008</v>
          </cell>
          <cell r="T510" t="str">
            <v>089-956-2937</v>
          </cell>
          <cell r="U510" t="str">
            <v>愛媛県立中央病院　人工透析室</v>
          </cell>
          <cell r="V510" t="str">
            <v>-</v>
          </cell>
          <cell r="W510" t="str">
            <v>-</v>
          </cell>
          <cell r="X510" t="str">
            <v>089-947-1111</v>
          </cell>
          <cell r="Y510" t="str">
            <v>〒790-0024 愛媛県松山市春日町83番地</v>
          </cell>
          <cell r="AA510" t="str">
            <v>P01213-01</v>
          </cell>
          <cell r="AB510" t="str">
            <v>P00343-01</v>
          </cell>
          <cell r="AC510" t="str">
            <v/>
          </cell>
          <cell r="AD510" t="str">
            <v/>
          </cell>
          <cell r="AE510" t="str">
            <v/>
          </cell>
          <cell r="AF510" t="str">
            <v/>
          </cell>
          <cell r="AG510" t="str">
            <v/>
          </cell>
          <cell r="AH510" t="str">
            <v/>
          </cell>
          <cell r="AI510" t="str">
            <v/>
          </cell>
          <cell r="AJ510" t="str">
            <v/>
          </cell>
          <cell r="AK510" t="str">
            <v>FLEX CIRCUIT, FAB, C1 DISPLAY</v>
          </cell>
          <cell r="AL510" t="str">
            <v>HINGE, DISPLAY</v>
          </cell>
          <cell r="AM510" t="str">
            <v/>
          </cell>
          <cell r="AN510" t="str">
            <v/>
          </cell>
          <cell r="AO510" t="str">
            <v/>
          </cell>
          <cell r="AP510" t="str">
            <v/>
          </cell>
          <cell r="AQ510" t="str">
            <v/>
          </cell>
          <cell r="AR510" t="str">
            <v/>
          </cell>
          <cell r="AS510" t="str">
            <v/>
          </cell>
          <cell r="AT510" t="str">
            <v/>
          </cell>
          <cell r="AU510">
            <v>37196</v>
          </cell>
        </row>
        <row r="511">
          <cell r="A511" t="str">
            <v>S16-0508</v>
          </cell>
          <cell r="B511" t="str">
            <v>デモ機MUR10_0508 (2)</v>
          </cell>
          <cell r="C511" t="str">
            <v>SR#不要</v>
          </cell>
          <cell r="D511" t="str">
            <v>-</v>
          </cell>
          <cell r="E511" t="str">
            <v>無償</v>
          </cell>
          <cell r="F511">
            <v>42576</v>
          </cell>
          <cell r="G511">
            <v>0</v>
          </cell>
          <cell r="H511">
            <v>42579</v>
          </cell>
          <cell r="I511" t="str">
            <v>―</v>
          </cell>
          <cell r="K511" t="str">
            <v>-</v>
          </cell>
          <cell r="L511" t="str">
            <v>-</v>
          </cell>
          <cell r="M511" t="str">
            <v>HFL50x/15-6</v>
          </cell>
          <cell r="N511" t="str">
            <v>03JFKP</v>
          </cell>
          <cell r="O511" t="str">
            <v>P13811-01</v>
          </cell>
          <cell r="P511" t="str">
            <v>富士フイルムメディカル株式会社</v>
          </cell>
          <cell r="Q511" t="str">
            <v>村上様</v>
          </cell>
          <cell r="R511" t="str">
            <v>-</v>
          </cell>
          <cell r="S511" t="str">
            <v>03-6418-7190</v>
          </cell>
          <cell r="T511" t="str">
            <v>03-6418-7162</v>
          </cell>
          <cell r="U511" t="str">
            <v>デモ機MUR10</v>
          </cell>
          <cell r="V511" t="str">
            <v>-</v>
          </cell>
          <cell r="W511" t="str">
            <v>-</v>
          </cell>
          <cell r="X511" t="str">
            <v>-</v>
          </cell>
          <cell r="Y511" t="str">
            <v>-</v>
          </cell>
          <cell r="AA511" t="str">
            <v/>
          </cell>
          <cell r="AB511" t="str">
            <v/>
          </cell>
          <cell r="AC511" t="str">
            <v/>
          </cell>
          <cell r="AD511" t="str">
            <v/>
          </cell>
          <cell r="AE511" t="str">
            <v/>
          </cell>
          <cell r="AF511" t="str">
            <v/>
          </cell>
          <cell r="AG511" t="str">
            <v/>
          </cell>
          <cell r="AH511" t="str">
            <v/>
          </cell>
          <cell r="AI511" t="str">
            <v/>
          </cell>
          <cell r="AJ511" t="str">
            <v/>
          </cell>
          <cell r="AK511" t="str">
            <v/>
          </cell>
          <cell r="AL511" t="str">
            <v/>
          </cell>
          <cell r="AM511" t="str">
            <v/>
          </cell>
          <cell r="AN511" t="str">
            <v/>
          </cell>
          <cell r="AO511" t="str">
            <v/>
          </cell>
          <cell r="AP511" t="str">
            <v/>
          </cell>
          <cell r="AQ511" t="str">
            <v/>
          </cell>
          <cell r="AR511" t="str">
            <v/>
          </cell>
          <cell r="AS511" t="str">
            <v/>
          </cell>
          <cell r="AT511" t="str">
            <v/>
          </cell>
          <cell r="AU511">
            <v>40299</v>
          </cell>
        </row>
        <row r="512">
          <cell r="A512" t="str">
            <v>S16-0509</v>
          </cell>
          <cell r="B512" t="str">
            <v>山形県立中央病院_0509 (2)</v>
          </cell>
          <cell r="C512" t="str">
            <v>SR#</v>
          </cell>
          <cell r="D512" t="str">
            <v>2016/07/14-03</v>
          </cell>
          <cell r="E512" t="str">
            <v>有償</v>
          </cell>
          <cell r="F512">
            <v>42576</v>
          </cell>
          <cell r="G512">
            <v>0</v>
          </cell>
          <cell r="H512">
            <v>42641</v>
          </cell>
          <cell r="I512" t="str">
            <v>不明</v>
          </cell>
          <cell r="K512" t="str">
            <v>高橋</v>
          </cell>
          <cell r="L512">
            <v>3</v>
          </cell>
          <cell r="M512" t="str">
            <v>M-Turbo</v>
          </cell>
          <cell r="N512" t="str">
            <v>03KYFP</v>
          </cell>
          <cell r="O512" t="str">
            <v>P09141-20</v>
          </cell>
          <cell r="P512" t="str">
            <v>株式会社シバタインテック 山形支店</v>
          </cell>
          <cell r="Q512" t="str">
            <v>藤田様</v>
          </cell>
          <cell r="R512" t="str">
            <v>〒990-2323　山形県山形市桜田東二丁目1番21号</v>
          </cell>
          <cell r="S512" t="str">
            <v>023-642-8153</v>
          </cell>
          <cell r="T512" t="str">
            <v>023-623-5853</v>
          </cell>
          <cell r="U512" t="str">
            <v>山形県立中央病院</v>
          </cell>
          <cell r="V512" t="str">
            <v>-</v>
          </cell>
          <cell r="W512" t="str">
            <v>麻酔科</v>
          </cell>
          <cell r="X512" t="str">
            <v>0236-85-2626</v>
          </cell>
          <cell r="Y512" t="str">
            <v>〒990-2292 　山形市大字青柳1800</v>
          </cell>
          <cell r="AA512" t="str">
            <v>P19087-02</v>
          </cell>
          <cell r="AB512" t="str">
            <v>P03833-02</v>
          </cell>
          <cell r="AC512" t="str">
            <v>P03834-02</v>
          </cell>
          <cell r="AD512" t="str">
            <v>P07168-20</v>
          </cell>
          <cell r="AE512" t="str">
            <v/>
          </cell>
          <cell r="AF512" t="str">
            <v/>
          </cell>
          <cell r="AG512" t="str">
            <v/>
          </cell>
          <cell r="AH512" t="str">
            <v/>
          </cell>
          <cell r="AI512" t="str">
            <v/>
          </cell>
          <cell r="AJ512" t="str">
            <v/>
          </cell>
          <cell r="AK512" t="str">
            <v>MAIN PCBA, M-Turbo</v>
          </cell>
          <cell r="AL512" t="str">
            <v>SHIELD, PERIMETER, SHORT</v>
          </cell>
          <cell r="AM512" t="str">
            <v>SHIELD, PERIMETER, LONG</v>
          </cell>
          <cell r="AN512" t="str">
            <v>BATTERY PACK, 6 CELL, 11.25V, 5.2AMP-HOUR, LITHIUM-ION</v>
          </cell>
          <cell r="AO512" t="str">
            <v/>
          </cell>
          <cell r="AP512" t="str">
            <v/>
          </cell>
          <cell r="AQ512" t="str">
            <v/>
          </cell>
          <cell r="AR512" t="str">
            <v/>
          </cell>
          <cell r="AS512" t="str">
            <v/>
          </cell>
          <cell r="AT512" t="str">
            <v/>
          </cell>
          <cell r="AU512">
            <v>40513</v>
          </cell>
        </row>
        <row r="513">
          <cell r="A513" t="str">
            <v>S16-0510</v>
          </cell>
          <cell r="B513" t="str">
            <v>砂川市立病院_0510</v>
          </cell>
          <cell r="C513" t="e">
            <v>#REF!</v>
          </cell>
          <cell r="D513" t="e">
            <v>#REF!</v>
          </cell>
          <cell r="E513" t="e">
            <v>#REF!</v>
          </cell>
          <cell r="F513" t="e">
            <v>#REF!</v>
          </cell>
          <cell r="G513" t="e">
            <v>#REF!</v>
          </cell>
          <cell r="H513" t="e">
            <v>#REF!</v>
          </cell>
          <cell r="I513" t="e">
            <v>#REF!</v>
          </cell>
          <cell r="K513" t="e">
            <v>#REF!</v>
          </cell>
          <cell r="M513" t="e">
            <v>#REF!</v>
          </cell>
          <cell r="N513" t="e">
            <v>#REF!</v>
          </cell>
          <cell r="O513" t="e">
            <v>#REF!</v>
          </cell>
          <cell r="P513" t="e">
            <v>#REF!</v>
          </cell>
          <cell r="Q513" t="e">
            <v>#REF!</v>
          </cell>
          <cell r="S513" t="e">
            <v>#REF!</v>
          </cell>
          <cell r="T513" t="e">
            <v>#REF!</v>
          </cell>
          <cell r="U513" t="e">
            <v>#REF!</v>
          </cell>
          <cell r="AA513" t="e">
            <v>#REF!</v>
          </cell>
          <cell r="AB513" t="e">
            <v>#REF!</v>
          </cell>
          <cell r="AC513" t="e">
            <v>#REF!</v>
          </cell>
          <cell r="AD513" t="e">
            <v>#REF!</v>
          </cell>
          <cell r="AE513" t="e">
            <v>#REF!</v>
          </cell>
          <cell r="AF513" t="e">
            <v>#REF!</v>
          </cell>
          <cell r="AG513" t="e">
            <v>#REF!</v>
          </cell>
          <cell r="AH513" t="e">
            <v>#REF!</v>
          </cell>
          <cell r="AI513" t="e">
            <v>#REF!</v>
          </cell>
          <cell r="AJ513" t="e">
            <v>#REF!</v>
          </cell>
          <cell r="AK513" t="e">
            <v>#REF!</v>
          </cell>
          <cell r="AL513" t="e">
            <v>#REF!</v>
          </cell>
          <cell r="AM513" t="e">
            <v>#REF!</v>
          </cell>
          <cell r="AN513" t="e">
            <v>#REF!</v>
          </cell>
          <cell r="AO513" t="e">
            <v>#REF!</v>
          </cell>
          <cell r="AP513" t="e">
            <v>#REF!</v>
          </cell>
          <cell r="AQ513" t="e">
            <v>#REF!</v>
          </cell>
          <cell r="AR513" t="e">
            <v>#REF!</v>
          </cell>
          <cell r="AS513" t="e">
            <v>#REF!</v>
          </cell>
          <cell r="AT513" t="e">
            <v>#REF!</v>
          </cell>
          <cell r="AU513" t="e">
            <v>#REF!</v>
          </cell>
        </row>
        <row r="514">
          <cell r="A514" t="str">
            <v>S16-0511</v>
          </cell>
          <cell r="B514" t="str">
            <v>岐阜大学医学部附属病院_0511 (2)</v>
          </cell>
          <cell r="C514" t="str">
            <v>SR#4230113</v>
          </cell>
          <cell r="D514" t="str">
            <v>2016/07/21-01</v>
          </cell>
          <cell r="E514" t="str">
            <v>有償</v>
          </cell>
          <cell r="F514">
            <v>42576</v>
          </cell>
          <cell r="G514">
            <v>0</v>
          </cell>
          <cell r="H514">
            <v>42584</v>
          </cell>
          <cell r="I514" t="str">
            <v>不明</v>
          </cell>
          <cell r="K514" t="str">
            <v>高橋</v>
          </cell>
          <cell r="L514">
            <v>5</v>
          </cell>
          <cell r="M514" t="str">
            <v>M-Turbo</v>
          </cell>
          <cell r="N514" t="str">
            <v>03KYFC</v>
          </cell>
          <cell r="O514" t="str">
            <v>P09141-20</v>
          </cell>
          <cell r="P514" t="str">
            <v>株式会社 八神製作所 岐阜営業所</v>
          </cell>
          <cell r="Q514" t="str">
            <v>佐藤様</v>
          </cell>
          <cell r="R514" t="str">
            <v>〒501-0115　岐阜市鏡島南二丁目8番33号</v>
          </cell>
          <cell r="S514" t="str">
            <v>058-255-4055</v>
          </cell>
          <cell r="T514" t="str">
            <v>058-255-4060</v>
          </cell>
          <cell r="U514" t="str">
            <v>岐阜大学医学部附属病院</v>
          </cell>
          <cell r="V514" t="str">
            <v>-</v>
          </cell>
          <cell r="W514" t="str">
            <v>-</v>
          </cell>
          <cell r="X514" t="str">
            <v>058-230-6000</v>
          </cell>
          <cell r="Y514" t="str">
            <v>〒501-1194　岐阜県岐阜市柳戸1-1</v>
          </cell>
          <cell r="AA514" t="str">
            <v/>
          </cell>
          <cell r="AB514" t="str">
            <v/>
          </cell>
          <cell r="AC514" t="str">
            <v/>
          </cell>
          <cell r="AD514" t="str">
            <v/>
          </cell>
          <cell r="AE514" t="str">
            <v/>
          </cell>
          <cell r="AF514" t="str">
            <v/>
          </cell>
          <cell r="AG514" t="str">
            <v/>
          </cell>
          <cell r="AH514" t="str">
            <v/>
          </cell>
          <cell r="AI514" t="str">
            <v/>
          </cell>
          <cell r="AJ514" t="str">
            <v/>
          </cell>
          <cell r="AK514" t="str">
            <v/>
          </cell>
          <cell r="AL514" t="str">
            <v/>
          </cell>
          <cell r="AM514" t="str">
            <v/>
          </cell>
          <cell r="AN514" t="str">
            <v/>
          </cell>
          <cell r="AO514" t="str">
            <v/>
          </cell>
          <cell r="AP514" t="str">
            <v/>
          </cell>
          <cell r="AQ514" t="str">
            <v/>
          </cell>
          <cell r="AR514" t="str">
            <v/>
          </cell>
          <cell r="AS514" t="str">
            <v/>
          </cell>
          <cell r="AT514" t="str">
            <v/>
          </cell>
          <cell r="AU514">
            <v>40513</v>
          </cell>
        </row>
        <row r="515">
          <cell r="A515" t="str">
            <v>S16-0512</v>
          </cell>
          <cell r="B515" t="str">
            <v>国際医療センター_0512 (2)</v>
          </cell>
          <cell r="C515" t="str">
            <v>SR#</v>
          </cell>
          <cell r="D515" t="str">
            <v>-</v>
          </cell>
          <cell r="E515" t="str">
            <v>無償</v>
          </cell>
          <cell r="F515">
            <v>42576</v>
          </cell>
          <cell r="G515">
            <v>0</v>
          </cell>
          <cell r="H515">
            <v>42650</v>
          </cell>
          <cell r="I515">
            <v>41723</v>
          </cell>
          <cell r="K515" t="str">
            <v>高橋</v>
          </cell>
          <cell r="L515">
            <v>3</v>
          </cell>
          <cell r="M515" t="str">
            <v>NanoMaxx</v>
          </cell>
          <cell r="N515" t="str">
            <v>03V2NJ</v>
          </cell>
          <cell r="O515" t="str">
            <v>P12700-06</v>
          </cell>
          <cell r="P515" t="str">
            <v>日本コヴィディエン株式会社　東京第一営業所</v>
          </cell>
          <cell r="Q515" t="str">
            <v>辻山様</v>
          </cell>
          <cell r="R515" t="str">
            <v>〒108-0075  東京都港区港南一丁目2番70号　品川シーズンテラス　22F</v>
          </cell>
          <cell r="S515" t="str">
            <v>03-6774-4629</v>
          </cell>
          <cell r="T515" t="str">
            <v>03-6774-4740</v>
          </cell>
          <cell r="U515" t="str">
            <v>国立国際医療研究センター病院</v>
          </cell>
          <cell r="V515" t="str">
            <v>-</v>
          </cell>
          <cell r="W515" t="str">
            <v>-</v>
          </cell>
          <cell r="X515" t="str">
            <v>03-3202-7181</v>
          </cell>
          <cell r="Y515" t="str">
            <v>〒162-8655　東京都新宿区戸山1-21-1</v>
          </cell>
          <cell r="AA515" t="str">
            <v/>
          </cell>
          <cell r="AB515" t="str">
            <v/>
          </cell>
          <cell r="AC515" t="str">
            <v/>
          </cell>
          <cell r="AD515" t="str">
            <v/>
          </cell>
          <cell r="AE515" t="str">
            <v/>
          </cell>
          <cell r="AF515" t="str">
            <v/>
          </cell>
          <cell r="AG515" t="str">
            <v/>
          </cell>
          <cell r="AH515" t="str">
            <v/>
          </cell>
          <cell r="AI515" t="str">
            <v/>
          </cell>
          <cell r="AJ515" t="str">
            <v/>
          </cell>
          <cell r="AK515" t="str">
            <v/>
          </cell>
          <cell r="AL515" t="str">
            <v/>
          </cell>
          <cell r="AM515" t="str">
            <v/>
          </cell>
          <cell r="AN515" t="str">
            <v/>
          </cell>
          <cell r="AO515" t="str">
            <v/>
          </cell>
          <cell r="AP515" t="str">
            <v/>
          </cell>
          <cell r="AQ515" t="str">
            <v/>
          </cell>
          <cell r="AR515" t="str">
            <v/>
          </cell>
          <cell r="AS515" t="str">
            <v/>
          </cell>
          <cell r="AT515" t="str">
            <v/>
          </cell>
          <cell r="AU515">
            <v>41699</v>
          </cell>
        </row>
        <row r="516">
          <cell r="A516" t="str">
            <v>S16-0513</v>
          </cell>
          <cell r="B516" t="str">
            <v>滋賀医科大学病院_0513 (2)</v>
          </cell>
          <cell r="C516" t="str">
            <v>SR#不要</v>
          </cell>
          <cell r="D516" t="str">
            <v>-</v>
          </cell>
          <cell r="E516" t="str">
            <v>有償</v>
          </cell>
          <cell r="F516">
            <v>42576</v>
          </cell>
          <cell r="G516">
            <v>0</v>
          </cell>
          <cell r="H516">
            <v>42590</v>
          </cell>
          <cell r="I516">
            <v>38854</v>
          </cell>
          <cell r="K516" t="str">
            <v>-</v>
          </cell>
          <cell r="L516" t="str">
            <v>-</v>
          </cell>
          <cell r="M516" t="str">
            <v>iLook25</v>
          </cell>
          <cell r="N516" t="str">
            <v>034K90</v>
          </cell>
          <cell r="O516" t="str">
            <v>P04303-01</v>
          </cell>
          <cell r="P516" t="str">
            <v>日本コヴィディエン株式会社</v>
          </cell>
          <cell r="Q516" t="str">
            <v>川上様</v>
          </cell>
          <cell r="R516" t="str">
            <v>〒108-0075  東京都港区港南一丁目2番70号　品川シーズンテラス　22F</v>
          </cell>
          <cell r="S516" t="str">
            <v>03-6774-4629</v>
          </cell>
          <cell r="T516" t="str">
            <v>03-6774-4740</v>
          </cell>
          <cell r="U516" t="str">
            <v>滋賀医科大学医学部附属病院</v>
          </cell>
          <cell r="V516" t="str">
            <v>-</v>
          </cell>
          <cell r="W516" t="str">
            <v>-</v>
          </cell>
          <cell r="X516" t="str">
            <v>077-548-2111</v>
          </cell>
          <cell r="Y516" t="str">
            <v>〒520-2192　滋賀県大津市瀬田月輪町</v>
          </cell>
          <cell r="AA516" t="str">
            <v/>
          </cell>
          <cell r="AB516" t="str">
            <v/>
          </cell>
          <cell r="AC516" t="str">
            <v/>
          </cell>
          <cell r="AD516" t="str">
            <v/>
          </cell>
          <cell r="AE516" t="str">
            <v/>
          </cell>
          <cell r="AF516" t="str">
            <v/>
          </cell>
          <cell r="AG516" t="str">
            <v/>
          </cell>
          <cell r="AH516" t="str">
            <v/>
          </cell>
          <cell r="AI516" t="str">
            <v/>
          </cell>
          <cell r="AJ516" t="str">
            <v/>
          </cell>
          <cell r="AK516" t="str">
            <v/>
          </cell>
          <cell r="AL516" t="str">
            <v/>
          </cell>
          <cell r="AM516" t="str">
            <v/>
          </cell>
          <cell r="AN516" t="str">
            <v/>
          </cell>
          <cell r="AO516" t="str">
            <v/>
          </cell>
          <cell r="AP516" t="str">
            <v/>
          </cell>
          <cell r="AQ516" t="str">
            <v/>
          </cell>
          <cell r="AR516" t="str">
            <v/>
          </cell>
          <cell r="AS516" t="str">
            <v/>
          </cell>
          <cell r="AT516" t="str">
            <v/>
          </cell>
          <cell r="AU516">
            <v>38565</v>
          </cell>
        </row>
        <row r="517">
          <cell r="A517" t="str">
            <v>S16-0514</v>
          </cell>
          <cell r="B517" t="str">
            <v>埼玉医大総合医療センター_0514</v>
          </cell>
          <cell r="C517" t="e">
            <v>#REF!</v>
          </cell>
          <cell r="D517" t="e">
            <v>#REF!</v>
          </cell>
          <cell r="E517" t="e">
            <v>#REF!</v>
          </cell>
          <cell r="F517" t="e">
            <v>#REF!</v>
          </cell>
          <cell r="G517" t="e">
            <v>#REF!</v>
          </cell>
          <cell r="H517" t="e">
            <v>#REF!</v>
          </cell>
          <cell r="I517" t="e">
            <v>#REF!</v>
          </cell>
          <cell r="K517" t="e">
            <v>#REF!</v>
          </cell>
          <cell r="M517" t="e">
            <v>#REF!</v>
          </cell>
          <cell r="N517" t="e">
            <v>#REF!</v>
          </cell>
          <cell r="O517" t="e">
            <v>#REF!</v>
          </cell>
          <cell r="P517" t="e">
            <v>#REF!</v>
          </cell>
          <cell r="Q517" t="e">
            <v>#REF!</v>
          </cell>
          <cell r="S517" t="e">
            <v>#REF!</v>
          </cell>
          <cell r="T517" t="e">
            <v>#REF!</v>
          </cell>
          <cell r="U517" t="e">
            <v>#REF!</v>
          </cell>
          <cell r="AA517" t="e">
            <v>#REF!</v>
          </cell>
          <cell r="AB517" t="e">
            <v>#REF!</v>
          </cell>
          <cell r="AC517" t="e">
            <v>#REF!</v>
          </cell>
          <cell r="AD517" t="e">
            <v>#REF!</v>
          </cell>
          <cell r="AE517" t="e">
            <v>#REF!</v>
          </cell>
          <cell r="AF517" t="e">
            <v>#REF!</v>
          </cell>
          <cell r="AG517" t="e">
            <v>#REF!</v>
          </cell>
          <cell r="AH517" t="e">
            <v>#REF!</v>
          </cell>
          <cell r="AI517" t="e">
            <v>#REF!</v>
          </cell>
          <cell r="AJ517" t="e">
            <v>#REF!</v>
          </cell>
          <cell r="AK517" t="e">
            <v>#REF!</v>
          </cell>
          <cell r="AL517" t="e">
            <v>#REF!</v>
          </cell>
          <cell r="AM517" t="e">
            <v>#REF!</v>
          </cell>
          <cell r="AN517" t="e">
            <v>#REF!</v>
          </cell>
          <cell r="AO517" t="e">
            <v>#REF!</v>
          </cell>
          <cell r="AP517" t="e">
            <v>#REF!</v>
          </cell>
          <cell r="AQ517" t="e">
            <v>#REF!</v>
          </cell>
          <cell r="AR517" t="e">
            <v>#REF!</v>
          </cell>
          <cell r="AS517" t="e">
            <v>#REF!</v>
          </cell>
          <cell r="AT517" t="e">
            <v>#REF!</v>
          </cell>
          <cell r="AU517" t="e">
            <v>#REF!</v>
          </cell>
        </row>
        <row r="518">
          <cell r="A518" t="str">
            <v>S16-0515</v>
          </cell>
          <cell r="B518" t="str">
            <v>横浜市立大学総合医療センター_0515 (2)</v>
          </cell>
          <cell r="C518" t="str">
            <v>SR#4224431</v>
          </cell>
          <cell r="D518" t="str">
            <v>2016/07/25-02</v>
          </cell>
          <cell r="E518" t="str">
            <v>無償</v>
          </cell>
          <cell r="F518">
            <v>42577</v>
          </cell>
          <cell r="G518">
            <v>0</v>
          </cell>
          <cell r="H518">
            <v>42647</v>
          </cell>
          <cell r="I518" t="str">
            <v>不明</v>
          </cell>
          <cell r="K518" t="str">
            <v>高橋</v>
          </cell>
          <cell r="L518">
            <v>3</v>
          </cell>
          <cell r="M518" t="str">
            <v>EDGE</v>
          </cell>
          <cell r="N518" t="str">
            <v>0419ND</v>
          </cell>
          <cell r="O518" t="str">
            <v>P16360-62</v>
          </cell>
          <cell r="P518" t="str">
            <v>富士フイルムメディカル株式会社</v>
          </cell>
          <cell r="Q518" t="str">
            <v>岡崎 様</v>
          </cell>
          <cell r="R518" t="str">
            <v>〒222-0033　神奈川県横浜市港北区新横浜2-8-11</v>
          </cell>
          <cell r="S518" t="str">
            <v>045-471-7311</v>
          </cell>
          <cell r="T518" t="str">
            <v>045-472-6321</v>
          </cell>
          <cell r="U518" t="str">
            <v xml:space="preserve"> 横浜市立大学総合医療センター</v>
          </cell>
          <cell r="V518" t="str">
            <v>-</v>
          </cell>
          <cell r="W518" t="str">
            <v>-</v>
          </cell>
          <cell r="X518" t="str">
            <v>045-261-5656</v>
          </cell>
          <cell r="Y518" t="str">
            <v>〒232-0024　神奈川県横浜市南区浦舟町4-57</v>
          </cell>
          <cell r="AA518" t="str">
            <v>P15615-03</v>
          </cell>
          <cell r="AB518" t="str">
            <v/>
          </cell>
          <cell r="AC518" t="str">
            <v/>
          </cell>
          <cell r="AD518" t="str">
            <v/>
          </cell>
          <cell r="AE518" t="str">
            <v/>
          </cell>
          <cell r="AF518" t="str">
            <v/>
          </cell>
          <cell r="AG518" t="str">
            <v/>
          </cell>
          <cell r="AH518" t="str">
            <v/>
          </cell>
          <cell r="AI518" t="str">
            <v/>
          </cell>
          <cell r="AJ518" t="str">
            <v/>
          </cell>
          <cell r="AK518" t="str">
            <v>SERVICE ASSEMBLY, MAIN PCBA, EDGE</v>
          </cell>
          <cell r="AL518" t="str">
            <v/>
          </cell>
          <cell r="AM518" t="str">
            <v/>
          </cell>
          <cell r="AN518" t="str">
            <v/>
          </cell>
          <cell r="AO518" t="str">
            <v/>
          </cell>
          <cell r="AP518" t="str">
            <v/>
          </cell>
          <cell r="AQ518" t="str">
            <v/>
          </cell>
          <cell r="AR518" t="str">
            <v/>
          </cell>
          <cell r="AS518" t="str">
            <v/>
          </cell>
          <cell r="AT518" t="str">
            <v/>
          </cell>
          <cell r="AU518">
            <v>42125</v>
          </cell>
        </row>
        <row r="519">
          <cell r="A519" t="str">
            <v>S16-0516</v>
          </cell>
          <cell r="B519" t="str">
            <v>鹿児島市立病院_0516 (2)</v>
          </cell>
          <cell r="C519" t="str">
            <v>SR#</v>
          </cell>
          <cell r="D519" t="str">
            <v>2016/07/15-07</v>
          </cell>
          <cell r="E519" t="str">
            <v>有償</v>
          </cell>
          <cell r="F519">
            <v>42578</v>
          </cell>
          <cell r="G519">
            <v>0</v>
          </cell>
          <cell r="H519">
            <v>42628</v>
          </cell>
          <cell r="I519" t="str">
            <v>不明</v>
          </cell>
          <cell r="K519" t="str">
            <v>高橋</v>
          </cell>
          <cell r="L519">
            <v>3</v>
          </cell>
          <cell r="M519" t="str">
            <v>TiTAN</v>
          </cell>
          <cell r="N519" t="str">
            <v>037BTB</v>
          </cell>
          <cell r="O519" t="str">
            <v>P06590-02</v>
          </cell>
          <cell r="P519" t="str">
            <v>株式会社八郷医療器</v>
          </cell>
          <cell r="Q519" t="str">
            <v>河嶋 様</v>
          </cell>
          <cell r="R519" t="str">
            <v>〒891-0114　鹿児島県鹿児島市小松原1-29-5</v>
          </cell>
          <cell r="S519" t="str">
            <v>099-268-0010</v>
          </cell>
          <cell r="T519" t="str">
            <v>099-267-7790</v>
          </cell>
          <cell r="U519" t="str">
            <v>鹿児島市立病院</v>
          </cell>
          <cell r="V519" t="str">
            <v>-</v>
          </cell>
          <cell r="W519" t="str">
            <v>-</v>
          </cell>
          <cell r="X519" t="str">
            <v>099-230-7000</v>
          </cell>
          <cell r="Y519" t="str">
            <v>〒890-8760　鹿児島県鹿児島市上荒田町37-1</v>
          </cell>
          <cell r="AA519" t="str">
            <v>P03861-02</v>
          </cell>
          <cell r="AB519" t="str">
            <v/>
          </cell>
          <cell r="AC519" t="str">
            <v/>
          </cell>
          <cell r="AD519" t="str">
            <v/>
          </cell>
          <cell r="AE519" t="str">
            <v/>
          </cell>
          <cell r="AF519" t="str">
            <v/>
          </cell>
          <cell r="AG519" t="str">
            <v/>
          </cell>
          <cell r="AH519" t="str">
            <v/>
          </cell>
          <cell r="AI519" t="str">
            <v/>
          </cell>
          <cell r="AJ519" t="str">
            <v/>
          </cell>
          <cell r="AK519" t="str">
            <v>SERVICE ASSEMBLY DISPLAY, TITAN</v>
          </cell>
          <cell r="AL519" t="str">
            <v/>
          </cell>
          <cell r="AM519" t="str">
            <v/>
          </cell>
          <cell r="AN519" t="str">
            <v/>
          </cell>
          <cell r="AO519" t="str">
            <v/>
          </cell>
          <cell r="AP519" t="str">
            <v/>
          </cell>
          <cell r="AQ519" t="str">
            <v/>
          </cell>
          <cell r="AR519" t="str">
            <v/>
          </cell>
          <cell r="AS519" t="str">
            <v/>
          </cell>
          <cell r="AT519" t="str">
            <v/>
          </cell>
          <cell r="AU519">
            <v>39022</v>
          </cell>
        </row>
        <row r="520">
          <cell r="A520" t="str">
            <v>S16-0517</v>
          </cell>
          <cell r="B520" t="str">
            <v>勤医協中央病院_0517 (2)</v>
          </cell>
          <cell r="C520" t="str">
            <v>SR#</v>
          </cell>
          <cell r="D520" t="str">
            <v>2016/07/21-03</v>
          </cell>
          <cell r="E520" t="str">
            <v>有償</v>
          </cell>
          <cell r="F520">
            <v>42578</v>
          </cell>
          <cell r="G520">
            <v>0</v>
          </cell>
          <cell r="H520">
            <v>42601</v>
          </cell>
          <cell r="I520" t="str">
            <v>不明</v>
          </cell>
          <cell r="K520" t="str">
            <v>高橋</v>
          </cell>
          <cell r="L520">
            <v>3</v>
          </cell>
          <cell r="M520" t="str">
            <v>180Plus</v>
          </cell>
          <cell r="N520" t="str">
            <v>038P86</v>
          </cell>
          <cell r="O520" t="str">
            <v>P04326-04</v>
          </cell>
          <cell r="P520" t="str">
            <v>株式会社エム・イー器械　札幌営業所</v>
          </cell>
          <cell r="Q520" t="str">
            <v>小西様</v>
          </cell>
          <cell r="R520" t="str">
            <v>〒007-0834　北海道札幌市東区北34条東19丁目1-20</v>
          </cell>
          <cell r="S520" t="str">
            <v>011-789-1350</v>
          </cell>
          <cell r="T520" t="str">
            <v>011-789-1352</v>
          </cell>
          <cell r="U520" t="str">
            <v>勤医協中央病院</v>
          </cell>
          <cell r="V520" t="str">
            <v>和田先生</v>
          </cell>
          <cell r="W520" t="str">
            <v>総合診療科（5東)</v>
          </cell>
          <cell r="X520" t="str">
            <v>011-782-9111</v>
          </cell>
          <cell r="Y520" t="str">
            <v>〒007-8505　北海道札幌市東区東苗穂5条1丁目9-1</v>
          </cell>
          <cell r="Z520" t="str">
            <v>P00538-03</v>
          </cell>
          <cell r="AB520" t="str">
            <v/>
          </cell>
          <cell r="AC520" t="str">
            <v/>
          </cell>
          <cell r="AD520" t="str">
            <v/>
          </cell>
          <cell r="AE520" t="str">
            <v/>
          </cell>
          <cell r="AF520" t="str">
            <v/>
          </cell>
          <cell r="AG520" t="str">
            <v/>
          </cell>
          <cell r="AH520" t="str">
            <v/>
          </cell>
          <cell r="AI520" t="str">
            <v/>
          </cell>
          <cell r="AJ520" t="str">
            <v/>
          </cell>
          <cell r="AK520" t="str">
            <v>POWER SUPPLY, 85-264 VAC, 50-60HZ, 16V, 45W, 180</v>
          </cell>
          <cell r="AL520" t="str">
            <v/>
          </cell>
          <cell r="AM520" t="str">
            <v/>
          </cell>
          <cell r="AN520" t="str">
            <v/>
          </cell>
          <cell r="AO520" t="str">
            <v/>
          </cell>
          <cell r="AP520" t="str">
            <v/>
          </cell>
          <cell r="AQ520" t="str">
            <v/>
          </cell>
          <cell r="AR520" t="str">
            <v/>
          </cell>
          <cell r="AS520" t="str">
            <v/>
          </cell>
          <cell r="AT520" t="str">
            <v/>
          </cell>
          <cell r="AU520">
            <v>39264</v>
          </cell>
        </row>
        <row r="521">
          <cell r="A521" t="str">
            <v>S16-0518</v>
          </cell>
          <cell r="B521" t="str">
            <v>京都市立病院_0518 (2)</v>
          </cell>
          <cell r="C521" t="str">
            <v>SR不要</v>
          </cell>
          <cell r="D521" t="str">
            <v>-</v>
          </cell>
          <cell r="E521" t="str">
            <v>有償</v>
          </cell>
          <cell r="F521">
            <v>42578</v>
          </cell>
          <cell r="G521">
            <v>0</v>
          </cell>
          <cell r="H521">
            <v>42613</v>
          </cell>
          <cell r="I521">
            <v>39895</v>
          </cell>
          <cell r="K521" t="str">
            <v>高橋</v>
          </cell>
          <cell r="L521">
            <v>3</v>
          </cell>
          <cell r="M521" t="str">
            <v>iLook25</v>
          </cell>
          <cell r="N521" t="str">
            <v>039D3H</v>
          </cell>
          <cell r="O521" t="str">
            <v>P04303-02</v>
          </cell>
          <cell r="P521" t="str">
            <v>日本コヴィディエン株式会社京滋兵庫営業所</v>
          </cell>
          <cell r="Q521" t="str">
            <v>江邉様</v>
          </cell>
          <cell r="R521" t="str">
            <v>〒108-0075  東京都港区港南一丁目2番70号　品川シーズンテラス　22F</v>
          </cell>
          <cell r="S521" t="str">
            <v>03-6774-4629</v>
          </cell>
          <cell r="T521" t="str">
            <v>03-6774-4740</v>
          </cell>
          <cell r="U521" t="str">
            <v>京都市立病院</v>
          </cell>
          <cell r="V521" t="str">
            <v>-</v>
          </cell>
          <cell r="W521" t="str">
            <v>-</v>
          </cell>
          <cell r="X521" t="str">
            <v>075-311-5311</v>
          </cell>
          <cell r="Y521" t="str">
            <v>〒604-8845 京都府京都市中京区壬生東高田町1-2</v>
          </cell>
          <cell r="AA521" t="str">
            <v>P03029 -02</v>
          </cell>
          <cell r="AB521" t="str">
            <v>P02347-02</v>
          </cell>
          <cell r="AC521" t="str">
            <v>P00855-01</v>
          </cell>
          <cell r="AD521" t="str">
            <v/>
          </cell>
          <cell r="AE521" t="str">
            <v/>
          </cell>
          <cell r="AF521" t="str">
            <v/>
          </cell>
          <cell r="AG521" t="str">
            <v/>
          </cell>
          <cell r="AH521" t="str">
            <v/>
          </cell>
          <cell r="AI521" t="str">
            <v/>
          </cell>
          <cell r="AJ521" t="str">
            <v/>
          </cell>
          <cell r="AK521" t="str">
            <v>ASSEMBLY, PCB, iLOOK,STAND</v>
          </cell>
          <cell r="AL521" t="str">
            <v>ASSEMBLY, PCB, ILOOK, DOCK CONNECTOR</v>
          </cell>
          <cell r="AM521" t="str">
            <v>CORDSET, 15 AMP ,C13 CONNECTOR,JAPANESE</v>
          </cell>
          <cell r="AN521" t="str">
            <v/>
          </cell>
          <cell r="AO521" t="str">
            <v/>
          </cell>
          <cell r="AP521" t="str">
            <v/>
          </cell>
          <cell r="AQ521" t="str">
            <v/>
          </cell>
          <cell r="AR521" t="str">
            <v/>
          </cell>
          <cell r="AS521" t="str">
            <v/>
          </cell>
          <cell r="AT521" t="str">
            <v/>
          </cell>
          <cell r="AU521">
            <v>39630</v>
          </cell>
        </row>
        <row r="522">
          <cell r="A522" t="str">
            <v>S16-0519</v>
          </cell>
          <cell r="B522" t="str">
            <v>横浜市東部病院_0519 (2)</v>
          </cell>
          <cell r="C522" t="str">
            <v>SR#4224433</v>
          </cell>
          <cell r="D522" t="str">
            <v>2016/07/26-04</v>
          </cell>
          <cell r="E522" t="str">
            <v>無償</v>
          </cell>
          <cell r="F522">
            <v>42578</v>
          </cell>
          <cell r="G522">
            <v>0</v>
          </cell>
          <cell r="H522">
            <v>42647</v>
          </cell>
          <cell r="I522" t="str">
            <v>不明</v>
          </cell>
          <cell r="K522" t="str">
            <v>高橋</v>
          </cell>
          <cell r="L522">
            <v>3</v>
          </cell>
          <cell r="M522" t="str">
            <v>EDGE</v>
          </cell>
          <cell r="N522" t="str">
            <v>0422MH</v>
          </cell>
          <cell r="O522" t="str">
            <v>P16360-03</v>
          </cell>
          <cell r="P522" t="str">
            <v>富士フイルムメディカル株式会社</v>
          </cell>
          <cell r="Q522" t="str">
            <v>岡崎様</v>
          </cell>
          <cell r="R522" t="str">
            <v>〒222-0033　神奈川県横浜市港北区新横浜2-8-11</v>
          </cell>
          <cell r="S522" t="str">
            <v>045-471-7311</v>
          </cell>
          <cell r="T522" t="str">
            <v>045-472-6321</v>
          </cell>
          <cell r="U522" t="str">
            <v>横浜市東部病院</v>
          </cell>
          <cell r="V522" t="str">
            <v>-</v>
          </cell>
          <cell r="W522" t="str">
            <v>-</v>
          </cell>
          <cell r="X522" t="str">
            <v>045-576-3000</v>
          </cell>
          <cell r="Y522" t="str">
            <v>〒230-8765　神奈川県横浜市鶴見区下末吉3-6-1</v>
          </cell>
          <cell r="AA522" t="str">
            <v>P15615-03</v>
          </cell>
          <cell r="AB522" t="str">
            <v/>
          </cell>
          <cell r="AC522" t="str">
            <v/>
          </cell>
          <cell r="AD522" t="str">
            <v/>
          </cell>
          <cell r="AE522" t="str">
            <v/>
          </cell>
          <cell r="AF522" t="str">
            <v/>
          </cell>
          <cell r="AG522" t="str">
            <v/>
          </cell>
          <cell r="AH522" t="str">
            <v/>
          </cell>
          <cell r="AI522" t="str">
            <v/>
          </cell>
          <cell r="AJ522" t="str">
            <v/>
          </cell>
          <cell r="AK522" t="str">
            <v>SERVICE ASSEMBLY, MAIN PCBA, EDGE</v>
          </cell>
          <cell r="AL522" t="str">
            <v/>
          </cell>
          <cell r="AM522" t="str">
            <v/>
          </cell>
          <cell r="AN522" t="str">
            <v/>
          </cell>
          <cell r="AO522" t="str">
            <v/>
          </cell>
          <cell r="AP522" t="str">
            <v/>
          </cell>
          <cell r="AQ522" t="str">
            <v/>
          </cell>
          <cell r="AR522" t="str">
            <v/>
          </cell>
          <cell r="AS522" t="str">
            <v/>
          </cell>
          <cell r="AT522" t="str">
            <v/>
          </cell>
          <cell r="AU522">
            <v>42217</v>
          </cell>
        </row>
        <row r="523">
          <cell r="A523" t="str">
            <v>S16-0520</v>
          </cell>
          <cell r="B523" t="str">
            <v>新潟県警察本部_0520 (2)</v>
          </cell>
          <cell r="C523" t="str">
            <v>SR#</v>
          </cell>
          <cell r="D523" t="str">
            <v>2016/07/27-05</v>
          </cell>
          <cell r="E523" t="str">
            <v>有償</v>
          </cell>
          <cell r="F523">
            <v>42579</v>
          </cell>
          <cell r="G523">
            <v>0</v>
          </cell>
          <cell r="H523">
            <v>42613</v>
          </cell>
          <cell r="I523" t="str">
            <v>不明</v>
          </cell>
          <cell r="K523" t="str">
            <v>高橋</v>
          </cell>
          <cell r="L523">
            <v>3</v>
          </cell>
          <cell r="M523" t="str">
            <v>180Plus</v>
          </cell>
          <cell r="N523" t="str">
            <v>03H19W</v>
          </cell>
          <cell r="O523" t="str">
            <v>P04326-05</v>
          </cell>
          <cell r="P523" t="str">
            <v>施設直接依頼</v>
          </cell>
          <cell r="Q523" t="str">
            <v>中島様</v>
          </cell>
          <cell r="R523" t="str">
            <v xml:space="preserve">
〒950-8553　新潟県新潟市中央区新光町4番地1</v>
          </cell>
          <cell r="S523" t="str">
            <v>025-285-0110 内4152</v>
          </cell>
          <cell r="T523" t="str">
            <v>025-283-7129</v>
          </cell>
          <cell r="U523" t="str">
            <v>新潟県警察本部　捜査一課</v>
          </cell>
          <cell r="V523" t="str">
            <v>-</v>
          </cell>
          <cell r="W523" t="str">
            <v>-</v>
          </cell>
          <cell r="X523" t="str">
            <v>-</v>
          </cell>
          <cell r="Y523" t="str">
            <v>-</v>
          </cell>
          <cell r="AA523" t="str">
            <v>P02844-04</v>
          </cell>
          <cell r="AB523" t="str">
            <v/>
          </cell>
          <cell r="AC523" t="str">
            <v/>
          </cell>
          <cell r="AD523" t="str">
            <v/>
          </cell>
          <cell r="AE523" t="str">
            <v/>
          </cell>
          <cell r="AF523" t="str">
            <v/>
          </cell>
          <cell r="AG523" t="str">
            <v/>
          </cell>
          <cell r="AH523" t="str">
            <v/>
          </cell>
          <cell r="AI523" t="str">
            <v/>
          </cell>
          <cell r="AJ523" t="str">
            <v/>
          </cell>
          <cell r="AK523" t="str">
            <v>SERVICE ASSEMBLY, PCB C1.99 MAIN, JAPANESEE</v>
          </cell>
          <cell r="AL523" t="str">
            <v/>
          </cell>
          <cell r="AM523" t="str">
            <v/>
          </cell>
          <cell r="AN523" t="str">
            <v/>
          </cell>
          <cell r="AO523" t="str">
            <v/>
          </cell>
          <cell r="AP523" t="str">
            <v/>
          </cell>
          <cell r="AQ523" t="str">
            <v/>
          </cell>
          <cell r="AR523" t="str">
            <v/>
          </cell>
          <cell r="AS523" t="str">
            <v/>
          </cell>
          <cell r="AT523" t="str">
            <v/>
          </cell>
          <cell r="AU523">
            <v>40057</v>
          </cell>
        </row>
        <row r="524">
          <cell r="A524" t="str">
            <v>S16-0521</v>
          </cell>
          <cell r="B524" t="str">
            <v>上都賀総合病院_0521</v>
          </cell>
          <cell r="C524" t="e">
            <v>#REF!</v>
          </cell>
          <cell r="D524" t="e">
            <v>#REF!</v>
          </cell>
          <cell r="E524" t="e">
            <v>#REF!</v>
          </cell>
          <cell r="F524" t="e">
            <v>#REF!</v>
          </cell>
          <cell r="G524" t="e">
            <v>#REF!</v>
          </cell>
          <cell r="H524" t="e">
            <v>#REF!</v>
          </cell>
          <cell r="I524" t="e">
            <v>#REF!</v>
          </cell>
          <cell r="K524" t="e">
            <v>#REF!</v>
          </cell>
          <cell r="M524" t="e">
            <v>#REF!</v>
          </cell>
          <cell r="N524" t="e">
            <v>#REF!</v>
          </cell>
          <cell r="O524" t="e">
            <v>#REF!</v>
          </cell>
          <cell r="P524" t="e">
            <v>#REF!</v>
          </cell>
          <cell r="Q524" t="e">
            <v>#REF!</v>
          </cell>
          <cell r="S524" t="e">
            <v>#REF!</v>
          </cell>
          <cell r="T524" t="e">
            <v>#REF!</v>
          </cell>
          <cell r="U524" t="e">
            <v>#REF!</v>
          </cell>
          <cell r="AA524" t="e">
            <v>#REF!</v>
          </cell>
          <cell r="AB524" t="e">
            <v>#REF!</v>
          </cell>
          <cell r="AC524" t="e">
            <v>#REF!</v>
          </cell>
          <cell r="AD524" t="e">
            <v>#REF!</v>
          </cell>
          <cell r="AE524" t="e">
            <v>#REF!</v>
          </cell>
          <cell r="AF524" t="e">
            <v>#REF!</v>
          </cell>
          <cell r="AG524" t="e">
            <v>#REF!</v>
          </cell>
          <cell r="AH524" t="e">
            <v>#REF!</v>
          </cell>
          <cell r="AI524" t="e">
            <v>#REF!</v>
          </cell>
          <cell r="AJ524" t="e">
            <v>#REF!</v>
          </cell>
          <cell r="AK524" t="e">
            <v>#REF!</v>
          </cell>
          <cell r="AL524" t="e">
            <v>#REF!</v>
          </cell>
          <cell r="AM524" t="e">
            <v>#REF!</v>
          </cell>
          <cell r="AN524" t="e">
            <v>#REF!</v>
          </cell>
          <cell r="AO524" t="e">
            <v>#REF!</v>
          </cell>
          <cell r="AP524" t="e">
            <v>#REF!</v>
          </cell>
          <cell r="AQ524" t="e">
            <v>#REF!</v>
          </cell>
          <cell r="AR524" t="e">
            <v>#REF!</v>
          </cell>
          <cell r="AS524" t="e">
            <v>#REF!</v>
          </cell>
          <cell r="AT524" t="e">
            <v>#REF!</v>
          </cell>
          <cell r="AU524" t="e">
            <v>#REF!</v>
          </cell>
        </row>
        <row r="525">
          <cell r="A525" t="str">
            <v>S16-0522</v>
          </cell>
          <cell r="B525" t="str">
            <v>東邦大学医療センター大森病院_0522 (2)</v>
          </cell>
          <cell r="C525" t="str">
            <v>SR#不要</v>
          </cell>
          <cell r="D525" t="str">
            <v>-</v>
          </cell>
          <cell r="E525" t="str">
            <v>有償</v>
          </cell>
          <cell r="F525">
            <v>42579</v>
          </cell>
          <cell r="G525">
            <v>0</v>
          </cell>
          <cell r="H525">
            <v>42676</v>
          </cell>
          <cell r="I525">
            <v>39769</v>
          </cell>
          <cell r="K525">
            <v>0</v>
          </cell>
          <cell r="M525" t="str">
            <v>iLook25</v>
          </cell>
          <cell r="N525" t="str">
            <v>03BLJ0</v>
          </cell>
          <cell r="O525" t="str">
            <v>P04303-02</v>
          </cell>
          <cell r="P525" t="str">
            <v>日本コヴィディエン株式会社　東京第一営業所</v>
          </cell>
          <cell r="Q525" t="str">
            <v>堀江様</v>
          </cell>
          <cell r="R525" t="str">
            <v>〒108-0075  東京都港区港南一丁目2番70号　品川シーズンテラス　22F</v>
          </cell>
          <cell r="S525" t="str">
            <v>03-6774-4629</v>
          </cell>
          <cell r="T525" t="str">
            <v>03-6774-4740</v>
          </cell>
          <cell r="U525" t="str">
            <v xml:space="preserve"> 東邦大学医療センター大森病院</v>
          </cell>
          <cell r="V525" t="str">
            <v>-</v>
          </cell>
          <cell r="W525" t="str">
            <v>-</v>
          </cell>
          <cell r="X525" t="str">
            <v>03-3762-4151</v>
          </cell>
          <cell r="Y525" t="str">
            <v>〒143-8541　東京都大田区大森西6-11-1</v>
          </cell>
          <cell r="AA525" t="str">
            <v>P01139-07</v>
          </cell>
          <cell r="AB525" t="str">
            <v>P03029 -02</v>
          </cell>
          <cell r="AC525" t="str">
            <v>P02347-02</v>
          </cell>
          <cell r="AD525" t="str">
            <v/>
          </cell>
          <cell r="AE525" t="str">
            <v/>
          </cell>
          <cell r="AF525" t="str">
            <v/>
          </cell>
          <cell r="AG525" t="str">
            <v/>
          </cell>
          <cell r="AH525" t="str">
            <v/>
          </cell>
          <cell r="AI525" t="str">
            <v/>
          </cell>
          <cell r="AJ525" t="str">
            <v/>
          </cell>
          <cell r="AK525" t="str">
            <v>POWER SUPPLY / BATTERY CHARGER, ILOOK, TITAN, MMX</v>
          </cell>
          <cell r="AL525" t="str">
            <v>ASSEMBLY, PCB, iLOOK,STAND</v>
          </cell>
          <cell r="AM525" t="str">
            <v>ASSEMBLY, PCB, ILOOK, DOCK CONNECTOR</v>
          </cell>
          <cell r="AN525" t="str">
            <v/>
          </cell>
          <cell r="AO525" t="str">
            <v/>
          </cell>
          <cell r="AP525" t="str">
            <v/>
          </cell>
          <cell r="AQ525" t="str">
            <v/>
          </cell>
          <cell r="AR525" t="str">
            <v/>
          </cell>
          <cell r="AS525" t="str">
            <v/>
          </cell>
          <cell r="AT525" t="str">
            <v/>
          </cell>
          <cell r="AU525">
            <v>39630</v>
          </cell>
        </row>
        <row r="526">
          <cell r="A526" t="str">
            <v>S16-0523</v>
          </cell>
          <cell r="B526" t="str">
            <v>国立がん研究センター中央病院_0523 (2)</v>
          </cell>
          <cell r="C526" t="str">
            <v>SR#不要</v>
          </cell>
          <cell r="D526" t="str">
            <v>2016/07/27-06</v>
          </cell>
          <cell r="E526" t="str">
            <v>有償</v>
          </cell>
          <cell r="F526">
            <v>42580</v>
          </cell>
          <cell r="G526">
            <v>0</v>
          </cell>
          <cell r="H526">
            <v>42639</v>
          </cell>
          <cell r="I526" t="str">
            <v>不明</v>
          </cell>
          <cell r="K526" t="str">
            <v>-</v>
          </cell>
          <cell r="L526" t="str">
            <v>-</v>
          </cell>
          <cell r="M526" t="str">
            <v>MicroMaxx</v>
          </cell>
          <cell r="N526" t="str">
            <v>WK032H</v>
          </cell>
          <cell r="O526" t="str">
            <v>P08063-05</v>
          </cell>
          <cell r="P526" t="str">
            <v>株式会社八神製作所　本郷営業所</v>
          </cell>
          <cell r="Q526" t="str">
            <v>狩野様</v>
          </cell>
          <cell r="R526" t="str">
            <v>〒113-0033　文京区本郷三丁目22番5号　住友不動産本郷ビル11階</v>
          </cell>
          <cell r="S526" t="str">
            <v>03-3818-4661</v>
          </cell>
          <cell r="T526" t="str">
            <v>03-3818-4666</v>
          </cell>
          <cell r="U526" t="str">
            <v>国立がん研究センター中央病院</v>
          </cell>
          <cell r="V526" t="str">
            <v>-</v>
          </cell>
          <cell r="W526" t="str">
            <v>-</v>
          </cell>
          <cell r="X526" t="str">
            <v>03-3542-2511</v>
          </cell>
          <cell r="Y526" t="str">
            <v>〒104－0045　東京都中央区築地5－1－1</v>
          </cell>
          <cell r="AA526" t="str">
            <v/>
          </cell>
          <cell r="AB526" t="str">
            <v/>
          </cell>
          <cell r="AC526" t="str">
            <v/>
          </cell>
          <cell r="AD526" t="str">
            <v/>
          </cell>
          <cell r="AE526" t="str">
            <v/>
          </cell>
          <cell r="AF526" t="str">
            <v/>
          </cell>
          <cell r="AG526" t="str">
            <v/>
          </cell>
          <cell r="AH526" t="str">
            <v/>
          </cell>
          <cell r="AI526" t="str">
            <v/>
          </cell>
          <cell r="AJ526" t="str">
            <v/>
          </cell>
          <cell r="AK526" t="str">
            <v/>
          </cell>
          <cell r="AL526" t="str">
            <v/>
          </cell>
          <cell r="AM526" t="str">
            <v/>
          </cell>
          <cell r="AN526" t="str">
            <v/>
          </cell>
          <cell r="AO526" t="str">
            <v/>
          </cell>
          <cell r="AP526" t="str">
            <v/>
          </cell>
          <cell r="AQ526" t="str">
            <v/>
          </cell>
          <cell r="AR526" t="str">
            <v/>
          </cell>
          <cell r="AS526" t="str">
            <v/>
          </cell>
          <cell r="AT526" t="str">
            <v/>
          </cell>
          <cell r="AU526">
            <v>40179</v>
          </cell>
        </row>
        <row r="527">
          <cell r="A527" t="str">
            <v>S16-0524</v>
          </cell>
          <cell r="B527" t="str">
            <v>藤沢市民病院_0524 (2)</v>
          </cell>
          <cell r="C527" t="str">
            <v>SR#不要</v>
          </cell>
          <cell r="D527" t="str">
            <v>2016/07/19-07</v>
          </cell>
          <cell r="E527" t="str">
            <v>有償</v>
          </cell>
          <cell r="F527">
            <v>42580</v>
          </cell>
          <cell r="G527">
            <v>0</v>
          </cell>
          <cell r="H527">
            <v>42634</v>
          </cell>
          <cell r="I527" t="str">
            <v>不明</v>
          </cell>
          <cell r="K527" t="str">
            <v>高橋</v>
          </cell>
          <cell r="L527">
            <v>3</v>
          </cell>
          <cell r="M527" t="str">
            <v>180Plus</v>
          </cell>
          <cell r="N527" t="str">
            <v>030JDF</v>
          </cell>
          <cell r="O527" t="str">
            <v>P02996-01</v>
          </cell>
          <cell r="P527" t="str">
            <v>協和医科器械株式会社 横浜支店</v>
          </cell>
          <cell r="Q527" t="str">
            <v>小澤様</v>
          </cell>
          <cell r="R527" t="str">
            <v>〒224-0003　神奈川県横浜市都筑区中川中央2-4-8</v>
          </cell>
          <cell r="S527" t="str">
            <v>045-595-2785</v>
          </cell>
          <cell r="T527" t="str">
            <v>045-593-8382</v>
          </cell>
          <cell r="U527" t="str">
            <v>藤沢市民病院</v>
          </cell>
          <cell r="V527" t="str">
            <v>佐々木様</v>
          </cell>
          <cell r="W527" t="str">
            <v>ER</v>
          </cell>
          <cell r="X527" t="str">
            <v>0466-25-3111</v>
          </cell>
          <cell r="Y527" t="str">
            <v>〒251-8550 神奈川県藤沢市藤沢2-6-1</v>
          </cell>
          <cell r="AA527" t="str">
            <v>P00747-03</v>
          </cell>
          <cell r="AB527" t="str">
            <v/>
          </cell>
          <cell r="AC527" t="str">
            <v/>
          </cell>
          <cell r="AD527" t="str">
            <v/>
          </cell>
          <cell r="AE527" t="str">
            <v/>
          </cell>
          <cell r="AF527" t="str">
            <v/>
          </cell>
          <cell r="AG527" t="str">
            <v/>
          </cell>
          <cell r="AH527" t="str">
            <v/>
          </cell>
          <cell r="AI527" t="str">
            <v/>
          </cell>
          <cell r="AJ527" t="str">
            <v/>
          </cell>
          <cell r="AK527" t="str">
            <v>SERVICE ASSEMBLY, DISPLAY</v>
          </cell>
          <cell r="AL527" t="str">
            <v/>
          </cell>
          <cell r="AM527" t="str">
            <v/>
          </cell>
          <cell r="AN527" t="str">
            <v/>
          </cell>
          <cell r="AO527" t="str">
            <v/>
          </cell>
          <cell r="AP527" t="str">
            <v/>
          </cell>
          <cell r="AQ527" t="str">
            <v/>
          </cell>
          <cell r="AR527" t="str">
            <v/>
          </cell>
          <cell r="AS527" t="str">
            <v/>
          </cell>
          <cell r="AT527" t="str">
            <v/>
          </cell>
          <cell r="AU527">
            <v>37591</v>
          </cell>
        </row>
        <row r="528">
          <cell r="A528" t="str">
            <v>S16-0525</v>
          </cell>
          <cell r="B528" t="str">
            <v>伊那中央病院_0525 (2)</v>
          </cell>
          <cell r="C528" t="str">
            <v>SR#不要</v>
          </cell>
          <cell r="D528" t="str">
            <v>2016/07/28-01</v>
          </cell>
          <cell r="E528" t="str">
            <v>有償</v>
          </cell>
          <cell r="F528">
            <v>42583</v>
          </cell>
          <cell r="G528">
            <v>0</v>
          </cell>
          <cell r="H528">
            <v>42591</v>
          </cell>
          <cell r="I528" t="str">
            <v>不明</v>
          </cell>
          <cell r="K528" t="str">
            <v>高橋</v>
          </cell>
          <cell r="L528" t="str">
            <v>-</v>
          </cell>
          <cell r="M528">
            <v>180</v>
          </cell>
          <cell r="N528" t="str">
            <v>01J4GJ</v>
          </cell>
          <cell r="O528" t="str">
            <v>P01102-03</v>
          </cell>
          <cell r="P528" t="str">
            <v>中日本メディカルリンク株式会社</v>
          </cell>
          <cell r="Q528" t="str">
            <v>清水様</v>
          </cell>
          <cell r="R528" t="str">
            <v>〒399-4511　長野県上伊那郡南箕輪村田畑5565-3</v>
          </cell>
          <cell r="S528" t="str">
            <v>0265-73-2281</v>
          </cell>
          <cell r="T528" t="str">
            <v xml:space="preserve">0265-74-1006 </v>
          </cell>
          <cell r="U528" t="str">
            <v>伊那中央病院</v>
          </cell>
          <cell r="V528" t="str">
            <v>-</v>
          </cell>
          <cell r="W528" t="str">
            <v>-</v>
          </cell>
          <cell r="X528" t="str">
            <v>0265-72-3121</v>
          </cell>
          <cell r="Y528" t="str">
            <v>〒396-8555 長野県伊那市小四郎久保1313番地1</v>
          </cell>
          <cell r="AA528" t="str">
            <v/>
          </cell>
          <cell r="AB528" t="str">
            <v/>
          </cell>
          <cell r="AC528" t="str">
            <v/>
          </cell>
          <cell r="AD528" t="str">
            <v/>
          </cell>
          <cell r="AE528" t="str">
            <v/>
          </cell>
          <cell r="AF528" t="str">
            <v/>
          </cell>
          <cell r="AG528" t="str">
            <v/>
          </cell>
          <cell r="AH528" t="str">
            <v/>
          </cell>
          <cell r="AI528" t="str">
            <v/>
          </cell>
          <cell r="AJ528" t="str">
            <v/>
          </cell>
          <cell r="AK528" t="str">
            <v/>
          </cell>
          <cell r="AL528" t="str">
            <v/>
          </cell>
          <cell r="AM528" t="str">
            <v/>
          </cell>
          <cell r="AN528" t="str">
            <v/>
          </cell>
          <cell r="AO528" t="str">
            <v/>
          </cell>
          <cell r="AP528" t="str">
            <v/>
          </cell>
          <cell r="AQ528" t="str">
            <v/>
          </cell>
          <cell r="AR528" t="str">
            <v/>
          </cell>
          <cell r="AS528" t="str">
            <v/>
          </cell>
          <cell r="AT528" t="str">
            <v/>
          </cell>
          <cell r="AU528">
            <v>36678</v>
          </cell>
        </row>
        <row r="529">
          <cell r="A529" t="str">
            <v>S16-0526</v>
          </cell>
          <cell r="B529" t="str">
            <v>勤医協浦河診療所_0526 (2)</v>
          </cell>
          <cell r="C529" t="str">
            <v>SR#</v>
          </cell>
          <cell r="D529" t="str">
            <v>2016/07/26-01</v>
          </cell>
          <cell r="E529" t="str">
            <v>有償</v>
          </cell>
          <cell r="F529">
            <v>42583</v>
          </cell>
          <cell r="G529">
            <v>0</v>
          </cell>
          <cell r="H529">
            <v>42598</v>
          </cell>
          <cell r="I529" t="str">
            <v>不明</v>
          </cell>
          <cell r="K529" t="str">
            <v>高橋</v>
          </cell>
          <cell r="L529">
            <v>3</v>
          </cell>
          <cell r="M529" t="str">
            <v>180Plus</v>
          </cell>
          <cell r="N529" t="str">
            <v>032B5P</v>
          </cell>
          <cell r="O529" t="str">
            <v>P04327-01</v>
          </cell>
          <cell r="P529" t="str">
            <v>株式会社エム・イー器械　札幌営業所</v>
          </cell>
          <cell r="Q529" t="str">
            <v>小西様</v>
          </cell>
          <cell r="R529" t="str">
            <v>〒007-0834　北海道札幌市東区北34条東19丁目1-20</v>
          </cell>
          <cell r="S529" t="str">
            <v>011-789-1350</v>
          </cell>
          <cell r="T529" t="str">
            <v>011-789-1352</v>
          </cell>
          <cell r="U529" t="str">
            <v>勤医協浦河診療所</v>
          </cell>
          <cell r="V529" t="str">
            <v>松崎事務局長</v>
          </cell>
          <cell r="W529" t="str">
            <v>-</v>
          </cell>
          <cell r="X529" t="str">
            <v>01462-2-2501</v>
          </cell>
          <cell r="Y529" t="str">
            <v>〒057-0024　北海道浦河郡浦河町築地2-1-2</v>
          </cell>
          <cell r="AA529" t="str">
            <v>P00536-02</v>
          </cell>
          <cell r="AB529" t="str">
            <v>P00104-02</v>
          </cell>
          <cell r="AC529" t="str">
            <v>P00343-01</v>
          </cell>
          <cell r="AD529" t="str">
            <v/>
          </cell>
          <cell r="AE529" t="str">
            <v/>
          </cell>
          <cell r="AF529" t="str">
            <v/>
          </cell>
          <cell r="AG529" t="str">
            <v/>
          </cell>
          <cell r="AH529" t="str">
            <v/>
          </cell>
          <cell r="AI529" t="str">
            <v/>
          </cell>
          <cell r="AJ529" t="str">
            <v/>
          </cell>
          <cell r="AK529" t="e">
            <v>#N/A</v>
          </cell>
          <cell r="AL529" t="str">
            <v>KEY, ON/OFF</v>
          </cell>
          <cell r="AM529" t="str">
            <v>HINGE, DISPLAY</v>
          </cell>
          <cell r="AN529" t="str">
            <v/>
          </cell>
          <cell r="AO529" t="str">
            <v/>
          </cell>
          <cell r="AP529" t="str">
            <v/>
          </cell>
          <cell r="AQ529" t="str">
            <v/>
          </cell>
          <cell r="AR529" t="str">
            <v/>
          </cell>
          <cell r="AS529" t="str">
            <v/>
          </cell>
          <cell r="AT529" t="str">
            <v/>
          </cell>
          <cell r="AU529">
            <v>38078</v>
          </cell>
        </row>
        <row r="530">
          <cell r="A530" t="str">
            <v>S16-0527</v>
          </cell>
          <cell r="B530" t="str">
            <v>九州中央病院_0527 (2)</v>
          </cell>
          <cell r="C530" t="str">
            <v>SR#不要</v>
          </cell>
          <cell r="D530" t="str">
            <v>2016/07/13-06</v>
          </cell>
          <cell r="E530" t="str">
            <v>有償</v>
          </cell>
          <cell r="F530">
            <v>42583</v>
          </cell>
          <cell r="G530">
            <v>0</v>
          </cell>
          <cell r="H530">
            <v>42698</v>
          </cell>
          <cell r="I530" t="str">
            <v>不明</v>
          </cell>
          <cell r="K530" t="str">
            <v>-</v>
          </cell>
          <cell r="L530" t="str">
            <v>-</v>
          </cell>
          <cell r="M530" t="str">
            <v>MicroMaxx</v>
          </cell>
          <cell r="N530" t="str">
            <v>03CHRC</v>
          </cell>
          <cell r="O530" t="str">
            <v>P08063-03</v>
          </cell>
          <cell r="P530" t="str">
            <v>株式会社キシヤ</v>
          </cell>
          <cell r="Q530" t="str">
            <v>篠原様</v>
          </cell>
          <cell r="R530" t="str">
            <v>〒812-0062 福岡県福岡市東区松島1丁目41番21号</v>
          </cell>
          <cell r="S530" t="str">
            <v>092-622-8000</v>
          </cell>
          <cell r="T530" t="str">
            <v>092-623-1313</v>
          </cell>
          <cell r="U530" t="str">
            <v>九州中央病院 麻酔科</v>
          </cell>
          <cell r="V530" t="str">
            <v>-</v>
          </cell>
          <cell r="W530" t="str">
            <v>麻酔科</v>
          </cell>
          <cell r="X530" t="str">
            <v>092-541-4936</v>
          </cell>
          <cell r="Y530" t="str">
            <v>〒815-8588　福岡県福岡市南区塩原3丁目23-1</v>
          </cell>
          <cell r="AA530" t="str">
            <v/>
          </cell>
          <cell r="AB530" t="str">
            <v/>
          </cell>
          <cell r="AC530" t="str">
            <v/>
          </cell>
          <cell r="AD530" t="str">
            <v/>
          </cell>
          <cell r="AE530" t="str">
            <v/>
          </cell>
          <cell r="AF530" t="str">
            <v/>
          </cell>
          <cell r="AG530" t="str">
            <v/>
          </cell>
          <cell r="AH530" t="str">
            <v/>
          </cell>
          <cell r="AI530" t="str">
            <v/>
          </cell>
          <cell r="AJ530" t="str">
            <v/>
          </cell>
          <cell r="AK530" t="str">
            <v/>
          </cell>
          <cell r="AL530" t="str">
            <v/>
          </cell>
          <cell r="AM530" t="str">
            <v/>
          </cell>
          <cell r="AN530" t="str">
            <v/>
          </cell>
          <cell r="AO530" t="str">
            <v/>
          </cell>
          <cell r="AP530" t="str">
            <v/>
          </cell>
          <cell r="AQ530" t="str">
            <v/>
          </cell>
          <cell r="AR530" t="str">
            <v/>
          </cell>
          <cell r="AS530" t="str">
            <v/>
          </cell>
          <cell r="AT530" t="str">
            <v/>
          </cell>
          <cell r="AU530">
            <v>39630</v>
          </cell>
        </row>
        <row r="531">
          <cell r="A531" t="str">
            <v>S16-0528</v>
          </cell>
          <cell r="B531" t="str">
            <v>九州大学病院_0528</v>
          </cell>
          <cell r="C531" t="e">
            <v>#REF!</v>
          </cell>
          <cell r="D531" t="e">
            <v>#REF!</v>
          </cell>
          <cell r="E531" t="e">
            <v>#REF!</v>
          </cell>
          <cell r="F531" t="e">
            <v>#REF!</v>
          </cell>
          <cell r="G531" t="e">
            <v>#REF!</v>
          </cell>
          <cell r="H531" t="e">
            <v>#REF!</v>
          </cell>
          <cell r="I531" t="e">
            <v>#REF!</v>
          </cell>
          <cell r="K531" t="e">
            <v>#REF!</v>
          </cell>
          <cell r="M531" t="e">
            <v>#REF!</v>
          </cell>
          <cell r="N531" t="e">
            <v>#REF!</v>
          </cell>
          <cell r="O531" t="e">
            <v>#REF!</v>
          </cell>
          <cell r="P531" t="e">
            <v>#REF!</v>
          </cell>
          <cell r="Q531" t="e">
            <v>#REF!</v>
          </cell>
          <cell r="R531" t="str">
            <v>〒812-0062 福岡県福岡市東区松島1丁目41番21号</v>
          </cell>
          <cell r="S531" t="e">
            <v>#REF!</v>
          </cell>
          <cell r="T531" t="e">
            <v>#REF!</v>
          </cell>
          <cell r="U531" t="e">
            <v>#REF!</v>
          </cell>
          <cell r="AA531" t="e">
            <v>#REF!</v>
          </cell>
          <cell r="AB531" t="e">
            <v>#REF!</v>
          </cell>
          <cell r="AC531" t="e">
            <v>#REF!</v>
          </cell>
          <cell r="AD531" t="e">
            <v>#REF!</v>
          </cell>
          <cell r="AE531" t="e">
            <v>#REF!</v>
          </cell>
          <cell r="AF531" t="e">
            <v>#REF!</v>
          </cell>
          <cell r="AG531" t="e">
            <v>#REF!</v>
          </cell>
          <cell r="AH531" t="e">
            <v>#REF!</v>
          </cell>
          <cell r="AI531" t="e">
            <v>#REF!</v>
          </cell>
          <cell r="AJ531" t="e">
            <v>#REF!</v>
          </cell>
          <cell r="AK531" t="e">
            <v>#REF!</v>
          </cell>
          <cell r="AL531" t="e">
            <v>#REF!</v>
          </cell>
          <cell r="AM531" t="e">
            <v>#REF!</v>
          </cell>
          <cell r="AN531" t="e">
            <v>#REF!</v>
          </cell>
          <cell r="AO531" t="e">
            <v>#REF!</v>
          </cell>
          <cell r="AP531" t="e">
            <v>#REF!</v>
          </cell>
          <cell r="AQ531" t="e">
            <v>#REF!</v>
          </cell>
          <cell r="AR531" t="e">
            <v>#REF!</v>
          </cell>
          <cell r="AS531" t="e">
            <v>#REF!</v>
          </cell>
          <cell r="AT531" t="e">
            <v>#REF!</v>
          </cell>
          <cell r="AU531" t="e">
            <v>#REF!</v>
          </cell>
        </row>
        <row r="532">
          <cell r="A532" t="str">
            <v>S16-0529</v>
          </cell>
          <cell r="B532" t="str">
            <v>県立広島病院_0529 (2)</v>
          </cell>
          <cell r="C532" t="str">
            <v>SR#</v>
          </cell>
          <cell r="D532" t="str">
            <v>2016/07/20-06</v>
          </cell>
          <cell r="E532" t="str">
            <v>有償</v>
          </cell>
          <cell r="F532">
            <v>42583</v>
          </cell>
          <cell r="G532">
            <v>0</v>
          </cell>
          <cell r="H532">
            <v>42689</v>
          </cell>
          <cell r="I532" t="str">
            <v>不明</v>
          </cell>
          <cell r="K532" t="str">
            <v>-</v>
          </cell>
          <cell r="L532" t="str">
            <v>-</v>
          </cell>
          <cell r="M532" t="str">
            <v>HFL38x/13-6</v>
          </cell>
          <cell r="N532" t="str">
            <v>03L7QZ</v>
          </cell>
          <cell r="O532" t="str">
            <v>P09168-04</v>
          </cell>
          <cell r="P532" t="str">
            <v>ティーエスアルフレッサ株式会社 広島機器試薬支店</v>
          </cell>
          <cell r="Q532" t="str">
            <v>高木様</v>
          </cell>
          <cell r="R532" t="str">
            <v>〒733-8633　広島県広島市西区商工センター1-2-19</v>
          </cell>
          <cell r="S532" t="str">
            <v>082-501-0466</v>
          </cell>
          <cell r="T532" t="str">
            <v>082-279-7133</v>
          </cell>
          <cell r="U532" t="str">
            <v>県立広島病院　麻酔科</v>
          </cell>
          <cell r="V532" t="str">
            <v>-</v>
          </cell>
          <cell r="W532" t="str">
            <v>麻酔科</v>
          </cell>
          <cell r="X532" t="str">
            <v>082-254-1818</v>
          </cell>
          <cell r="Y532" t="str">
            <v>〒734-8530　広島県広島市南区宇品神田一丁目5番54号</v>
          </cell>
          <cell r="AA532" t="str">
            <v/>
          </cell>
          <cell r="AB532" t="str">
            <v/>
          </cell>
          <cell r="AC532" t="str">
            <v/>
          </cell>
          <cell r="AD532" t="str">
            <v/>
          </cell>
          <cell r="AE532" t="str">
            <v/>
          </cell>
          <cell r="AF532" t="str">
            <v/>
          </cell>
          <cell r="AG532" t="str">
            <v/>
          </cell>
          <cell r="AH532" t="str">
            <v/>
          </cell>
          <cell r="AI532" t="str">
            <v/>
          </cell>
          <cell r="AJ532" t="str">
            <v/>
          </cell>
          <cell r="AK532" t="str">
            <v/>
          </cell>
          <cell r="AL532" t="str">
            <v/>
          </cell>
          <cell r="AM532" t="str">
            <v/>
          </cell>
          <cell r="AN532" t="str">
            <v/>
          </cell>
          <cell r="AO532" t="str">
            <v/>
          </cell>
          <cell r="AP532" t="str">
            <v/>
          </cell>
          <cell r="AQ532" t="str">
            <v/>
          </cell>
          <cell r="AR532" t="str">
            <v/>
          </cell>
          <cell r="AS532" t="str">
            <v/>
          </cell>
          <cell r="AT532" t="str">
            <v/>
          </cell>
          <cell r="AU532">
            <v>40575</v>
          </cell>
        </row>
        <row r="533">
          <cell r="A533" t="str">
            <v>S16-0530</v>
          </cell>
          <cell r="B533" t="str">
            <v>草津総合病院_0530 (2)</v>
          </cell>
          <cell r="C533" t="str">
            <v>SR#4225087</v>
          </cell>
          <cell r="D533" t="str">
            <v>-</v>
          </cell>
          <cell r="E533" t="str">
            <v>無償</v>
          </cell>
          <cell r="F533">
            <v>42585</v>
          </cell>
          <cell r="G533">
            <v>0</v>
          </cell>
          <cell r="H533">
            <v>42646</v>
          </cell>
          <cell r="I533">
            <v>41185</v>
          </cell>
          <cell r="K533" t="str">
            <v>高橋</v>
          </cell>
          <cell r="L533">
            <v>3</v>
          </cell>
          <cell r="M533" t="str">
            <v>NanoMaxx</v>
          </cell>
          <cell r="N533" t="str">
            <v>03R5NN</v>
          </cell>
          <cell r="O533" t="str">
            <v>P12700-06</v>
          </cell>
          <cell r="P533" t="str">
            <v>日本コヴィディエン株式会社　京滋兵庫営業所</v>
          </cell>
          <cell r="Q533" t="str">
            <v>川上様</v>
          </cell>
          <cell r="R533" t="str">
            <v>〒108-0075  東京都港区港南一丁目2番70号　品川シーズンテラス　22F</v>
          </cell>
          <cell r="S533" t="str">
            <v>03-6774-4629</v>
          </cell>
          <cell r="T533" t="str">
            <v>03-6774-4740</v>
          </cell>
          <cell r="U533" t="str">
            <v>草津総合病院　誠光会</v>
          </cell>
          <cell r="V533" t="str">
            <v>-</v>
          </cell>
          <cell r="W533" t="str">
            <v>-</v>
          </cell>
          <cell r="X533" t="str">
            <v>077-563-8866</v>
          </cell>
          <cell r="Y533" t="str">
            <v>〒525-8585 　滋賀県草津市矢橋町1660</v>
          </cell>
          <cell r="AA533" t="str">
            <v>P12718-02</v>
          </cell>
          <cell r="AB533" t="str">
            <v>P12745-01</v>
          </cell>
          <cell r="AC533" t="str">
            <v/>
          </cell>
          <cell r="AD533" t="str">
            <v/>
          </cell>
          <cell r="AE533" t="str">
            <v/>
          </cell>
          <cell r="AF533" t="str">
            <v/>
          </cell>
          <cell r="AG533" t="str">
            <v/>
          </cell>
          <cell r="AH533" t="str">
            <v/>
          </cell>
          <cell r="AI533" t="str">
            <v/>
          </cell>
          <cell r="AJ533" t="str">
            <v/>
          </cell>
          <cell r="AK533" t="str">
            <v>SERVICE ASSEMBLY, BACK END PCB, NANOMAXX</v>
          </cell>
          <cell r="AL533" t="str">
            <v>SERVICE ASSEMBLY, POWER SUPPLY PCB, NANOMAXX</v>
          </cell>
          <cell r="AM533" t="str">
            <v/>
          </cell>
          <cell r="AN533" t="str">
            <v/>
          </cell>
          <cell r="AO533" t="str">
            <v/>
          </cell>
          <cell r="AP533" t="str">
            <v/>
          </cell>
          <cell r="AQ533" t="str">
            <v/>
          </cell>
          <cell r="AR533" t="str">
            <v/>
          </cell>
          <cell r="AS533" t="str">
            <v/>
          </cell>
          <cell r="AT533" t="str">
            <v/>
          </cell>
          <cell r="AU533">
            <v>41153</v>
          </cell>
        </row>
        <row r="534">
          <cell r="A534" t="str">
            <v>S16-0531</v>
          </cell>
          <cell r="B534" t="str">
            <v>大阪労災病院_0531 (2)</v>
          </cell>
          <cell r="C534" t="str">
            <v>SR#</v>
          </cell>
          <cell r="D534" t="str">
            <v>2016/07/25-03</v>
          </cell>
          <cell r="E534" t="str">
            <v>有償</v>
          </cell>
          <cell r="F534">
            <v>42585</v>
          </cell>
          <cell r="G534">
            <v>0</v>
          </cell>
          <cell r="H534">
            <v>42682</v>
          </cell>
          <cell r="I534" t="str">
            <v>不明</v>
          </cell>
          <cell r="K534" t="str">
            <v>-</v>
          </cell>
          <cell r="L534" t="str">
            <v>-</v>
          </cell>
          <cell r="M534" t="str">
            <v>M-Turbo</v>
          </cell>
          <cell r="N534" t="str">
            <v>WG0186</v>
          </cell>
          <cell r="O534" t="str">
            <v>P09141-22</v>
          </cell>
          <cell r="P534" t="str">
            <v>株式会社 ダテ・メディカルサービス</v>
          </cell>
          <cell r="Q534" t="str">
            <v>岸田様、長谷川様</v>
          </cell>
          <cell r="R534" t="str">
            <v>〒564-0062　大阪府吹田市垂水町3-27-27　第2江坂三昌ビル6F</v>
          </cell>
          <cell r="S534" t="str">
            <v>06‐6368‐5776</v>
          </cell>
          <cell r="T534" t="str">
            <v>06-6387-8111</v>
          </cell>
          <cell r="U534" t="str">
            <v xml:space="preserve"> 大阪労災病院 麻酔科</v>
          </cell>
          <cell r="V534" t="str">
            <v>-</v>
          </cell>
          <cell r="W534" t="str">
            <v>麻酔科</v>
          </cell>
          <cell r="X534" t="str">
            <v>072-252-3561</v>
          </cell>
          <cell r="Y534" t="str">
            <v>〒591-8025　大阪府堺市北区長曽根町1179-3</v>
          </cell>
          <cell r="AA534" t="str">
            <v/>
          </cell>
          <cell r="AB534" t="str">
            <v/>
          </cell>
          <cell r="AC534" t="str">
            <v/>
          </cell>
          <cell r="AD534" t="str">
            <v/>
          </cell>
          <cell r="AE534" t="str">
            <v/>
          </cell>
          <cell r="AF534" t="str">
            <v/>
          </cell>
          <cell r="AG534" t="str">
            <v/>
          </cell>
          <cell r="AH534" t="str">
            <v/>
          </cell>
          <cell r="AI534" t="str">
            <v/>
          </cell>
          <cell r="AJ534" t="str">
            <v/>
          </cell>
          <cell r="AK534" t="str">
            <v/>
          </cell>
          <cell r="AL534" t="str">
            <v/>
          </cell>
          <cell r="AM534" t="str">
            <v/>
          </cell>
          <cell r="AN534" t="str">
            <v/>
          </cell>
          <cell r="AO534" t="str">
            <v/>
          </cell>
          <cell r="AP534" t="str">
            <v/>
          </cell>
          <cell r="AQ534" t="str">
            <v/>
          </cell>
          <cell r="AR534" t="str">
            <v/>
          </cell>
          <cell r="AS534" t="str">
            <v/>
          </cell>
          <cell r="AT534" t="str">
            <v/>
          </cell>
          <cell r="AU534" t="str">
            <v>2011‐05</v>
          </cell>
        </row>
        <row r="535">
          <cell r="A535" t="str">
            <v>S16-0532</v>
          </cell>
          <cell r="B535" t="str">
            <v>東京西中央総合病院_0532</v>
          </cell>
          <cell r="C535" t="e">
            <v>#REF!</v>
          </cell>
          <cell r="D535" t="e">
            <v>#REF!</v>
          </cell>
          <cell r="E535" t="e">
            <v>#REF!</v>
          </cell>
          <cell r="F535" t="e">
            <v>#REF!</v>
          </cell>
          <cell r="G535" t="e">
            <v>#REF!</v>
          </cell>
          <cell r="H535" t="e">
            <v>#REF!</v>
          </cell>
          <cell r="I535" t="e">
            <v>#REF!</v>
          </cell>
          <cell r="K535" t="e">
            <v>#REF!</v>
          </cell>
          <cell r="M535" t="e">
            <v>#REF!</v>
          </cell>
          <cell r="N535" t="e">
            <v>#REF!</v>
          </cell>
          <cell r="O535" t="e">
            <v>#REF!</v>
          </cell>
          <cell r="P535" t="e">
            <v>#REF!</v>
          </cell>
          <cell r="Q535" t="e">
            <v>#REF!</v>
          </cell>
          <cell r="S535" t="e">
            <v>#REF!</v>
          </cell>
          <cell r="T535" t="e">
            <v>#REF!</v>
          </cell>
          <cell r="U535" t="e">
            <v>#REF!</v>
          </cell>
          <cell r="AA535" t="e">
            <v>#REF!</v>
          </cell>
          <cell r="AB535" t="e">
            <v>#REF!</v>
          </cell>
          <cell r="AC535" t="e">
            <v>#REF!</v>
          </cell>
          <cell r="AD535" t="e">
            <v>#REF!</v>
          </cell>
          <cell r="AE535" t="e">
            <v>#REF!</v>
          </cell>
          <cell r="AF535" t="e">
            <v>#REF!</v>
          </cell>
          <cell r="AG535" t="e">
            <v>#REF!</v>
          </cell>
          <cell r="AH535" t="e">
            <v>#REF!</v>
          </cell>
          <cell r="AI535" t="e">
            <v>#REF!</v>
          </cell>
          <cell r="AJ535" t="e">
            <v>#REF!</v>
          </cell>
          <cell r="AK535" t="e">
            <v>#REF!</v>
          </cell>
          <cell r="AL535" t="e">
            <v>#REF!</v>
          </cell>
          <cell r="AM535" t="e">
            <v>#REF!</v>
          </cell>
          <cell r="AN535" t="e">
            <v>#REF!</v>
          </cell>
          <cell r="AO535" t="e">
            <v>#REF!</v>
          </cell>
          <cell r="AP535" t="e">
            <v>#REF!</v>
          </cell>
          <cell r="AQ535" t="e">
            <v>#REF!</v>
          </cell>
          <cell r="AR535" t="e">
            <v>#REF!</v>
          </cell>
          <cell r="AS535" t="e">
            <v>#REF!</v>
          </cell>
          <cell r="AT535" t="e">
            <v>#REF!</v>
          </cell>
          <cell r="AU535" t="e">
            <v>#REF!</v>
          </cell>
        </row>
        <row r="536">
          <cell r="A536" t="str">
            <v>S16-0533</v>
          </cell>
          <cell r="B536" t="str">
            <v>長野赤十字病院_0533 (2)</v>
          </cell>
          <cell r="C536" t="str">
            <v>SR#不要</v>
          </cell>
          <cell r="D536" t="str">
            <v>2016/08/01-04</v>
          </cell>
          <cell r="E536" t="str">
            <v>有償</v>
          </cell>
          <cell r="F536">
            <v>42585</v>
          </cell>
          <cell r="G536">
            <v>0</v>
          </cell>
          <cell r="H536">
            <v>42642</v>
          </cell>
          <cell r="I536" t="str">
            <v>不明</v>
          </cell>
          <cell r="K536" t="str">
            <v>-</v>
          </cell>
          <cell r="L536" t="str">
            <v>-</v>
          </cell>
          <cell r="M536" t="str">
            <v>M-Turbo</v>
          </cell>
          <cell r="N536" t="str">
            <v>03L0P0</v>
          </cell>
          <cell r="O536" t="str">
            <v>P13811-02</v>
          </cell>
          <cell r="P536" t="str">
            <v>株式会社上條器械店</v>
          </cell>
          <cell r="Q536" t="str">
            <v>小嶋様</v>
          </cell>
          <cell r="R536" t="str">
            <v>〒380-0921 長野県長野市栗田501-1</v>
          </cell>
          <cell r="S536" t="str">
            <v>026‐227‐2952</v>
          </cell>
          <cell r="T536" t="str">
            <v>026-227-4339</v>
          </cell>
          <cell r="U536" t="str">
            <v xml:space="preserve"> 長野赤十字病院</v>
          </cell>
          <cell r="V536" t="str">
            <v>-</v>
          </cell>
          <cell r="W536" t="str">
            <v>-</v>
          </cell>
          <cell r="X536" t="str">
            <v>026-226-4131</v>
          </cell>
          <cell r="Y536" t="str">
            <v>〒380-8582　長野県長野市若里五丁目22番1号</v>
          </cell>
          <cell r="AA536" t="str">
            <v/>
          </cell>
          <cell r="AB536" t="str">
            <v/>
          </cell>
          <cell r="AC536" t="str">
            <v/>
          </cell>
          <cell r="AD536" t="str">
            <v/>
          </cell>
          <cell r="AE536" t="str">
            <v/>
          </cell>
          <cell r="AF536" t="str">
            <v/>
          </cell>
          <cell r="AG536" t="str">
            <v/>
          </cell>
          <cell r="AH536" t="str">
            <v/>
          </cell>
          <cell r="AI536" t="str">
            <v/>
          </cell>
          <cell r="AJ536" t="str">
            <v/>
          </cell>
          <cell r="AK536" t="str">
            <v/>
          </cell>
          <cell r="AL536" t="str">
            <v/>
          </cell>
          <cell r="AM536" t="str">
            <v/>
          </cell>
          <cell r="AN536" t="str">
            <v/>
          </cell>
          <cell r="AO536" t="str">
            <v/>
          </cell>
          <cell r="AP536" t="str">
            <v/>
          </cell>
          <cell r="AQ536" t="str">
            <v/>
          </cell>
          <cell r="AR536" t="str">
            <v/>
          </cell>
          <cell r="AS536" t="str">
            <v/>
          </cell>
          <cell r="AT536" t="str">
            <v/>
          </cell>
          <cell r="AU536" t="str">
            <v>2011‐02</v>
          </cell>
        </row>
        <row r="537">
          <cell r="A537" t="str">
            <v>S16-0534</v>
          </cell>
          <cell r="B537" t="str">
            <v>デモ機ZAK8_0534 (2)</v>
          </cell>
          <cell r="C537" t="str">
            <v>SR#4225085</v>
          </cell>
          <cell r="D537" t="str">
            <v>-</v>
          </cell>
          <cell r="E537" t="str">
            <v>無償</v>
          </cell>
          <cell r="F537">
            <v>42585</v>
          </cell>
          <cell r="G537">
            <v>0</v>
          </cell>
          <cell r="H537">
            <v>42591</v>
          </cell>
          <cell r="I537" t="str">
            <v>不明</v>
          </cell>
          <cell r="K537" t="str">
            <v>梶田</v>
          </cell>
          <cell r="L537">
            <v>3</v>
          </cell>
          <cell r="M537" t="str">
            <v>X-Porte</v>
          </cell>
          <cell r="N537" t="str">
            <v>03YCPV</v>
          </cell>
          <cell r="O537" t="str">
            <v>P18173-02</v>
          </cell>
          <cell r="P537" t="str">
            <v>富士フイルムメディカル株式会社</v>
          </cell>
          <cell r="Q537" t="str">
            <v>島崎 様</v>
          </cell>
          <cell r="R537" t="str">
            <v>-</v>
          </cell>
          <cell r="S537" t="str">
            <v>03-6418-7190</v>
          </cell>
          <cell r="T537" t="str">
            <v>03-6418-7162</v>
          </cell>
          <cell r="U537" t="str">
            <v>デモ機ZAK8</v>
          </cell>
          <cell r="V537" t="str">
            <v>-</v>
          </cell>
          <cell r="W537" t="str">
            <v>-</v>
          </cell>
          <cell r="X537" t="str">
            <v>-</v>
          </cell>
          <cell r="Y537" t="str">
            <v>-</v>
          </cell>
          <cell r="AA537" t="str">
            <v>P14586-04</v>
          </cell>
          <cell r="AB537" t="str">
            <v/>
          </cell>
          <cell r="AC537" t="str">
            <v/>
          </cell>
          <cell r="AD537" t="str">
            <v/>
          </cell>
          <cell r="AE537" t="str">
            <v/>
          </cell>
          <cell r="AF537" t="str">
            <v/>
          </cell>
          <cell r="AG537" t="str">
            <v/>
          </cell>
          <cell r="AH537" t="str">
            <v/>
          </cell>
          <cell r="AI537" t="str">
            <v/>
          </cell>
          <cell r="AJ537" t="str">
            <v/>
          </cell>
          <cell r="AK537" t="str">
            <v>BATTERY,X-PORTE</v>
          </cell>
          <cell r="AL537" t="str">
            <v/>
          </cell>
          <cell r="AM537" t="str">
            <v/>
          </cell>
          <cell r="AN537" t="str">
            <v/>
          </cell>
          <cell r="AO537" t="str">
            <v/>
          </cell>
          <cell r="AP537" t="str">
            <v/>
          </cell>
          <cell r="AQ537" t="str">
            <v/>
          </cell>
          <cell r="AR537" t="str">
            <v/>
          </cell>
          <cell r="AS537" t="str">
            <v/>
          </cell>
          <cell r="AT537" t="str">
            <v/>
          </cell>
          <cell r="AU537">
            <v>41821</v>
          </cell>
        </row>
        <row r="538">
          <cell r="A538" t="str">
            <v>S16-0535</v>
          </cell>
          <cell r="B538" t="str">
            <v>聖隷浜松病院1_0535 (2)</v>
          </cell>
          <cell r="C538" t="str">
            <v>SR#</v>
          </cell>
          <cell r="D538" t="str">
            <v>2016/07/27-04</v>
          </cell>
          <cell r="E538" t="str">
            <v>有償</v>
          </cell>
          <cell r="F538">
            <v>42585</v>
          </cell>
          <cell r="G538">
            <v>0</v>
          </cell>
          <cell r="H538">
            <v>42622</v>
          </cell>
          <cell r="I538" t="str">
            <v>不明</v>
          </cell>
          <cell r="K538">
            <v>0</v>
          </cell>
          <cell r="M538" t="str">
            <v>M-Turbo</v>
          </cell>
          <cell r="N538" t="str">
            <v>03KJCD</v>
          </cell>
          <cell r="O538" t="str">
            <v>P09141-20</v>
          </cell>
          <cell r="P538" t="str">
            <v>株式会社八神製作所　浜松営業所</v>
          </cell>
          <cell r="Q538" t="str">
            <v>片山様</v>
          </cell>
          <cell r="R538" t="str">
            <v>〒433-8119　静岡県浜松市中区高丘北二丁目15番6号</v>
          </cell>
          <cell r="S538" t="str">
            <v>053-439-5887</v>
          </cell>
          <cell r="T538" t="str">
            <v>053-439-5897</v>
          </cell>
          <cell r="U538" t="str">
            <v xml:space="preserve"> 聖隷浜松病院</v>
          </cell>
          <cell r="V538" t="str">
            <v>-</v>
          </cell>
          <cell r="W538" t="str">
            <v>-</v>
          </cell>
          <cell r="X538" t="str">
            <v>053-474-2222</v>
          </cell>
          <cell r="Y538" t="str">
            <v>〒430-8558　静岡県浜松市中区住吉2-12-12</v>
          </cell>
          <cell r="AA538" t="str">
            <v>P08306-01</v>
          </cell>
          <cell r="AB538" t="str">
            <v/>
          </cell>
          <cell r="AC538" t="str">
            <v/>
          </cell>
          <cell r="AD538" t="str">
            <v/>
          </cell>
          <cell r="AE538" t="str">
            <v/>
          </cell>
          <cell r="AF538" t="str">
            <v/>
          </cell>
          <cell r="AG538" t="str">
            <v/>
          </cell>
          <cell r="AH538" t="str">
            <v/>
          </cell>
          <cell r="AI538" t="str">
            <v/>
          </cell>
          <cell r="AJ538" t="str">
            <v/>
          </cell>
          <cell r="AK538" t="str">
            <v>ＣＯＮＮ，ＣＯＭＰＲＥＳＳＩＯＮ</v>
          </cell>
          <cell r="AL538" t="str">
            <v/>
          </cell>
          <cell r="AM538" t="str">
            <v/>
          </cell>
          <cell r="AN538" t="str">
            <v/>
          </cell>
          <cell r="AO538" t="str">
            <v/>
          </cell>
          <cell r="AP538" t="str">
            <v/>
          </cell>
          <cell r="AQ538" t="str">
            <v/>
          </cell>
          <cell r="AR538" t="str">
            <v/>
          </cell>
          <cell r="AS538" t="str">
            <v/>
          </cell>
          <cell r="AT538" t="str">
            <v/>
          </cell>
          <cell r="AU538">
            <v>40483</v>
          </cell>
        </row>
        <row r="539">
          <cell r="A539" t="str">
            <v>S16-0536</v>
          </cell>
          <cell r="B539" t="str">
            <v>聖隷浜松病院2_0536 (2)</v>
          </cell>
          <cell r="C539" t="str">
            <v>SR#4225083</v>
          </cell>
          <cell r="D539" t="str">
            <v>2016/08/01-03</v>
          </cell>
          <cell r="E539" t="str">
            <v>有償</v>
          </cell>
          <cell r="F539">
            <v>42585</v>
          </cell>
          <cell r="G539">
            <v>0</v>
          </cell>
          <cell r="H539">
            <v>42622</v>
          </cell>
          <cell r="I539" t="str">
            <v>不明</v>
          </cell>
          <cell r="K539" t="str">
            <v>高橋</v>
          </cell>
          <cell r="L539">
            <v>3</v>
          </cell>
          <cell r="M539" t="str">
            <v>MicroMaxx</v>
          </cell>
          <cell r="N539" t="str">
            <v>WK02VJ</v>
          </cell>
          <cell r="O539" t="str">
            <v>P08063-05</v>
          </cell>
          <cell r="P539" t="str">
            <v>株式会社八神製作所　浜松営業所</v>
          </cell>
          <cell r="Q539" t="str">
            <v>片山様</v>
          </cell>
          <cell r="R539" t="str">
            <v>〒433-8119　静岡県浜松市中区高丘北二丁目15番6号</v>
          </cell>
          <cell r="S539" t="str">
            <v>053-439-5887</v>
          </cell>
          <cell r="T539" t="str">
            <v>053-439-5897</v>
          </cell>
          <cell r="U539" t="str">
            <v xml:space="preserve"> 聖隷浜松病院</v>
          </cell>
          <cell r="V539" t="str">
            <v>-</v>
          </cell>
          <cell r="W539" t="str">
            <v>-</v>
          </cell>
          <cell r="X539" t="str">
            <v>053-474-2222</v>
          </cell>
          <cell r="Y539" t="str">
            <v>〒430-8558　静岡県浜松市中区住吉2-12-12</v>
          </cell>
          <cell r="AA539" t="str">
            <v>P05471-01</v>
          </cell>
          <cell r="AB539" t="str">
            <v/>
          </cell>
          <cell r="AC539" t="str">
            <v/>
          </cell>
          <cell r="AD539" t="str">
            <v/>
          </cell>
          <cell r="AE539" t="str">
            <v/>
          </cell>
          <cell r="AF539" t="str">
            <v/>
          </cell>
          <cell r="AG539" t="str">
            <v/>
          </cell>
          <cell r="AH539" t="str">
            <v/>
          </cell>
          <cell r="AI539" t="str">
            <v/>
          </cell>
          <cell r="AJ539" t="str">
            <v/>
          </cell>
          <cell r="AK539" t="str">
            <v>SERVICE ASSEMBLY, POWER SUPPLY, MICROMAXX</v>
          </cell>
          <cell r="AL539" t="str">
            <v/>
          </cell>
          <cell r="AM539" t="str">
            <v/>
          </cell>
          <cell r="AN539" t="str">
            <v/>
          </cell>
          <cell r="AO539" t="str">
            <v/>
          </cell>
          <cell r="AP539" t="str">
            <v/>
          </cell>
          <cell r="AQ539" t="str">
            <v/>
          </cell>
          <cell r="AR539" t="str">
            <v/>
          </cell>
          <cell r="AS539" t="str">
            <v/>
          </cell>
          <cell r="AT539" t="str">
            <v/>
          </cell>
          <cell r="AU539">
            <v>40179</v>
          </cell>
        </row>
        <row r="540">
          <cell r="A540" t="str">
            <v>S16-0537</v>
          </cell>
          <cell r="B540" t="str">
            <v>川内病院_0537 (2)</v>
          </cell>
          <cell r="C540" t="str">
            <v>SR#4225715</v>
          </cell>
          <cell r="D540" t="str">
            <v>2016/07/26-03</v>
          </cell>
          <cell r="E540" t="str">
            <v>無償</v>
          </cell>
          <cell r="F540">
            <v>42586</v>
          </cell>
          <cell r="G540">
            <v>0</v>
          </cell>
          <cell r="H540">
            <v>42662</v>
          </cell>
          <cell r="I540">
            <v>40819</v>
          </cell>
          <cell r="K540" t="str">
            <v>高橋</v>
          </cell>
          <cell r="L540">
            <v>3</v>
          </cell>
          <cell r="M540" t="str">
            <v>S-Nerve</v>
          </cell>
          <cell r="N540" t="str">
            <v>03MFD7</v>
          </cell>
          <cell r="O540" t="str">
            <v>P12060-07</v>
          </cell>
          <cell r="P540" t="str">
            <v>富士フイルムメディカル株式会社　鹿児島営業所</v>
          </cell>
          <cell r="Q540" t="str">
            <v>末永様</v>
          </cell>
          <cell r="R540" t="str">
            <v>〒890-0073　鹿児島県鹿児島市宇宿1-13-10</v>
          </cell>
          <cell r="S540" t="str">
            <v>03-6418-7190</v>
          </cell>
          <cell r="T540" t="str">
            <v>03-6418-7162</v>
          </cell>
          <cell r="U540" t="str">
            <v>済生会 川内病院　用度課</v>
          </cell>
          <cell r="V540" t="str">
            <v>大久保様</v>
          </cell>
          <cell r="W540" t="str">
            <v>用度課</v>
          </cell>
          <cell r="X540" t="str">
            <v>0996-23-5221</v>
          </cell>
          <cell r="Y540" t="str">
            <v>〒895-0074 鹿児島県薩摩川内市原田町2番46号</v>
          </cell>
          <cell r="AA540" t="str">
            <v>P09135-03</v>
          </cell>
          <cell r="AB540" t="str">
            <v>P08850-02</v>
          </cell>
          <cell r="AC540" t="str">
            <v/>
          </cell>
          <cell r="AD540" t="str">
            <v/>
          </cell>
          <cell r="AE540" t="str">
            <v/>
          </cell>
          <cell r="AF540" t="str">
            <v/>
          </cell>
          <cell r="AG540" t="str">
            <v/>
          </cell>
          <cell r="AH540" t="str">
            <v/>
          </cell>
          <cell r="AI540" t="str">
            <v/>
          </cell>
          <cell r="AJ540" t="str">
            <v/>
          </cell>
          <cell r="AK540" t="str">
            <v>SERVICE ASSEMBLY MAIN PCBA, S-SERIES</v>
          </cell>
          <cell r="AL540" t="str">
            <v>SERVICE ASSEMBLY, POWER SUPPLY, M/S TURBO, EDGE</v>
          </cell>
          <cell r="AM540" t="str">
            <v/>
          </cell>
          <cell r="AN540" t="str">
            <v/>
          </cell>
          <cell r="AO540" t="str">
            <v/>
          </cell>
          <cell r="AP540" t="str">
            <v/>
          </cell>
          <cell r="AQ540" t="str">
            <v/>
          </cell>
          <cell r="AR540" t="str">
            <v/>
          </cell>
          <cell r="AS540" t="str">
            <v/>
          </cell>
          <cell r="AT540" t="str">
            <v/>
          </cell>
          <cell r="AU540">
            <v>40787</v>
          </cell>
        </row>
        <row r="541">
          <cell r="A541" t="str">
            <v>S16-0538</v>
          </cell>
          <cell r="B541" t="str">
            <v>名古屋大学病院_0538 (2)</v>
          </cell>
          <cell r="C541" t="str">
            <v>SR#4233603</v>
          </cell>
          <cell r="D541" t="str">
            <v>-</v>
          </cell>
          <cell r="E541" t="str">
            <v>無償</v>
          </cell>
          <cell r="F541">
            <v>42586</v>
          </cell>
          <cell r="G541">
            <v>0</v>
          </cell>
          <cell r="H541">
            <v>42613</v>
          </cell>
          <cell r="I541">
            <v>41562</v>
          </cell>
          <cell r="K541" t="str">
            <v>-</v>
          </cell>
          <cell r="L541" t="str">
            <v>-</v>
          </cell>
          <cell r="M541" t="str">
            <v>NanoMaxx</v>
          </cell>
          <cell r="N541" t="str">
            <v>03V3Q6</v>
          </cell>
          <cell r="O541" t="str">
            <v>P12700-06</v>
          </cell>
          <cell r="P541" t="str">
            <v>日本コヴィディエン株式会社愛知岐阜営業所</v>
          </cell>
          <cell r="Q541" t="str">
            <v>笠永様</v>
          </cell>
          <cell r="R541" t="str">
            <v>〒108-0075  東京都港区港南一丁目2番70号　品川シーズンテラス　22F</v>
          </cell>
          <cell r="S541" t="str">
            <v>03-6774-4629</v>
          </cell>
          <cell r="T541" t="str">
            <v>03-6774-4740</v>
          </cell>
          <cell r="U541" t="str">
            <v>名古屋大学医学部附属病院</v>
          </cell>
          <cell r="V541" t="str">
            <v>-</v>
          </cell>
          <cell r="W541" t="str">
            <v>-</v>
          </cell>
          <cell r="X541" t="str">
            <v>052-741-2111</v>
          </cell>
          <cell r="Y541" t="str">
            <v>〒466-8560 愛知県名古屋市昭和区鶴舞町65番地</v>
          </cell>
          <cell r="AA541" t="str">
            <v/>
          </cell>
          <cell r="AB541" t="str">
            <v/>
          </cell>
          <cell r="AC541" t="str">
            <v/>
          </cell>
          <cell r="AD541" t="str">
            <v/>
          </cell>
          <cell r="AE541" t="str">
            <v/>
          </cell>
          <cell r="AF541" t="str">
            <v/>
          </cell>
          <cell r="AG541" t="str">
            <v/>
          </cell>
          <cell r="AH541" t="str">
            <v/>
          </cell>
          <cell r="AI541" t="str">
            <v/>
          </cell>
          <cell r="AJ541" t="str">
            <v/>
          </cell>
          <cell r="AK541" t="str">
            <v/>
          </cell>
          <cell r="AL541" t="str">
            <v/>
          </cell>
          <cell r="AM541" t="str">
            <v/>
          </cell>
          <cell r="AN541" t="str">
            <v/>
          </cell>
          <cell r="AO541" t="str">
            <v/>
          </cell>
          <cell r="AP541" t="str">
            <v/>
          </cell>
          <cell r="AQ541" t="str">
            <v/>
          </cell>
          <cell r="AR541" t="str">
            <v/>
          </cell>
          <cell r="AS541" t="str">
            <v/>
          </cell>
          <cell r="AT541" t="str">
            <v/>
          </cell>
          <cell r="AU541">
            <v>41395</v>
          </cell>
        </row>
        <row r="542">
          <cell r="A542" t="str">
            <v>S16-0539</v>
          </cell>
          <cell r="B542" t="str">
            <v>舞鶴赤十字病院_0539</v>
          </cell>
          <cell r="C542" t="e">
            <v>#REF!</v>
          </cell>
          <cell r="D542" t="e">
            <v>#REF!</v>
          </cell>
          <cell r="E542" t="e">
            <v>#REF!</v>
          </cell>
          <cell r="F542" t="e">
            <v>#REF!</v>
          </cell>
          <cell r="G542" t="e">
            <v>#REF!</v>
          </cell>
          <cell r="H542" t="e">
            <v>#REF!</v>
          </cell>
          <cell r="I542" t="e">
            <v>#REF!</v>
          </cell>
          <cell r="K542" t="e">
            <v>#REF!</v>
          </cell>
          <cell r="M542" t="e">
            <v>#REF!</v>
          </cell>
          <cell r="N542" t="e">
            <v>#REF!</v>
          </cell>
          <cell r="O542" t="e">
            <v>#REF!</v>
          </cell>
          <cell r="P542" t="e">
            <v>#REF!</v>
          </cell>
          <cell r="Q542" t="e">
            <v>#REF!</v>
          </cell>
          <cell r="S542" t="e">
            <v>#REF!</v>
          </cell>
          <cell r="T542" t="e">
            <v>#REF!</v>
          </cell>
          <cell r="U542" t="e">
            <v>#REF!</v>
          </cell>
          <cell r="AA542" t="e">
            <v>#REF!</v>
          </cell>
          <cell r="AB542" t="e">
            <v>#REF!</v>
          </cell>
          <cell r="AC542" t="e">
            <v>#REF!</v>
          </cell>
          <cell r="AD542" t="e">
            <v>#REF!</v>
          </cell>
          <cell r="AE542" t="e">
            <v>#REF!</v>
          </cell>
          <cell r="AF542" t="e">
            <v>#REF!</v>
          </cell>
          <cell r="AG542" t="e">
            <v>#REF!</v>
          </cell>
          <cell r="AH542" t="e">
            <v>#REF!</v>
          </cell>
          <cell r="AI542" t="e">
            <v>#REF!</v>
          </cell>
          <cell r="AJ542" t="e">
            <v>#REF!</v>
          </cell>
          <cell r="AK542" t="e">
            <v>#REF!</v>
          </cell>
          <cell r="AL542" t="e">
            <v>#REF!</v>
          </cell>
          <cell r="AM542" t="e">
            <v>#REF!</v>
          </cell>
          <cell r="AN542" t="e">
            <v>#REF!</v>
          </cell>
          <cell r="AO542" t="e">
            <v>#REF!</v>
          </cell>
          <cell r="AP542" t="e">
            <v>#REF!</v>
          </cell>
          <cell r="AQ542" t="e">
            <v>#REF!</v>
          </cell>
          <cell r="AR542" t="e">
            <v>#REF!</v>
          </cell>
          <cell r="AS542" t="e">
            <v>#REF!</v>
          </cell>
          <cell r="AT542" t="e">
            <v>#REF!</v>
          </cell>
          <cell r="AU542" t="e">
            <v>#REF!</v>
          </cell>
        </row>
        <row r="543">
          <cell r="A543" t="str">
            <v>S16-0540</v>
          </cell>
          <cell r="B543" t="str">
            <v>高岡市民病院_0540 (2)</v>
          </cell>
          <cell r="C543" t="str">
            <v>SR#不要</v>
          </cell>
          <cell r="D543" t="str">
            <v>2016/08/02-02</v>
          </cell>
          <cell r="E543" t="str">
            <v>有償</v>
          </cell>
          <cell r="F543">
            <v>42587</v>
          </cell>
          <cell r="G543">
            <v>0</v>
          </cell>
          <cell r="H543">
            <v>42591</v>
          </cell>
          <cell r="I543" t="str">
            <v>不明</v>
          </cell>
          <cell r="K543" t="str">
            <v>高橋</v>
          </cell>
          <cell r="L543" t="str">
            <v>-</v>
          </cell>
          <cell r="M543" t="str">
            <v>M-Turbo</v>
          </cell>
          <cell r="N543" t="str">
            <v>03KYYM</v>
          </cell>
          <cell r="O543" t="str">
            <v>P09141-20</v>
          </cell>
          <cell r="P543" t="str">
            <v>株式会社　ハイメック</v>
          </cell>
          <cell r="Q543" t="str">
            <v>篠田 様</v>
          </cell>
          <cell r="R543" t="str">
            <v>〒930-0955　富山県富山市天正寺384-2</v>
          </cell>
          <cell r="S543" t="str">
            <v>076-424-3880</v>
          </cell>
          <cell r="T543" t="str">
            <v>076-492-3271</v>
          </cell>
          <cell r="U543" t="str">
            <v>高岡市民病院</v>
          </cell>
          <cell r="V543" t="str">
            <v>-</v>
          </cell>
          <cell r="W543" t="str">
            <v>-</v>
          </cell>
          <cell r="X543" t="str">
            <v>0766-23-0204</v>
          </cell>
          <cell r="Y543" t="str">
            <v>〒933-8550富山県高岡市宝町4番1号</v>
          </cell>
          <cell r="AA543" t="str">
            <v/>
          </cell>
          <cell r="AB543" t="str">
            <v/>
          </cell>
          <cell r="AC543" t="str">
            <v/>
          </cell>
          <cell r="AD543" t="str">
            <v/>
          </cell>
          <cell r="AE543" t="str">
            <v/>
          </cell>
          <cell r="AF543" t="str">
            <v/>
          </cell>
          <cell r="AG543" t="str">
            <v/>
          </cell>
          <cell r="AH543" t="str">
            <v/>
          </cell>
          <cell r="AI543" t="str">
            <v/>
          </cell>
          <cell r="AJ543" t="str">
            <v/>
          </cell>
          <cell r="AK543" t="str">
            <v/>
          </cell>
          <cell r="AL543" t="str">
            <v/>
          </cell>
          <cell r="AM543" t="str">
            <v/>
          </cell>
          <cell r="AN543" t="str">
            <v/>
          </cell>
          <cell r="AO543" t="str">
            <v/>
          </cell>
          <cell r="AP543" t="str">
            <v/>
          </cell>
          <cell r="AQ543" t="str">
            <v/>
          </cell>
          <cell r="AR543" t="str">
            <v/>
          </cell>
          <cell r="AS543" t="str">
            <v/>
          </cell>
          <cell r="AT543" t="str">
            <v/>
          </cell>
          <cell r="AU543">
            <v>40513</v>
          </cell>
        </row>
        <row r="544">
          <cell r="A544" t="str">
            <v>S16-0541</v>
          </cell>
          <cell r="B544" t="str">
            <v>鹿児島水族館_0541 (2)</v>
          </cell>
          <cell r="C544" t="str">
            <v>SR#</v>
          </cell>
          <cell r="D544" t="str">
            <v>2016/08/04-07</v>
          </cell>
          <cell r="E544" t="str">
            <v>有償</v>
          </cell>
          <cell r="F544">
            <v>42590</v>
          </cell>
          <cell r="G544">
            <v>0</v>
          </cell>
          <cell r="H544">
            <v>42634</v>
          </cell>
          <cell r="I544" t="str">
            <v>不明</v>
          </cell>
          <cell r="K544" t="str">
            <v>高橋</v>
          </cell>
          <cell r="L544" t="str">
            <v>-</v>
          </cell>
          <cell r="M544" t="str">
            <v>MicroMaxx</v>
          </cell>
          <cell r="N544" t="str">
            <v>WK02RR</v>
          </cell>
          <cell r="O544" t="str">
            <v>P08063-05</v>
          </cell>
          <cell r="P544" t="str">
            <v>施設直接依頼</v>
          </cell>
          <cell r="Q544" t="str">
            <v>大塚様</v>
          </cell>
          <cell r="R544" t="str">
            <v>〒892-0814 鹿児島県鹿児島市本港新町3-1</v>
          </cell>
          <cell r="S544" t="str">
            <v>099-226-2233</v>
          </cell>
          <cell r="T544" t="str">
            <v>099-226-8334</v>
          </cell>
          <cell r="U544" t="str">
            <v>鹿児島水族館 展示課海獣展示係</v>
          </cell>
          <cell r="V544" t="str">
            <v>-</v>
          </cell>
          <cell r="W544" t="str">
            <v>-</v>
          </cell>
          <cell r="X544" t="str">
            <v>-</v>
          </cell>
          <cell r="Y544" t="str">
            <v>-</v>
          </cell>
          <cell r="AA544" t="str">
            <v>P05675-50</v>
          </cell>
          <cell r="AB544" t="str">
            <v/>
          </cell>
          <cell r="AC544" t="str">
            <v/>
          </cell>
          <cell r="AD544" t="str">
            <v/>
          </cell>
          <cell r="AE544" t="str">
            <v/>
          </cell>
          <cell r="AF544" t="str">
            <v/>
          </cell>
          <cell r="AG544" t="str">
            <v/>
          </cell>
          <cell r="AH544" t="str">
            <v/>
          </cell>
          <cell r="AI544" t="str">
            <v/>
          </cell>
          <cell r="AJ544" t="str">
            <v/>
          </cell>
          <cell r="AK544" t="str">
            <v>C60e/5-2 Convex Transducer (MicroMaxx)</v>
          </cell>
          <cell r="AL544" t="str">
            <v/>
          </cell>
          <cell r="AM544" t="str">
            <v/>
          </cell>
          <cell r="AN544" t="str">
            <v/>
          </cell>
          <cell r="AO544" t="str">
            <v/>
          </cell>
          <cell r="AP544" t="str">
            <v/>
          </cell>
          <cell r="AQ544" t="str">
            <v/>
          </cell>
          <cell r="AR544" t="str">
            <v/>
          </cell>
          <cell r="AS544" t="str">
            <v/>
          </cell>
          <cell r="AT544" t="str">
            <v/>
          </cell>
          <cell r="AU544">
            <v>40087</v>
          </cell>
        </row>
        <row r="545">
          <cell r="A545" t="str">
            <v>S16-0542</v>
          </cell>
          <cell r="B545" t="str">
            <v>福岡大学病院_0542 (2)</v>
          </cell>
          <cell r="C545" t="str">
            <v>SR#不要</v>
          </cell>
          <cell r="D545" t="str">
            <v>2016/08/02-04</v>
          </cell>
          <cell r="E545" t="str">
            <v>有償</v>
          </cell>
          <cell r="F545">
            <v>42590</v>
          </cell>
          <cell r="G545">
            <v>0</v>
          </cell>
          <cell r="H545">
            <v>42606</v>
          </cell>
          <cell r="I545">
            <v>37152</v>
          </cell>
          <cell r="K545" t="str">
            <v>-</v>
          </cell>
          <cell r="L545" t="str">
            <v>-</v>
          </cell>
          <cell r="M545">
            <v>180</v>
          </cell>
          <cell r="N545" t="str">
            <v>01G2KR</v>
          </cell>
          <cell r="O545" t="str">
            <v>P01102-01</v>
          </cell>
          <cell r="P545" t="str">
            <v>株式会社キシヤ</v>
          </cell>
          <cell r="Q545" t="str">
            <v>加嶋 様</v>
          </cell>
          <cell r="R545" t="str">
            <v>〒819-0161 福岡県福岡市西区今宿東1-4-12</v>
          </cell>
          <cell r="S545" t="str">
            <v>092-805-8808</v>
          </cell>
          <cell r="T545" t="str">
            <v>092-805-8820</v>
          </cell>
          <cell r="U545" t="str">
            <v>福岡大学病院</v>
          </cell>
          <cell r="V545" t="str">
            <v>-</v>
          </cell>
          <cell r="W545" t="str">
            <v>-</v>
          </cell>
          <cell r="X545" t="str">
            <v>092-801-1011</v>
          </cell>
          <cell r="Y545" t="str">
            <v>〒814-0180　福岡県福岡市城南区七隈七丁目45-1</v>
          </cell>
          <cell r="AA545" t="str">
            <v/>
          </cell>
          <cell r="AB545" t="str">
            <v/>
          </cell>
          <cell r="AC545" t="str">
            <v/>
          </cell>
          <cell r="AD545" t="str">
            <v/>
          </cell>
          <cell r="AE545" t="str">
            <v/>
          </cell>
          <cell r="AF545" t="str">
            <v/>
          </cell>
          <cell r="AG545" t="str">
            <v/>
          </cell>
          <cell r="AH545" t="str">
            <v/>
          </cell>
          <cell r="AI545" t="str">
            <v/>
          </cell>
          <cell r="AJ545" t="str">
            <v/>
          </cell>
          <cell r="AK545" t="str">
            <v/>
          </cell>
          <cell r="AL545" t="str">
            <v/>
          </cell>
          <cell r="AM545" t="str">
            <v/>
          </cell>
          <cell r="AN545" t="str">
            <v/>
          </cell>
          <cell r="AO545" t="str">
            <v/>
          </cell>
          <cell r="AP545" t="str">
            <v/>
          </cell>
          <cell r="AQ545" t="str">
            <v/>
          </cell>
          <cell r="AR545" t="str">
            <v/>
          </cell>
          <cell r="AS545" t="str">
            <v/>
          </cell>
          <cell r="AT545" t="str">
            <v/>
          </cell>
          <cell r="AU545" t="str">
            <v>資産管理シール貼り付けのため、見えず</v>
          </cell>
        </row>
        <row r="546">
          <cell r="A546" t="str">
            <v>S16-0543</v>
          </cell>
          <cell r="B546" t="str">
            <v>西尾市民病院_0543 (2)</v>
          </cell>
          <cell r="C546" t="str">
            <v>SR#4230115</v>
          </cell>
          <cell r="D546" t="str">
            <v>2016/08/08-01</v>
          </cell>
          <cell r="E546" t="str">
            <v>有償</v>
          </cell>
          <cell r="F546">
            <v>42590</v>
          </cell>
          <cell r="G546">
            <v>0</v>
          </cell>
          <cell r="H546">
            <v>42594</v>
          </cell>
          <cell r="I546">
            <v>39477</v>
          </cell>
          <cell r="K546" t="str">
            <v>高橋</v>
          </cell>
          <cell r="L546">
            <v>3</v>
          </cell>
          <cell r="M546" t="str">
            <v>iLook25</v>
          </cell>
          <cell r="N546" t="str">
            <v>03855X</v>
          </cell>
          <cell r="O546" t="str">
            <v>P04303-02</v>
          </cell>
          <cell r="P546" t="str">
            <v>株式会社八神製作所 安城営業所</v>
          </cell>
          <cell r="Q546" t="str">
            <v>鈴木 様</v>
          </cell>
          <cell r="R546" t="str">
            <v>〒446-0076　愛知県安城市美園町二丁目5番地4</v>
          </cell>
          <cell r="S546" t="str">
            <v>0566-77-5025</v>
          </cell>
          <cell r="T546" t="str">
            <v>0566-77-5030</v>
          </cell>
          <cell r="U546" t="str">
            <v>西尾市民病院</v>
          </cell>
          <cell r="V546" t="str">
            <v>-</v>
          </cell>
          <cell r="W546" t="str">
            <v>-</v>
          </cell>
          <cell r="X546" t="str">
            <v>0563-56-3171</v>
          </cell>
          <cell r="Y546" t="str">
            <v>〒445-8510　愛知県西尾市熊味町上泡原6番地</v>
          </cell>
          <cell r="AA546" t="str">
            <v>P01911-04</v>
          </cell>
          <cell r="AB546" t="str">
            <v/>
          </cell>
          <cell r="AC546" t="str">
            <v/>
          </cell>
          <cell r="AD546" t="str">
            <v/>
          </cell>
          <cell r="AE546" t="str">
            <v/>
          </cell>
          <cell r="AF546" t="str">
            <v/>
          </cell>
          <cell r="AG546" t="str">
            <v/>
          </cell>
          <cell r="AH546" t="str">
            <v/>
          </cell>
          <cell r="AI546" t="str">
            <v/>
          </cell>
          <cell r="AJ546" t="str">
            <v/>
          </cell>
          <cell r="AK546" t="str">
            <v>BATTERY PACK, 3 CELL, LITHIUM-ION, ILOOK, HIGH CAPACITY</v>
          </cell>
          <cell r="AL546" t="str">
            <v/>
          </cell>
          <cell r="AM546" t="str">
            <v/>
          </cell>
          <cell r="AN546" t="str">
            <v/>
          </cell>
          <cell r="AO546" t="str">
            <v/>
          </cell>
          <cell r="AP546" t="str">
            <v/>
          </cell>
          <cell r="AQ546" t="str">
            <v/>
          </cell>
          <cell r="AR546" t="str">
            <v/>
          </cell>
          <cell r="AS546" t="str">
            <v/>
          </cell>
          <cell r="AT546" t="str">
            <v/>
          </cell>
          <cell r="AU546">
            <v>39114</v>
          </cell>
        </row>
        <row r="547">
          <cell r="A547" t="str">
            <v>S16-0544</v>
          </cell>
          <cell r="B547" t="str">
            <v>熊本医療センター_0544 (2)</v>
          </cell>
          <cell r="C547" t="str">
            <v>SR#不要</v>
          </cell>
          <cell r="D547" t="str">
            <v>2016/08/02-06</v>
          </cell>
          <cell r="E547" t="str">
            <v>有償</v>
          </cell>
          <cell r="F547">
            <v>42590</v>
          </cell>
          <cell r="G547">
            <v>0</v>
          </cell>
          <cell r="H547">
            <v>42649</v>
          </cell>
          <cell r="I547" t="str">
            <v>不明</v>
          </cell>
          <cell r="K547" t="str">
            <v>高橋</v>
          </cell>
          <cell r="L547" t="str">
            <v>-</v>
          </cell>
          <cell r="M547" t="str">
            <v>S-Nerve</v>
          </cell>
          <cell r="N547" t="str">
            <v>03LP6D</v>
          </cell>
          <cell r="O547" t="str">
            <v>P12060-06</v>
          </cell>
          <cell r="P547" t="str">
            <v>株式会社キシヤ　熊本営業所</v>
          </cell>
          <cell r="Q547" t="str">
            <v>繋田様</v>
          </cell>
          <cell r="R547" t="str">
            <v>〒860-0826 熊本県熊本市南区平田2丁目8番36号</v>
          </cell>
          <cell r="S547" t="str">
            <v>096-351-6670</v>
          </cell>
          <cell r="T547" t="str">
            <v xml:space="preserve">096-351-6672 </v>
          </cell>
          <cell r="U547" t="str">
            <v>熊本医療センター</v>
          </cell>
          <cell r="V547" t="str">
            <v>-</v>
          </cell>
          <cell r="W547" t="str">
            <v>-</v>
          </cell>
          <cell r="X547" t="str">
            <v>096-353-6501</v>
          </cell>
          <cell r="Y547" t="str">
            <v>〒860-0008　熊本県熊本市中央区二の丸1-５</v>
          </cell>
          <cell r="AA547" t="str">
            <v>P07753-20</v>
          </cell>
          <cell r="AB547" t="str">
            <v/>
          </cell>
          <cell r="AC547" t="str">
            <v/>
          </cell>
          <cell r="AD547" t="str">
            <v/>
          </cell>
          <cell r="AE547" t="str">
            <v/>
          </cell>
          <cell r="AF547" t="str">
            <v/>
          </cell>
          <cell r="AG547" t="str">
            <v/>
          </cell>
          <cell r="AH547" t="str">
            <v/>
          </cell>
          <cell r="AI547" t="str">
            <v/>
          </cell>
          <cell r="AJ547" t="str">
            <v/>
          </cell>
          <cell r="AK547" t="str">
            <v>BATTERY PACK, 6 CELL, 11.25V, 5.2 AMP-HOUR, LITHIUM-ION, TURBO S</v>
          </cell>
          <cell r="AL547" t="str">
            <v/>
          </cell>
          <cell r="AM547" t="str">
            <v/>
          </cell>
          <cell r="AN547" t="str">
            <v/>
          </cell>
          <cell r="AO547" t="str">
            <v/>
          </cell>
          <cell r="AP547" t="str">
            <v/>
          </cell>
          <cell r="AQ547" t="str">
            <v/>
          </cell>
          <cell r="AR547" t="str">
            <v/>
          </cell>
          <cell r="AS547" t="str">
            <v/>
          </cell>
          <cell r="AT547" t="str">
            <v/>
          </cell>
          <cell r="AU547">
            <v>40603</v>
          </cell>
        </row>
        <row r="548">
          <cell r="A548" t="str">
            <v>S16-0545</v>
          </cell>
          <cell r="B548" t="str">
            <v>坂総合病院_0545</v>
          </cell>
          <cell r="C548" t="e">
            <v>#REF!</v>
          </cell>
          <cell r="D548" t="e">
            <v>#REF!</v>
          </cell>
          <cell r="E548" t="e">
            <v>#REF!</v>
          </cell>
          <cell r="F548" t="e">
            <v>#REF!</v>
          </cell>
          <cell r="G548" t="e">
            <v>#REF!</v>
          </cell>
          <cell r="H548" t="e">
            <v>#REF!</v>
          </cell>
          <cell r="I548" t="e">
            <v>#REF!</v>
          </cell>
          <cell r="K548" t="e">
            <v>#REF!</v>
          </cell>
          <cell r="M548" t="e">
            <v>#REF!</v>
          </cell>
          <cell r="N548" t="e">
            <v>#REF!</v>
          </cell>
          <cell r="O548" t="e">
            <v>#REF!</v>
          </cell>
          <cell r="P548" t="e">
            <v>#REF!</v>
          </cell>
          <cell r="Q548" t="e">
            <v>#REF!</v>
          </cell>
          <cell r="S548" t="e">
            <v>#REF!</v>
          </cell>
          <cell r="T548" t="e">
            <v>#REF!</v>
          </cell>
          <cell r="U548" t="e">
            <v>#REF!</v>
          </cell>
          <cell r="AA548" t="e">
            <v>#REF!</v>
          </cell>
          <cell r="AB548" t="e">
            <v>#REF!</v>
          </cell>
          <cell r="AC548" t="e">
            <v>#REF!</v>
          </cell>
          <cell r="AD548" t="e">
            <v>#REF!</v>
          </cell>
          <cell r="AE548" t="e">
            <v>#REF!</v>
          </cell>
          <cell r="AF548" t="e">
            <v>#REF!</v>
          </cell>
          <cell r="AG548" t="e">
            <v>#REF!</v>
          </cell>
          <cell r="AH548" t="e">
            <v>#REF!</v>
          </cell>
          <cell r="AI548" t="e">
            <v>#REF!</v>
          </cell>
          <cell r="AJ548" t="e">
            <v>#REF!</v>
          </cell>
          <cell r="AK548" t="e">
            <v>#REF!</v>
          </cell>
          <cell r="AL548" t="e">
            <v>#REF!</v>
          </cell>
          <cell r="AM548" t="e">
            <v>#REF!</v>
          </cell>
          <cell r="AN548" t="e">
            <v>#REF!</v>
          </cell>
          <cell r="AO548" t="e">
            <v>#REF!</v>
          </cell>
          <cell r="AP548" t="e">
            <v>#REF!</v>
          </cell>
          <cell r="AQ548" t="e">
            <v>#REF!</v>
          </cell>
          <cell r="AR548" t="e">
            <v>#REF!</v>
          </cell>
          <cell r="AS548" t="e">
            <v>#REF!</v>
          </cell>
          <cell r="AT548" t="e">
            <v>#REF!</v>
          </cell>
          <cell r="AU548" t="e">
            <v>#REF!</v>
          </cell>
        </row>
        <row r="549">
          <cell r="A549" t="str">
            <v>S16-0546</v>
          </cell>
          <cell r="B549" t="str">
            <v>足利赤十字病院_0546 (2)</v>
          </cell>
          <cell r="C549" t="str">
            <v>SR#不要</v>
          </cell>
          <cell r="D549" t="str">
            <v>201608/04-02</v>
          </cell>
          <cell r="E549" t="str">
            <v>有償</v>
          </cell>
          <cell r="F549">
            <v>42591</v>
          </cell>
          <cell r="G549">
            <v>0</v>
          </cell>
          <cell r="H549">
            <v>42613</v>
          </cell>
          <cell r="I549" t="str">
            <v>不明</v>
          </cell>
          <cell r="K549" t="str">
            <v>高橋</v>
          </cell>
          <cell r="L549">
            <v>3</v>
          </cell>
          <cell r="M549" t="str">
            <v>180Ⅱ</v>
          </cell>
          <cell r="N549" t="str">
            <v>0203LV</v>
          </cell>
          <cell r="O549" t="str">
            <v>P01914-01</v>
          </cell>
          <cell r="P549" t="str">
            <v>富士フイルムメディカル株式会社</v>
          </cell>
          <cell r="Q549" t="str">
            <v>風間様</v>
          </cell>
          <cell r="R549" t="str">
            <v>〒321-0104　栃木県宇都宮市台新田1-13-20</v>
          </cell>
          <cell r="S549" t="str">
            <v>028-658-5551</v>
          </cell>
          <cell r="T549" t="str">
            <v>028-645-6156</v>
          </cell>
          <cell r="U549" t="str">
            <v>足利赤十字病院</v>
          </cell>
          <cell r="V549" t="str">
            <v>-</v>
          </cell>
          <cell r="W549" t="str">
            <v>-</v>
          </cell>
          <cell r="X549" t="str">
            <v>0284-21-0121</v>
          </cell>
          <cell r="Y549" t="str">
            <v>〒326-0843　栃木県足利市五十部町284-1</v>
          </cell>
          <cell r="AA549" t="str">
            <v/>
          </cell>
          <cell r="AB549" t="str">
            <v/>
          </cell>
          <cell r="AC549" t="str">
            <v/>
          </cell>
          <cell r="AD549" t="str">
            <v/>
          </cell>
          <cell r="AE549" t="str">
            <v/>
          </cell>
          <cell r="AF549" t="str">
            <v/>
          </cell>
          <cell r="AG549" t="str">
            <v/>
          </cell>
          <cell r="AH549" t="str">
            <v/>
          </cell>
          <cell r="AI549" t="str">
            <v/>
          </cell>
          <cell r="AJ549" t="str">
            <v/>
          </cell>
          <cell r="AK549" t="str">
            <v/>
          </cell>
          <cell r="AL549" t="str">
            <v/>
          </cell>
          <cell r="AM549" t="str">
            <v/>
          </cell>
          <cell r="AN549" t="str">
            <v/>
          </cell>
          <cell r="AO549" t="str">
            <v/>
          </cell>
          <cell r="AP549" t="str">
            <v/>
          </cell>
          <cell r="AQ549" t="str">
            <v/>
          </cell>
          <cell r="AR549" t="str">
            <v/>
          </cell>
          <cell r="AS549" t="str">
            <v/>
          </cell>
          <cell r="AT549" t="str">
            <v/>
          </cell>
          <cell r="AU549" t="str">
            <v>-</v>
          </cell>
        </row>
        <row r="550">
          <cell r="A550" t="str">
            <v>S16-0547</v>
          </cell>
          <cell r="B550" t="str">
            <v>北九州総合病院_0547</v>
          </cell>
          <cell r="C550" t="e">
            <v>#REF!</v>
          </cell>
          <cell r="D550" t="e">
            <v>#REF!</v>
          </cell>
          <cell r="E550" t="e">
            <v>#REF!</v>
          </cell>
          <cell r="F550" t="e">
            <v>#REF!</v>
          </cell>
          <cell r="G550" t="e">
            <v>#REF!</v>
          </cell>
          <cell r="H550" t="e">
            <v>#REF!</v>
          </cell>
          <cell r="I550" t="e">
            <v>#REF!</v>
          </cell>
          <cell r="K550" t="e">
            <v>#REF!</v>
          </cell>
          <cell r="M550" t="e">
            <v>#REF!</v>
          </cell>
          <cell r="N550" t="e">
            <v>#REF!</v>
          </cell>
          <cell r="O550" t="e">
            <v>#REF!</v>
          </cell>
          <cell r="P550" t="e">
            <v>#REF!</v>
          </cell>
          <cell r="Q550" t="e">
            <v>#REF!</v>
          </cell>
          <cell r="S550" t="e">
            <v>#REF!</v>
          </cell>
          <cell r="T550" t="e">
            <v>#REF!</v>
          </cell>
          <cell r="U550" t="e">
            <v>#REF!</v>
          </cell>
          <cell r="AA550" t="e">
            <v>#REF!</v>
          </cell>
          <cell r="AB550" t="e">
            <v>#REF!</v>
          </cell>
          <cell r="AC550" t="e">
            <v>#REF!</v>
          </cell>
          <cell r="AD550" t="e">
            <v>#REF!</v>
          </cell>
          <cell r="AE550" t="e">
            <v>#REF!</v>
          </cell>
          <cell r="AF550" t="e">
            <v>#REF!</v>
          </cell>
          <cell r="AG550" t="e">
            <v>#REF!</v>
          </cell>
          <cell r="AH550" t="e">
            <v>#REF!</v>
          </cell>
          <cell r="AI550" t="e">
            <v>#REF!</v>
          </cell>
          <cell r="AJ550" t="e">
            <v>#REF!</v>
          </cell>
          <cell r="AK550" t="e">
            <v>#REF!</v>
          </cell>
          <cell r="AL550" t="e">
            <v>#REF!</v>
          </cell>
          <cell r="AM550" t="e">
            <v>#REF!</v>
          </cell>
          <cell r="AN550" t="e">
            <v>#REF!</v>
          </cell>
          <cell r="AO550" t="e">
            <v>#REF!</v>
          </cell>
          <cell r="AP550" t="e">
            <v>#REF!</v>
          </cell>
          <cell r="AQ550" t="e">
            <v>#REF!</v>
          </cell>
          <cell r="AR550" t="e">
            <v>#REF!</v>
          </cell>
          <cell r="AS550" t="e">
            <v>#REF!</v>
          </cell>
          <cell r="AT550" t="e">
            <v>#REF!</v>
          </cell>
          <cell r="AU550" t="e">
            <v>#REF!</v>
          </cell>
        </row>
        <row r="551">
          <cell r="A551" t="str">
            <v>S16-0548</v>
          </cell>
          <cell r="B551" t="str">
            <v>デモ機MUR17_0548 (2)</v>
          </cell>
          <cell r="C551" t="str">
            <v>SR#4226017</v>
          </cell>
          <cell r="D551" t="str">
            <v>―</v>
          </cell>
          <cell r="E551" t="str">
            <v>無償</v>
          </cell>
          <cell r="F551">
            <v>42591</v>
          </cell>
          <cell r="G551">
            <v>0</v>
          </cell>
          <cell r="H551">
            <v>42704</v>
          </cell>
          <cell r="I551" t="str">
            <v>―</v>
          </cell>
          <cell r="K551" t="str">
            <v>梶田</v>
          </cell>
          <cell r="L551">
            <v>3</v>
          </cell>
          <cell r="M551" t="str">
            <v>X-Porte</v>
          </cell>
          <cell r="N551" t="str">
            <v>03X4WH</v>
          </cell>
          <cell r="O551" t="str">
            <v>P18173-01</v>
          </cell>
          <cell r="P551" t="str">
            <v>富士フイルムメディカル株式会社</v>
          </cell>
          <cell r="Q551" t="str">
            <v>村上 様</v>
          </cell>
          <cell r="R551" t="str">
            <v>〒460-8404　愛知県名古屋市中区栄1-12-17 富士フイルム名古屋ビル4階</v>
          </cell>
          <cell r="S551" t="str">
            <v>052-221-7871</v>
          </cell>
          <cell r="T551" t="str">
            <v>052-203-4875</v>
          </cell>
          <cell r="U551" t="str">
            <v xml:space="preserve">デモ機 MUR17 </v>
          </cell>
          <cell r="V551" t="str">
            <v>-</v>
          </cell>
          <cell r="W551" t="str">
            <v>-</v>
          </cell>
          <cell r="X551" t="str">
            <v>-</v>
          </cell>
          <cell r="Y551" t="str">
            <v>-</v>
          </cell>
          <cell r="AA551" t="str">
            <v>P14586-04</v>
          </cell>
          <cell r="AB551" t="str">
            <v/>
          </cell>
          <cell r="AC551" t="str">
            <v/>
          </cell>
          <cell r="AD551" t="str">
            <v/>
          </cell>
          <cell r="AE551" t="str">
            <v/>
          </cell>
          <cell r="AF551" t="str">
            <v/>
          </cell>
          <cell r="AG551" t="str">
            <v/>
          </cell>
          <cell r="AH551" t="str">
            <v/>
          </cell>
          <cell r="AI551" t="str">
            <v/>
          </cell>
          <cell r="AJ551" t="str">
            <v/>
          </cell>
          <cell r="AK551" t="str">
            <v>BATTERRY,X-PORTE STAND</v>
          </cell>
          <cell r="AL551" t="str">
            <v/>
          </cell>
          <cell r="AM551" t="str">
            <v/>
          </cell>
          <cell r="AN551" t="str">
            <v/>
          </cell>
          <cell r="AO551" t="str">
            <v/>
          </cell>
          <cell r="AP551" t="str">
            <v/>
          </cell>
          <cell r="AQ551" t="str">
            <v/>
          </cell>
          <cell r="AR551" t="str">
            <v/>
          </cell>
          <cell r="AS551" t="str">
            <v/>
          </cell>
          <cell r="AT551" t="str">
            <v/>
          </cell>
          <cell r="AU551" t="str">
            <v>―</v>
          </cell>
        </row>
        <row r="552">
          <cell r="A552" t="str">
            <v>S16-0549</v>
          </cell>
          <cell r="B552" t="str">
            <v>山梨大学_0549 (2)</v>
          </cell>
          <cell r="C552" t="str">
            <v>SR#4227061</v>
          </cell>
          <cell r="D552" t="str">
            <v>2016/08/05-01</v>
          </cell>
          <cell r="E552" t="str">
            <v>無償</v>
          </cell>
          <cell r="F552">
            <v>42592</v>
          </cell>
          <cell r="G552">
            <v>0</v>
          </cell>
          <cell r="H552">
            <v>42639</v>
          </cell>
          <cell r="I552" t="str">
            <v>不明</v>
          </cell>
          <cell r="K552" t="str">
            <v>森</v>
          </cell>
          <cell r="L552">
            <v>3</v>
          </cell>
          <cell r="M552" t="str">
            <v>X-Porte</v>
          </cell>
          <cell r="N552" t="str">
            <v>0420TT</v>
          </cell>
          <cell r="O552" t="str">
            <v>P19320-51</v>
          </cell>
          <cell r="P552" t="str">
            <v>マコト医科精機株式会社</v>
          </cell>
          <cell r="Q552" t="str">
            <v>浅井 様</v>
          </cell>
          <cell r="R552" t="str">
            <v>〒409-3845　山梨県中央市流通団地北5番地</v>
          </cell>
          <cell r="S552" t="str">
            <v>055-273-0333</v>
          </cell>
          <cell r="T552" t="str">
            <v>055-273-7626</v>
          </cell>
          <cell r="U552" t="str">
            <v>山梨大学医学部附属病院</v>
          </cell>
          <cell r="V552" t="str">
            <v>-</v>
          </cell>
          <cell r="W552" t="str">
            <v>-</v>
          </cell>
          <cell r="X552" t="str">
            <v>055-273-1111</v>
          </cell>
          <cell r="Y552" t="str">
            <v>〒409-3898 山梨県中央市下河東1110</v>
          </cell>
          <cell r="AA552" t="str">
            <v>P14027-01N</v>
          </cell>
          <cell r="AB552" t="str">
            <v/>
          </cell>
          <cell r="AC552" t="str">
            <v/>
          </cell>
          <cell r="AD552" t="str">
            <v/>
          </cell>
          <cell r="AE552" t="str">
            <v/>
          </cell>
          <cell r="AF552" t="str">
            <v/>
          </cell>
          <cell r="AG552" t="str">
            <v/>
          </cell>
          <cell r="AH552" t="str">
            <v/>
          </cell>
          <cell r="AI552" t="str">
            <v/>
          </cell>
          <cell r="AJ552" t="str">
            <v/>
          </cell>
          <cell r="AK552" t="str">
            <v>X-Porte Control Panel</v>
          </cell>
          <cell r="AL552" t="str">
            <v/>
          </cell>
          <cell r="AM552" t="str">
            <v/>
          </cell>
          <cell r="AN552" t="str">
            <v/>
          </cell>
          <cell r="AO552" t="str">
            <v/>
          </cell>
          <cell r="AP552" t="str">
            <v/>
          </cell>
          <cell r="AQ552" t="str">
            <v/>
          </cell>
          <cell r="AR552" t="str">
            <v/>
          </cell>
          <cell r="AS552" t="str">
            <v/>
          </cell>
          <cell r="AT552" t="str">
            <v/>
          </cell>
          <cell r="AU552">
            <v>0</v>
          </cell>
        </row>
        <row r="553">
          <cell r="A553" t="str">
            <v>S16-0550</v>
          </cell>
          <cell r="B553" t="str">
            <v>竜王レディースクリニック_0550 (2)</v>
          </cell>
          <cell r="C553" t="str">
            <v>SR#不要</v>
          </cell>
          <cell r="D553" t="str">
            <v>-</v>
          </cell>
          <cell r="E553" t="str">
            <v>無償</v>
          </cell>
          <cell r="F553">
            <v>42592</v>
          </cell>
          <cell r="G553">
            <v>0</v>
          </cell>
          <cell r="H553">
            <v>42592</v>
          </cell>
          <cell r="I553" t="str">
            <v>不明</v>
          </cell>
          <cell r="K553" t="str">
            <v>-</v>
          </cell>
          <cell r="L553" t="str">
            <v>-</v>
          </cell>
          <cell r="M553" t="str">
            <v>EDGE</v>
          </cell>
          <cell r="N553" t="str">
            <v>03WF5T</v>
          </cell>
          <cell r="O553" t="str">
            <v>P16360-04</v>
          </cell>
          <cell r="P553" t="str">
            <v>株式会社匠メディカル</v>
          </cell>
          <cell r="Q553" t="str">
            <v>中島 様</v>
          </cell>
          <cell r="S553" t="str">
            <v>055-275-0617</v>
          </cell>
          <cell r="T553" t="str">
            <v>055-275-0619</v>
          </cell>
          <cell r="U553" t="str">
            <v>竜王レディースクリニック(055-279-4132)</v>
          </cell>
          <cell r="AA553" t="str">
            <v/>
          </cell>
          <cell r="AB553" t="str">
            <v/>
          </cell>
          <cell r="AC553" t="str">
            <v/>
          </cell>
          <cell r="AD553" t="str">
            <v/>
          </cell>
          <cell r="AE553" t="str">
            <v/>
          </cell>
          <cell r="AF553" t="str">
            <v/>
          </cell>
          <cell r="AG553" t="str">
            <v/>
          </cell>
          <cell r="AH553" t="str">
            <v/>
          </cell>
          <cell r="AI553" t="str">
            <v/>
          </cell>
          <cell r="AJ553" t="str">
            <v/>
          </cell>
          <cell r="AK553" t="str">
            <v/>
          </cell>
          <cell r="AL553" t="str">
            <v/>
          </cell>
          <cell r="AM553" t="str">
            <v/>
          </cell>
          <cell r="AN553" t="str">
            <v/>
          </cell>
          <cell r="AO553" t="str">
            <v/>
          </cell>
          <cell r="AP553" t="str">
            <v/>
          </cell>
          <cell r="AQ553" t="str">
            <v/>
          </cell>
          <cell r="AR553" t="str">
            <v/>
          </cell>
          <cell r="AS553" t="str">
            <v/>
          </cell>
          <cell r="AT553" t="str">
            <v/>
          </cell>
          <cell r="AU553" t="str">
            <v>―</v>
          </cell>
        </row>
        <row r="554">
          <cell r="A554" t="str">
            <v>S16-0551</v>
          </cell>
          <cell r="B554" t="str">
            <v>八女総合病院_0551 (2)</v>
          </cell>
          <cell r="C554" t="str">
            <v>SR#不要</v>
          </cell>
          <cell r="D554" t="str">
            <v>2016/08/04-06</v>
          </cell>
          <cell r="E554" t="str">
            <v>有償</v>
          </cell>
          <cell r="F554">
            <v>42592</v>
          </cell>
          <cell r="G554">
            <v>0</v>
          </cell>
          <cell r="H554">
            <v>42688</v>
          </cell>
          <cell r="I554" t="str">
            <v>不明</v>
          </cell>
          <cell r="K554" t="str">
            <v>-</v>
          </cell>
          <cell r="L554" t="str">
            <v>-</v>
          </cell>
          <cell r="M554" t="str">
            <v>TiTAN</v>
          </cell>
          <cell r="N554" t="str">
            <v>0330JK</v>
          </cell>
          <cell r="O554" t="str">
            <v>P04338-01</v>
          </cell>
          <cell r="P554" t="str">
            <v>株式会社 渡辺商会　ﾃｸﾉﾒﾃﾞｨｶﾙ事業部</v>
          </cell>
          <cell r="Q554" t="str">
            <v>溝口様</v>
          </cell>
          <cell r="R554" t="str">
            <v>〒830-0047　福岡県久留米市津福本町2348</v>
          </cell>
          <cell r="S554" t="str">
            <v>0942-31-8822</v>
          </cell>
          <cell r="T554" t="str">
            <v>0942-31-8825</v>
          </cell>
          <cell r="U554" t="str">
            <v>八女総合病院</v>
          </cell>
          <cell r="V554" t="str">
            <v>-</v>
          </cell>
          <cell r="W554" t="str">
            <v>-</v>
          </cell>
          <cell r="X554" t="str">
            <v>0943-23-4131</v>
          </cell>
          <cell r="Y554" t="str">
            <v>〒834-0034　福岡県八女市高塚540-2</v>
          </cell>
          <cell r="AA554" t="str">
            <v/>
          </cell>
          <cell r="AB554" t="str">
            <v/>
          </cell>
          <cell r="AC554" t="str">
            <v/>
          </cell>
          <cell r="AD554" t="str">
            <v/>
          </cell>
          <cell r="AE554" t="str">
            <v/>
          </cell>
          <cell r="AF554" t="str">
            <v/>
          </cell>
          <cell r="AG554" t="str">
            <v/>
          </cell>
          <cell r="AH554" t="str">
            <v/>
          </cell>
          <cell r="AI554" t="str">
            <v/>
          </cell>
          <cell r="AJ554" t="str">
            <v/>
          </cell>
          <cell r="AK554" t="str">
            <v/>
          </cell>
          <cell r="AL554" t="str">
            <v/>
          </cell>
          <cell r="AM554" t="str">
            <v/>
          </cell>
          <cell r="AN554" t="str">
            <v/>
          </cell>
          <cell r="AO554" t="str">
            <v/>
          </cell>
          <cell r="AP554" t="str">
            <v/>
          </cell>
          <cell r="AQ554" t="str">
            <v/>
          </cell>
          <cell r="AR554" t="str">
            <v/>
          </cell>
          <cell r="AS554" t="str">
            <v/>
          </cell>
          <cell r="AT554" t="str">
            <v/>
          </cell>
          <cell r="AU554">
            <v>38200</v>
          </cell>
        </row>
        <row r="555">
          <cell r="A555" t="str">
            <v>S16-0552</v>
          </cell>
          <cell r="B555" t="str">
            <v>六甲病院_0552</v>
          </cell>
          <cell r="C555" t="e">
            <v>#REF!</v>
          </cell>
          <cell r="D555" t="e">
            <v>#REF!</v>
          </cell>
          <cell r="E555" t="e">
            <v>#REF!</v>
          </cell>
          <cell r="F555" t="e">
            <v>#REF!</v>
          </cell>
          <cell r="G555" t="e">
            <v>#REF!</v>
          </cell>
          <cell r="H555" t="e">
            <v>#REF!</v>
          </cell>
          <cell r="I555" t="e">
            <v>#REF!</v>
          </cell>
          <cell r="K555" t="e">
            <v>#REF!</v>
          </cell>
          <cell r="M555" t="e">
            <v>#REF!</v>
          </cell>
          <cell r="N555" t="e">
            <v>#REF!</v>
          </cell>
          <cell r="O555" t="e">
            <v>#REF!</v>
          </cell>
          <cell r="P555" t="e">
            <v>#REF!</v>
          </cell>
          <cell r="Q555" t="e">
            <v>#REF!</v>
          </cell>
          <cell r="S555" t="e">
            <v>#REF!</v>
          </cell>
          <cell r="T555" t="e">
            <v>#REF!</v>
          </cell>
          <cell r="U555" t="e">
            <v>#REF!</v>
          </cell>
          <cell r="AA555" t="e">
            <v>#REF!</v>
          </cell>
          <cell r="AB555" t="e">
            <v>#REF!</v>
          </cell>
          <cell r="AC555" t="e">
            <v>#REF!</v>
          </cell>
          <cell r="AD555" t="e">
            <v>#REF!</v>
          </cell>
          <cell r="AE555" t="e">
            <v>#REF!</v>
          </cell>
          <cell r="AF555" t="e">
            <v>#REF!</v>
          </cell>
          <cell r="AG555" t="e">
            <v>#REF!</v>
          </cell>
          <cell r="AH555" t="e">
            <v>#REF!</v>
          </cell>
          <cell r="AI555" t="e">
            <v>#REF!</v>
          </cell>
          <cell r="AJ555" t="e">
            <v>#REF!</v>
          </cell>
          <cell r="AK555" t="e">
            <v>#REF!</v>
          </cell>
          <cell r="AL555" t="e">
            <v>#REF!</v>
          </cell>
          <cell r="AM555" t="e">
            <v>#REF!</v>
          </cell>
          <cell r="AN555" t="e">
            <v>#REF!</v>
          </cell>
          <cell r="AO555" t="e">
            <v>#REF!</v>
          </cell>
          <cell r="AP555" t="e">
            <v>#REF!</v>
          </cell>
          <cell r="AQ555" t="e">
            <v>#REF!</v>
          </cell>
          <cell r="AR555" t="e">
            <v>#REF!</v>
          </cell>
          <cell r="AS555" t="e">
            <v>#REF!</v>
          </cell>
          <cell r="AT555" t="e">
            <v>#REF!</v>
          </cell>
          <cell r="AU555" t="e">
            <v>#REF!</v>
          </cell>
        </row>
        <row r="556">
          <cell r="A556" t="str">
            <v>S16-0553</v>
          </cell>
          <cell r="B556" t="str">
            <v>手稲渓仁会病院_0553 (2)</v>
          </cell>
          <cell r="C556" t="str">
            <v>SR#</v>
          </cell>
          <cell r="D556" t="str">
            <v>2016/08/09-02</v>
          </cell>
          <cell r="E556" t="str">
            <v xml:space="preserve"> 無償</v>
          </cell>
          <cell r="F556">
            <v>42594</v>
          </cell>
          <cell r="G556">
            <v>0</v>
          </cell>
          <cell r="H556">
            <v>42621</v>
          </cell>
          <cell r="I556" t="str">
            <v>不明</v>
          </cell>
          <cell r="K556" t="str">
            <v>高橋</v>
          </cell>
          <cell r="L556">
            <v>3</v>
          </cell>
          <cell r="M556" t="str">
            <v>EDGE</v>
          </cell>
          <cell r="N556" t="str">
            <v>03W0TY</v>
          </cell>
          <cell r="O556" t="str">
            <v>P16360-03</v>
          </cell>
          <cell r="P556" t="str">
            <v>株式会社マック　手稲支店</v>
          </cell>
          <cell r="Q556" t="str">
            <v>吉村様</v>
          </cell>
          <cell r="R556" t="str">
            <v>〒006-0811　札幌市手稲区前田1条12丁目1-22</v>
          </cell>
          <cell r="S556" t="str">
            <v>011-699-7210</v>
          </cell>
          <cell r="T556" t="str">
            <v>011-681-8111</v>
          </cell>
          <cell r="U556" t="str">
            <v>手稲渓仁会病院</v>
          </cell>
          <cell r="V556" t="str">
            <v>-</v>
          </cell>
          <cell r="W556" t="str">
            <v>-</v>
          </cell>
          <cell r="X556" t="str">
            <v>011-681-8111</v>
          </cell>
          <cell r="Y556" t="str">
            <v>〒006-8555 北海道札幌市手稲区前田1条12丁目1-40</v>
          </cell>
          <cell r="AA556" t="str">
            <v>P15637-01</v>
          </cell>
          <cell r="AB556" t="str">
            <v>P15051-20</v>
          </cell>
          <cell r="AC556" t="str">
            <v/>
          </cell>
          <cell r="AD556" t="str">
            <v/>
          </cell>
          <cell r="AE556" t="str">
            <v/>
          </cell>
          <cell r="AF556" t="str">
            <v/>
          </cell>
          <cell r="AG556" t="str">
            <v/>
          </cell>
          <cell r="AH556" t="str">
            <v/>
          </cell>
          <cell r="AI556" t="str">
            <v/>
          </cell>
          <cell r="AJ556" t="str">
            <v/>
          </cell>
          <cell r="AK556" t="str">
            <v>SERVICE ASSEMBLY, DISPLAY, EDGE</v>
          </cell>
          <cell r="AL556" t="str">
            <v>BATTERY PACK</v>
          </cell>
          <cell r="AM556" t="str">
            <v/>
          </cell>
          <cell r="AN556" t="str">
            <v/>
          </cell>
          <cell r="AO556" t="str">
            <v/>
          </cell>
          <cell r="AP556" t="str">
            <v/>
          </cell>
          <cell r="AQ556" t="str">
            <v/>
          </cell>
          <cell r="AR556" t="str">
            <v/>
          </cell>
          <cell r="AS556" t="str">
            <v/>
          </cell>
          <cell r="AT556" t="str">
            <v/>
          </cell>
          <cell r="AU556">
            <v>41487</v>
          </cell>
        </row>
        <row r="557">
          <cell r="A557" t="str">
            <v>S16-0554</v>
          </cell>
          <cell r="B557" t="str">
            <v>上野原市立病院_0554 (2)</v>
          </cell>
          <cell r="C557" t="str">
            <v>SR#</v>
          </cell>
          <cell r="D557" t="str">
            <v>2016/07/01-03</v>
          </cell>
          <cell r="E557" t="str">
            <v>無償</v>
          </cell>
          <cell r="F557">
            <v>42594</v>
          </cell>
          <cell r="G557">
            <v>0</v>
          </cell>
          <cell r="H557">
            <v>42601</v>
          </cell>
          <cell r="I557" t="str">
            <v>不明</v>
          </cell>
          <cell r="K557" t="str">
            <v>高橋</v>
          </cell>
          <cell r="L557" t="str">
            <v>-</v>
          </cell>
          <cell r="M557" t="str">
            <v>MicroMaxx</v>
          </cell>
          <cell r="N557" t="str">
            <v>WK0CLJ</v>
          </cell>
          <cell r="O557" t="str">
            <v>P14179-03</v>
          </cell>
          <cell r="P557" t="str">
            <v>株式会社 ムトウ 山梨</v>
          </cell>
          <cell r="Q557" t="str">
            <v>和田様</v>
          </cell>
          <cell r="R557" t="str">
            <v>〒400-0115　山梨県甲斐市篠原1945</v>
          </cell>
          <cell r="S557" t="str">
            <v>055-276-5388</v>
          </cell>
          <cell r="T557" t="str">
            <v>055-276-5385</v>
          </cell>
          <cell r="U557" t="str">
            <v>上野原市立病院</v>
          </cell>
          <cell r="V557" t="str">
            <v>竹中様</v>
          </cell>
          <cell r="W557" t="str">
            <v>ME課</v>
          </cell>
          <cell r="X557" t="str">
            <v>055-462-5121</v>
          </cell>
          <cell r="Y557" t="str">
            <v>〒409-0112　山梨県上野原市上野原3504-3</v>
          </cell>
          <cell r="AA557" t="str">
            <v/>
          </cell>
          <cell r="AB557" t="str">
            <v/>
          </cell>
          <cell r="AC557" t="str">
            <v/>
          </cell>
          <cell r="AD557" t="str">
            <v/>
          </cell>
          <cell r="AE557" t="str">
            <v/>
          </cell>
          <cell r="AF557" t="str">
            <v/>
          </cell>
          <cell r="AG557" t="str">
            <v/>
          </cell>
          <cell r="AH557" t="str">
            <v/>
          </cell>
          <cell r="AI557" t="str">
            <v/>
          </cell>
          <cell r="AJ557" t="str">
            <v/>
          </cell>
          <cell r="AK557" t="str">
            <v/>
          </cell>
          <cell r="AL557" t="str">
            <v/>
          </cell>
          <cell r="AM557" t="str">
            <v/>
          </cell>
          <cell r="AN557" t="str">
            <v/>
          </cell>
          <cell r="AO557" t="str">
            <v/>
          </cell>
          <cell r="AP557" t="str">
            <v/>
          </cell>
          <cell r="AQ557" t="str">
            <v/>
          </cell>
          <cell r="AR557" t="str">
            <v/>
          </cell>
          <cell r="AS557" t="str">
            <v/>
          </cell>
          <cell r="AT557" t="str">
            <v/>
          </cell>
          <cell r="AU557">
            <v>40940</v>
          </cell>
        </row>
        <row r="558">
          <cell r="A558" t="str">
            <v>S16-0555</v>
          </cell>
          <cell r="B558" t="str">
            <v>和歌山県立医大_0555 (2)</v>
          </cell>
          <cell r="C558" t="str">
            <v>SR#</v>
          </cell>
          <cell r="D558" t="str">
            <v>-</v>
          </cell>
          <cell r="E558" t="str">
            <v>有償</v>
          </cell>
          <cell r="F558">
            <v>42594</v>
          </cell>
          <cell r="G558">
            <v>0</v>
          </cell>
          <cell r="H558">
            <v>42649</v>
          </cell>
          <cell r="I558">
            <v>40228</v>
          </cell>
          <cell r="K558" t="str">
            <v>高橋</v>
          </cell>
          <cell r="L558">
            <v>3</v>
          </cell>
          <cell r="M558" t="str">
            <v>iLook25</v>
          </cell>
          <cell r="N558" t="str">
            <v>03BH7L</v>
          </cell>
          <cell r="O558" t="str">
            <v>P04303-02</v>
          </cell>
          <cell r="P558" t="str">
            <v>日本コヴィディエン株式会社 大阪営業所</v>
          </cell>
          <cell r="Q558" t="str">
            <v>道本様</v>
          </cell>
          <cell r="R558" t="str">
            <v>〒108-0075  東京都港区港南一丁目2番70号　品川シーズンテラス　22F</v>
          </cell>
          <cell r="S558" t="str">
            <v>03-6774-4629</v>
          </cell>
          <cell r="T558" t="str">
            <v>03-6774-4740</v>
          </cell>
          <cell r="U558" t="str">
            <v>和歌山県立医科大学附属病院</v>
          </cell>
          <cell r="V558" t="str">
            <v>-</v>
          </cell>
          <cell r="W558" t="str">
            <v>-</v>
          </cell>
          <cell r="X558" t="str">
            <v>073-447-2300</v>
          </cell>
          <cell r="Y558" t="str">
            <v>〒641-8509　和歌山市紀三井寺811-1</v>
          </cell>
          <cell r="AA558" t="str">
            <v>P03156-02</v>
          </cell>
          <cell r="AB558" t="str">
            <v/>
          </cell>
          <cell r="AC558" t="str">
            <v/>
          </cell>
          <cell r="AD558" t="str">
            <v/>
          </cell>
          <cell r="AE558" t="str">
            <v/>
          </cell>
          <cell r="AF558" t="str">
            <v/>
          </cell>
          <cell r="AG558" t="str">
            <v/>
          </cell>
          <cell r="AH558" t="str">
            <v/>
          </cell>
          <cell r="AI558" t="str">
            <v/>
          </cell>
          <cell r="AJ558" t="str">
            <v/>
          </cell>
          <cell r="AK558" t="str">
            <v>SERVICE ASSEMBLY, MAIN PCB, ILOOK25</v>
          </cell>
          <cell r="AL558" t="str">
            <v/>
          </cell>
          <cell r="AM558" t="str">
            <v/>
          </cell>
          <cell r="AN558" t="str">
            <v/>
          </cell>
          <cell r="AO558" t="str">
            <v/>
          </cell>
          <cell r="AP558" t="str">
            <v/>
          </cell>
          <cell r="AQ558" t="str">
            <v/>
          </cell>
          <cell r="AR558" t="str">
            <v/>
          </cell>
          <cell r="AS558" t="str">
            <v/>
          </cell>
          <cell r="AT558" t="str">
            <v/>
          </cell>
          <cell r="AU558">
            <v>39479</v>
          </cell>
        </row>
        <row r="559">
          <cell r="A559" t="str">
            <v>S16-0556</v>
          </cell>
          <cell r="B559" t="str">
            <v>上越総合病院_0556 (2)</v>
          </cell>
          <cell r="C559" t="str">
            <v>SR#4229547</v>
          </cell>
          <cell r="D559" t="str">
            <v>-</v>
          </cell>
          <cell r="E559" t="str">
            <v>無償</v>
          </cell>
          <cell r="F559">
            <v>42594</v>
          </cell>
          <cell r="G559">
            <v>0</v>
          </cell>
          <cell r="H559">
            <v>42671</v>
          </cell>
          <cell r="I559">
            <v>41632</v>
          </cell>
          <cell r="K559" t="str">
            <v>高橋</v>
          </cell>
          <cell r="L559">
            <v>3</v>
          </cell>
          <cell r="M559" t="str">
            <v>NanoMaxx</v>
          </cell>
          <cell r="N559" t="str">
            <v>03VW14</v>
          </cell>
          <cell r="O559" t="str">
            <v>P12700-06</v>
          </cell>
          <cell r="P559" t="str">
            <v>日本コヴィディエン株式会社 北関東営業所</v>
          </cell>
          <cell r="Q559" t="str">
            <v>坂東様</v>
          </cell>
          <cell r="R559" t="str">
            <v>〒108-0075  東京都港区港南一丁目2番70号　品川シーズンテラス　22F</v>
          </cell>
          <cell r="S559" t="str">
            <v>03-6774-4629</v>
          </cell>
          <cell r="T559" t="str">
            <v>03-6774-4740</v>
          </cell>
          <cell r="U559" t="str">
            <v>上越総合病院</v>
          </cell>
          <cell r="V559" t="str">
            <v>-</v>
          </cell>
          <cell r="W559" t="str">
            <v>-</v>
          </cell>
          <cell r="X559" t="str">
            <v>025-524-3000</v>
          </cell>
          <cell r="Y559" t="str">
            <v xml:space="preserve">〒943-8507 新潟県上越市大道福田616 </v>
          </cell>
          <cell r="AA559" t="str">
            <v>P12745-01</v>
          </cell>
          <cell r="AB559" t="str">
            <v>P13373-30</v>
          </cell>
          <cell r="AC559" t="str">
            <v>P13374-04</v>
          </cell>
          <cell r="AD559" t="str">
            <v/>
          </cell>
          <cell r="AE559" t="str">
            <v/>
          </cell>
          <cell r="AF559" t="str">
            <v/>
          </cell>
          <cell r="AG559" t="str">
            <v/>
          </cell>
          <cell r="AH559" t="str">
            <v/>
          </cell>
          <cell r="AI559" t="str">
            <v/>
          </cell>
          <cell r="AJ559" t="str">
            <v/>
          </cell>
          <cell r="AK559" t="str">
            <v>SERVICE ASSEMBLY, POWER SUPPLY PCB, NANOMAXX</v>
          </cell>
          <cell r="AL559" t="str">
            <v>NANOMAXX DOCK, JAPAN</v>
          </cell>
          <cell r="AM559" t="str">
            <v>KIT, BRACKET, SINGLE TRANSDUCER, NANOMAXX, JAPAN</v>
          </cell>
          <cell r="AN559" t="str">
            <v/>
          </cell>
          <cell r="AO559" t="str">
            <v/>
          </cell>
          <cell r="AP559" t="str">
            <v/>
          </cell>
          <cell r="AQ559" t="str">
            <v/>
          </cell>
          <cell r="AR559" t="str">
            <v/>
          </cell>
          <cell r="AS559" t="str">
            <v/>
          </cell>
          <cell r="AT559" t="str">
            <v/>
          </cell>
          <cell r="AU559">
            <v>41487</v>
          </cell>
        </row>
        <row r="560">
          <cell r="A560" t="str">
            <v>S16-0557</v>
          </cell>
          <cell r="B560" t="str">
            <v>昭和大北部病院_0557 (2)</v>
          </cell>
          <cell r="C560" t="str">
            <v>SR#不要</v>
          </cell>
          <cell r="D560" t="str">
            <v>2016/07/19-09</v>
          </cell>
          <cell r="E560" t="str">
            <v>有償</v>
          </cell>
          <cell r="F560">
            <v>42594</v>
          </cell>
          <cell r="G560">
            <v>0</v>
          </cell>
          <cell r="H560">
            <v>42702</v>
          </cell>
          <cell r="I560" t="str">
            <v>不明</v>
          </cell>
          <cell r="K560" t="str">
            <v>-</v>
          </cell>
          <cell r="L560" t="str">
            <v>-</v>
          </cell>
          <cell r="M560">
            <v>180</v>
          </cell>
          <cell r="N560" t="str">
            <v>01J3TL</v>
          </cell>
          <cell r="O560" t="str">
            <v>P01102-02</v>
          </cell>
          <cell r="P560" t="str">
            <v>株式会社MMコーポレーション</v>
          </cell>
          <cell r="Q560" t="str">
            <v>田川様</v>
          </cell>
          <cell r="S560" t="str">
            <v>048-663-9312</v>
          </cell>
          <cell r="T560" t="str">
            <v>048-663-9361</v>
          </cell>
          <cell r="U560" t="str">
            <v>昭和大学横浜市北部病院</v>
          </cell>
          <cell r="AA560" t="str">
            <v/>
          </cell>
          <cell r="AB560" t="str">
            <v/>
          </cell>
          <cell r="AC560" t="str">
            <v/>
          </cell>
          <cell r="AD560" t="str">
            <v/>
          </cell>
          <cell r="AE560" t="str">
            <v/>
          </cell>
          <cell r="AF560" t="str">
            <v/>
          </cell>
          <cell r="AG560" t="str">
            <v/>
          </cell>
          <cell r="AH560" t="str">
            <v/>
          </cell>
          <cell r="AI560" t="str">
            <v/>
          </cell>
          <cell r="AJ560" t="str">
            <v/>
          </cell>
          <cell r="AK560" t="str">
            <v/>
          </cell>
          <cell r="AL560" t="str">
            <v/>
          </cell>
          <cell r="AM560" t="str">
            <v/>
          </cell>
          <cell r="AN560" t="str">
            <v/>
          </cell>
          <cell r="AO560" t="str">
            <v/>
          </cell>
          <cell r="AP560" t="str">
            <v/>
          </cell>
          <cell r="AQ560" t="str">
            <v/>
          </cell>
          <cell r="AR560" t="str">
            <v/>
          </cell>
          <cell r="AS560" t="str">
            <v/>
          </cell>
          <cell r="AT560" t="str">
            <v/>
          </cell>
          <cell r="AU560">
            <v>36647</v>
          </cell>
        </row>
        <row r="561">
          <cell r="A561" t="str">
            <v>S16-0558</v>
          </cell>
          <cell r="B561" t="str">
            <v>代替機NIM35_0558 (2)</v>
          </cell>
          <cell r="C561" t="str">
            <v>SR#4229269</v>
          </cell>
          <cell r="D561" t="str">
            <v>―</v>
          </cell>
          <cell r="E561" t="str">
            <v>無償</v>
          </cell>
          <cell r="F561">
            <v>42597</v>
          </cell>
          <cell r="G561">
            <v>0</v>
          </cell>
          <cell r="H561">
            <v>42613</v>
          </cell>
          <cell r="I561" t="str">
            <v>―</v>
          </cell>
          <cell r="K561">
            <v>0</v>
          </cell>
          <cell r="M561" t="str">
            <v>MicroMaxx</v>
          </cell>
          <cell r="N561" t="str">
            <v>035K15</v>
          </cell>
          <cell r="O561" t="str">
            <v>P05670-03</v>
          </cell>
          <cell r="P561" t="str">
            <v>富士フイルムメディカル株式会社</v>
          </cell>
          <cell r="Q561" t="str">
            <v>テクニカルサポート</v>
          </cell>
          <cell r="S561" t="str">
            <v>045-471-7311</v>
          </cell>
          <cell r="T561" t="str">
            <v>045-472-6321</v>
          </cell>
          <cell r="U561" t="str">
            <v>代替機NIM35</v>
          </cell>
          <cell r="AA561" t="str">
            <v>P00163-01</v>
          </cell>
          <cell r="AB561" t="str">
            <v/>
          </cell>
          <cell r="AC561" t="str">
            <v/>
          </cell>
          <cell r="AD561" t="str">
            <v/>
          </cell>
          <cell r="AE561" t="str">
            <v/>
          </cell>
          <cell r="AF561" t="str">
            <v/>
          </cell>
          <cell r="AG561" t="str">
            <v/>
          </cell>
          <cell r="AH561" t="str">
            <v/>
          </cell>
          <cell r="AI561" t="str">
            <v/>
          </cell>
          <cell r="AJ561" t="str">
            <v/>
          </cell>
          <cell r="AK561" t="str">
            <v>BAT,3V,7MAH,BUTTON,LITH,RECHARG,PCB,ROHS</v>
          </cell>
          <cell r="AL561" t="str">
            <v/>
          </cell>
          <cell r="AM561" t="str">
            <v/>
          </cell>
          <cell r="AN561" t="str">
            <v/>
          </cell>
          <cell r="AO561" t="str">
            <v/>
          </cell>
          <cell r="AP561" t="str">
            <v/>
          </cell>
          <cell r="AQ561" t="str">
            <v/>
          </cell>
          <cell r="AR561" t="str">
            <v/>
          </cell>
          <cell r="AS561" t="str">
            <v/>
          </cell>
          <cell r="AT561" t="str">
            <v/>
          </cell>
          <cell r="AU561">
            <v>38777</v>
          </cell>
        </row>
        <row r="562">
          <cell r="A562" t="str">
            <v>S16-0559</v>
          </cell>
          <cell r="B562" t="str">
            <v>国立相模原病院_0559</v>
          </cell>
          <cell r="C562" t="e">
            <v>#REF!</v>
          </cell>
          <cell r="D562" t="e">
            <v>#REF!</v>
          </cell>
          <cell r="E562" t="e">
            <v>#REF!</v>
          </cell>
          <cell r="F562" t="e">
            <v>#REF!</v>
          </cell>
          <cell r="G562" t="e">
            <v>#REF!</v>
          </cell>
          <cell r="H562" t="e">
            <v>#REF!</v>
          </cell>
          <cell r="I562" t="e">
            <v>#REF!</v>
          </cell>
          <cell r="K562" t="e">
            <v>#REF!</v>
          </cell>
          <cell r="M562" t="e">
            <v>#REF!</v>
          </cell>
          <cell r="N562" t="e">
            <v>#REF!</v>
          </cell>
          <cell r="O562" t="e">
            <v>#REF!</v>
          </cell>
          <cell r="P562" t="e">
            <v>#REF!</v>
          </cell>
          <cell r="Q562" t="e">
            <v>#REF!</v>
          </cell>
          <cell r="S562" t="e">
            <v>#REF!</v>
          </cell>
          <cell r="T562" t="e">
            <v>#REF!</v>
          </cell>
          <cell r="U562" t="e">
            <v>#REF!</v>
          </cell>
          <cell r="AA562" t="e">
            <v>#REF!</v>
          </cell>
          <cell r="AB562" t="e">
            <v>#REF!</v>
          </cell>
          <cell r="AC562" t="e">
            <v>#REF!</v>
          </cell>
          <cell r="AD562" t="e">
            <v>#REF!</v>
          </cell>
          <cell r="AE562" t="e">
            <v>#REF!</v>
          </cell>
          <cell r="AF562" t="e">
            <v>#REF!</v>
          </cell>
          <cell r="AG562" t="e">
            <v>#REF!</v>
          </cell>
          <cell r="AH562" t="e">
            <v>#REF!</v>
          </cell>
          <cell r="AI562" t="e">
            <v>#REF!</v>
          </cell>
          <cell r="AJ562" t="e">
            <v>#REF!</v>
          </cell>
          <cell r="AK562" t="e">
            <v>#REF!</v>
          </cell>
          <cell r="AL562" t="e">
            <v>#REF!</v>
          </cell>
          <cell r="AM562" t="e">
            <v>#REF!</v>
          </cell>
          <cell r="AN562" t="e">
            <v>#REF!</v>
          </cell>
          <cell r="AO562" t="e">
            <v>#REF!</v>
          </cell>
          <cell r="AP562" t="e">
            <v>#REF!</v>
          </cell>
          <cell r="AQ562" t="e">
            <v>#REF!</v>
          </cell>
          <cell r="AR562" t="e">
            <v>#REF!</v>
          </cell>
          <cell r="AS562" t="e">
            <v>#REF!</v>
          </cell>
          <cell r="AT562" t="e">
            <v>#REF!</v>
          </cell>
          <cell r="AU562" t="e">
            <v>#REF!</v>
          </cell>
        </row>
        <row r="563">
          <cell r="A563" t="str">
            <v>S16-0560</v>
          </cell>
          <cell r="B563" t="str">
            <v>名古屋大学医学部付属病院_0560 (2)</v>
          </cell>
          <cell r="C563" t="str">
            <v>SR#4229275</v>
          </cell>
          <cell r="D563" t="str">
            <v>2016/08/10-02</v>
          </cell>
          <cell r="E563" t="str">
            <v>無償</v>
          </cell>
          <cell r="F563">
            <v>42597</v>
          </cell>
          <cell r="G563">
            <v>0</v>
          </cell>
          <cell r="H563">
            <v>42611</v>
          </cell>
          <cell r="I563">
            <v>0</v>
          </cell>
          <cell r="K563" t="str">
            <v>高橋</v>
          </cell>
          <cell r="L563">
            <v>3</v>
          </cell>
          <cell r="M563" t="str">
            <v>X-Porte</v>
          </cell>
          <cell r="N563" t="str">
            <v>042CCR</v>
          </cell>
          <cell r="O563" t="str">
            <v>―</v>
          </cell>
          <cell r="P563" t="str">
            <v>富士フイルムメディカル株式会社</v>
          </cell>
          <cell r="Q563" t="str">
            <v>村上様</v>
          </cell>
          <cell r="R563" t="str">
            <v>〒460-8404　愛知県名古屋市中区栄1-12-17 富士フイルム名古屋ビル4階</v>
          </cell>
          <cell r="S563" t="str">
            <v>052-221-7871</v>
          </cell>
          <cell r="T563" t="str">
            <v>052-203-4875</v>
          </cell>
          <cell r="U563" t="str">
            <v>名古屋大学医学部付属病院 　麻酔科／手術室</v>
          </cell>
          <cell r="V563" t="str">
            <v>-</v>
          </cell>
          <cell r="W563" t="str">
            <v>麻酔科／手術室</v>
          </cell>
          <cell r="X563" t="str">
            <v>052-741-2111</v>
          </cell>
          <cell r="Y563" t="str">
            <v>〒466-8560　愛知県名古屋市昭和区鶴舞町65</v>
          </cell>
          <cell r="AA563" t="str">
            <v>P14027-01N</v>
          </cell>
          <cell r="AB563" t="str">
            <v/>
          </cell>
          <cell r="AC563" t="str">
            <v/>
          </cell>
          <cell r="AD563" t="str">
            <v/>
          </cell>
          <cell r="AE563" t="str">
            <v/>
          </cell>
          <cell r="AF563" t="str">
            <v/>
          </cell>
          <cell r="AG563" t="str">
            <v/>
          </cell>
          <cell r="AH563" t="str">
            <v/>
          </cell>
          <cell r="AI563" t="str">
            <v/>
          </cell>
          <cell r="AJ563" t="str">
            <v/>
          </cell>
          <cell r="AK563" t="str">
            <v>CONTROL PANEL, X-PORTE</v>
          </cell>
          <cell r="AL563" t="str">
            <v/>
          </cell>
          <cell r="AM563" t="str">
            <v/>
          </cell>
          <cell r="AN563" t="str">
            <v/>
          </cell>
          <cell r="AO563" t="str">
            <v/>
          </cell>
          <cell r="AP563" t="str">
            <v/>
          </cell>
          <cell r="AQ563" t="str">
            <v/>
          </cell>
          <cell r="AR563" t="str">
            <v/>
          </cell>
          <cell r="AS563" t="str">
            <v/>
          </cell>
          <cell r="AT563" t="str">
            <v/>
          </cell>
          <cell r="AU563">
            <v>0</v>
          </cell>
        </row>
        <row r="564">
          <cell r="A564" t="str">
            <v>S16-0561</v>
          </cell>
          <cell r="B564" t="str">
            <v>安曇野赤十字病院_0561 (2)</v>
          </cell>
          <cell r="C564" t="str">
            <v>SR#4229279</v>
          </cell>
          <cell r="D564" t="str">
            <v>2016/07/15-04</v>
          </cell>
          <cell r="E564" t="str">
            <v>無償</v>
          </cell>
          <cell r="F564">
            <v>42599</v>
          </cell>
          <cell r="G564">
            <v>0</v>
          </cell>
          <cell r="H564">
            <v>42606</v>
          </cell>
          <cell r="I564" t="str">
            <v>不明</v>
          </cell>
          <cell r="K564" t="str">
            <v>高橋</v>
          </cell>
          <cell r="L564">
            <v>3</v>
          </cell>
          <cell r="M564" t="str">
            <v>EDGE</v>
          </cell>
          <cell r="N564" t="str">
            <v>03X683</v>
          </cell>
          <cell r="O564" t="str">
            <v>P16360-04</v>
          </cell>
          <cell r="P564" t="str">
            <v>株式会社エム・イー　松本支店</v>
          </cell>
          <cell r="Q564" t="str">
            <v>三村様</v>
          </cell>
          <cell r="R564" t="str">
            <v>〒399-0033 長野県松本市笹賀7600-11</v>
          </cell>
          <cell r="S564" t="str">
            <v>0263-87-7510</v>
          </cell>
          <cell r="T564" t="str">
            <v>0263-87-7509</v>
          </cell>
          <cell r="U564" t="str">
            <v>安曇野赤十字病院</v>
          </cell>
          <cell r="V564" t="str">
            <v>-</v>
          </cell>
          <cell r="W564" t="str">
            <v>-</v>
          </cell>
          <cell r="X564" t="str">
            <v xml:space="preserve">0263-72-3170 </v>
          </cell>
          <cell r="Y564" t="str">
            <v>〒399-8292 長野県安曇野市豊科5685</v>
          </cell>
          <cell r="AA564" t="str">
            <v>P15618-02</v>
          </cell>
          <cell r="AB564" t="str">
            <v/>
          </cell>
          <cell r="AC564" t="str">
            <v/>
          </cell>
          <cell r="AD564" t="str">
            <v/>
          </cell>
          <cell r="AE564" t="str">
            <v/>
          </cell>
          <cell r="AF564" t="str">
            <v/>
          </cell>
          <cell r="AG564" t="str">
            <v/>
          </cell>
          <cell r="AH564" t="str">
            <v/>
          </cell>
          <cell r="AI564" t="str">
            <v/>
          </cell>
          <cell r="AJ564" t="str">
            <v/>
          </cell>
          <cell r="AK564" t="str">
            <v>CONTROL PANEL, EDGE, ENGLISH</v>
          </cell>
          <cell r="AL564" t="str">
            <v/>
          </cell>
          <cell r="AM564" t="str">
            <v/>
          </cell>
          <cell r="AN564" t="str">
            <v/>
          </cell>
          <cell r="AO564" t="str">
            <v/>
          </cell>
          <cell r="AP564" t="str">
            <v/>
          </cell>
          <cell r="AQ564" t="str">
            <v/>
          </cell>
          <cell r="AR564" t="str">
            <v/>
          </cell>
          <cell r="AS564" t="str">
            <v/>
          </cell>
          <cell r="AT564" t="str">
            <v/>
          </cell>
          <cell r="AU564">
            <v>41640</v>
          </cell>
        </row>
        <row r="565">
          <cell r="A565" t="str">
            <v>S16-0562</v>
          </cell>
          <cell r="B565" t="str">
            <v>佐世保共済病院_0562</v>
          </cell>
          <cell r="C565" t="e">
            <v>#REF!</v>
          </cell>
          <cell r="D565" t="e">
            <v>#REF!</v>
          </cell>
          <cell r="E565" t="e">
            <v>#REF!</v>
          </cell>
          <cell r="F565" t="e">
            <v>#REF!</v>
          </cell>
          <cell r="G565" t="e">
            <v>#REF!</v>
          </cell>
          <cell r="H565" t="e">
            <v>#REF!</v>
          </cell>
          <cell r="I565" t="e">
            <v>#REF!</v>
          </cell>
          <cell r="K565" t="e">
            <v>#REF!</v>
          </cell>
          <cell r="M565" t="e">
            <v>#REF!</v>
          </cell>
          <cell r="N565" t="e">
            <v>#REF!</v>
          </cell>
          <cell r="O565" t="e">
            <v>#REF!</v>
          </cell>
          <cell r="P565" t="e">
            <v>#REF!</v>
          </cell>
          <cell r="Q565" t="e">
            <v>#REF!</v>
          </cell>
          <cell r="S565" t="e">
            <v>#REF!</v>
          </cell>
          <cell r="T565" t="e">
            <v>#REF!</v>
          </cell>
          <cell r="U565" t="e">
            <v>#REF!</v>
          </cell>
          <cell r="AA565" t="e">
            <v>#REF!</v>
          </cell>
          <cell r="AB565" t="e">
            <v>#REF!</v>
          </cell>
          <cell r="AC565" t="e">
            <v>#REF!</v>
          </cell>
          <cell r="AD565" t="e">
            <v>#REF!</v>
          </cell>
          <cell r="AE565" t="e">
            <v>#REF!</v>
          </cell>
          <cell r="AF565" t="e">
            <v>#REF!</v>
          </cell>
          <cell r="AG565" t="e">
            <v>#REF!</v>
          </cell>
          <cell r="AH565" t="e">
            <v>#REF!</v>
          </cell>
          <cell r="AI565" t="e">
            <v>#REF!</v>
          </cell>
          <cell r="AJ565" t="e">
            <v>#REF!</v>
          </cell>
          <cell r="AK565" t="e">
            <v>#REF!</v>
          </cell>
          <cell r="AL565" t="e">
            <v>#REF!</v>
          </cell>
          <cell r="AM565" t="e">
            <v>#REF!</v>
          </cell>
          <cell r="AN565" t="e">
            <v>#REF!</v>
          </cell>
          <cell r="AO565" t="e">
            <v>#REF!</v>
          </cell>
          <cell r="AP565" t="e">
            <v>#REF!</v>
          </cell>
          <cell r="AQ565" t="e">
            <v>#REF!</v>
          </cell>
          <cell r="AR565" t="e">
            <v>#REF!</v>
          </cell>
          <cell r="AS565" t="e">
            <v>#REF!</v>
          </cell>
          <cell r="AT565" t="e">
            <v>#REF!</v>
          </cell>
          <cell r="AU565" t="e">
            <v>#REF!</v>
          </cell>
        </row>
        <row r="566">
          <cell r="A566" t="str">
            <v>S16-0563</v>
          </cell>
          <cell r="B566" t="str">
            <v>八戸市立市民病院_0563</v>
          </cell>
          <cell r="C566" t="e">
            <v>#REF!</v>
          </cell>
          <cell r="D566" t="e">
            <v>#REF!</v>
          </cell>
          <cell r="E566" t="e">
            <v>#REF!</v>
          </cell>
          <cell r="F566" t="e">
            <v>#REF!</v>
          </cell>
          <cell r="G566" t="e">
            <v>#REF!</v>
          </cell>
          <cell r="H566" t="e">
            <v>#REF!</v>
          </cell>
          <cell r="I566" t="e">
            <v>#REF!</v>
          </cell>
          <cell r="K566" t="str">
            <v>高橋</v>
          </cell>
          <cell r="L566">
            <v>3</v>
          </cell>
          <cell r="M566" t="e">
            <v>#REF!</v>
          </cell>
          <cell r="N566" t="e">
            <v>#REF!</v>
          </cell>
          <cell r="O566" t="e">
            <v>#REF!</v>
          </cell>
          <cell r="P566" t="e">
            <v>#REF!</v>
          </cell>
          <cell r="Q566" t="e">
            <v>#REF!</v>
          </cell>
          <cell r="R566" t="str">
            <v>〒039-1166　青森県八戸市根城3丁目18番3号</v>
          </cell>
          <cell r="S566" t="e">
            <v>#REF!</v>
          </cell>
          <cell r="T566" t="e">
            <v>#REF!</v>
          </cell>
          <cell r="U566" t="e">
            <v>#REF!</v>
          </cell>
          <cell r="V566" t="str">
            <v>石戸師長</v>
          </cell>
          <cell r="W566" t="str">
            <v>手術室</v>
          </cell>
          <cell r="X566" t="str">
            <v>0178-72-5111</v>
          </cell>
          <cell r="Y566" t="str">
            <v>〒031-8555　青森県八戸市大字田向字毘沙門平1</v>
          </cell>
          <cell r="AA566" t="e">
            <v>#REF!</v>
          </cell>
          <cell r="AB566" t="e">
            <v>#REF!</v>
          </cell>
          <cell r="AC566" t="e">
            <v>#REF!</v>
          </cell>
          <cell r="AD566" t="e">
            <v>#REF!</v>
          </cell>
          <cell r="AE566" t="e">
            <v>#REF!</v>
          </cell>
          <cell r="AF566" t="e">
            <v>#REF!</v>
          </cell>
          <cell r="AG566" t="e">
            <v>#REF!</v>
          </cell>
          <cell r="AH566" t="e">
            <v>#REF!</v>
          </cell>
          <cell r="AI566" t="e">
            <v>#REF!</v>
          </cell>
          <cell r="AJ566" t="e">
            <v>#REF!</v>
          </cell>
          <cell r="AK566" t="e">
            <v>#REF!</v>
          </cell>
          <cell r="AL566" t="e">
            <v>#REF!</v>
          </cell>
          <cell r="AM566" t="e">
            <v>#REF!</v>
          </cell>
          <cell r="AN566" t="e">
            <v>#REF!</v>
          </cell>
          <cell r="AO566" t="e">
            <v>#REF!</v>
          </cell>
          <cell r="AP566" t="e">
            <v>#REF!</v>
          </cell>
          <cell r="AQ566" t="e">
            <v>#REF!</v>
          </cell>
          <cell r="AR566" t="e">
            <v>#REF!</v>
          </cell>
          <cell r="AS566" t="e">
            <v>#REF!</v>
          </cell>
          <cell r="AT566" t="e">
            <v>#REF!</v>
          </cell>
          <cell r="AU566" t="e">
            <v>#REF!</v>
          </cell>
        </row>
        <row r="567">
          <cell r="A567" t="str">
            <v>S16-0564</v>
          </cell>
          <cell r="B567" t="str">
            <v>大阪市立総合医療センター_0564 (2)</v>
          </cell>
          <cell r="C567" t="str">
            <v>SR#</v>
          </cell>
          <cell r="D567">
            <v>0</v>
          </cell>
          <cell r="E567" t="str">
            <v>有償</v>
          </cell>
          <cell r="F567">
            <v>42601</v>
          </cell>
          <cell r="G567">
            <v>0</v>
          </cell>
          <cell r="H567">
            <v>42646</v>
          </cell>
          <cell r="I567">
            <v>39398</v>
          </cell>
          <cell r="K567" t="str">
            <v>高橋</v>
          </cell>
          <cell r="L567">
            <v>3</v>
          </cell>
          <cell r="M567" t="str">
            <v>iLook25</v>
          </cell>
          <cell r="N567" t="str">
            <v>038MT1</v>
          </cell>
          <cell r="O567" t="str">
            <v>P04303-02</v>
          </cell>
          <cell r="P567" t="str">
            <v>日本コヴィディエン株式会社</v>
          </cell>
          <cell r="Q567" t="str">
            <v>草野様</v>
          </cell>
          <cell r="R567" t="str">
            <v>〒108-0075  東京都港区港南一丁目2番70号　品川シーズンテラス　22F</v>
          </cell>
          <cell r="S567" t="str">
            <v>03-6774-4629</v>
          </cell>
          <cell r="T567" t="str">
            <v>03-6774-4740</v>
          </cell>
          <cell r="U567" t="str">
            <v>大阪市立総合医療センター　大阪市民病院機構</v>
          </cell>
          <cell r="V567" t="str">
            <v>-</v>
          </cell>
          <cell r="W567" t="str">
            <v>-</v>
          </cell>
          <cell r="X567" t="str">
            <v>06-6929-1221</v>
          </cell>
          <cell r="Y567" t="str">
            <v>〒534-0021　大阪府大阪市都島区都島本通2-13-22</v>
          </cell>
          <cell r="AA567" t="str">
            <v>P03029-02</v>
          </cell>
          <cell r="AB567" t="str">
            <v/>
          </cell>
          <cell r="AC567" t="str">
            <v/>
          </cell>
          <cell r="AD567" t="str">
            <v/>
          </cell>
          <cell r="AE567" t="str">
            <v/>
          </cell>
          <cell r="AF567" t="str">
            <v/>
          </cell>
          <cell r="AG567" t="str">
            <v/>
          </cell>
          <cell r="AH567" t="str">
            <v/>
          </cell>
          <cell r="AI567" t="str">
            <v/>
          </cell>
          <cell r="AJ567" t="str">
            <v/>
          </cell>
          <cell r="AK567" t="str">
            <v>ASSEMBLY, PCB, iLOOK,STAND</v>
          </cell>
          <cell r="AL567" t="str">
            <v/>
          </cell>
          <cell r="AM567" t="str">
            <v/>
          </cell>
          <cell r="AN567" t="str">
            <v/>
          </cell>
          <cell r="AO567" t="str">
            <v/>
          </cell>
          <cell r="AP567" t="str">
            <v/>
          </cell>
          <cell r="AQ567" t="str">
            <v/>
          </cell>
          <cell r="AR567" t="str">
            <v/>
          </cell>
          <cell r="AS567" t="str">
            <v/>
          </cell>
          <cell r="AT567" t="str">
            <v/>
          </cell>
          <cell r="AU567">
            <v>39295</v>
          </cell>
        </row>
        <row r="568">
          <cell r="A568" t="str">
            <v>S16-0565</v>
          </cell>
          <cell r="B568" t="str">
            <v>小倉記念病院_0565 (2)</v>
          </cell>
          <cell r="C568" t="str">
            <v>SR#不要</v>
          </cell>
          <cell r="D568" t="str">
            <v>-</v>
          </cell>
          <cell r="E568" t="str">
            <v>有償</v>
          </cell>
          <cell r="F568">
            <v>42601</v>
          </cell>
          <cell r="G568">
            <v>0</v>
          </cell>
          <cell r="H568">
            <v>42682</v>
          </cell>
          <cell r="I568">
            <v>40391</v>
          </cell>
          <cell r="K568" t="str">
            <v>-</v>
          </cell>
          <cell r="L568" t="str">
            <v>-</v>
          </cell>
          <cell r="M568" t="str">
            <v>M-Turbo</v>
          </cell>
          <cell r="N568" t="str">
            <v>03JNJY</v>
          </cell>
          <cell r="O568" t="str">
            <v>P09141-16</v>
          </cell>
          <cell r="P568" t="str">
            <v>株式会社キシヤ　北九州営業所</v>
          </cell>
          <cell r="Q568" t="str">
            <v>武富様</v>
          </cell>
          <cell r="R568" t="str">
            <v>〒805-0071 福岡県北九州市八幡東区東田1丁目3番7号</v>
          </cell>
          <cell r="S568" t="str">
            <v>093-663-8610</v>
          </cell>
          <cell r="T568" t="str">
            <v>093-663-8620</v>
          </cell>
          <cell r="U568" t="str">
            <v>小倉記念病院　総合5F病棟（腎内）</v>
          </cell>
          <cell r="V568" t="str">
            <v>-</v>
          </cell>
          <cell r="W568" t="str">
            <v>総合5F病棟（腎内）</v>
          </cell>
          <cell r="X568" t="str">
            <v>093-511-2000</v>
          </cell>
          <cell r="Y568" t="str">
            <v>〒802-8555　福岡県北九州市小倉北区浅野3丁目2-1</v>
          </cell>
          <cell r="AD568" t="str">
            <v/>
          </cell>
          <cell r="AE568" t="str">
            <v/>
          </cell>
          <cell r="AF568" t="str">
            <v/>
          </cell>
          <cell r="AG568" t="str">
            <v/>
          </cell>
          <cell r="AH568" t="str">
            <v/>
          </cell>
          <cell r="AI568" t="str">
            <v/>
          </cell>
          <cell r="AJ568" t="str">
            <v/>
          </cell>
          <cell r="AN568" t="str">
            <v/>
          </cell>
          <cell r="AO568" t="str">
            <v/>
          </cell>
          <cell r="AP568" t="str">
            <v/>
          </cell>
          <cell r="AQ568" t="str">
            <v/>
          </cell>
          <cell r="AR568" t="str">
            <v/>
          </cell>
          <cell r="AS568" t="str">
            <v/>
          </cell>
          <cell r="AT568" t="str">
            <v/>
          </cell>
          <cell r="AU568">
            <v>40391</v>
          </cell>
        </row>
        <row r="569">
          <cell r="A569" t="str">
            <v>S16-0566</v>
          </cell>
          <cell r="B569" t="str">
            <v>順天堂静岡病院_0566</v>
          </cell>
          <cell r="C569" t="e">
            <v>#REF!</v>
          </cell>
          <cell r="D569" t="e">
            <v>#REF!</v>
          </cell>
          <cell r="E569" t="e">
            <v>#REF!</v>
          </cell>
          <cell r="F569" t="e">
            <v>#REF!</v>
          </cell>
          <cell r="G569" t="e">
            <v>#REF!</v>
          </cell>
          <cell r="H569" t="e">
            <v>#REF!</v>
          </cell>
          <cell r="I569" t="e">
            <v>#REF!</v>
          </cell>
          <cell r="K569" t="e">
            <v>#REF!</v>
          </cell>
          <cell r="M569" t="e">
            <v>#REF!</v>
          </cell>
          <cell r="N569" t="e">
            <v>#REF!</v>
          </cell>
          <cell r="O569" t="e">
            <v>#REF!</v>
          </cell>
          <cell r="P569" t="e">
            <v>#REF!</v>
          </cell>
          <cell r="Q569" t="e">
            <v>#REF!</v>
          </cell>
          <cell r="S569" t="e">
            <v>#REF!</v>
          </cell>
          <cell r="T569" t="e">
            <v>#REF!</v>
          </cell>
          <cell r="U569" t="e">
            <v>#REF!</v>
          </cell>
          <cell r="AA569" t="e">
            <v>#REF!</v>
          </cell>
          <cell r="AB569" t="e">
            <v>#REF!</v>
          </cell>
          <cell r="AC569" t="e">
            <v>#REF!</v>
          </cell>
          <cell r="AD569" t="e">
            <v>#REF!</v>
          </cell>
          <cell r="AE569" t="e">
            <v>#REF!</v>
          </cell>
          <cell r="AF569" t="e">
            <v>#REF!</v>
          </cell>
          <cell r="AG569" t="e">
            <v>#REF!</v>
          </cell>
          <cell r="AH569" t="e">
            <v>#REF!</v>
          </cell>
          <cell r="AI569" t="e">
            <v>#REF!</v>
          </cell>
          <cell r="AJ569" t="e">
            <v>#REF!</v>
          </cell>
          <cell r="AK569" t="e">
            <v>#REF!</v>
          </cell>
          <cell r="AL569" t="e">
            <v>#REF!</v>
          </cell>
          <cell r="AM569" t="e">
            <v>#REF!</v>
          </cell>
          <cell r="AN569" t="e">
            <v>#REF!</v>
          </cell>
          <cell r="AO569" t="e">
            <v>#REF!</v>
          </cell>
          <cell r="AP569" t="e">
            <v>#REF!</v>
          </cell>
          <cell r="AQ569" t="e">
            <v>#REF!</v>
          </cell>
          <cell r="AR569" t="e">
            <v>#REF!</v>
          </cell>
          <cell r="AS569" t="e">
            <v>#REF!</v>
          </cell>
          <cell r="AT569" t="e">
            <v>#REF!</v>
          </cell>
          <cell r="AU569" t="e">
            <v>#REF!</v>
          </cell>
        </row>
        <row r="570">
          <cell r="A570" t="str">
            <v>S16-0567</v>
          </cell>
          <cell r="B570" t="str">
            <v>帯広厚生病院_0567</v>
          </cell>
          <cell r="C570" t="e">
            <v>#REF!</v>
          </cell>
          <cell r="D570" t="e">
            <v>#REF!</v>
          </cell>
          <cell r="E570" t="e">
            <v>#REF!</v>
          </cell>
          <cell r="F570" t="e">
            <v>#REF!</v>
          </cell>
          <cell r="G570" t="e">
            <v>#REF!</v>
          </cell>
          <cell r="H570" t="e">
            <v>#REF!</v>
          </cell>
          <cell r="I570" t="e">
            <v>#REF!</v>
          </cell>
          <cell r="K570" t="e">
            <v>#REF!</v>
          </cell>
          <cell r="M570" t="e">
            <v>#REF!</v>
          </cell>
          <cell r="N570" t="e">
            <v>#REF!</v>
          </cell>
          <cell r="O570" t="e">
            <v>#REF!</v>
          </cell>
          <cell r="P570" t="e">
            <v>#REF!</v>
          </cell>
          <cell r="Q570" t="e">
            <v>#REF!</v>
          </cell>
          <cell r="S570" t="e">
            <v>#REF!</v>
          </cell>
          <cell r="T570" t="e">
            <v>#REF!</v>
          </cell>
          <cell r="U570" t="e">
            <v>#REF!</v>
          </cell>
          <cell r="AA570" t="e">
            <v>#REF!</v>
          </cell>
          <cell r="AB570" t="e">
            <v>#REF!</v>
          </cell>
          <cell r="AC570" t="e">
            <v>#REF!</v>
          </cell>
          <cell r="AD570" t="e">
            <v>#REF!</v>
          </cell>
          <cell r="AE570" t="e">
            <v>#REF!</v>
          </cell>
          <cell r="AF570" t="e">
            <v>#REF!</v>
          </cell>
          <cell r="AG570" t="e">
            <v>#REF!</v>
          </cell>
          <cell r="AH570" t="e">
            <v>#REF!</v>
          </cell>
          <cell r="AI570" t="e">
            <v>#REF!</v>
          </cell>
          <cell r="AJ570" t="e">
            <v>#REF!</v>
          </cell>
          <cell r="AK570" t="e">
            <v>#REF!</v>
          </cell>
          <cell r="AL570" t="e">
            <v>#REF!</v>
          </cell>
          <cell r="AM570" t="e">
            <v>#REF!</v>
          </cell>
          <cell r="AN570" t="e">
            <v>#REF!</v>
          </cell>
          <cell r="AO570" t="e">
            <v>#REF!</v>
          </cell>
          <cell r="AP570" t="e">
            <v>#REF!</v>
          </cell>
          <cell r="AQ570" t="e">
            <v>#REF!</v>
          </cell>
          <cell r="AR570" t="e">
            <v>#REF!</v>
          </cell>
          <cell r="AS570" t="e">
            <v>#REF!</v>
          </cell>
          <cell r="AT570" t="e">
            <v>#REF!</v>
          </cell>
          <cell r="AU570" t="e">
            <v>#REF!</v>
          </cell>
        </row>
        <row r="571">
          <cell r="A571" t="str">
            <v>S16-0568</v>
          </cell>
          <cell r="B571" t="str">
            <v>岡山協立病院_0568 (2)</v>
          </cell>
          <cell r="C571" t="str">
            <v>SR#4229545</v>
          </cell>
          <cell r="D571" t="str">
            <v>-</v>
          </cell>
          <cell r="E571" t="str">
            <v>無償</v>
          </cell>
          <cell r="F571">
            <v>42604</v>
          </cell>
          <cell r="G571">
            <v>0</v>
          </cell>
          <cell r="H571" t="str">
            <v>206/8/31</v>
          </cell>
          <cell r="I571">
            <v>41862</v>
          </cell>
          <cell r="K571" t="str">
            <v>高橋</v>
          </cell>
          <cell r="L571">
            <v>3</v>
          </cell>
          <cell r="M571" t="str">
            <v>NanoMaxx</v>
          </cell>
          <cell r="N571" t="str">
            <v>03XW27</v>
          </cell>
          <cell r="O571" t="str">
            <v>P12700-06</v>
          </cell>
          <cell r="P571" t="str">
            <v>日本コヴィディエン株式会社</v>
          </cell>
          <cell r="Q571" t="str">
            <v>工藤様</v>
          </cell>
          <cell r="R571" t="str">
            <v>〒108-0075  東京都港区港南一丁目2番70号　品川シーズンテラス　22F</v>
          </cell>
          <cell r="S571" t="str">
            <v>03-6774-4629</v>
          </cell>
          <cell r="T571" t="str">
            <v>03-6774-4740</v>
          </cell>
          <cell r="U571" t="str">
            <v>岡山協立病院</v>
          </cell>
          <cell r="V571" t="str">
            <v>-</v>
          </cell>
          <cell r="W571" t="str">
            <v>-</v>
          </cell>
          <cell r="X571" t="str">
            <v>086-272-2121</v>
          </cell>
          <cell r="Y571" t="str">
            <v>〒703-8511 岡山県岡山市中区赤坂本町8-10</v>
          </cell>
          <cell r="AA571" t="str">
            <v>P12745-01</v>
          </cell>
          <cell r="AB571" t="str">
            <v/>
          </cell>
          <cell r="AC571" t="str">
            <v/>
          </cell>
          <cell r="AD571" t="str">
            <v/>
          </cell>
          <cell r="AE571" t="str">
            <v/>
          </cell>
          <cell r="AF571" t="str">
            <v/>
          </cell>
          <cell r="AG571" t="str">
            <v/>
          </cell>
          <cell r="AH571" t="str">
            <v/>
          </cell>
          <cell r="AI571" t="str">
            <v/>
          </cell>
          <cell r="AJ571" t="str">
            <v/>
          </cell>
          <cell r="AK571" t="str">
            <v>SERVICE ASSEMBLY, POWER SUPPLY PCB, NANOMAXX</v>
          </cell>
          <cell r="AL571" t="str">
            <v/>
          </cell>
          <cell r="AM571" t="str">
            <v/>
          </cell>
          <cell r="AN571" t="str">
            <v/>
          </cell>
          <cell r="AO571" t="str">
            <v/>
          </cell>
          <cell r="AP571" t="str">
            <v/>
          </cell>
          <cell r="AQ571" t="str">
            <v/>
          </cell>
          <cell r="AR571" t="str">
            <v/>
          </cell>
          <cell r="AS571" t="str">
            <v/>
          </cell>
          <cell r="AT571" t="str">
            <v/>
          </cell>
          <cell r="AU571">
            <v>41699</v>
          </cell>
        </row>
        <row r="572">
          <cell r="A572" t="str">
            <v>S16-0569</v>
          </cell>
          <cell r="B572" t="str">
            <v>日本赤十字医療センター_0569 (2)</v>
          </cell>
          <cell r="C572" t="str">
            <v>SR#</v>
          </cell>
          <cell r="D572" t="str">
            <v>2016/08/17-03</v>
          </cell>
          <cell r="E572" t="str">
            <v>有償</v>
          </cell>
          <cell r="F572">
            <v>42605</v>
          </cell>
          <cell r="G572">
            <v>0</v>
          </cell>
          <cell r="H572">
            <v>42648</v>
          </cell>
          <cell r="I572" t="str">
            <v>不明</v>
          </cell>
          <cell r="K572" t="str">
            <v>高橋</v>
          </cell>
          <cell r="L572">
            <v>3</v>
          </cell>
          <cell r="M572">
            <v>180</v>
          </cell>
          <cell r="N572" t="str">
            <v>01G2NC</v>
          </cell>
          <cell r="O572" t="str">
            <v>P01102-01</v>
          </cell>
          <cell r="P572" t="str">
            <v>オリンパスメディカルサイエンス販売 株式会社</v>
          </cell>
          <cell r="Q572" t="str">
            <v>高野様</v>
          </cell>
          <cell r="R572" t="str">
            <v>〒163-1412　東京都新宿区西新宿3-20-2　東京オペラシティタワー12階</v>
          </cell>
          <cell r="S572" t="str">
            <v>03-3379-6001</v>
          </cell>
          <cell r="T572" t="str">
            <v>03-3379-6006</v>
          </cell>
          <cell r="U572" t="str">
            <v>日本赤十字医療センター　救命救急センター外来</v>
          </cell>
          <cell r="V572" t="str">
            <v>-</v>
          </cell>
          <cell r="W572" t="str">
            <v>救命救急センター外来</v>
          </cell>
          <cell r="X572" t="str">
            <v>03-3400-1311</v>
          </cell>
          <cell r="Y572" t="str">
            <v>〒150-8935 東京都渋谷区広尾4-1-22</v>
          </cell>
          <cell r="AA572" t="str">
            <v>P00104-02</v>
          </cell>
          <cell r="AB572" t="str">
            <v/>
          </cell>
          <cell r="AC572" t="str">
            <v/>
          </cell>
          <cell r="AD572" t="str">
            <v/>
          </cell>
          <cell r="AE572" t="str">
            <v/>
          </cell>
          <cell r="AF572" t="str">
            <v/>
          </cell>
          <cell r="AG572" t="str">
            <v/>
          </cell>
          <cell r="AH572" t="str">
            <v/>
          </cell>
          <cell r="AI572" t="str">
            <v/>
          </cell>
          <cell r="AJ572" t="str">
            <v/>
          </cell>
          <cell r="AK572" t="str">
            <v>KEY, ON/OFF</v>
          </cell>
          <cell r="AL572" t="str">
            <v/>
          </cell>
          <cell r="AM572" t="str">
            <v/>
          </cell>
          <cell r="AN572" t="str">
            <v/>
          </cell>
          <cell r="AO572" t="str">
            <v/>
          </cell>
          <cell r="AP572" t="str">
            <v/>
          </cell>
          <cell r="AQ572" t="str">
            <v/>
          </cell>
          <cell r="AR572" t="str">
            <v/>
          </cell>
          <cell r="AS572" t="str">
            <v/>
          </cell>
          <cell r="AT572" t="str">
            <v/>
          </cell>
          <cell r="AU572">
            <v>36557</v>
          </cell>
        </row>
        <row r="573">
          <cell r="A573" t="str">
            <v>S16-0570</v>
          </cell>
          <cell r="B573" t="str">
            <v>都立広尾病院_0570 (2)</v>
          </cell>
          <cell r="C573" t="str">
            <v>SR#</v>
          </cell>
          <cell r="D573" t="str">
            <v>2016/08/17-01</v>
          </cell>
          <cell r="E573" t="str">
            <v>無償</v>
          </cell>
          <cell r="F573">
            <v>42605</v>
          </cell>
          <cell r="G573">
            <v>0</v>
          </cell>
          <cell r="H573">
            <v>42662</v>
          </cell>
          <cell r="I573" t="str">
            <v>不明</v>
          </cell>
          <cell r="K573" t="str">
            <v>高橋</v>
          </cell>
          <cell r="L573">
            <v>3</v>
          </cell>
          <cell r="M573" t="str">
            <v>EDGE</v>
          </cell>
          <cell r="N573" t="str">
            <v>03RBNT</v>
          </cell>
          <cell r="O573" t="str">
            <v>P16360-02</v>
          </cell>
          <cell r="P573" t="str">
            <v>株式会社イノメディックス</v>
          </cell>
          <cell r="Q573" t="str">
            <v>奥村様</v>
          </cell>
          <cell r="R573" t="str">
            <v>〒112-0002　東京都文京区小石川4-17-5</v>
          </cell>
          <cell r="S573" t="str">
            <v>03-3814-3645</v>
          </cell>
          <cell r="T573" t="str">
            <v>03-3815-8811</v>
          </cell>
          <cell r="U573" t="str">
            <v>都立広尾病院 麻酔科</v>
          </cell>
          <cell r="V573" t="str">
            <v>-</v>
          </cell>
          <cell r="W573" t="str">
            <v>-</v>
          </cell>
          <cell r="X573" t="str">
            <v>03-3444-1181</v>
          </cell>
          <cell r="Y573" t="str">
            <v>〒150-0013　東京都渋谷区恵比寿2－34－10</v>
          </cell>
          <cell r="AA573" t="str">
            <v>P15637-01</v>
          </cell>
          <cell r="AB573" t="str">
            <v>P15051-20</v>
          </cell>
          <cell r="AC573" t="str">
            <v/>
          </cell>
          <cell r="AD573" t="str">
            <v/>
          </cell>
          <cell r="AE573" t="str">
            <v/>
          </cell>
          <cell r="AF573" t="str">
            <v/>
          </cell>
          <cell r="AG573" t="str">
            <v/>
          </cell>
          <cell r="AH573" t="str">
            <v/>
          </cell>
          <cell r="AI573" t="str">
            <v/>
          </cell>
          <cell r="AJ573" t="str">
            <v/>
          </cell>
          <cell r="AK573" t="str">
            <v>SERVICE ASSEMBLY, DISPLAY, EDGE</v>
          </cell>
          <cell r="AL573" t="str">
            <v>BATTERY PACK EDGE</v>
          </cell>
          <cell r="AM573" t="str">
            <v/>
          </cell>
          <cell r="AN573" t="str">
            <v/>
          </cell>
          <cell r="AO573" t="str">
            <v/>
          </cell>
          <cell r="AP573" t="str">
            <v/>
          </cell>
          <cell r="AQ573" t="str">
            <v/>
          </cell>
          <cell r="AR573" t="str">
            <v/>
          </cell>
          <cell r="AS573" t="str">
            <v/>
          </cell>
          <cell r="AT573" t="str">
            <v/>
          </cell>
          <cell r="AU573">
            <v>41091</v>
          </cell>
        </row>
        <row r="574">
          <cell r="A574" t="str">
            <v>S16-0571</v>
          </cell>
          <cell r="B574" t="str">
            <v>あわじ鍼灸整骨院_0571 (2)</v>
          </cell>
          <cell r="C574" t="str">
            <v>SR#4233601</v>
          </cell>
          <cell r="D574" t="str">
            <v>2016/08/17-02</v>
          </cell>
          <cell r="E574" t="str">
            <v>無償</v>
          </cell>
          <cell r="F574">
            <v>42606</v>
          </cell>
          <cell r="G574">
            <v>0</v>
          </cell>
          <cell r="H574">
            <v>42613</v>
          </cell>
          <cell r="I574" t="str">
            <v>不明</v>
          </cell>
          <cell r="K574" t="str">
            <v>高橋</v>
          </cell>
          <cell r="L574" t="str">
            <v>-</v>
          </cell>
          <cell r="M574" t="str">
            <v>M-Turbo</v>
          </cell>
          <cell r="N574" t="str">
            <v>WK3KJN</v>
          </cell>
          <cell r="O574" t="str">
            <v>P16693-62</v>
          </cell>
          <cell r="P574" t="str">
            <v>富士フイルムメディカル株式会社大阪支店</v>
          </cell>
          <cell r="Q574" t="str">
            <v>遠藤様</v>
          </cell>
          <cell r="R574" t="str">
            <v xml:space="preserve">〒532-0004　大阪府大阪市淀川区西宮原1-3-5
</v>
          </cell>
          <cell r="S574" t="str">
            <v>06-6396-5102</v>
          </cell>
          <cell r="T574" t="str">
            <v>06-6396-5103</v>
          </cell>
          <cell r="U574" t="str">
            <v>あわじ鍼灸整骨院</v>
          </cell>
          <cell r="V574" t="str">
            <v>-</v>
          </cell>
          <cell r="W574" t="str">
            <v>-</v>
          </cell>
          <cell r="X574" t="str">
            <v>0736-66-2557</v>
          </cell>
          <cell r="Y574" t="str">
            <v>〒649-6112　和歌山県紀の川市桃山町調月1045</v>
          </cell>
          <cell r="AA574" t="str">
            <v/>
          </cell>
          <cell r="AB574" t="str">
            <v/>
          </cell>
          <cell r="AC574" t="str">
            <v/>
          </cell>
          <cell r="AD574" t="str">
            <v/>
          </cell>
          <cell r="AE574" t="str">
            <v/>
          </cell>
          <cell r="AF574" t="str">
            <v/>
          </cell>
          <cell r="AG574" t="str">
            <v/>
          </cell>
          <cell r="AH574" t="str">
            <v/>
          </cell>
          <cell r="AI574" t="str">
            <v/>
          </cell>
          <cell r="AJ574" t="str">
            <v/>
          </cell>
          <cell r="AK574" t="str">
            <v/>
          </cell>
          <cell r="AL574" t="str">
            <v/>
          </cell>
          <cell r="AM574" t="str">
            <v/>
          </cell>
          <cell r="AN574" t="str">
            <v/>
          </cell>
          <cell r="AO574" t="str">
            <v/>
          </cell>
          <cell r="AP574" t="str">
            <v/>
          </cell>
          <cell r="AQ574" t="str">
            <v/>
          </cell>
          <cell r="AR574" t="str">
            <v/>
          </cell>
          <cell r="AS574" t="str">
            <v/>
          </cell>
          <cell r="AT574" t="str">
            <v/>
          </cell>
          <cell r="AU574">
            <v>42430</v>
          </cell>
        </row>
        <row r="575">
          <cell r="A575" t="str">
            <v>S16-0572</v>
          </cell>
          <cell r="B575" t="str">
            <v>代替機NIM57_0572 (2)</v>
          </cell>
          <cell r="C575" t="str">
            <v>SR#4229543</v>
          </cell>
          <cell r="D575" t="str">
            <v>-</v>
          </cell>
          <cell r="E575" t="str">
            <v>無償</v>
          </cell>
          <cell r="F575">
            <v>42606</v>
          </cell>
          <cell r="G575">
            <v>0</v>
          </cell>
          <cell r="H575">
            <v>42689</v>
          </cell>
          <cell r="I575" t="str">
            <v>―</v>
          </cell>
          <cell r="K575" t="str">
            <v>馬屋原</v>
          </cell>
          <cell r="L575">
            <v>3</v>
          </cell>
          <cell r="M575" t="str">
            <v>S-Nerve</v>
          </cell>
          <cell r="N575" t="str">
            <v>03LP5V</v>
          </cell>
          <cell r="O575" t="str">
            <v>P12060-06</v>
          </cell>
          <cell r="P575" t="str">
            <v>富士フイルムメディカル株式会社</v>
          </cell>
          <cell r="Q575" t="str">
            <v>テクニカルサポート</v>
          </cell>
          <cell r="S575" t="str">
            <v xml:space="preserve">0798-46-1216 </v>
          </cell>
          <cell r="T575" t="str">
            <v>0798-46-7802</v>
          </cell>
          <cell r="U575" t="str">
            <v>代替機NIM157</v>
          </cell>
          <cell r="V575" t="str">
            <v>-</v>
          </cell>
          <cell r="W575" t="str">
            <v>-</v>
          </cell>
          <cell r="X575" t="str">
            <v>-</v>
          </cell>
          <cell r="Y575" t="str">
            <v>-</v>
          </cell>
          <cell r="AA575" t="str">
            <v>P09135-03</v>
          </cell>
          <cell r="AB575" t="str">
            <v/>
          </cell>
          <cell r="AC575" t="str">
            <v/>
          </cell>
          <cell r="AD575" t="str">
            <v/>
          </cell>
          <cell r="AE575" t="str">
            <v/>
          </cell>
          <cell r="AF575" t="str">
            <v/>
          </cell>
          <cell r="AG575" t="str">
            <v/>
          </cell>
          <cell r="AH575" t="str">
            <v/>
          </cell>
          <cell r="AI575" t="str">
            <v/>
          </cell>
          <cell r="AJ575" t="str">
            <v/>
          </cell>
          <cell r="AK575" t="str">
            <v>SERVICE ASSEMBLY MAIN PCBA, S-SERIES</v>
          </cell>
          <cell r="AL575" t="str">
            <v/>
          </cell>
          <cell r="AM575" t="str">
            <v/>
          </cell>
          <cell r="AN575" t="str">
            <v/>
          </cell>
          <cell r="AO575" t="str">
            <v/>
          </cell>
          <cell r="AP575" t="str">
            <v/>
          </cell>
          <cell r="AQ575" t="str">
            <v/>
          </cell>
          <cell r="AR575" t="str">
            <v/>
          </cell>
          <cell r="AS575" t="str">
            <v/>
          </cell>
          <cell r="AT575" t="str">
            <v/>
          </cell>
          <cell r="AU575">
            <v>40603</v>
          </cell>
        </row>
        <row r="576">
          <cell r="A576" t="str">
            <v>S16-0573</v>
          </cell>
          <cell r="B576" t="str">
            <v>大阪労災病院_0573</v>
          </cell>
          <cell r="C576" t="e">
            <v>#REF!</v>
          </cell>
          <cell r="D576" t="e">
            <v>#REF!</v>
          </cell>
          <cell r="E576" t="e">
            <v>#REF!</v>
          </cell>
          <cell r="F576" t="e">
            <v>#REF!</v>
          </cell>
          <cell r="G576" t="e">
            <v>#REF!</v>
          </cell>
          <cell r="H576" t="e">
            <v>#REF!</v>
          </cell>
          <cell r="I576" t="e">
            <v>#REF!</v>
          </cell>
          <cell r="K576" t="e">
            <v>#REF!</v>
          </cell>
          <cell r="M576" t="e">
            <v>#REF!</v>
          </cell>
          <cell r="N576" t="e">
            <v>#REF!</v>
          </cell>
          <cell r="O576" t="e">
            <v>#REF!</v>
          </cell>
          <cell r="P576" t="e">
            <v>#REF!</v>
          </cell>
          <cell r="Q576" t="e">
            <v>#REF!</v>
          </cell>
          <cell r="S576" t="e">
            <v>#REF!</v>
          </cell>
          <cell r="T576" t="e">
            <v>#REF!</v>
          </cell>
          <cell r="U576" t="e">
            <v>#REF!</v>
          </cell>
          <cell r="AA576" t="e">
            <v>#REF!</v>
          </cell>
          <cell r="AB576" t="e">
            <v>#REF!</v>
          </cell>
          <cell r="AC576" t="e">
            <v>#REF!</v>
          </cell>
          <cell r="AD576" t="e">
            <v>#REF!</v>
          </cell>
          <cell r="AE576" t="e">
            <v>#REF!</v>
          </cell>
          <cell r="AF576" t="e">
            <v>#REF!</v>
          </cell>
          <cell r="AG576" t="e">
            <v>#REF!</v>
          </cell>
          <cell r="AH576" t="e">
            <v>#REF!</v>
          </cell>
          <cell r="AI576" t="e">
            <v>#REF!</v>
          </cell>
          <cell r="AJ576" t="e">
            <v>#REF!</v>
          </cell>
          <cell r="AK576" t="e">
            <v>#REF!</v>
          </cell>
          <cell r="AL576" t="e">
            <v>#REF!</v>
          </cell>
          <cell r="AM576" t="e">
            <v>#REF!</v>
          </cell>
          <cell r="AN576" t="e">
            <v>#REF!</v>
          </cell>
          <cell r="AO576" t="e">
            <v>#REF!</v>
          </cell>
          <cell r="AP576" t="e">
            <v>#REF!</v>
          </cell>
          <cell r="AQ576" t="e">
            <v>#REF!</v>
          </cell>
          <cell r="AR576" t="e">
            <v>#REF!</v>
          </cell>
          <cell r="AS576" t="e">
            <v>#REF!</v>
          </cell>
          <cell r="AT576" t="e">
            <v>#REF!</v>
          </cell>
          <cell r="AU576" t="e">
            <v>#REF!</v>
          </cell>
        </row>
        <row r="577">
          <cell r="A577" t="str">
            <v>S16-0574</v>
          </cell>
          <cell r="B577" t="str">
            <v>阪田医院_0574 (2)</v>
          </cell>
          <cell r="C577" t="str">
            <v>SR#</v>
          </cell>
          <cell r="D577" t="str">
            <v>2016/08/09-01</v>
          </cell>
          <cell r="E577" t="str">
            <v>有償</v>
          </cell>
          <cell r="F577">
            <v>42606</v>
          </cell>
          <cell r="G577">
            <v>0</v>
          </cell>
          <cell r="H577">
            <v>42620</v>
          </cell>
          <cell r="I577" t="str">
            <v>不明</v>
          </cell>
          <cell r="K577" t="str">
            <v>高橋</v>
          </cell>
          <cell r="L577">
            <v>3</v>
          </cell>
          <cell r="M577" t="str">
            <v>MicroMaxx</v>
          </cell>
          <cell r="N577" t="str">
            <v>WK0CF2</v>
          </cell>
          <cell r="O577" t="str">
            <v>P14179-01</v>
          </cell>
          <cell r="P577" t="str">
            <v>五洋医療器株式会社　三原営業所</v>
          </cell>
          <cell r="Q577" t="str">
            <v>小林様</v>
          </cell>
          <cell r="R577" t="str">
            <v>〒723-0051　広島県三原市宮浦4-3-1</v>
          </cell>
          <cell r="S577" t="str">
            <v>0848-63-3352</v>
          </cell>
          <cell r="T577" t="str">
            <v>0848-62-6996</v>
          </cell>
          <cell r="U577" t="str">
            <v>阪田医院</v>
          </cell>
          <cell r="V577" t="str">
            <v>-</v>
          </cell>
          <cell r="W577" t="str">
            <v>-</v>
          </cell>
          <cell r="X577" t="str">
            <v>0848-69-0003</v>
          </cell>
          <cell r="Y577" t="str">
            <v>〒729-2252　広島県三原市幸崎能地4丁目10-5</v>
          </cell>
          <cell r="AA577" t="str">
            <v>P05463-01</v>
          </cell>
          <cell r="AB577" t="str">
            <v>P07168-20</v>
          </cell>
          <cell r="AC577" t="str">
            <v/>
          </cell>
          <cell r="AD577" t="str">
            <v/>
          </cell>
          <cell r="AE577" t="str">
            <v/>
          </cell>
          <cell r="AF577" t="str">
            <v/>
          </cell>
          <cell r="AG577" t="str">
            <v/>
          </cell>
          <cell r="AH577" t="str">
            <v/>
          </cell>
          <cell r="AI577" t="str">
            <v/>
          </cell>
          <cell r="AJ577" t="str">
            <v/>
          </cell>
          <cell r="AK577" t="str">
            <v>SERVICE ASSEMBLY DISPLAY, MICROMAXX</v>
          </cell>
          <cell r="AL577" t="str">
            <v>BATTERY PACK, 6 CELL, 11.25V, 5.2AMP-HOUR, LITHIUM-ION</v>
          </cell>
          <cell r="AM577" t="str">
            <v/>
          </cell>
          <cell r="AN577" t="str">
            <v/>
          </cell>
          <cell r="AO577" t="str">
            <v/>
          </cell>
          <cell r="AP577" t="str">
            <v/>
          </cell>
          <cell r="AQ577" t="str">
            <v/>
          </cell>
          <cell r="AR577" t="str">
            <v/>
          </cell>
          <cell r="AS577" t="str">
            <v/>
          </cell>
          <cell r="AT577" t="str">
            <v/>
          </cell>
          <cell r="AU577">
            <v>40603</v>
          </cell>
        </row>
        <row r="578">
          <cell r="A578" t="str">
            <v>S16-0575</v>
          </cell>
          <cell r="B578" t="str">
            <v>杏林大学医学部附属病院_0575 (2)</v>
          </cell>
          <cell r="C578" t="str">
            <v>SR#4232435</v>
          </cell>
          <cell r="D578" t="str">
            <v>2016/8/19-03</v>
          </cell>
          <cell r="E578" t="str">
            <v>無償</v>
          </cell>
          <cell r="F578">
            <v>42607</v>
          </cell>
          <cell r="G578">
            <v>0</v>
          </cell>
          <cell r="H578">
            <v>42668</v>
          </cell>
          <cell r="I578">
            <v>42305</v>
          </cell>
          <cell r="K578" t="str">
            <v>高橋</v>
          </cell>
          <cell r="L578">
            <v>3</v>
          </cell>
          <cell r="M578" t="str">
            <v>EDGE</v>
          </cell>
          <cell r="N578" t="str">
            <v>041P7L</v>
          </cell>
          <cell r="O578" t="str">
            <v>P16360-63</v>
          </cell>
          <cell r="P578" t="str">
            <v>株式会社イノメディックス　国立営業所</v>
          </cell>
          <cell r="Q578" t="str">
            <v>稲村様</v>
          </cell>
          <cell r="R578" t="str">
            <v>〒186-0003 東京都国立市富士見台2-35-5</v>
          </cell>
          <cell r="S578" t="str">
            <v>042-577-1088</v>
          </cell>
          <cell r="T578" t="str">
            <v>042-577-9990</v>
          </cell>
          <cell r="U578" t="str">
            <v>杏林大学医学部附属病院</v>
          </cell>
          <cell r="V578" t="str">
            <v>野澤様</v>
          </cell>
          <cell r="W578" t="str">
            <v>臨床工学部技師</v>
          </cell>
          <cell r="X578" t="str">
            <v>0422-47-5511</v>
          </cell>
          <cell r="Y578" t="str">
            <v>〒181-8611　東京都三鷹市新川6-20-2</v>
          </cell>
          <cell r="AA578" t="str">
            <v>P15615-03</v>
          </cell>
          <cell r="AB578" t="str">
            <v/>
          </cell>
          <cell r="AC578" t="str">
            <v/>
          </cell>
          <cell r="AD578" t="str">
            <v/>
          </cell>
          <cell r="AE578" t="str">
            <v/>
          </cell>
          <cell r="AF578" t="str">
            <v/>
          </cell>
          <cell r="AG578" t="str">
            <v/>
          </cell>
          <cell r="AH578" t="str">
            <v/>
          </cell>
          <cell r="AI578" t="str">
            <v/>
          </cell>
          <cell r="AJ578" t="str">
            <v/>
          </cell>
          <cell r="AK578" t="str">
            <v>SERVICE ASSEMBLY, MAIN PCBA, EDGE</v>
          </cell>
          <cell r="AL578" t="str">
            <v/>
          </cell>
          <cell r="AM578" t="str">
            <v/>
          </cell>
          <cell r="AN578" t="str">
            <v/>
          </cell>
          <cell r="AO578" t="str">
            <v/>
          </cell>
          <cell r="AP578" t="str">
            <v/>
          </cell>
          <cell r="AQ578" t="str">
            <v/>
          </cell>
          <cell r="AR578" t="str">
            <v/>
          </cell>
          <cell r="AS578" t="str">
            <v/>
          </cell>
          <cell r="AT578" t="str">
            <v/>
          </cell>
          <cell r="AU578">
            <v>42217</v>
          </cell>
        </row>
        <row r="579">
          <cell r="A579" t="str">
            <v>S16-0576</v>
          </cell>
          <cell r="B579" t="str">
            <v>名古屋市立病院_0576 (2)</v>
          </cell>
          <cell r="C579" t="str">
            <v>SR#不要</v>
          </cell>
          <cell r="D579" t="str">
            <v>-</v>
          </cell>
          <cell r="E579" t="str">
            <v/>
          </cell>
          <cell r="F579">
            <v>42607</v>
          </cell>
          <cell r="G579">
            <v>0</v>
          </cell>
          <cell r="H579">
            <v>42674</v>
          </cell>
          <cell r="I579">
            <v>39477</v>
          </cell>
          <cell r="K579" t="str">
            <v>-</v>
          </cell>
          <cell r="L579" t="str">
            <v>-</v>
          </cell>
          <cell r="M579" t="str">
            <v>iLook25</v>
          </cell>
          <cell r="N579" t="str">
            <v>038559</v>
          </cell>
          <cell r="O579" t="str">
            <v>P04303-02</v>
          </cell>
          <cell r="P579" t="str">
            <v>日本コヴィディエン株式会社 愛知岐阜営業所</v>
          </cell>
          <cell r="Q579" t="str">
            <v>畔上様</v>
          </cell>
          <cell r="R579" t="str">
            <v>〒108-0075  東京都港区港南一丁目2番70号　品川シーズンテラス　22F</v>
          </cell>
          <cell r="S579" t="str">
            <v>03-6774-4629</v>
          </cell>
          <cell r="T579" t="str">
            <v>03-6774-4740</v>
          </cell>
          <cell r="U579" t="str">
            <v>名古屋市立大学病院</v>
          </cell>
          <cell r="V579" t="str">
            <v>-</v>
          </cell>
          <cell r="W579" t="str">
            <v>-</v>
          </cell>
          <cell r="X579" t="str">
            <v>052-851-5511</v>
          </cell>
          <cell r="Y579" t="str">
            <v>〒467-8602　愛知県名古屋市瑞穂区瑞穂町字川澄1</v>
          </cell>
          <cell r="AA579" t="str">
            <v/>
          </cell>
          <cell r="AB579" t="str">
            <v/>
          </cell>
          <cell r="AC579" t="str">
            <v/>
          </cell>
          <cell r="AD579" t="str">
            <v/>
          </cell>
          <cell r="AE579" t="str">
            <v/>
          </cell>
          <cell r="AF579" t="str">
            <v/>
          </cell>
          <cell r="AG579" t="str">
            <v/>
          </cell>
          <cell r="AH579" t="str">
            <v/>
          </cell>
          <cell r="AI579" t="str">
            <v/>
          </cell>
          <cell r="AJ579" t="str">
            <v/>
          </cell>
          <cell r="AK579" t="str">
            <v/>
          </cell>
          <cell r="AL579" t="str">
            <v/>
          </cell>
          <cell r="AM579" t="str">
            <v/>
          </cell>
          <cell r="AN579" t="str">
            <v/>
          </cell>
          <cell r="AO579" t="str">
            <v/>
          </cell>
          <cell r="AP579" t="str">
            <v/>
          </cell>
          <cell r="AQ579" t="str">
            <v/>
          </cell>
          <cell r="AR579" t="str">
            <v/>
          </cell>
          <cell r="AS579" t="str">
            <v/>
          </cell>
          <cell r="AT579" t="str">
            <v/>
          </cell>
          <cell r="AU579">
            <v>39114</v>
          </cell>
        </row>
        <row r="580">
          <cell r="A580" t="str">
            <v>S16-0577</v>
          </cell>
          <cell r="B580" t="str">
            <v>糀谷病院_0577 (2)</v>
          </cell>
          <cell r="C580" t="str">
            <v>SR#4232439</v>
          </cell>
          <cell r="D580" t="str">
            <v>-</v>
          </cell>
          <cell r="E580" t="str">
            <v>無償</v>
          </cell>
          <cell r="F580">
            <v>42607</v>
          </cell>
          <cell r="G580">
            <v>0</v>
          </cell>
          <cell r="H580">
            <v>42668</v>
          </cell>
          <cell r="I580">
            <v>41822</v>
          </cell>
          <cell r="K580" t="str">
            <v>高橋</v>
          </cell>
          <cell r="L580">
            <v>3</v>
          </cell>
          <cell r="M580" t="str">
            <v>NanoMaxx</v>
          </cell>
          <cell r="N580" t="str">
            <v>03XV0F</v>
          </cell>
          <cell r="O580" t="str">
            <v>P12700-06</v>
          </cell>
          <cell r="P580" t="str">
            <v>日本コヴィディエン株式会社　東日本Inside Sales</v>
          </cell>
          <cell r="Q580" t="str">
            <v>渡邊様</v>
          </cell>
          <cell r="R580" t="str">
            <v>〒108-0075  東京都港区港南一丁目2番70号　品川シーズンテラス　22F</v>
          </cell>
          <cell r="S580" t="str">
            <v>03-6774-4629</v>
          </cell>
          <cell r="T580" t="str">
            <v>03-6774-4740</v>
          </cell>
          <cell r="U580" t="str">
            <v>糀谷病院</v>
          </cell>
          <cell r="V580" t="str">
            <v>-</v>
          </cell>
          <cell r="W580" t="str">
            <v>-</v>
          </cell>
          <cell r="X580" t="str">
            <v>03-3745-2354</v>
          </cell>
          <cell r="Y580" t="str">
            <v>〒144-0035　東京都大田区南蒲田3-3-15</v>
          </cell>
          <cell r="AA580" t="str">
            <v>P12718-02</v>
          </cell>
          <cell r="AB580" t="str">
            <v/>
          </cell>
          <cell r="AC580" t="str">
            <v/>
          </cell>
          <cell r="AD580" t="str">
            <v/>
          </cell>
          <cell r="AE580" t="str">
            <v/>
          </cell>
          <cell r="AF580" t="str">
            <v/>
          </cell>
          <cell r="AG580" t="str">
            <v/>
          </cell>
          <cell r="AH580" t="str">
            <v/>
          </cell>
          <cell r="AI580" t="str">
            <v/>
          </cell>
          <cell r="AJ580" t="str">
            <v/>
          </cell>
          <cell r="AK580" t="str">
            <v>SERVICE ASSEMBLY, BACK END PCB, NANOMAXX</v>
          </cell>
          <cell r="AL580" t="str">
            <v/>
          </cell>
          <cell r="AM580" t="str">
            <v/>
          </cell>
          <cell r="AN580" t="str">
            <v/>
          </cell>
          <cell r="AO580" t="str">
            <v/>
          </cell>
          <cell r="AP580" t="str">
            <v/>
          </cell>
          <cell r="AQ580" t="str">
            <v/>
          </cell>
          <cell r="AR580" t="str">
            <v/>
          </cell>
          <cell r="AS580" t="str">
            <v/>
          </cell>
          <cell r="AT580" t="str">
            <v/>
          </cell>
          <cell r="AU580">
            <v>41699</v>
          </cell>
        </row>
        <row r="581">
          <cell r="A581" t="str">
            <v>S16-0578</v>
          </cell>
          <cell r="B581" t="str">
            <v>つばさ静岡_0578 (2)</v>
          </cell>
          <cell r="C581" t="str">
            <v>SR#不要</v>
          </cell>
          <cell r="D581" t="str">
            <v>2016/07/22-06</v>
          </cell>
          <cell r="E581" t="str">
            <v>有償</v>
          </cell>
          <cell r="F581">
            <v>42607</v>
          </cell>
          <cell r="G581">
            <v>0</v>
          </cell>
          <cell r="H581">
            <v>42657</v>
          </cell>
          <cell r="I581" t="str">
            <v>不明</v>
          </cell>
          <cell r="K581" t="str">
            <v>-</v>
          </cell>
          <cell r="L581" t="str">
            <v>-</v>
          </cell>
          <cell r="M581" t="str">
            <v>MicroMaxx</v>
          </cell>
          <cell r="N581" t="str">
            <v>037VFC</v>
          </cell>
          <cell r="O581" t="str">
            <v>P05670-05</v>
          </cell>
          <cell r="P581" t="str">
            <v>ベルメディカルケア株式会社</v>
          </cell>
          <cell r="Q581" t="str">
            <v>渡辺様</v>
          </cell>
          <cell r="R581" t="str">
            <v>〒424-0065　静岡県静岡市清水区長崎322</v>
          </cell>
          <cell r="S581" t="str">
            <v>054-348-8640</v>
          </cell>
          <cell r="T581" t="str">
            <v>054-349-2766</v>
          </cell>
          <cell r="U581" t="str">
            <v>つばさ静岡</v>
          </cell>
          <cell r="V581" t="str">
            <v>-</v>
          </cell>
          <cell r="W581" t="str">
            <v>-</v>
          </cell>
          <cell r="X581" t="str">
            <v>054-249-2830</v>
          </cell>
          <cell r="Y581" t="str">
            <v>〒420-0805　 静岡県静岡市葵区城北117</v>
          </cell>
          <cell r="AA581" t="str">
            <v/>
          </cell>
          <cell r="AB581" t="str">
            <v/>
          </cell>
          <cell r="AC581" t="str">
            <v/>
          </cell>
          <cell r="AD581" t="str">
            <v/>
          </cell>
          <cell r="AE581" t="str">
            <v/>
          </cell>
          <cell r="AF581" t="str">
            <v/>
          </cell>
          <cell r="AG581" t="str">
            <v/>
          </cell>
          <cell r="AH581" t="str">
            <v/>
          </cell>
          <cell r="AI581" t="str">
            <v/>
          </cell>
          <cell r="AJ581" t="str">
            <v/>
          </cell>
          <cell r="AK581" t="str">
            <v/>
          </cell>
          <cell r="AL581" t="str">
            <v/>
          </cell>
          <cell r="AM581" t="str">
            <v/>
          </cell>
          <cell r="AN581" t="str">
            <v/>
          </cell>
          <cell r="AO581" t="str">
            <v/>
          </cell>
          <cell r="AP581" t="str">
            <v/>
          </cell>
          <cell r="AQ581" t="str">
            <v/>
          </cell>
          <cell r="AR581" t="str">
            <v/>
          </cell>
          <cell r="AS581" t="str">
            <v/>
          </cell>
          <cell r="AT581" t="str">
            <v/>
          </cell>
          <cell r="AU581">
            <v>39114</v>
          </cell>
        </row>
        <row r="582">
          <cell r="A582" t="str">
            <v>S16-0579</v>
          </cell>
          <cell r="B582" t="str">
            <v>重井医学研究所病院_0579</v>
          </cell>
          <cell r="C582" t="e">
            <v>#REF!</v>
          </cell>
          <cell r="D582" t="e">
            <v>#REF!</v>
          </cell>
          <cell r="E582" t="e">
            <v>#REF!</v>
          </cell>
          <cell r="F582" t="e">
            <v>#REF!</v>
          </cell>
          <cell r="G582" t="e">
            <v>#REF!</v>
          </cell>
          <cell r="H582" t="e">
            <v>#REF!</v>
          </cell>
          <cell r="I582" t="e">
            <v>#REF!</v>
          </cell>
          <cell r="K582" t="e">
            <v>#REF!</v>
          </cell>
          <cell r="M582" t="e">
            <v>#REF!</v>
          </cell>
          <cell r="N582" t="e">
            <v>#REF!</v>
          </cell>
          <cell r="O582" t="e">
            <v>#REF!</v>
          </cell>
          <cell r="P582" t="e">
            <v>#REF!</v>
          </cell>
          <cell r="Q582" t="e">
            <v>#REF!</v>
          </cell>
          <cell r="S582" t="e">
            <v>#REF!</v>
          </cell>
          <cell r="T582" t="e">
            <v>#REF!</v>
          </cell>
          <cell r="U582" t="e">
            <v>#REF!</v>
          </cell>
          <cell r="AA582" t="e">
            <v>#REF!</v>
          </cell>
          <cell r="AB582" t="e">
            <v>#REF!</v>
          </cell>
          <cell r="AC582" t="e">
            <v>#REF!</v>
          </cell>
          <cell r="AD582" t="e">
            <v>#REF!</v>
          </cell>
          <cell r="AE582" t="e">
            <v>#REF!</v>
          </cell>
          <cell r="AF582" t="e">
            <v>#REF!</v>
          </cell>
          <cell r="AG582" t="e">
            <v>#REF!</v>
          </cell>
          <cell r="AH582" t="e">
            <v>#REF!</v>
          </cell>
          <cell r="AI582" t="e">
            <v>#REF!</v>
          </cell>
          <cell r="AJ582" t="e">
            <v>#REF!</v>
          </cell>
          <cell r="AK582" t="e">
            <v>#REF!</v>
          </cell>
          <cell r="AL582" t="e">
            <v>#REF!</v>
          </cell>
          <cell r="AM582" t="e">
            <v>#REF!</v>
          </cell>
          <cell r="AN582" t="e">
            <v>#REF!</v>
          </cell>
          <cell r="AO582" t="e">
            <v>#REF!</v>
          </cell>
          <cell r="AP582" t="e">
            <v>#REF!</v>
          </cell>
          <cell r="AQ582" t="e">
            <v>#REF!</v>
          </cell>
          <cell r="AR582" t="e">
            <v>#REF!</v>
          </cell>
          <cell r="AS582" t="e">
            <v>#REF!</v>
          </cell>
          <cell r="AT582" t="e">
            <v>#REF!</v>
          </cell>
          <cell r="AU582" t="e">
            <v>#REF!</v>
          </cell>
        </row>
        <row r="583">
          <cell r="A583" t="str">
            <v>S16-0580</v>
          </cell>
          <cell r="B583" t="str">
            <v>産業医科大学_0580 (2)</v>
          </cell>
          <cell r="C583" t="str">
            <v>SR#</v>
          </cell>
          <cell r="D583" t="str">
            <v>2016/08/03-01</v>
          </cell>
          <cell r="E583" t="str">
            <v>有償</v>
          </cell>
          <cell r="F583">
            <v>42608</v>
          </cell>
          <cell r="G583">
            <v>0</v>
          </cell>
          <cell r="H583">
            <v>42618</v>
          </cell>
          <cell r="I583" t="str">
            <v>不明</v>
          </cell>
          <cell r="K583" t="str">
            <v>馬屋原</v>
          </cell>
          <cell r="L583">
            <v>3</v>
          </cell>
          <cell r="M583" t="str">
            <v>M-Turbo</v>
          </cell>
          <cell r="N583" t="str">
            <v>03H07J</v>
          </cell>
          <cell r="O583" t="str">
            <v>P09141-11</v>
          </cell>
          <cell r="P583" t="str">
            <v>株式会社キシヤ　北九州営業所</v>
          </cell>
          <cell r="Q583" t="str">
            <v>谷口様</v>
          </cell>
          <cell r="R583" t="str">
            <v xml:space="preserve">〒805-0071 福岡県北九州市八幡東区東田1丁目3番7号 </v>
          </cell>
          <cell r="S583" t="str">
            <v>092-622-8000</v>
          </cell>
          <cell r="T583" t="str">
            <v>092-623-1313</v>
          </cell>
          <cell r="U583" t="str">
            <v>産業医科大学病院</v>
          </cell>
          <cell r="V583" t="str">
            <v>-</v>
          </cell>
          <cell r="W583" t="str">
            <v>-</v>
          </cell>
          <cell r="X583" t="str">
            <v>093-603-1611</v>
          </cell>
          <cell r="Y583" t="str">
            <v>〒807-855　北九州市八幡西区医生ヶ丘1番1号</v>
          </cell>
          <cell r="AA583" t="str">
            <v>P08306-01</v>
          </cell>
          <cell r="AB583" t="str">
            <v>P07168-20</v>
          </cell>
          <cell r="AC583" t="str">
            <v/>
          </cell>
          <cell r="AD583" t="str">
            <v/>
          </cell>
          <cell r="AE583" t="str">
            <v/>
          </cell>
          <cell r="AF583" t="str">
            <v/>
          </cell>
          <cell r="AG583" t="str">
            <v/>
          </cell>
          <cell r="AH583" t="str">
            <v/>
          </cell>
          <cell r="AI583" t="str">
            <v/>
          </cell>
          <cell r="AJ583" t="str">
            <v/>
          </cell>
          <cell r="AK583" t="str">
            <v>CONN COMPRESSION</v>
          </cell>
          <cell r="AL583" t="str">
            <v>BATTERY PACK, 6 CELL, 11.25V, 5.2AMP-HOUR, LITHIUM-ION</v>
          </cell>
          <cell r="AM583" t="str">
            <v/>
          </cell>
          <cell r="AN583" t="str">
            <v/>
          </cell>
          <cell r="AO583" t="str">
            <v/>
          </cell>
          <cell r="AP583" t="str">
            <v/>
          </cell>
          <cell r="AQ583" t="str">
            <v/>
          </cell>
          <cell r="AR583" t="str">
            <v/>
          </cell>
          <cell r="AS583" t="str">
            <v/>
          </cell>
          <cell r="AT583" t="str">
            <v/>
          </cell>
          <cell r="AU583">
            <v>40057</v>
          </cell>
        </row>
        <row r="584">
          <cell r="A584" t="str">
            <v>S16-0581</v>
          </cell>
          <cell r="B584" t="str">
            <v>佐賀大学医学部附属病院_0581 (2)</v>
          </cell>
          <cell r="C584" t="str">
            <v>SR#4232443</v>
          </cell>
          <cell r="D584" t="str">
            <v>2016/08/18-01-02</v>
          </cell>
          <cell r="E584" t="str">
            <v>無償</v>
          </cell>
          <cell r="F584">
            <v>42608</v>
          </cell>
          <cell r="G584">
            <v>0</v>
          </cell>
          <cell r="H584">
            <v>42650</v>
          </cell>
          <cell r="I584" t="str">
            <v>不明</v>
          </cell>
          <cell r="K584" t="str">
            <v>高橋</v>
          </cell>
          <cell r="L584">
            <v>3</v>
          </cell>
          <cell r="M584" t="str">
            <v>M-Turbo</v>
          </cell>
          <cell r="N584" t="str">
            <v>WK28WD</v>
          </cell>
          <cell r="O584" t="str">
            <v>P09141-27</v>
          </cell>
          <cell r="P584" t="str">
            <v>株式会社キシヤ　佐賀営業所</v>
          </cell>
          <cell r="Q584" t="str">
            <v>黒岩様</v>
          </cell>
          <cell r="R584" t="str">
            <v>〒840-0857 佐賀市鍋島町大字八戸3036番地3</v>
          </cell>
          <cell r="S584" t="str">
            <v>0952-24-3350</v>
          </cell>
          <cell r="T584" t="str">
            <v>0952-24-3357</v>
          </cell>
          <cell r="U584" t="str">
            <v>佐賀大学医学部附属病院</v>
          </cell>
          <cell r="V584" t="str">
            <v>-</v>
          </cell>
          <cell r="W584" t="str">
            <v>-</v>
          </cell>
          <cell r="X584" t="str">
            <v>0952-31-6511</v>
          </cell>
          <cell r="Y584" t="str">
            <v>〒849-8501　佐賀県佐賀市鍋島5-1-1</v>
          </cell>
          <cell r="AA584" t="str">
            <v>P19087-02</v>
          </cell>
          <cell r="AB584" t="str">
            <v/>
          </cell>
          <cell r="AC584" t="str">
            <v/>
          </cell>
          <cell r="AD584" t="str">
            <v/>
          </cell>
          <cell r="AE584" t="str">
            <v/>
          </cell>
          <cell r="AF584" t="str">
            <v/>
          </cell>
          <cell r="AG584" t="str">
            <v/>
          </cell>
          <cell r="AH584" t="str">
            <v/>
          </cell>
          <cell r="AI584" t="str">
            <v/>
          </cell>
          <cell r="AJ584" t="str">
            <v/>
          </cell>
          <cell r="AK584" t="str">
            <v>MAIN PCBA, M-Turbo</v>
          </cell>
          <cell r="AL584" t="str">
            <v/>
          </cell>
          <cell r="AM584" t="str">
            <v/>
          </cell>
          <cell r="AN584" t="str">
            <v/>
          </cell>
          <cell r="AO584" t="str">
            <v/>
          </cell>
          <cell r="AP584" t="str">
            <v/>
          </cell>
          <cell r="AQ584" t="str">
            <v/>
          </cell>
          <cell r="AR584" t="str">
            <v/>
          </cell>
          <cell r="AS584" t="str">
            <v/>
          </cell>
          <cell r="AT584" t="str">
            <v/>
          </cell>
          <cell r="AU584">
            <v>41699</v>
          </cell>
        </row>
        <row r="585">
          <cell r="A585" t="str">
            <v>S16-0582</v>
          </cell>
          <cell r="B585" t="str">
            <v>代替機WST27_0582 (2)</v>
          </cell>
          <cell r="C585" t="str">
            <v>SR#4232971</v>
          </cell>
          <cell r="D585" t="str">
            <v>-</v>
          </cell>
          <cell r="E585" t="str">
            <v>無償</v>
          </cell>
          <cell r="F585">
            <v>42608</v>
          </cell>
          <cell r="G585">
            <v>0</v>
          </cell>
          <cell r="H585">
            <v>42628</v>
          </cell>
          <cell r="I585" t="str">
            <v>-</v>
          </cell>
          <cell r="K585">
            <v>0</v>
          </cell>
          <cell r="M585" t="str">
            <v>MicroMaxx</v>
          </cell>
          <cell r="N585" t="str">
            <v>WK0QGZ</v>
          </cell>
          <cell r="O585" t="str">
            <v>P14179-03</v>
          </cell>
          <cell r="P585" t="str">
            <v>富士フイルムメディカル株式会社</v>
          </cell>
          <cell r="Q585" t="str">
            <v>テクニカルサポート</v>
          </cell>
          <cell r="S585">
            <v>0</v>
          </cell>
          <cell r="T585">
            <v>0</v>
          </cell>
          <cell r="U585" t="str">
            <v>代替機WST27</v>
          </cell>
          <cell r="AA585" t="str">
            <v>P00163-01</v>
          </cell>
          <cell r="AB585" t="str">
            <v/>
          </cell>
          <cell r="AC585" t="str">
            <v/>
          </cell>
          <cell r="AD585" t="str">
            <v/>
          </cell>
          <cell r="AE585" t="str">
            <v/>
          </cell>
          <cell r="AF585" t="str">
            <v/>
          </cell>
          <cell r="AG585" t="str">
            <v/>
          </cell>
          <cell r="AH585" t="str">
            <v/>
          </cell>
          <cell r="AI585" t="str">
            <v/>
          </cell>
          <cell r="AJ585" t="str">
            <v/>
          </cell>
          <cell r="AK585" t="str">
            <v>BAT,3V,7MAH,BUTTON,LITH,RECHARG,PCB,ROHS</v>
          </cell>
          <cell r="AL585" t="str">
            <v/>
          </cell>
          <cell r="AM585" t="str">
            <v/>
          </cell>
          <cell r="AN585" t="str">
            <v/>
          </cell>
          <cell r="AO585" t="str">
            <v/>
          </cell>
          <cell r="AP585" t="str">
            <v/>
          </cell>
          <cell r="AQ585" t="str">
            <v/>
          </cell>
          <cell r="AR585" t="str">
            <v/>
          </cell>
          <cell r="AS585" t="str">
            <v/>
          </cell>
          <cell r="AT585" t="str">
            <v/>
          </cell>
          <cell r="AU585">
            <v>40969</v>
          </cell>
        </row>
        <row r="586">
          <cell r="A586" t="str">
            <v>S16-0583</v>
          </cell>
          <cell r="B586" t="str">
            <v>信州大学医学部附属病院_0583 (2)</v>
          </cell>
          <cell r="C586" t="str">
            <v>SR#</v>
          </cell>
          <cell r="D586" t="str">
            <v>-</v>
          </cell>
          <cell r="E586" t="str">
            <v>有償</v>
          </cell>
          <cell r="F586">
            <v>42608</v>
          </cell>
          <cell r="G586">
            <v>0</v>
          </cell>
          <cell r="H586">
            <v>42655</v>
          </cell>
          <cell r="I586">
            <v>39169</v>
          </cell>
          <cell r="K586" t="str">
            <v>高橋</v>
          </cell>
          <cell r="L586">
            <v>3</v>
          </cell>
          <cell r="M586" t="str">
            <v>iLook25</v>
          </cell>
          <cell r="N586" t="str">
            <v>037RN4</v>
          </cell>
          <cell r="O586" t="str">
            <v>P04303-02</v>
          </cell>
          <cell r="P586" t="str">
            <v>日本コヴィディエン株式会社　北関東営業所</v>
          </cell>
          <cell r="Q586" t="str">
            <v>福岡様</v>
          </cell>
          <cell r="R586" t="str">
            <v>〒108-0075  東京都港区港南一丁目2番70号　品川シーズンテラス　22F</v>
          </cell>
          <cell r="S586" t="str">
            <v>03-6774-4629</v>
          </cell>
          <cell r="T586" t="str">
            <v>03-6774-4740</v>
          </cell>
          <cell r="U586" t="str">
            <v>信州大学医学部附属病院</v>
          </cell>
          <cell r="V586" t="str">
            <v>-</v>
          </cell>
          <cell r="W586" t="str">
            <v>-</v>
          </cell>
          <cell r="X586" t="str">
            <v>0263-35-4600</v>
          </cell>
          <cell r="Y586" t="str">
            <v>〒390-8621 長野県松本市旭3-1-1</v>
          </cell>
          <cell r="AA586" t="str">
            <v>P03156-02</v>
          </cell>
          <cell r="AB586" t="str">
            <v/>
          </cell>
          <cell r="AC586" t="str">
            <v/>
          </cell>
          <cell r="AD586" t="str">
            <v/>
          </cell>
          <cell r="AE586" t="str">
            <v/>
          </cell>
          <cell r="AF586" t="str">
            <v/>
          </cell>
          <cell r="AG586" t="str">
            <v/>
          </cell>
          <cell r="AH586" t="str">
            <v/>
          </cell>
          <cell r="AI586" t="str">
            <v/>
          </cell>
          <cell r="AJ586" t="str">
            <v/>
          </cell>
          <cell r="AK586" t="str">
            <v>SERVICE ASSEMBLY, MAIN PCB, ILOOK25</v>
          </cell>
          <cell r="AL586" t="str">
            <v/>
          </cell>
          <cell r="AM586" t="str">
            <v/>
          </cell>
          <cell r="AN586" t="str">
            <v/>
          </cell>
          <cell r="AO586" t="str">
            <v/>
          </cell>
          <cell r="AP586" t="str">
            <v/>
          </cell>
          <cell r="AQ586" t="str">
            <v/>
          </cell>
          <cell r="AR586" t="str">
            <v/>
          </cell>
          <cell r="AS586" t="str">
            <v/>
          </cell>
          <cell r="AT586" t="str">
            <v/>
          </cell>
          <cell r="AU586">
            <v>39114</v>
          </cell>
        </row>
        <row r="587">
          <cell r="A587" t="str">
            <v>S16-0584</v>
          </cell>
          <cell r="B587" t="str">
            <v>愛媛大学医学部附属病院_0584 (2)</v>
          </cell>
          <cell r="C587" t="str">
            <v>SR#</v>
          </cell>
          <cell r="D587" t="str">
            <v>-</v>
          </cell>
          <cell r="E587" t="str">
            <v>有償</v>
          </cell>
          <cell r="F587">
            <v>42608</v>
          </cell>
          <cell r="G587">
            <v>0</v>
          </cell>
          <cell r="H587">
            <v>42667</v>
          </cell>
          <cell r="I587">
            <v>40583</v>
          </cell>
          <cell r="K587" t="str">
            <v>高橋</v>
          </cell>
          <cell r="L587">
            <v>3</v>
          </cell>
          <cell r="M587" t="str">
            <v>NanoMaxx</v>
          </cell>
          <cell r="N587" t="str">
            <v>03K0NT</v>
          </cell>
          <cell r="O587" t="str">
            <v>P12700-03</v>
          </cell>
          <cell r="P587" t="str">
            <v>日本コヴィディエン株式会社　中四国営業所</v>
          </cell>
          <cell r="Q587" t="str">
            <v>宮田様</v>
          </cell>
          <cell r="R587" t="str">
            <v>〒108-0075  東京都港区港南一丁目2番70号　品川シーズンテラス　22F</v>
          </cell>
          <cell r="S587" t="str">
            <v>03-6774-4629</v>
          </cell>
          <cell r="T587" t="str">
            <v>03-6774-4740</v>
          </cell>
          <cell r="U587" t="str">
            <v>愛媛大学医学部附属病院</v>
          </cell>
          <cell r="V587" t="str">
            <v>-</v>
          </cell>
          <cell r="W587" t="str">
            <v>-</v>
          </cell>
          <cell r="X587" t="str">
            <v>089-964-5111</v>
          </cell>
          <cell r="Y587" t="str">
            <v>〒791-0295　愛媛県東温市志津川</v>
          </cell>
          <cell r="AA587" t="str">
            <v>P12745-01</v>
          </cell>
          <cell r="AB587" t="str">
            <v>P12889-20</v>
          </cell>
          <cell r="AC587" t="str">
            <v/>
          </cell>
          <cell r="AD587" t="str">
            <v/>
          </cell>
          <cell r="AE587" t="str">
            <v/>
          </cell>
          <cell r="AF587" t="str">
            <v/>
          </cell>
          <cell r="AG587" t="str">
            <v/>
          </cell>
          <cell r="AH587" t="str">
            <v/>
          </cell>
          <cell r="AI587" t="str">
            <v/>
          </cell>
          <cell r="AJ587" t="str">
            <v/>
          </cell>
          <cell r="AK587" t="str">
            <v>SERVICE ASSEMBLY, POWER SUPPLY PCB, NANOMAXX</v>
          </cell>
          <cell r="AL587" t="str">
            <v>NANOMAXX BATTERY ASSEMBLY, NATIONAL PANASONIC CELLS</v>
          </cell>
          <cell r="AM587" t="str">
            <v/>
          </cell>
          <cell r="AN587" t="str">
            <v/>
          </cell>
          <cell r="AO587" t="str">
            <v/>
          </cell>
          <cell r="AP587" t="str">
            <v/>
          </cell>
          <cell r="AQ587" t="str">
            <v/>
          </cell>
          <cell r="AR587" t="str">
            <v/>
          </cell>
          <cell r="AS587" t="str">
            <v/>
          </cell>
          <cell r="AT587" t="str">
            <v/>
          </cell>
          <cell r="AU587">
            <v>40483</v>
          </cell>
        </row>
        <row r="588">
          <cell r="A588" t="str">
            <v>S16-0585</v>
          </cell>
          <cell r="B588" t="str">
            <v>旭川医科大学病院_0585 (2)</v>
          </cell>
          <cell r="C588" t="str">
            <v>SR#不要</v>
          </cell>
          <cell r="D588" t="str">
            <v>2016/08/22-04</v>
          </cell>
          <cell r="E588" t="str">
            <v>有償</v>
          </cell>
          <cell r="F588">
            <v>42608</v>
          </cell>
          <cell r="G588">
            <v>0</v>
          </cell>
          <cell r="H588">
            <v>42625</v>
          </cell>
          <cell r="I588" t="str">
            <v>不明</v>
          </cell>
          <cell r="K588" t="str">
            <v>-</v>
          </cell>
          <cell r="L588" t="str">
            <v>-</v>
          </cell>
          <cell r="M588" t="str">
            <v>Triple Transducer Connect</v>
          </cell>
          <cell r="N588" t="str">
            <v>WK0CW4</v>
          </cell>
          <cell r="O588" t="str">
            <v>P05680-06</v>
          </cell>
          <cell r="P588" t="str">
            <v>株式会社竹山　旭川支店</v>
          </cell>
          <cell r="Q588" t="str">
            <v>中西様</v>
          </cell>
          <cell r="R588" t="str">
            <v>〒079-8402　北海道旭川市秋月2条2丁目5-22</v>
          </cell>
          <cell r="S588" t="str">
            <v>0166-73-3011</v>
          </cell>
          <cell r="T588" t="str">
            <v>0166-47-5311</v>
          </cell>
          <cell r="U588" t="str">
            <v>旭川医科大学病院　麻酔科</v>
          </cell>
          <cell r="V588" t="str">
            <v>-</v>
          </cell>
          <cell r="W588" t="str">
            <v>麻酔科</v>
          </cell>
          <cell r="X588" t="str">
            <v>0166-65-2111</v>
          </cell>
          <cell r="Y588" t="str">
            <v xml:space="preserve">〒078-8510 旭川市緑が丘東2条1丁目1番1号 </v>
          </cell>
          <cell r="AA588" t="str">
            <v/>
          </cell>
          <cell r="AB588" t="str">
            <v/>
          </cell>
          <cell r="AC588" t="str">
            <v/>
          </cell>
          <cell r="AD588" t="str">
            <v/>
          </cell>
          <cell r="AE588" t="str">
            <v/>
          </cell>
          <cell r="AF588" t="str">
            <v/>
          </cell>
          <cell r="AG588" t="str">
            <v/>
          </cell>
          <cell r="AH588" t="str">
            <v/>
          </cell>
          <cell r="AI588" t="str">
            <v/>
          </cell>
          <cell r="AJ588" t="str">
            <v/>
          </cell>
          <cell r="AK588" t="str">
            <v/>
          </cell>
          <cell r="AL588" t="str">
            <v/>
          </cell>
          <cell r="AM588" t="str">
            <v/>
          </cell>
          <cell r="AN588" t="str">
            <v/>
          </cell>
          <cell r="AO588" t="str">
            <v/>
          </cell>
          <cell r="AP588" t="str">
            <v/>
          </cell>
          <cell r="AQ588" t="str">
            <v/>
          </cell>
          <cell r="AR588" t="str">
            <v/>
          </cell>
          <cell r="AS588" t="str">
            <v/>
          </cell>
          <cell r="AT588" t="str">
            <v/>
          </cell>
          <cell r="AU588">
            <v>40603</v>
          </cell>
        </row>
        <row r="589">
          <cell r="A589" t="str">
            <v>S16-0586</v>
          </cell>
          <cell r="B589" t="str">
            <v>デモ機KUM4_0586</v>
          </cell>
          <cell r="C589" t="e">
            <v>#REF!</v>
          </cell>
          <cell r="D589" t="e">
            <v>#REF!</v>
          </cell>
          <cell r="E589" t="e">
            <v>#REF!</v>
          </cell>
          <cell r="F589" t="e">
            <v>#REF!</v>
          </cell>
          <cell r="G589" t="e">
            <v>#REF!</v>
          </cell>
          <cell r="H589" t="e">
            <v>#REF!</v>
          </cell>
          <cell r="I589" t="e">
            <v>#REF!</v>
          </cell>
          <cell r="K589" t="e">
            <v>#REF!</v>
          </cell>
          <cell r="M589" t="e">
            <v>#REF!</v>
          </cell>
          <cell r="N589" t="e">
            <v>#REF!</v>
          </cell>
          <cell r="O589" t="e">
            <v>#REF!</v>
          </cell>
          <cell r="P589" t="e">
            <v>#REF!</v>
          </cell>
          <cell r="Q589" t="e">
            <v>#REF!</v>
          </cell>
          <cell r="S589" t="e">
            <v>#REF!</v>
          </cell>
          <cell r="T589" t="e">
            <v>#REF!</v>
          </cell>
          <cell r="U589" t="e">
            <v>#REF!</v>
          </cell>
          <cell r="AA589" t="e">
            <v>#REF!</v>
          </cell>
          <cell r="AB589" t="e">
            <v>#REF!</v>
          </cell>
          <cell r="AC589" t="e">
            <v>#REF!</v>
          </cell>
          <cell r="AD589" t="e">
            <v>#REF!</v>
          </cell>
          <cell r="AE589" t="e">
            <v>#REF!</v>
          </cell>
          <cell r="AF589" t="e">
            <v>#REF!</v>
          </cell>
          <cell r="AG589" t="e">
            <v>#REF!</v>
          </cell>
          <cell r="AH589" t="e">
            <v>#REF!</v>
          </cell>
          <cell r="AI589" t="e">
            <v>#REF!</v>
          </cell>
          <cell r="AJ589" t="e">
            <v>#REF!</v>
          </cell>
          <cell r="AK589" t="e">
            <v>#REF!</v>
          </cell>
          <cell r="AL589" t="e">
            <v>#REF!</v>
          </cell>
          <cell r="AM589" t="e">
            <v>#REF!</v>
          </cell>
          <cell r="AN589" t="e">
            <v>#REF!</v>
          </cell>
          <cell r="AO589" t="e">
            <v>#REF!</v>
          </cell>
          <cell r="AP589" t="e">
            <v>#REF!</v>
          </cell>
          <cell r="AQ589" t="e">
            <v>#REF!</v>
          </cell>
          <cell r="AR589" t="e">
            <v>#REF!</v>
          </cell>
          <cell r="AS589" t="e">
            <v>#REF!</v>
          </cell>
          <cell r="AT589" t="e">
            <v>#REF!</v>
          </cell>
          <cell r="AU589" t="e">
            <v>#REF!</v>
          </cell>
        </row>
        <row r="590">
          <cell r="A590" t="str">
            <v>S16-0587</v>
          </cell>
          <cell r="B590" t="str">
            <v>津島市民病院_0587 (2)</v>
          </cell>
          <cell r="C590" t="str">
            <v>SR#不要</v>
          </cell>
          <cell r="D590" t="str">
            <v>2016/08/23-01</v>
          </cell>
          <cell r="E590" t="str">
            <v>有償</v>
          </cell>
          <cell r="F590">
            <v>42611</v>
          </cell>
          <cell r="G590">
            <v>0</v>
          </cell>
          <cell r="H590">
            <v>42705</v>
          </cell>
          <cell r="I590" t="str">
            <v>不明</v>
          </cell>
          <cell r="K590" t="str">
            <v>-</v>
          </cell>
          <cell r="L590" t="str">
            <v>-</v>
          </cell>
          <cell r="M590" t="str">
            <v>180Ⅱ</v>
          </cell>
          <cell r="N590" t="str">
            <v>0201Q7</v>
          </cell>
          <cell r="O590" t="str">
            <v>P02456-02</v>
          </cell>
          <cell r="P590" t="str">
            <v>株式会社 八神製作所　一宮営業所</v>
          </cell>
          <cell r="Q590" t="str">
            <v>関様</v>
          </cell>
          <cell r="R590" t="str">
            <v>〒491-0913　愛知県一宮市中町二丁目4-2</v>
          </cell>
          <cell r="S590" t="str">
            <v>0586-44-1171</v>
          </cell>
          <cell r="T590" t="str">
            <v>0586-44-1455</v>
          </cell>
          <cell r="U590" t="str">
            <v>津島市民病院 4南病棟</v>
          </cell>
          <cell r="V590" t="str">
            <v>用度　米山様</v>
          </cell>
          <cell r="W590" t="str">
            <v>4南病棟</v>
          </cell>
          <cell r="X590" t="str">
            <v>0567-28-5151</v>
          </cell>
          <cell r="Y590" t="str">
            <v>〒496-8537　愛知県津島市橘町3-73</v>
          </cell>
          <cell r="AA590" t="str">
            <v/>
          </cell>
          <cell r="AB590" t="str">
            <v/>
          </cell>
          <cell r="AC590" t="str">
            <v/>
          </cell>
          <cell r="AD590" t="str">
            <v/>
          </cell>
          <cell r="AE590" t="str">
            <v/>
          </cell>
          <cell r="AF590" t="str">
            <v/>
          </cell>
          <cell r="AG590" t="str">
            <v/>
          </cell>
          <cell r="AH590" t="str">
            <v/>
          </cell>
          <cell r="AI590" t="str">
            <v/>
          </cell>
          <cell r="AJ590" t="str">
            <v/>
          </cell>
          <cell r="AK590" t="str">
            <v/>
          </cell>
          <cell r="AL590" t="str">
            <v/>
          </cell>
          <cell r="AM590" t="str">
            <v/>
          </cell>
          <cell r="AN590" t="str">
            <v/>
          </cell>
          <cell r="AO590" t="str">
            <v/>
          </cell>
          <cell r="AP590" t="str">
            <v/>
          </cell>
          <cell r="AQ590" t="str">
            <v/>
          </cell>
          <cell r="AR590" t="str">
            <v/>
          </cell>
          <cell r="AS590" t="str">
            <v/>
          </cell>
          <cell r="AT590" t="str">
            <v/>
          </cell>
          <cell r="AU590">
            <v>37226</v>
          </cell>
        </row>
        <row r="591">
          <cell r="A591" t="str">
            <v>S16-0588</v>
          </cell>
          <cell r="B591" t="str">
            <v>日立総合病院_0588 (2)</v>
          </cell>
          <cell r="C591" t="str">
            <v>SR#</v>
          </cell>
          <cell r="D591" t="str">
            <v>2016/08/16-01</v>
          </cell>
          <cell r="E591" t="str">
            <v>有償</v>
          </cell>
          <cell r="F591">
            <v>42611</v>
          </cell>
          <cell r="G591">
            <v>0</v>
          </cell>
          <cell r="H591">
            <v>42621</v>
          </cell>
          <cell r="I591" t="str">
            <v>不明</v>
          </cell>
          <cell r="K591" t="str">
            <v>高橋</v>
          </cell>
          <cell r="L591">
            <v>1</v>
          </cell>
          <cell r="M591" t="str">
            <v>Edge-Dock</v>
          </cell>
          <cell r="N591" t="str">
            <v>03P1FZ</v>
          </cell>
          <cell r="O591" t="str">
            <v>P15078-10</v>
          </cell>
          <cell r="P591" t="str">
            <v>株式会社栗原医療器械店　水戸支店</v>
          </cell>
          <cell r="Q591" t="str">
            <v>皆川様</v>
          </cell>
          <cell r="R591" t="str">
            <v>〒310-0905　茨城県水戸市石川2-4090-1</v>
          </cell>
          <cell r="S591" t="str">
            <v>029-251-2161</v>
          </cell>
          <cell r="T591" t="str">
            <v>029-251-2130</v>
          </cell>
          <cell r="U591" t="str">
            <v>日立総合病院　ME</v>
          </cell>
          <cell r="V591" t="str">
            <v>姫路様</v>
          </cell>
          <cell r="W591" t="str">
            <v>ME</v>
          </cell>
          <cell r="X591" t="str">
            <v>029-423-1111</v>
          </cell>
          <cell r="Y591" t="str">
            <v>〒317-0077　茨城県日立市城南町２-1-1</v>
          </cell>
          <cell r="AA591" t="str">
            <v>P15078-40</v>
          </cell>
          <cell r="AB591" t="str">
            <v/>
          </cell>
          <cell r="AC591" t="str">
            <v/>
          </cell>
          <cell r="AD591" t="str">
            <v/>
          </cell>
          <cell r="AE591" t="str">
            <v/>
          </cell>
          <cell r="AF591" t="str">
            <v/>
          </cell>
          <cell r="AG591" t="str">
            <v/>
          </cell>
          <cell r="AH591" t="str">
            <v/>
          </cell>
          <cell r="AI591" t="str">
            <v/>
          </cell>
          <cell r="AJ591" t="str">
            <v/>
          </cell>
          <cell r="AK591" t="str">
            <v>MINIDOCK, DESKTOP VERSION, EDGE</v>
          </cell>
          <cell r="AL591" t="str">
            <v/>
          </cell>
          <cell r="AM591" t="str">
            <v/>
          </cell>
          <cell r="AN591" t="str">
            <v/>
          </cell>
          <cell r="AO591" t="str">
            <v/>
          </cell>
          <cell r="AP591" t="str">
            <v/>
          </cell>
          <cell r="AQ591" t="str">
            <v/>
          </cell>
          <cell r="AR591" t="str">
            <v/>
          </cell>
          <cell r="AS591" t="str">
            <v/>
          </cell>
          <cell r="AT591" t="str">
            <v/>
          </cell>
          <cell r="AU591">
            <v>41061</v>
          </cell>
        </row>
        <row r="592">
          <cell r="A592" t="str">
            <v>S16-0589</v>
          </cell>
          <cell r="B592" t="str">
            <v>聖隷浜松病院_0589 (2)</v>
          </cell>
          <cell r="C592" t="str">
            <v>SR#4235663</v>
          </cell>
          <cell r="D592" t="str">
            <v>2016/08/26-02</v>
          </cell>
          <cell r="E592" t="str">
            <v>無償</v>
          </cell>
          <cell r="F592">
            <v>42612</v>
          </cell>
          <cell r="G592">
            <v>0</v>
          </cell>
          <cell r="H592">
            <v>42646</v>
          </cell>
          <cell r="I592" t="str">
            <v>不明</v>
          </cell>
          <cell r="K592" t="str">
            <v>高橋</v>
          </cell>
          <cell r="L592">
            <v>3</v>
          </cell>
          <cell r="M592" t="str">
            <v>M-Turbo</v>
          </cell>
          <cell r="N592" t="str">
            <v>WK2KF2</v>
          </cell>
          <cell r="O592" t="str">
            <v>P09141-28</v>
          </cell>
          <cell r="P592" t="str">
            <v>株式会社八神製作所　浜松営業所</v>
          </cell>
          <cell r="Q592" t="str">
            <v>片山様</v>
          </cell>
          <cell r="R592" t="str">
            <v>〒433-8119　静岡県浜松市中区高丘北2-15-6</v>
          </cell>
          <cell r="S592" t="str">
            <v>053-439-5887</v>
          </cell>
          <cell r="T592" t="str">
            <v>053-439-5897</v>
          </cell>
          <cell r="U592" t="str">
            <v>聖隷浜松病院 循環器科</v>
          </cell>
          <cell r="V592" t="str">
            <v>-</v>
          </cell>
          <cell r="W592" t="str">
            <v>-</v>
          </cell>
          <cell r="X592" t="str">
            <v>053-474-2222</v>
          </cell>
          <cell r="Y592" t="str">
            <v>〒430-8558　静岡県浜松市中区住吉2-12-12</v>
          </cell>
          <cell r="AA592" t="str">
            <v>P06973-01</v>
          </cell>
          <cell r="AB592" t="str">
            <v/>
          </cell>
          <cell r="AC592" t="str">
            <v/>
          </cell>
          <cell r="AD592" t="str">
            <v/>
          </cell>
          <cell r="AE592" t="str">
            <v/>
          </cell>
          <cell r="AF592" t="str">
            <v/>
          </cell>
          <cell r="AG592" t="str">
            <v/>
          </cell>
          <cell r="AH592" t="str">
            <v/>
          </cell>
          <cell r="AI592" t="str">
            <v/>
          </cell>
          <cell r="AJ592" t="str">
            <v/>
          </cell>
          <cell r="AK592" t="str">
            <v>WIRE HARNESS, LCD, LVDS, 8"</v>
          </cell>
          <cell r="AL592" t="str">
            <v/>
          </cell>
          <cell r="AM592" t="str">
            <v/>
          </cell>
          <cell r="AN592" t="str">
            <v/>
          </cell>
          <cell r="AO592" t="str">
            <v/>
          </cell>
          <cell r="AP592" t="str">
            <v/>
          </cell>
          <cell r="AQ592" t="str">
            <v/>
          </cell>
          <cell r="AR592" t="str">
            <v/>
          </cell>
          <cell r="AS592" t="str">
            <v/>
          </cell>
          <cell r="AT592" t="str">
            <v/>
          </cell>
          <cell r="AU592">
            <v>41852</v>
          </cell>
        </row>
        <row r="593">
          <cell r="A593" t="str">
            <v>S16-0590</v>
          </cell>
          <cell r="B593" t="str">
            <v>大河原医院_0590 (2)</v>
          </cell>
          <cell r="C593" t="str">
            <v>SR#</v>
          </cell>
          <cell r="D593" t="str">
            <v>2016/07/04-07</v>
          </cell>
          <cell r="E593" t="str">
            <v>有償</v>
          </cell>
          <cell r="F593">
            <v>42612</v>
          </cell>
          <cell r="G593">
            <v>0</v>
          </cell>
          <cell r="H593">
            <v>42633</v>
          </cell>
          <cell r="I593" t="str">
            <v>不明</v>
          </cell>
          <cell r="K593" t="str">
            <v>高橋</v>
          </cell>
          <cell r="L593">
            <v>2</v>
          </cell>
          <cell r="M593" t="str">
            <v>Mini-Dock</v>
          </cell>
          <cell r="N593" t="str">
            <v>RZ0FFM</v>
          </cell>
          <cell r="O593" t="str">
            <v>P04341-05</v>
          </cell>
          <cell r="P593" t="str">
            <v>フクダ電子東京販売株式会社</v>
          </cell>
          <cell r="Q593" t="str">
            <v>浅井様</v>
          </cell>
          <cell r="R593" t="str">
            <v>〒110-0008　東京都台東区池之端2-1-11</v>
          </cell>
          <cell r="S593" t="str">
            <v>03-3822-2171</v>
          </cell>
          <cell r="T593" t="str">
            <v>03-3828-4127</v>
          </cell>
          <cell r="U593" t="str">
            <v>大河原医院</v>
          </cell>
          <cell r="V593" t="str">
            <v>大河原明美様</v>
          </cell>
          <cell r="W593" t="str">
            <v>-</v>
          </cell>
          <cell r="X593" t="str">
            <v>03-3611-1916</v>
          </cell>
          <cell r="Y593" t="str">
            <v>〒131-0046  東京都墨田区京島1-19-5</v>
          </cell>
          <cell r="AA593" t="str">
            <v/>
          </cell>
          <cell r="AB593" t="str">
            <v/>
          </cell>
          <cell r="AC593" t="str">
            <v/>
          </cell>
          <cell r="AD593" t="str">
            <v/>
          </cell>
          <cell r="AE593" t="str">
            <v/>
          </cell>
          <cell r="AF593" t="str">
            <v/>
          </cell>
          <cell r="AG593" t="str">
            <v/>
          </cell>
          <cell r="AH593" t="str">
            <v/>
          </cell>
          <cell r="AI593" t="str">
            <v/>
          </cell>
          <cell r="AJ593" t="str">
            <v/>
          </cell>
          <cell r="AK593" t="str">
            <v/>
          </cell>
          <cell r="AL593" t="str">
            <v/>
          </cell>
          <cell r="AM593" t="str">
            <v/>
          </cell>
          <cell r="AN593" t="str">
            <v/>
          </cell>
          <cell r="AO593" t="str">
            <v/>
          </cell>
          <cell r="AP593" t="str">
            <v/>
          </cell>
          <cell r="AQ593" t="str">
            <v/>
          </cell>
          <cell r="AR593" t="str">
            <v/>
          </cell>
          <cell r="AS593" t="str">
            <v/>
          </cell>
          <cell r="AT593" t="str">
            <v/>
          </cell>
          <cell r="AU593">
            <v>39539</v>
          </cell>
        </row>
        <row r="594">
          <cell r="A594" t="str">
            <v>S16-0591</v>
          </cell>
          <cell r="B594" t="str">
            <v>紀和病院_0591 (2)</v>
          </cell>
          <cell r="C594" t="str">
            <v>SR#不要</v>
          </cell>
          <cell r="D594" t="str">
            <v>2016/08/25-04</v>
          </cell>
          <cell r="E594" t="str">
            <v>有償</v>
          </cell>
          <cell r="F594">
            <v>42612</v>
          </cell>
          <cell r="G594">
            <v>0</v>
          </cell>
          <cell r="H594">
            <v>42642</v>
          </cell>
          <cell r="I594" t="str">
            <v>不明</v>
          </cell>
          <cell r="K594" t="str">
            <v>-</v>
          </cell>
          <cell r="L594" t="str">
            <v>-</v>
          </cell>
          <cell r="M594" t="str">
            <v>180Plus</v>
          </cell>
          <cell r="N594" t="str">
            <v>030JJ2</v>
          </cell>
          <cell r="O594" t="str">
            <v>P02998-01</v>
          </cell>
          <cell r="P594" t="str">
            <v>株式会社大黒</v>
          </cell>
          <cell r="Q594" t="str">
            <v>高橋様</v>
          </cell>
          <cell r="R594" t="str">
            <v>〒641-0012　和歌山県和歌山市紀三井寺855-71</v>
          </cell>
          <cell r="S594" t="str">
            <v>073-441-5015</v>
          </cell>
          <cell r="T594" t="str">
            <v>073-445-7205</v>
          </cell>
          <cell r="U594" t="str">
            <v>紀和病院　内視鏡室</v>
          </cell>
          <cell r="V594" t="str">
            <v>-</v>
          </cell>
          <cell r="W594" t="str">
            <v>-</v>
          </cell>
          <cell r="X594" t="str">
            <v>0736-33-5000</v>
          </cell>
          <cell r="Y594" t="str">
            <v>〒648-0085 和歌山県橋本市岸上18番地の1</v>
          </cell>
          <cell r="AA594" t="str">
            <v/>
          </cell>
          <cell r="AB594" t="str">
            <v/>
          </cell>
          <cell r="AC594" t="str">
            <v/>
          </cell>
          <cell r="AD594" t="str">
            <v/>
          </cell>
          <cell r="AE594" t="str">
            <v/>
          </cell>
          <cell r="AF594" t="str">
            <v/>
          </cell>
          <cell r="AG594" t="str">
            <v/>
          </cell>
          <cell r="AH594" t="str">
            <v/>
          </cell>
          <cell r="AI594" t="str">
            <v/>
          </cell>
          <cell r="AJ594" t="str">
            <v/>
          </cell>
          <cell r="AK594" t="str">
            <v/>
          </cell>
          <cell r="AL594" t="str">
            <v/>
          </cell>
          <cell r="AM594" t="str">
            <v/>
          </cell>
          <cell r="AN594" t="str">
            <v/>
          </cell>
          <cell r="AO594" t="str">
            <v/>
          </cell>
          <cell r="AP594" t="str">
            <v/>
          </cell>
          <cell r="AQ594" t="str">
            <v/>
          </cell>
          <cell r="AR594" t="str">
            <v/>
          </cell>
          <cell r="AS594" t="str">
            <v/>
          </cell>
          <cell r="AT594" t="str">
            <v/>
          </cell>
          <cell r="AU594">
            <v>37591</v>
          </cell>
        </row>
        <row r="595">
          <cell r="A595" t="str">
            <v>S16-0592</v>
          </cell>
          <cell r="B595" t="str">
            <v>千葉医療センター_0592 (2)</v>
          </cell>
          <cell r="C595" t="str">
            <v>SR#</v>
          </cell>
          <cell r="D595" t="str">
            <v>2016/08/29-06</v>
          </cell>
          <cell r="E595" t="str">
            <v>有償</v>
          </cell>
          <cell r="F595">
            <v>42613</v>
          </cell>
          <cell r="G595">
            <v>0</v>
          </cell>
          <cell r="H595">
            <v>42633</v>
          </cell>
          <cell r="I595" t="str">
            <v>不明</v>
          </cell>
          <cell r="K595" t="str">
            <v>-</v>
          </cell>
          <cell r="L595" t="str">
            <v>-</v>
          </cell>
          <cell r="M595" t="str">
            <v>C60/5-2</v>
          </cell>
          <cell r="N595" t="str">
            <v>01H8CJ</v>
          </cell>
          <cell r="O595" t="str">
            <v>P01150-01</v>
          </cell>
          <cell r="P595" t="str">
            <v>株式会社イノメディックス 千葉営業所</v>
          </cell>
          <cell r="Q595" t="str">
            <v>有賀様</v>
          </cell>
          <cell r="R595" t="str">
            <v>〒260-0001 千葉県千葉市中央区都町2-7-3</v>
          </cell>
          <cell r="S595" t="str">
            <v>043-232-8761</v>
          </cell>
          <cell r="T595" t="str">
            <v>043-232-9288</v>
          </cell>
          <cell r="U595" t="str">
            <v>千葉医療センター 救急外来</v>
          </cell>
          <cell r="V595" t="str">
            <v>-</v>
          </cell>
          <cell r="W595" t="str">
            <v>-</v>
          </cell>
          <cell r="X595" t="str">
            <v>043-251-5311</v>
          </cell>
          <cell r="Y595" t="str">
            <v>〒260-8606　千葉県千葉市中央区椿森4-1-2</v>
          </cell>
          <cell r="AA595" t="str">
            <v/>
          </cell>
          <cell r="AB595" t="str">
            <v/>
          </cell>
          <cell r="AC595" t="str">
            <v/>
          </cell>
          <cell r="AD595" t="str">
            <v/>
          </cell>
          <cell r="AE595" t="str">
            <v/>
          </cell>
          <cell r="AF595" t="str">
            <v/>
          </cell>
          <cell r="AG595" t="str">
            <v/>
          </cell>
          <cell r="AH595" t="str">
            <v/>
          </cell>
          <cell r="AI595" t="str">
            <v/>
          </cell>
          <cell r="AJ595" t="str">
            <v/>
          </cell>
          <cell r="AK595" t="str">
            <v/>
          </cell>
          <cell r="AL595" t="str">
            <v/>
          </cell>
          <cell r="AM595" t="str">
            <v/>
          </cell>
          <cell r="AN595" t="str">
            <v/>
          </cell>
          <cell r="AO595" t="str">
            <v/>
          </cell>
          <cell r="AP595" t="str">
            <v/>
          </cell>
          <cell r="AQ595" t="str">
            <v/>
          </cell>
          <cell r="AR595" t="str">
            <v/>
          </cell>
          <cell r="AS595" t="str">
            <v/>
          </cell>
          <cell r="AT595" t="str">
            <v/>
          </cell>
          <cell r="AU595">
            <v>36526</v>
          </cell>
        </row>
        <row r="596">
          <cell r="A596" t="str">
            <v>S16-0593</v>
          </cell>
          <cell r="B596" t="str">
            <v>姫路医療センター_0593 (2)</v>
          </cell>
          <cell r="C596" t="str">
            <v>SR#4232447</v>
          </cell>
          <cell r="D596" t="str">
            <v>-</v>
          </cell>
          <cell r="E596" t="str">
            <v>無償</v>
          </cell>
          <cell r="F596">
            <v>42613</v>
          </cell>
          <cell r="G596">
            <v>0</v>
          </cell>
          <cell r="H596">
            <v>42646</v>
          </cell>
          <cell r="I596">
            <v>41534</v>
          </cell>
          <cell r="K596" t="str">
            <v>高橋</v>
          </cell>
          <cell r="L596">
            <v>3</v>
          </cell>
          <cell r="M596" t="str">
            <v>NanoMaxx</v>
          </cell>
          <cell r="N596" t="str">
            <v>03VHP9</v>
          </cell>
          <cell r="O596" t="str">
            <v>P12700-06</v>
          </cell>
          <cell r="P596" t="str">
            <v>日本コヴィディエン株式会社京滋兵庫営業所</v>
          </cell>
          <cell r="Q596" t="str">
            <v>野崎様</v>
          </cell>
          <cell r="R596" t="str">
            <v>〒108-0075  東京都港区港南一丁目2番70号　品川シーズンテラス　22F</v>
          </cell>
          <cell r="S596" t="str">
            <v>03-6774-4629</v>
          </cell>
          <cell r="T596" t="str">
            <v>03-6774-4740</v>
          </cell>
          <cell r="U596" t="str">
            <v>姫路医療センター　国立病院機構</v>
          </cell>
          <cell r="V596" t="str">
            <v>-</v>
          </cell>
          <cell r="W596" t="str">
            <v>-</v>
          </cell>
          <cell r="X596" t="str">
            <v>079-225-3211</v>
          </cell>
          <cell r="Y596" t="str">
            <v>〒670-8520　兵庫県姫路市本町68番地</v>
          </cell>
          <cell r="AA596" t="str">
            <v>P12745-01</v>
          </cell>
          <cell r="AB596" t="str">
            <v/>
          </cell>
          <cell r="AC596" t="str">
            <v/>
          </cell>
          <cell r="AD596" t="str">
            <v/>
          </cell>
          <cell r="AE596" t="str">
            <v/>
          </cell>
          <cell r="AF596" t="str">
            <v/>
          </cell>
          <cell r="AG596" t="str">
            <v/>
          </cell>
          <cell r="AH596" t="str">
            <v/>
          </cell>
          <cell r="AI596" t="str">
            <v/>
          </cell>
          <cell r="AJ596" t="str">
            <v/>
          </cell>
          <cell r="AK596" t="str">
            <v>SERVICE ASSEMBLY, POWER SUPPLY PCB, NANOMAXX</v>
          </cell>
          <cell r="AL596" t="str">
            <v/>
          </cell>
          <cell r="AM596" t="str">
            <v/>
          </cell>
          <cell r="AN596" t="str">
            <v/>
          </cell>
          <cell r="AO596" t="str">
            <v/>
          </cell>
          <cell r="AP596" t="str">
            <v/>
          </cell>
          <cell r="AQ596" t="str">
            <v/>
          </cell>
          <cell r="AR596" t="str">
            <v/>
          </cell>
          <cell r="AS596" t="str">
            <v/>
          </cell>
          <cell r="AT596" t="str">
            <v/>
          </cell>
          <cell r="AU596">
            <v>41395</v>
          </cell>
        </row>
        <row r="597">
          <cell r="A597" t="str">
            <v>S16-0594</v>
          </cell>
          <cell r="B597" t="str">
            <v>佐野内科リハビリテーションクリニック_0594</v>
          </cell>
          <cell r="C597" t="e">
            <v>#REF!</v>
          </cell>
          <cell r="D597" t="e">
            <v>#REF!</v>
          </cell>
          <cell r="E597" t="e">
            <v>#REF!</v>
          </cell>
          <cell r="F597" t="e">
            <v>#REF!</v>
          </cell>
          <cell r="G597" t="e">
            <v>#REF!</v>
          </cell>
          <cell r="H597" t="e">
            <v>#REF!</v>
          </cell>
          <cell r="I597" t="e">
            <v>#REF!</v>
          </cell>
          <cell r="K597" t="e">
            <v>#REF!</v>
          </cell>
          <cell r="M597" t="e">
            <v>#REF!</v>
          </cell>
          <cell r="N597" t="e">
            <v>#REF!</v>
          </cell>
          <cell r="O597" t="e">
            <v>#REF!</v>
          </cell>
          <cell r="P597" t="e">
            <v>#REF!</v>
          </cell>
          <cell r="Q597" t="e">
            <v>#REF!</v>
          </cell>
          <cell r="S597" t="e">
            <v>#REF!</v>
          </cell>
          <cell r="T597" t="e">
            <v>#REF!</v>
          </cell>
          <cell r="U597" t="e">
            <v>#REF!</v>
          </cell>
          <cell r="AA597" t="e">
            <v>#REF!</v>
          </cell>
          <cell r="AB597" t="e">
            <v>#REF!</v>
          </cell>
          <cell r="AC597" t="e">
            <v>#REF!</v>
          </cell>
          <cell r="AD597" t="e">
            <v>#REF!</v>
          </cell>
          <cell r="AE597" t="e">
            <v>#REF!</v>
          </cell>
          <cell r="AF597" t="e">
            <v>#REF!</v>
          </cell>
          <cell r="AG597" t="e">
            <v>#REF!</v>
          </cell>
          <cell r="AH597" t="e">
            <v>#REF!</v>
          </cell>
          <cell r="AI597" t="e">
            <v>#REF!</v>
          </cell>
          <cell r="AJ597" t="e">
            <v>#REF!</v>
          </cell>
          <cell r="AK597" t="e">
            <v>#REF!</v>
          </cell>
          <cell r="AL597" t="e">
            <v>#REF!</v>
          </cell>
          <cell r="AM597" t="e">
            <v>#REF!</v>
          </cell>
          <cell r="AN597" t="e">
            <v>#REF!</v>
          </cell>
          <cell r="AO597" t="e">
            <v>#REF!</v>
          </cell>
          <cell r="AP597" t="e">
            <v>#REF!</v>
          </cell>
          <cell r="AQ597" t="e">
            <v>#REF!</v>
          </cell>
          <cell r="AR597" t="e">
            <v>#REF!</v>
          </cell>
          <cell r="AS597" t="e">
            <v>#REF!</v>
          </cell>
          <cell r="AT597" t="e">
            <v>#REF!</v>
          </cell>
          <cell r="AU597" t="e">
            <v>#REF!</v>
          </cell>
        </row>
        <row r="598">
          <cell r="A598" t="str">
            <v>S16-0595</v>
          </cell>
          <cell r="B598" t="str">
            <v>昭和大学横浜市北部病院_0595 (2)</v>
          </cell>
          <cell r="C598" t="str">
            <v>SR#</v>
          </cell>
          <cell r="D598" t="str">
            <v>-</v>
          </cell>
          <cell r="E598" t="str">
            <v>有償</v>
          </cell>
          <cell r="F598">
            <v>42613</v>
          </cell>
          <cell r="G598">
            <v>0</v>
          </cell>
          <cell r="H598">
            <v>42699</v>
          </cell>
          <cell r="I598">
            <v>40619</v>
          </cell>
          <cell r="K598" t="str">
            <v>高橋</v>
          </cell>
          <cell r="L598">
            <v>3</v>
          </cell>
          <cell r="M598" t="str">
            <v>NanoMaxx</v>
          </cell>
          <cell r="N598" t="str">
            <v>03K0PK</v>
          </cell>
          <cell r="O598" t="str">
            <v>P12700-03</v>
          </cell>
          <cell r="P598" t="str">
            <v>日本コヴィディエン株式会社　神奈川営業所</v>
          </cell>
          <cell r="Q598" t="str">
            <v>青木様</v>
          </cell>
          <cell r="R598" t="str">
            <v>〒108-0075  東京都港区港南一丁目2番70号　品川シーズンテラス　22F</v>
          </cell>
          <cell r="S598" t="str">
            <v>03-6774-4629</v>
          </cell>
          <cell r="T598" t="str">
            <v>03-6774-4740</v>
          </cell>
          <cell r="U598" t="str">
            <v>昭和大学横浜市北部病院</v>
          </cell>
          <cell r="V598" t="str">
            <v>-</v>
          </cell>
          <cell r="W598" t="str">
            <v>-</v>
          </cell>
          <cell r="X598" t="str">
            <v>045-949-7000</v>
          </cell>
          <cell r="Y598" t="str">
            <v xml:space="preserve">〒224-8503　神奈川県横浜市都筑区茅ヶ崎中央35-1 </v>
          </cell>
          <cell r="AA598" t="str">
            <v>P09823-06</v>
          </cell>
          <cell r="AB598" t="str">
            <v/>
          </cell>
          <cell r="AC598" t="str">
            <v/>
          </cell>
          <cell r="AD598" t="str">
            <v/>
          </cell>
          <cell r="AE598" t="str">
            <v/>
          </cell>
          <cell r="AF598" t="str">
            <v/>
          </cell>
          <cell r="AG598" t="str">
            <v/>
          </cell>
          <cell r="AH598" t="str">
            <v/>
          </cell>
          <cell r="AI598" t="str">
            <v/>
          </cell>
          <cell r="AJ598" t="str">
            <v/>
          </cell>
          <cell r="AK598" t="str">
            <v>LOW NOISE POWER SUPPLY,15V W/BATTERY CHARGER,75 W</v>
          </cell>
          <cell r="AL598" t="str">
            <v/>
          </cell>
          <cell r="AM598" t="str">
            <v/>
          </cell>
          <cell r="AN598" t="str">
            <v/>
          </cell>
          <cell r="AO598" t="str">
            <v/>
          </cell>
          <cell r="AP598" t="str">
            <v/>
          </cell>
          <cell r="AQ598" t="str">
            <v/>
          </cell>
          <cell r="AR598" t="str">
            <v/>
          </cell>
          <cell r="AS598" t="str">
            <v/>
          </cell>
          <cell r="AT598" t="str">
            <v/>
          </cell>
          <cell r="AU598">
            <v>40483</v>
          </cell>
        </row>
        <row r="599">
          <cell r="A599" t="str">
            <v>S16-0596</v>
          </cell>
          <cell r="B599" t="str">
            <v>産業医科大学病院_0596 (2)</v>
          </cell>
          <cell r="C599" t="str">
            <v>SR#</v>
          </cell>
          <cell r="D599" t="str">
            <v>-</v>
          </cell>
          <cell r="E599" t="str">
            <v>有償</v>
          </cell>
          <cell r="F599">
            <v>42613</v>
          </cell>
          <cell r="G599">
            <v>0</v>
          </cell>
          <cell r="H599">
            <v>42633</v>
          </cell>
          <cell r="I599" t="str">
            <v>不明</v>
          </cell>
          <cell r="K599" t="str">
            <v>-</v>
          </cell>
          <cell r="L599" t="str">
            <v>-</v>
          </cell>
          <cell r="M599" t="str">
            <v>iLook Stand</v>
          </cell>
          <cell r="N599" t="str">
            <v>0347R4</v>
          </cell>
          <cell r="O599" t="str">
            <v>P04307-01</v>
          </cell>
          <cell r="P599" t="str">
            <v>日本コヴィディエン株式会社</v>
          </cell>
          <cell r="Q599" t="str">
            <v>毛利様</v>
          </cell>
          <cell r="R599" t="str">
            <v>〒108-0075  東京都港区港南一丁目2番70号　品川シーズンテラス　22F</v>
          </cell>
          <cell r="S599" t="str">
            <v>03-6774-4629</v>
          </cell>
          <cell r="T599" t="str">
            <v>03-6774-4740</v>
          </cell>
          <cell r="U599" t="str">
            <v>産業医科大学病院</v>
          </cell>
          <cell r="V599" t="str">
            <v>-</v>
          </cell>
          <cell r="W599" t="str">
            <v>-</v>
          </cell>
          <cell r="X599" t="str">
            <v>093-603-1611</v>
          </cell>
          <cell r="Y599" t="str">
            <v>〒807-8556　福岡県北九州市八幡西区医生ヶ丘1-1</v>
          </cell>
          <cell r="AA599" t="str">
            <v/>
          </cell>
          <cell r="AB599" t="str">
            <v/>
          </cell>
          <cell r="AC599" t="str">
            <v/>
          </cell>
          <cell r="AD599" t="str">
            <v/>
          </cell>
          <cell r="AE599" t="str">
            <v/>
          </cell>
          <cell r="AF599" t="str">
            <v/>
          </cell>
          <cell r="AG599" t="str">
            <v/>
          </cell>
          <cell r="AH599" t="str">
            <v/>
          </cell>
          <cell r="AI599" t="str">
            <v/>
          </cell>
          <cell r="AJ599" t="str">
            <v/>
          </cell>
          <cell r="AK599" t="str">
            <v/>
          </cell>
          <cell r="AL599" t="str">
            <v/>
          </cell>
          <cell r="AM599" t="str">
            <v/>
          </cell>
          <cell r="AN599" t="str">
            <v/>
          </cell>
          <cell r="AO599" t="str">
            <v/>
          </cell>
          <cell r="AP599" t="str">
            <v/>
          </cell>
          <cell r="AQ599" t="str">
            <v/>
          </cell>
          <cell r="AR599" t="str">
            <v/>
          </cell>
          <cell r="AS599" t="str">
            <v/>
          </cell>
          <cell r="AT599" t="str">
            <v/>
          </cell>
          <cell r="AU599">
            <v>38473</v>
          </cell>
        </row>
        <row r="600">
          <cell r="A600" t="str">
            <v>S16-0597</v>
          </cell>
          <cell r="B600" t="str">
            <v>東北大学病院_0597 (2)</v>
          </cell>
          <cell r="C600" t="str">
            <v>SR#</v>
          </cell>
          <cell r="D600" t="str">
            <v>2016/07/20-01</v>
          </cell>
          <cell r="E600" t="str">
            <v>有償</v>
          </cell>
          <cell r="F600">
            <v>42615</v>
          </cell>
          <cell r="G600">
            <v>0</v>
          </cell>
          <cell r="H600">
            <v>42633</v>
          </cell>
          <cell r="I600" t="str">
            <v>不明</v>
          </cell>
          <cell r="K600" t="str">
            <v>高橋</v>
          </cell>
          <cell r="L600">
            <v>1</v>
          </cell>
          <cell r="M600" t="str">
            <v>HFL38/13-6</v>
          </cell>
          <cell r="N600" t="str">
            <v>03B32F</v>
          </cell>
          <cell r="O600" t="str">
            <v>P05674-07</v>
          </cell>
          <cell r="P600" t="str">
            <v>テスコ株式会社</v>
          </cell>
          <cell r="Q600" t="str">
            <v>中森様</v>
          </cell>
          <cell r="R600" t="str">
            <v>〒981-3137　宮城県仙台市泉区大沢3-4-3</v>
          </cell>
          <cell r="S600" t="str">
            <v>022-771-6350</v>
          </cell>
          <cell r="T600" t="str">
            <v>022-771-6353</v>
          </cell>
          <cell r="U600" t="str">
            <v xml:space="preserve">東北大学病院 </v>
          </cell>
          <cell r="V600" t="str">
            <v>-</v>
          </cell>
          <cell r="W600" t="str">
            <v>-</v>
          </cell>
          <cell r="X600" t="str">
            <v>022-717-7000</v>
          </cell>
          <cell r="Y600" t="str">
            <v>〒980-8574 宮城県仙台市青葉区星陵町1-1</v>
          </cell>
          <cell r="AA600" t="str">
            <v>P11882-01</v>
          </cell>
          <cell r="AB600" t="str">
            <v/>
          </cell>
          <cell r="AC600" t="str">
            <v/>
          </cell>
          <cell r="AD600" t="str">
            <v/>
          </cell>
          <cell r="AE600" t="str">
            <v/>
          </cell>
          <cell r="AF600" t="str">
            <v/>
          </cell>
          <cell r="AG600" t="str">
            <v/>
          </cell>
          <cell r="AH600" t="str">
            <v/>
          </cell>
          <cell r="AI600" t="str">
            <v/>
          </cell>
          <cell r="AJ600" t="str">
            <v/>
          </cell>
          <cell r="AK600" t="str">
            <v>LATCH KIT</v>
          </cell>
          <cell r="AL600" t="str">
            <v/>
          </cell>
          <cell r="AM600" t="str">
            <v/>
          </cell>
          <cell r="AN600" t="str">
            <v/>
          </cell>
          <cell r="AO600" t="str">
            <v/>
          </cell>
          <cell r="AP600" t="str">
            <v/>
          </cell>
          <cell r="AQ600" t="str">
            <v/>
          </cell>
          <cell r="AR600" t="str">
            <v/>
          </cell>
          <cell r="AS600" t="str">
            <v/>
          </cell>
          <cell r="AT600" t="str">
            <v/>
          </cell>
          <cell r="AU600">
            <v>39387</v>
          </cell>
        </row>
        <row r="601">
          <cell r="A601" t="str">
            <v>S16-0598</v>
          </cell>
          <cell r="B601" t="str">
            <v>沖縄赤十字病院_0598 (2)</v>
          </cell>
          <cell r="C601" t="str">
            <v>SR#不要</v>
          </cell>
          <cell r="D601" t="str">
            <v>2016/09/01-03</v>
          </cell>
          <cell r="E601" t="str">
            <v>有償</v>
          </cell>
          <cell r="F601">
            <v>42615</v>
          </cell>
          <cell r="G601">
            <v>0</v>
          </cell>
          <cell r="H601">
            <v>42625</v>
          </cell>
          <cell r="I601">
            <v>39237</v>
          </cell>
          <cell r="K601" t="str">
            <v>-</v>
          </cell>
          <cell r="L601" t="str">
            <v>-</v>
          </cell>
          <cell r="M601" t="str">
            <v>MicroMaxx</v>
          </cell>
          <cell r="N601" t="str">
            <v>037RXQ</v>
          </cell>
          <cell r="O601" t="str">
            <v>P05670-06</v>
          </cell>
          <cell r="P601" t="str">
            <v>アイティーアイ株式会社 沖縄支社</v>
          </cell>
          <cell r="Q601" t="str">
            <v>宮里様</v>
          </cell>
          <cell r="R601" t="str">
            <v>〒900-0001　沖縄県那覇市港町2-9-5</v>
          </cell>
          <cell r="S601" t="str">
            <v>098-869-2281</v>
          </cell>
          <cell r="T601" t="str">
            <v>098-869-2282</v>
          </cell>
          <cell r="U601" t="str">
            <v>沖縄赤十字病院 救急外来</v>
          </cell>
          <cell r="V601" t="str">
            <v>施設科 宮城様</v>
          </cell>
          <cell r="W601" t="str">
            <v>救急外来</v>
          </cell>
          <cell r="X601" t="str">
            <v>098-853-3134</v>
          </cell>
          <cell r="Y601" t="str">
            <v>〒902-8588　沖縄県那覇市与儀1-3-1</v>
          </cell>
          <cell r="AA601" t="str">
            <v/>
          </cell>
          <cell r="AB601" t="str">
            <v/>
          </cell>
          <cell r="AC601" t="str">
            <v/>
          </cell>
          <cell r="AD601" t="str">
            <v/>
          </cell>
          <cell r="AE601" t="str">
            <v/>
          </cell>
          <cell r="AF601" t="str">
            <v/>
          </cell>
          <cell r="AG601" t="str">
            <v/>
          </cell>
          <cell r="AH601" t="str">
            <v/>
          </cell>
          <cell r="AI601" t="str">
            <v/>
          </cell>
          <cell r="AJ601" t="str">
            <v/>
          </cell>
          <cell r="AK601" t="str">
            <v/>
          </cell>
          <cell r="AL601" t="str">
            <v/>
          </cell>
          <cell r="AM601" t="str">
            <v/>
          </cell>
          <cell r="AN601" t="str">
            <v/>
          </cell>
          <cell r="AO601" t="str">
            <v/>
          </cell>
          <cell r="AP601" t="str">
            <v/>
          </cell>
          <cell r="AQ601" t="str">
            <v/>
          </cell>
          <cell r="AR601" t="str">
            <v/>
          </cell>
          <cell r="AS601" t="str">
            <v/>
          </cell>
          <cell r="AT601" t="str">
            <v/>
          </cell>
          <cell r="AU601">
            <v>39142</v>
          </cell>
        </row>
        <row r="602">
          <cell r="A602" t="str">
            <v>S16-0599</v>
          </cell>
          <cell r="B602" t="str">
            <v>竜王ペインクリニック_0599 (2)</v>
          </cell>
          <cell r="C602" t="str">
            <v>SR#4232449</v>
          </cell>
          <cell r="D602" t="str">
            <v>2016/08/29-04</v>
          </cell>
          <cell r="E602" t="str">
            <v>無償</v>
          </cell>
          <cell r="F602">
            <v>42615</v>
          </cell>
          <cell r="G602">
            <v>0</v>
          </cell>
          <cell r="H602">
            <v>42668</v>
          </cell>
          <cell r="I602" t="str">
            <v>不明</v>
          </cell>
          <cell r="K602" t="str">
            <v>高橋</v>
          </cell>
          <cell r="L602">
            <v>3</v>
          </cell>
          <cell r="M602" t="str">
            <v>EDGE</v>
          </cell>
          <cell r="N602" t="str">
            <v>03WF5T</v>
          </cell>
          <cell r="O602" t="str">
            <v>P16360-04</v>
          </cell>
          <cell r="P602" t="str">
            <v>株式会社匠メディカル</v>
          </cell>
          <cell r="Q602" t="str">
            <v>中島様</v>
          </cell>
          <cell r="R602" t="str">
            <v>〒409-3866　山梨県中巨摩郡昭和町西条5141</v>
          </cell>
          <cell r="S602" t="str">
            <v>055-275-0617</v>
          </cell>
          <cell r="T602" t="str">
            <v>055-275-0619</v>
          </cell>
          <cell r="U602" t="str">
            <v>竜王ペインクリニック</v>
          </cell>
          <cell r="V602" t="str">
            <v>-</v>
          </cell>
          <cell r="W602" t="str">
            <v>-</v>
          </cell>
          <cell r="X602" t="str">
            <v>055-298-6666</v>
          </cell>
          <cell r="Y602" t="str">
            <v>〒400-0126 山梨県甲斐市大下条1600-5</v>
          </cell>
          <cell r="AA602" t="str">
            <v>P15615-03</v>
          </cell>
          <cell r="AB602" t="str">
            <v/>
          </cell>
          <cell r="AC602" t="str">
            <v/>
          </cell>
          <cell r="AD602" t="str">
            <v/>
          </cell>
          <cell r="AE602" t="str">
            <v/>
          </cell>
          <cell r="AF602" t="str">
            <v/>
          </cell>
          <cell r="AG602" t="str">
            <v/>
          </cell>
          <cell r="AH602" t="str">
            <v/>
          </cell>
          <cell r="AI602" t="str">
            <v/>
          </cell>
          <cell r="AJ602" t="str">
            <v/>
          </cell>
          <cell r="AK602" t="str">
            <v>SERVICE ASSEMBLY, MAIN PCBA, EDGE</v>
          </cell>
          <cell r="AL602" t="str">
            <v/>
          </cell>
          <cell r="AM602" t="str">
            <v/>
          </cell>
          <cell r="AN602" t="str">
            <v/>
          </cell>
          <cell r="AO602" t="str">
            <v/>
          </cell>
          <cell r="AP602" t="str">
            <v/>
          </cell>
          <cell r="AQ602" t="str">
            <v/>
          </cell>
          <cell r="AR602" t="str">
            <v/>
          </cell>
          <cell r="AS602" t="str">
            <v/>
          </cell>
          <cell r="AT602" t="str">
            <v/>
          </cell>
          <cell r="AU602">
            <v>41609</v>
          </cell>
        </row>
        <row r="603">
          <cell r="A603" t="str">
            <v>S16-0600</v>
          </cell>
          <cell r="B603" t="str">
            <v>久留米大学病院_0600 (2)</v>
          </cell>
          <cell r="C603" t="str">
            <v>SR#</v>
          </cell>
          <cell r="D603" t="str">
            <v>2016/08/30-02</v>
          </cell>
          <cell r="E603" t="str">
            <v>無償</v>
          </cell>
          <cell r="F603">
            <v>42615</v>
          </cell>
          <cell r="G603">
            <v>0</v>
          </cell>
          <cell r="H603">
            <v>42684</v>
          </cell>
          <cell r="I603">
            <v>41558</v>
          </cell>
          <cell r="K603" t="str">
            <v>高橋</v>
          </cell>
          <cell r="L603">
            <v>3</v>
          </cell>
          <cell r="M603" t="str">
            <v>NanoMaxx</v>
          </cell>
          <cell r="N603" t="str">
            <v>03V3PM</v>
          </cell>
          <cell r="O603" t="str">
            <v>P12700-06</v>
          </cell>
          <cell r="P603" t="str">
            <v>株式会社キシヤ　久留米営業所</v>
          </cell>
          <cell r="Q603" t="str">
            <v>石井様</v>
          </cell>
          <cell r="R603" t="str">
            <v>〒839-0801　福岡県久留米市宮ノ陣3-5-15</v>
          </cell>
          <cell r="S603" t="str">
            <v>0942-30-5191</v>
          </cell>
          <cell r="T603" t="str">
            <v>0942-30-5195</v>
          </cell>
          <cell r="U603" t="str">
            <v>久留米大学病院 救命センター</v>
          </cell>
          <cell r="V603" t="str">
            <v>梅木様</v>
          </cell>
          <cell r="W603" t="str">
            <v>救命センター</v>
          </cell>
          <cell r="X603" t="str">
            <v>0942-35-3311</v>
          </cell>
          <cell r="Y603" t="str">
            <v>〒830-0011 福岡県久留米市旭町67番地</v>
          </cell>
          <cell r="AA603" t="str">
            <v>P12889-20</v>
          </cell>
          <cell r="AB603" t="str">
            <v>P15112-02</v>
          </cell>
          <cell r="AC603" t="str">
            <v/>
          </cell>
          <cell r="AD603" t="str">
            <v/>
          </cell>
          <cell r="AE603" t="str">
            <v/>
          </cell>
          <cell r="AF603" t="str">
            <v/>
          </cell>
          <cell r="AG603" t="str">
            <v/>
          </cell>
          <cell r="AH603" t="str">
            <v/>
          </cell>
          <cell r="AI603" t="str">
            <v/>
          </cell>
          <cell r="AJ603" t="str">
            <v/>
          </cell>
          <cell r="AK603" t="str">
            <v>NANOMAXX BATTERY ASSEMBLY, NATIONAL PANASONIC CELLS</v>
          </cell>
          <cell r="AL603" t="str">
            <v>POWER ADAPTER CABLE</v>
          </cell>
          <cell r="AM603" t="str">
            <v/>
          </cell>
          <cell r="AN603" t="str">
            <v/>
          </cell>
          <cell r="AO603" t="str">
            <v/>
          </cell>
          <cell r="AP603" t="str">
            <v/>
          </cell>
          <cell r="AQ603" t="str">
            <v/>
          </cell>
          <cell r="AR603" t="str">
            <v/>
          </cell>
          <cell r="AS603" t="str">
            <v/>
          </cell>
          <cell r="AT603" t="str">
            <v/>
          </cell>
          <cell r="AU603">
            <v>41395</v>
          </cell>
        </row>
        <row r="604">
          <cell r="A604" t="str">
            <v>S16-0601</v>
          </cell>
          <cell r="B604" t="str">
            <v>はら耳鼻咽喉科_0601 (2)</v>
          </cell>
          <cell r="C604" t="str">
            <v>SR#不要</v>
          </cell>
          <cell r="D604" t="str">
            <v>2016/08/26-06</v>
          </cell>
          <cell r="E604" t="str">
            <v/>
          </cell>
          <cell r="F604">
            <v>42615</v>
          </cell>
          <cell r="G604">
            <v>0</v>
          </cell>
          <cell r="H604">
            <v>42641</v>
          </cell>
          <cell r="I604" t="str">
            <v>不明</v>
          </cell>
          <cell r="K604" t="str">
            <v>高橋</v>
          </cell>
          <cell r="L604">
            <v>3</v>
          </cell>
          <cell r="M604" t="str">
            <v>180Plus</v>
          </cell>
          <cell r="N604" t="str">
            <v>032VG5</v>
          </cell>
          <cell r="O604" t="str">
            <v>P04327-03</v>
          </cell>
          <cell r="P604" t="str">
            <v>株式会社医療設備企画</v>
          </cell>
          <cell r="Q604" t="str">
            <v>荒木様</v>
          </cell>
          <cell r="R604" t="str">
            <v>〒816-0812　福岡県春日市平田台3-109</v>
          </cell>
          <cell r="S604" t="str">
            <v>092-595-1986</v>
          </cell>
          <cell r="T604" t="str">
            <v>092-595-1986</v>
          </cell>
          <cell r="U604" t="str">
            <v>はら耳鼻咽喉科</v>
          </cell>
          <cell r="V604" t="str">
            <v>-</v>
          </cell>
          <cell r="W604" t="str">
            <v>-</v>
          </cell>
          <cell r="X604" t="str">
            <v>093-701-8841</v>
          </cell>
          <cell r="Y604" t="str">
            <v>〒807-0022　福岡県遠賀郡水巻町頃末北4-7-3</v>
          </cell>
          <cell r="AA604" t="str">
            <v>P02844-04</v>
          </cell>
          <cell r="AB604" t="str">
            <v>P00343-01</v>
          </cell>
          <cell r="AC604" t="str">
            <v/>
          </cell>
          <cell r="AD604" t="str">
            <v/>
          </cell>
          <cell r="AE604" t="str">
            <v/>
          </cell>
          <cell r="AF604" t="str">
            <v/>
          </cell>
          <cell r="AG604" t="str">
            <v/>
          </cell>
          <cell r="AH604" t="str">
            <v/>
          </cell>
          <cell r="AI604" t="str">
            <v/>
          </cell>
          <cell r="AJ604" t="str">
            <v/>
          </cell>
          <cell r="AK604" t="str">
            <v>SERVICE ASSEMBLY, PCB C1.99 MAIN, JAPANESEE</v>
          </cell>
          <cell r="AL604" t="str">
            <v>HINGE, DISPLAY</v>
          </cell>
          <cell r="AM604" t="str">
            <v/>
          </cell>
          <cell r="AN604" t="str">
            <v/>
          </cell>
          <cell r="AO604" t="str">
            <v/>
          </cell>
          <cell r="AP604" t="str">
            <v/>
          </cell>
          <cell r="AQ604" t="str">
            <v/>
          </cell>
          <cell r="AR604" t="str">
            <v/>
          </cell>
          <cell r="AS604" t="str">
            <v/>
          </cell>
          <cell r="AT604" t="str">
            <v/>
          </cell>
          <cell r="AU604">
            <v>38231</v>
          </cell>
        </row>
        <row r="605">
          <cell r="A605" t="str">
            <v>S16-0602</v>
          </cell>
          <cell r="B605" t="str">
            <v>代替機NIM101_0602（2）</v>
          </cell>
          <cell r="C605" t="str">
            <v>SR#不要</v>
          </cell>
          <cell r="D605" t="str">
            <v>-</v>
          </cell>
          <cell r="E605" t="str">
            <v/>
          </cell>
          <cell r="F605">
            <v>42615</v>
          </cell>
          <cell r="G605">
            <v>0</v>
          </cell>
          <cell r="H605">
            <v>42669</v>
          </cell>
          <cell r="I605" t="str">
            <v>不明</v>
          </cell>
          <cell r="K605" t="str">
            <v>-</v>
          </cell>
          <cell r="L605" t="str">
            <v>-</v>
          </cell>
          <cell r="M605" t="str">
            <v>M-Turbo</v>
          </cell>
          <cell r="N605" t="str">
            <v>03C6XN</v>
          </cell>
          <cell r="O605" t="str">
            <v>P09141-03</v>
          </cell>
          <cell r="P605" t="str">
            <v>富士フイルムメディカル株式会社</v>
          </cell>
          <cell r="Q605" t="str">
            <v>テクニカルサポート</v>
          </cell>
          <cell r="R605" t="str">
            <v>-</v>
          </cell>
          <cell r="S605" t="str">
            <v>-</v>
          </cell>
          <cell r="T605" t="str">
            <v>-</v>
          </cell>
          <cell r="U605" t="str">
            <v>代替機NIM101</v>
          </cell>
          <cell r="V605" t="str">
            <v>-</v>
          </cell>
          <cell r="W605" t="str">
            <v>-</v>
          </cell>
          <cell r="X605" t="str">
            <v>-</v>
          </cell>
          <cell r="Y605" t="str">
            <v>-</v>
          </cell>
          <cell r="AA605" t="str">
            <v/>
          </cell>
          <cell r="AB605" t="str">
            <v/>
          </cell>
          <cell r="AC605" t="str">
            <v/>
          </cell>
          <cell r="AD605" t="str">
            <v/>
          </cell>
          <cell r="AE605" t="str">
            <v/>
          </cell>
          <cell r="AF605" t="str">
            <v/>
          </cell>
          <cell r="AG605" t="str">
            <v/>
          </cell>
          <cell r="AH605" t="str">
            <v/>
          </cell>
          <cell r="AI605" t="str">
            <v/>
          </cell>
          <cell r="AJ605" t="str">
            <v/>
          </cell>
          <cell r="AK605" t="str">
            <v/>
          </cell>
          <cell r="AL605" t="str">
            <v/>
          </cell>
          <cell r="AM605" t="str">
            <v/>
          </cell>
          <cell r="AN605" t="str">
            <v/>
          </cell>
          <cell r="AO605" t="str">
            <v/>
          </cell>
          <cell r="AP605" t="str">
            <v/>
          </cell>
          <cell r="AQ605" t="str">
            <v/>
          </cell>
          <cell r="AR605" t="str">
            <v/>
          </cell>
          <cell r="AS605" t="str">
            <v/>
          </cell>
          <cell r="AT605" t="str">
            <v/>
          </cell>
          <cell r="AU605">
            <v>39539</v>
          </cell>
        </row>
        <row r="606">
          <cell r="A606" t="str">
            <v>S16-0603</v>
          </cell>
          <cell r="B606" t="str">
            <v>近畿大学医学部附属病院_0603</v>
          </cell>
          <cell r="C606" t="e">
            <v>#REF!</v>
          </cell>
          <cell r="D606" t="e">
            <v>#REF!</v>
          </cell>
          <cell r="E606" t="e">
            <v>#REF!</v>
          </cell>
          <cell r="F606" t="e">
            <v>#REF!</v>
          </cell>
          <cell r="G606" t="e">
            <v>#REF!</v>
          </cell>
          <cell r="H606" t="e">
            <v>#REF!</v>
          </cell>
          <cell r="I606" t="e">
            <v>#REF!</v>
          </cell>
          <cell r="K606" t="e">
            <v>#REF!</v>
          </cell>
          <cell r="M606" t="e">
            <v>#REF!</v>
          </cell>
          <cell r="N606" t="e">
            <v>#REF!</v>
          </cell>
          <cell r="O606" t="e">
            <v>#REF!</v>
          </cell>
          <cell r="P606" t="e">
            <v>#REF!</v>
          </cell>
          <cell r="Q606" t="e">
            <v>#REF!</v>
          </cell>
          <cell r="R606" t="str">
            <v>〒108-0075  東京都港区港南一丁目2番70号　品川シーズンテラス　22F</v>
          </cell>
          <cell r="S606" t="e">
            <v>#REF!</v>
          </cell>
          <cell r="T606" t="e">
            <v>#REF!</v>
          </cell>
          <cell r="U606" t="e">
            <v>#REF!</v>
          </cell>
          <cell r="AA606" t="e">
            <v>#REF!</v>
          </cell>
          <cell r="AB606" t="e">
            <v>#REF!</v>
          </cell>
          <cell r="AC606" t="e">
            <v>#REF!</v>
          </cell>
          <cell r="AD606" t="e">
            <v>#REF!</v>
          </cell>
          <cell r="AE606" t="e">
            <v>#REF!</v>
          </cell>
          <cell r="AF606" t="e">
            <v>#REF!</v>
          </cell>
          <cell r="AG606" t="e">
            <v>#REF!</v>
          </cell>
          <cell r="AH606" t="e">
            <v>#REF!</v>
          </cell>
          <cell r="AI606" t="e">
            <v>#REF!</v>
          </cell>
          <cell r="AJ606" t="e">
            <v>#REF!</v>
          </cell>
          <cell r="AK606" t="e">
            <v>#REF!</v>
          </cell>
          <cell r="AL606" t="e">
            <v>#REF!</v>
          </cell>
          <cell r="AM606" t="e">
            <v>#REF!</v>
          </cell>
          <cell r="AN606" t="e">
            <v>#REF!</v>
          </cell>
          <cell r="AO606" t="e">
            <v>#REF!</v>
          </cell>
          <cell r="AP606" t="e">
            <v>#REF!</v>
          </cell>
          <cell r="AQ606" t="e">
            <v>#REF!</v>
          </cell>
          <cell r="AR606" t="e">
            <v>#REF!</v>
          </cell>
          <cell r="AS606" t="e">
            <v>#REF!</v>
          </cell>
          <cell r="AT606" t="e">
            <v>#REF!</v>
          </cell>
          <cell r="AU606" t="e">
            <v>#REF!</v>
          </cell>
        </row>
        <row r="607">
          <cell r="A607" t="str">
            <v>S16-0604</v>
          </cell>
          <cell r="B607" t="str">
            <v>新潟臨港病院_0604 (2)</v>
          </cell>
          <cell r="C607" t="str">
            <v>SR#</v>
          </cell>
          <cell r="D607" t="str">
            <v>2016/8/30-05</v>
          </cell>
          <cell r="E607" t="str">
            <v>有償</v>
          </cell>
          <cell r="F607">
            <v>42618</v>
          </cell>
          <cell r="G607">
            <v>0</v>
          </cell>
          <cell r="H607">
            <v>42688</v>
          </cell>
          <cell r="I607" t="str">
            <v>不明</v>
          </cell>
          <cell r="K607" t="str">
            <v>-</v>
          </cell>
          <cell r="L607" t="str">
            <v>-</v>
          </cell>
          <cell r="M607" t="str">
            <v>UP-895MD</v>
          </cell>
          <cell r="N607" t="str">
            <v>39804</v>
          </cell>
          <cell r="O607" t="str">
            <v>-</v>
          </cell>
          <cell r="P607" t="str">
            <v>源川医科器械株式会社</v>
          </cell>
          <cell r="Q607" t="str">
            <v>小熊様</v>
          </cell>
          <cell r="R607" t="str">
            <v>〒950-0141　新潟県新潟市江南区亀田工業団地2-2528-38</v>
          </cell>
          <cell r="S607" t="str">
            <v>025-385-8307</v>
          </cell>
          <cell r="T607" t="str">
            <v>025-385-8311</v>
          </cell>
          <cell r="U607" t="str">
            <v>社会医療法人　新潟臨港保健会　新潟臨港病院</v>
          </cell>
          <cell r="V607" t="str">
            <v>-</v>
          </cell>
          <cell r="W607" t="str">
            <v>-</v>
          </cell>
          <cell r="X607" t="str">
            <v>025-274-5331</v>
          </cell>
          <cell r="Y607" t="str">
            <v>〒950-8725　新潟県新潟市東区桃山町1丁目114番地3</v>
          </cell>
          <cell r="AA607" t="str">
            <v/>
          </cell>
          <cell r="AB607" t="str">
            <v/>
          </cell>
          <cell r="AC607" t="str">
            <v/>
          </cell>
          <cell r="AD607" t="str">
            <v/>
          </cell>
          <cell r="AE607" t="str">
            <v/>
          </cell>
          <cell r="AF607" t="str">
            <v/>
          </cell>
          <cell r="AG607" t="str">
            <v/>
          </cell>
          <cell r="AH607" t="str">
            <v/>
          </cell>
          <cell r="AI607" t="str">
            <v/>
          </cell>
          <cell r="AJ607" t="str">
            <v/>
          </cell>
          <cell r="AK607" t="str">
            <v/>
          </cell>
          <cell r="AL607" t="str">
            <v/>
          </cell>
          <cell r="AM607" t="str">
            <v/>
          </cell>
          <cell r="AN607" t="str">
            <v/>
          </cell>
          <cell r="AO607" t="str">
            <v/>
          </cell>
          <cell r="AP607" t="str">
            <v/>
          </cell>
          <cell r="AQ607" t="str">
            <v/>
          </cell>
          <cell r="AR607" t="str">
            <v/>
          </cell>
          <cell r="AS607" t="str">
            <v/>
          </cell>
          <cell r="AT607" t="str">
            <v/>
          </cell>
          <cell r="AU607" t="str">
            <v>-</v>
          </cell>
        </row>
        <row r="608">
          <cell r="A608" t="str">
            <v>S16-0605</v>
          </cell>
          <cell r="B608" t="str">
            <v>山王病院_0605 (2)</v>
          </cell>
          <cell r="C608" t="str">
            <v>SR#4232451</v>
          </cell>
          <cell r="D608" t="str">
            <v>2016/08/31-04</v>
          </cell>
          <cell r="E608" t="str">
            <v>無償</v>
          </cell>
          <cell r="F608">
            <v>42618</v>
          </cell>
          <cell r="G608">
            <v>0</v>
          </cell>
          <cell r="H608">
            <v>42662</v>
          </cell>
          <cell r="I608" t="str">
            <v>不明</v>
          </cell>
          <cell r="K608" t="str">
            <v>高橋</v>
          </cell>
          <cell r="L608">
            <v>3</v>
          </cell>
          <cell r="M608" t="str">
            <v>S-Nerve</v>
          </cell>
          <cell r="N608" t="str">
            <v>WK2KCM</v>
          </cell>
          <cell r="O608" t="str">
            <v>P12060-12</v>
          </cell>
          <cell r="P608" t="str">
            <v>富士フイルムメディカル株式会社</v>
          </cell>
          <cell r="Q608" t="str">
            <v>島崎様</v>
          </cell>
          <cell r="R608" t="str">
            <v>〒106-0031　東京都港区西麻布2-26-30 富士フイルム西麻布ビル</v>
          </cell>
          <cell r="S608" t="str">
            <v>03-6418-7190</v>
          </cell>
          <cell r="T608" t="str">
            <v>03-6418-7162</v>
          </cell>
          <cell r="U608" t="str">
            <v>山王病院　麻酔科</v>
          </cell>
          <cell r="V608" t="str">
            <v>-</v>
          </cell>
          <cell r="W608" t="str">
            <v>麻酔科</v>
          </cell>
          <cell r="X608" t="str">
            <v>03-3402-3151</v>
          </cell>
          <cell r="Y608" t="str">
            <v xml:space="preserve">
〒107-0052　東京都港区赤坂 8-10-16</v>
          </cell>
          <cell r="AA608" t="str">
            <v>P09135-03</v>
          </cell>
          <cell r="AB608" t="str">
            <v/>
          </cell>
          <cell r="AC608" t="str">
            <v/>
          </cell>
          <cell r="AD608" t="str">
            <v/>
          </cell>
          <cell r="AE608" t="str">
            <v/>
          </cell>
          <cell r="AF608" t="str">
            <v/>
          </cell>
          <cell r="AG608" t="str">
            <v/>
          </cell>
          <cell r="AH608" t="str">
            <v/>
          </cell>
          <cell r="AI608" t="str">
            <v/>
          </cell>
          <cell r="AJ608" t="str">
            <v/>
          </cell>
          <cell r="AK608" t="str">
            <v>SERVICE ASSEMBLY MAIN PCBA, S-SERIES</v>
          </cell>
          <cell r="AL608" t="str">
            <v/>
          </cell>
          <cell r="AM608" t="str">
            <v/>
          </cell>
          <cell r="AN608" t="str">
            <v/>
          </cell>
          <cell r="AO608" t="str">
            <v/>
          </cell>
          <cell r="AP608" t="str">
            <v/>
          </cell>
          <cell r="AQ608" t="str">
            <v/>
          </cell>
          <cell r="AR608" t="str">
            <v/>
          </cell>
          <cell r="AS608" t="str">
            <v/>
          </cell>
          <cell r="AT608" t="str">
            <v/>
          </cell>
          <cell r="AU608">
            <v>41852</v>
          </cell>
        </row>
        <row r="609">
          <cell r="A609" t="str">
            <v>S16-0606</v>
          </cell>
          <cell r="B609" t="str">
            <v>代替機NIM9_0606</v>
          </cell>
          <cell r="C609" t="e">
            <v>#REF!</v>
          </cell>
          <cell r="D609" t="e">
            <v>#REF!</v>
          </cell>
          <cell r="E609" t="e">
            <v>#REF!</v>
          </cell>
          <cell r="F609" t="e">
            <v>#REF!</v>
          </cell>
          <cell r="G609" t="e">
            <v>#REF!</v>
          </cell>
          <cell r="H609" t="e">
            <v>#REF!</v>
          </cell>
          <cell r="I609" t="e">
            <v>#REF!</v>
          </cell>
          <cell r="K609" t="e">
            <v>#REF!</v>
          </cell>
          <cell r="M609" t="e">
            <v>#REF!</v>
          </cell>
          <cell r="N609" t="e">
            <v>#REF!</v>
          </cell>
          <cell r="O609" t="e">
            <v>#REF!</v>
          </cell>
          <cell r="P609" t="e">
            <v>#REF!</v>
          </cell>
          <cell r="Q609" t="e">
            <v>#REF!</v>
          </cell>
          <cell r="S609" t="e">
            <v>#REF!</v>
          </cell>
          <cell r="T609" t="e">
            <v>#REF!</v>
          </cell>
          <cell r="U609" t="e">
            <v>#REF!</v>
          </cell>
          <cell r="AA609" t="e">
            <v>#REF!</v>
          </cell>
          <cell r="AB609" t="e">
            <v>#REF!</v>
          </cell>
          <cell r="AC609" t="e">
            <v>#REF!</v>
          </cell>
          <cell r="AD609" t="e">
            <v>#REF!</v>
          </cell>
          <cell r="AE609" t="e">
            <v>#REF!</v>
          </cell>
          <cell r="AF609" t="e">
            <v>#REF!</v>
          </cell>
          <cell r="AG609" t="e">
            <v>#REF!</v>
          </cell>
          <cell r="AH609" t="e">
            <v>#REF!</v>
          </cell>
          <cell r="AI609" t="e">
            <v>#REF!</v>
          </cell>
          <cell r="AJ609" t="e">
            <v>#REF!</v>
          </cell>
          <cell r="AK609" t="e">
            <v>#REF!</v>
          </cell>
          <cell r="AL609" t="e">
            <v>#REF!</v>
          </cell>
          <cell r="AM609" t="e">
            <v>#REF!</v>
          </cell>
          <cell r="AN609" t="e">
            <v>#REF!</v>
          </cell>
          <cell r="AO609" t="e">
            <v>#REF!</v>
          </cell>
          <cell r="AP609" t="e">
            <v>#REF!</v>
          </cell>
          <cell r="AQ609" t="e">
            <v>#REF!</v>
          </cell>
          <cell r="AR609" t="e">
            <v>#REF!</v>
          </cell>
          <cell r="AS609" t="e">
            <v>#REF!</v>
          </cell>
          <cell r="AT609" t="e">
            <v>#REF!</v>
          </cell>
          <cell r="AU609" t="e">
            <v>#REF!</v>
          </cell>
        </row>
        <row r="610">
          <cell r="A610" t="str">
            <v>S16-0607</v>
          </cell>
          <cell r="B610" t="str">
            <v>群馬大学医学部付属病院_0607 (2)</v>
          </cell>
          <cell r="C610" t="str">
            <v>SR#不要</v>
          </cell>
          <cell r="D610" t="str">
            <v>2016/08/25-07</v>
          </cell>
          <cell r="E610" t="str">
            <v>有償</v>
          </cell>
          <cell r="F610">
            <v>42619</v>
          </cell>
          <cell r="G610">
            <v>0</v>
          </cell>
          <cell r="H610">
            <v>42642</v>
          </cell>
          <cell r="I610" t="str">
            <v>不明</v>
          </cell>
          <cell r="K610">
            <v>0</v>
          </cell>
          <cell r="M610" t="str">
            <v>Edge-Dock</v>
          </cell>
          <cell r="N610" t="str">
            <v>03WRGN</v>
          </cell>
          <cell r="O610" t="str">
            <v>P16370-01</v>
          </cell>
          <cell r="P610" t="str">
            <v>富士フイルムメディカル株式会社</v>
          </cell>
          <cell r="Q610" t="str">
            <v>風間様</v>
          </cell>
          <cell r="R610" t="str">
            <v>〒379-2154　群馬県前橋市天川大島町2-26-13</v>
          </cell>
          <cell r="S610" t="str">
            <v>03-6418-7190</v>
          </cell>
          <cell r="T610" t="str">
            <v>03-6418-7162</v>
          </cell>
          <cell r="U610" t="str">
            <v>群馬大学医学部附属病院</v>
          </cell>
          <cell r="V610" t="str">
            <v>-</v>
          </cell>
          <cell r="W610" t="str">
            <v>-</v>
          </cell>
          <cell r="X610" t="str">
            <v>027-220-7111</v>
          </cell>
          <cell r="Y610" t="str">
            <v>〒371-8511 群馬県前橋市昭和町三丁目39番15号</v>
          </cell>
          <cell r="AA610" t="str">
            <v/>
          </cell>
          <cell r="AB610" t="str">
            <v/>
          </cell>
          <cell r="AC610" t="str">
            <v/>
          </cell>
          <cell r="AD610" t="str">
            <v/>
          </cell>
          <cell r="AE610" t="str">
            <v/>
          </cell>
          <cell r="AF610" t="str">
            <v/>
          </cell>
          <cell r="AG610" t="str">
            <v/>
          </cell>
          <cell r="AH610" t="str">
            <v/>
          </cell>
          <cell r="AI610" t="str">
            <v/>
          </cell>
          <cell r="AJ610" t="str">
            <v/>
          </cell>
          <cell r="AK610" t="str">
            <v/>
          </cell>
          <cell r="AL610" t="str">
            <v/>
          </cell>
          <cell r="AM610" t="str">
            <v/>
          </cell>
          <cell r="AN610" t="str">
            <v/>
          </cell>
          <cell r="AO610" t="str">
            <v/>
          </cell>
          <cell r="AP610" t="str">
            <v/>
          </cell>
          <cell r="AQ610" t="str">
            <v/>
          </cell>
          <cell r="AR610" t="str">
            <v/>
          </cell>
          <cell r="AS610" t="str">
            <v/>
          </cell>
          <cell r="AT610" t="str">
            <v/>
          </cell>
          <cell r="AU610">
            <v>41579</v>
          </cell>
        </row>
        <row r="611">
          <cell r="A611" t="str">
            <v>S16-0608</v>
          </cell>
          <cell r="B611" t="str">
            <v>はしぐち整骨院_0608 (2)</v>
          </cell>
          <cell r="C611" t="str">
            <v>SR#</v>
          </cell>
          <cell r="D611" t="str">
            <v>2016/09/01-02</v>
          </cell>
          <cell r="E611" t="str">
            <v>有償</v>
          </cell>
          <cell r="F611">
            <v>42619</v>
          </cell>
          <cell r="G611">
            <v>0</v>
          </cell>
          <cell r="H611">
            <v>42634</v>
          </cell>
          <cell r="I611" t="str">
            <v>不明</v>
          </cell>
          <cell r="K611" t="str">
            <v>高橋</v>
          </cell>
          <cell r="L611">
            <v>3</v>
          </cell>
          <cell r="M611" t="str">
            <v>MicroMaxx</v>
          </cell>
          <cell r="N611" t="str">
            <v>WK02GX</v>
          </cell>
          <cell r="O611" t="str">
            <v>P08063-05</v>
          </cell>
          <cell r="P611" t="str">
            <v>株式会社エス・エス・ビー</v>
          </cell>
          <cell r="Q611" t="str">
            <v>中村様</v>
          </cell>
          <cell r="R611" t="str">
            <v>〒305-0853　茨城県つくば市榎戸748-2　榎戸倉庫6スパン</v>
          </cell>
          <cell r="S611" t="str">
            <v>029-839-0349</v>
          </cell>
          <cell r="T611" t="str">
            <v>029-838-0896</v>
          </cell>
          <cell r="U611" t="str">
            <v>はしぐち整骨院</v>
          </cell>
          <cell r="V611" t="str">
            <v>-</v>
          </cell>
          <cell r="W611" t="str">
            <v>-</v>
          </cell>
          <cell r="X611" t="str">
            <v>095-818-6608</v>
          </cell>
          <cell r="Y611" t="str">
            <v>〒850-0877　長崎県長崎市築町1-17 2F</v>
          </cell>
          <cell r="AA611" t="str">
            <v/>
          </cell>
          <cell r="AB611" t="str">
            <v/>
          </cell>
          <cell r="AC611" t="str">
            <v/>
          </cell>
          <cell r="AD611" t="str">
            <v/>
          </cell>
          <cell r="AE611" t="str">
            <v/>
          </cell>
          <cell r="AF611" t="str">
            <v/>
          </cell>
          <cell r="AG611" t="str">
            <v/>
          </cell>
          <cell r="AH611" t="str">
            <v/>
          </cell>
          <cell r="AI611" t="str">
            <v/>
          </cell>
          <cell r="AJ611" t="str">
            <v/>
          </cell>
          <cell r="AK611" t="str">
            <v/>
          </cell>
          <cell r="AL611" t="str">
            <v/>
          </cell>
          <cell r="AM611" t="str">
            <v/>
          </cell>
          <cell r="AN611" t="str">
            <v/>
          </cell>
          <cell r="AO611" t="str">
            <v/>
          </cell>
          <cell r="AP611" t="str">
            <v/>
          </cell>
          <cell r="AQ611" t="str">
            <v/>
          </cell>
          <cell r="AR611" t="str">
            <v/>
          </cell>
          <cell r="AS611" t="str">
            <v/>
          </cell>
          <cell r="AT611" t="str">
            <v/>
          </cell>
          <cell r="AU611">
            <v>40026</v>
          </cell>
        </row>
        <row r="612">
          <cell r="A612" t="str">
            <v>S16-0609</v>
          </cell>
          <cell r="B612" t="str">
            <v>コヴィディエンプロモ機_0609 (2)</v>
          </cell>
          <cell r="C612" t="str">
            <v>SR#</v>
          </cell>
          <cell r="D612" t="str">
            <v>-</v>
          </cell>
          <cell r="E612" t="str">
            <v>無償</v>
          </cell>
          <cell r="F612">
            <v>42619</v>
          </cell>
          <cell r="G612">
            <v>0</v>
          </cell>
          <cell r="H612">
            <v>42628</v>
          </cell>
          <cell r="I612" t="str">
            <v>不明</v>
          </cell>
          <cell r="K612" t="str">
            <v>高橋</v>
          </cell>
          <cell r="L612">
            <v>3</v>
          </cell>
          <cell r="M612" t="str">
            <v>NanoMaxx</v>
          </cell>
          <cell r="N612" t="str">
            <v>03X62P</v>
          </cell>
          <cell r="O612" t="str">
            <v>P12700-06</v>
          </cell>
          <cell r="P612" t="str">
            <v>日本コヴィディエン株式会社　ﾒﾃﾞｨｶﾙﾃﾞﾊﾞｲｽｻｰﾋﾞｽ課</v>
          </cell>
          <cell r="Q612" t="str">
            <v>藤崎様</v>
          </cell>
          <cell r="R612" t="str">
            <v>〒108-0075  東京都港区港南一丁目2番70号　品川シーズンテラス　22F</v>
          </cell>
          <cell r="S612" t="str">
            <v>03-6774-4629</v>
          </cell>
          <cell r="T612" t="str">
            <v>03-6774-4740</v>
          </cell>
          <cell r="U612" t="str">
            <v>プロモーション機</v>
          </cell>
          <cell r="V612" t="str">
            <v>-</v>
          </cell>
          <cell r="W612" t="str">
            <v>-</v>
          </cell>
          <cell r="X612" t="str">
            <v>-</v>
          </cell>
          <cell r="Y612" t="str">
            <v>同上</v>
          </cell>
          <cell r="AA612" t="str">
            <v>P13373-30</v>
          </cell>
          <cell r="AB612" t="str">
            <v>P09823-06</v>
          </cell>
          <cell r="AC612" t="str">
            <v/>
          </cell>
          <cell r="AD612" t="str">
            <v/>
          </cell>
          <cell r="AE612" t="str">
            <v/>
          </cell>
          <cell r="AF612" t="str">
            <v/>
          </cell>
          <cell r="AG612" t="str">
            <v/>
          </cell>
          <cell r="AH612" t="str">
            <v/>
          </cell>
          <cell r="AI612" t="str">
            <v/>
          </cell>
          <cell r="AJ612" t="str">
            <v/>
          </cell>
          <cell r="AK612" t="str">
            <v>NANOMAXX DOCK, JAPAN</v>
          </cell>
          <cell r="AL612" t="str">
            <v>LOW NOISE POWER SUPPLY,15V W/BATTERY CHARGER,75 W</v>
          </cell>
          <cell r="AM612" t="str">
            <v/>
          </cell>
          <cell r="AN612" t="str">
            <v/>
          </cell>
          <cell r="AO612" t="str">
            <v/>
          </cell>
          <cell r="AP612" t="str">
            <v/>
          </cell>
          <cell r="AQ612" t="str">
            <v/>
          </cell>
          <cell r="AR612" t="str">
            <v/>
          </cell>
          <cell r="AS612" t="str">
            <v/>
          </cell>
          <cell r="AT612" t="str">
            <v/>
          </cell>
          <cell r="AU612">
            <v>41699</v>
          </cell>
        </row>
        <row r="613">
          <cell r="A613" t="str">
            <v>S16-0610</v>
          </cell>
          <cell r="B613" t="str">
            <v>東京逓信病院_0610</v>
          </cell>
          <cell r="C613" t="e">
            <v>#REF!</v>
          </cell>
          <cell r="D613" t="e">
            <v>#REF!</v>
          </cell>
          <cell r="E613" t="e">
            <v>#REF!</v>
          </cell>
          <cell r="F613" t="e">
            <v>#REF!</v>
          </cell>
          <cell r="G613" t="e">
            <v>#REF!</v>
          </cell>
          <cell r="H613" t="e">
            <v>#REF!</v>
          </cell>
          <cell r="I613" t="e">
            <v>#REF!</v>
          </cell>
          <cell r="K613" t="e">
            <v>#REF!</v>
          </cell>
          <cell r="M613" t="e">
            <v>#REF!</v>
          </cell>
          <cell r="N613" t="e">
            <v>#REF!</v>
          </cell>
          <cell r="O613" t="e">
            <v>#REF!</v>
          </cell>
          <cell r="P613" t="e">
            <v>#REF!</v>
          </cell>
          <cell r="Q613" t="e">
            <v>#REF!</v>
          </cell>
          <cell r="R613" t="str">
            <v>〒106-0031　東京都港区西麻布2-26-30 富士フイルム西麻布ビル</v>
          </cell>
          <cell r="S613" t="e">
            <v>#REF!</v>
          </cell>
          <cell r="T613" t="e">
            <v>#REF!</v>
          </cell>
          <cell r="U613" t="e">
            <v>#REF!</v>
          </cell>
          <cell r="AA613" t="e">
            <v>#REF!</v>
          </cell>
          <cell r="AB613" t="e">
            <v>#REF!</v>
          </cell>
          <cell r="AC613" t="e">
            <v>#REF!</v>
          </cell>
          <cell r="AD613" t="e">
            <v>#REF!</v>
          </cell>
          <cell r="AE613" t="e">
            <v>#REF!</v>
          </cell>
          <cell r="AF613" t="e">
            <v>#REF!</v>
          </cell>
          <cell r="AG613" t="e">
            <v>#REF!</v>
          </cell>
          <cell r="AH613" t="e">
            <v>#REF!</v>
          </cell>
          <cell r="AI613" t="e">
            <v>#REF!</v>
          </cell>
          <cell r="AJ613" t="e">
            <v>#REF!</v>
          </cell>
          <cell r="AK613" t="e">
            <v>#REF!</v>
          </cell>
          <cell r="AL613" t="e">
            <v>#REF!</v>
          </cell>
          <cell r="AM613" t="e">
            <v>#REF!</v>
          </cell>
          <cell r="AN613" t="e">
            <v>#REF!</v>
          </cell>
          <cell r="AO613" t="e">
            <v>#REF!</v>
          </cell>
          <cell r="AP613" t="e">
            <v>#REF!</v>
          </cell>
          <cell r="AQ613" t="e">
            <v>#REF!</v>
          </cell>
          <cell r="AR613" t="e">
            <v>#REF!</v>
          </cell>
          <cell r="AS613" t="e">
            <v>#REF!</v>
          </cell>
          <cell r="AT613" t="e">
            <v>#REF!</v>
          </cell>
          <cell r="AU613" t="e">
            <v>#REF!</v>
          </cell>
        </row>
        <row r="614">
          <cell r="A614" t="str">
            <v>S16-0611</v>
          </cell>
          <cell r="B614" t="str">
            <v>代替機NIM33_0611</v>
          </cell>
          <cell r="C614" t="e">
            <v>#REF!</v>
          </cell>
          <cell r="D614" t="e">
            <v>#REF!</v>
          </cell>
          <cell r="E614" t="e">
            <v>#REF!</v>
          </cell>
          <cell r="F614" t="e">
            <v>#REF!</v>
          </cell>
          <cell r="G614" t="e">
            <v>#REF!</v>
          </cell>
          <cell r="H614" t="e">
            <v>#REF!</v>
          </cell>
          <cell r="I614" t="e">
            <v>#REF!</v>
          </cell>
          <cell r="K614" t="e">
            <v>#REF!</v>
          </cell>
          <cell r="M614" t="e">
            <v>#REF!</v>
          </cell>
          <cell r="N614" t="e">
            <v>#REF!</v>
          </cell>
          <cell r="O614" t="e">
            <v>#REF!</v>
          </cell>
          <cell r="P614" t="e">
            <v>#REF!</v>
          </cell>
          <cell r="Q614" t="e">
            <v>#REF!</v>
          </cell>
          <cell r="S614" t="e">
            <v>#REF!</v>
          </cell>
          <cell r="T614" t="e">
            <v>#REF!</v>
          </cell>
          <cell r="U614" t="e">
            <v>#REF!</v>
          </cell>
          <cell r="AA614" t="e">
            <v>#REF!</v>
          </cell>
          <cell r="AB614" t="e">
            <v>#REF!</v>
          </cell>
          <cell r="AC614" t="e">
            <v>#REF!</v>
          </cell>
          <cell r="AD614" t="e">
            <v>#REF!</v>
          </cell>
          <cell r="AE614" t="e">
            <v>#REF!</v>
          </cell>
          <cell r="AF614" t="e">
            <v>#REF!</v>
          </cell>
          <cell r="AG614" t="e">
            <v>#REF!</v>
          </cell>
          <cell r="AH614" t="e">
            <v>#REF!</v>
          </cell>
          <cell r="AI614" t="e">
            <v>#REF!</v>
          </cell>
          <cell r="AJ614" t="e">
            <v>#REF!</v>
          </cell>
          <cell r="AK614" t="e">
            <v>#REF!</v>
          </cell>
          <cell r="AL614" t="e">
            <v>#REF!</v>
          </cell>
          <cell r="AM614" t="e">
            <v>#REF!</v>
          </cell>
          <cell r="AN614" t="e">
            <v>#REF!</v>
          </cell>
          <cell r="AO614" t="e">
            <v>#REF!</v>
          </cell>
          <cell r="AP614" t="e">
            <v>#REF!</v>
          </cell>
          <cell r="AQ614" t="e">
            <v>#REF!</v>
          </cell>
          <cell r="AR614" t="e">
            <v>#REF!</v>
          </cell>
          <cell r="AS614" t="e">
            <v>#REF!</v>
          </cell>
          <cell r="AT614" t="e">
            <v>#REF!</v>
          </cell>
          <cell r="AU614" t="e">
            <v>#REF!</v>
          </cell>
        </row>
        <row r="615">
          <cell r="A615" t="str">
            <v>S16-0612</v>
          </cell>
          <cell r="B615" t="str">
            <v>東京城東病院_0612 (2)</v>
          </cell>
          <cell r="C615" t="str">
            <v>SR#4233587</v>
          </cell>
          <cell r="D615" t="str">
            <v>2016/09/07-01</v>
          </cell>
          <cell r="E615" t="str">
            <v>無償</v>
          </cell>
          <cell r="F615">
            <v>42620</v>
          </cell>
          <cell r="G615">
            <v>0</v>
          </cell>
          <cell r="H615">
            <v>42646</v>
          </cell>
          <cell r="I615">
            <v>42036</v>
          </cell>
          <cell r="K615" t="str">
            <v>高橋</v>
          </cell>
          <cell r="L615">
            <v>3</v>
          </cell>
          <cell r="M615" t="str">
            <v>X-Porte</v>
          </cell>
          <cell r="N615" t="str">
            <v>042TT6</v>
          </cell>
          <cell r="O615" t="str">
            <v>P19320-51</v>
          </cell>
          <cell r="P615" t="str">
            <v>富士フイルムメディカル株式会社</v>
          </cell>
          <cell r="Q615" t="str">
            <v>島崎様</v>
          </cell>
          <cell r="R615" t="str">
            <v>〒106-0031　東京都港区西麻布2-26-30 富士フイルム西麻布ビル</v>
          </cell>
          <cell r="S615" t="str">
            <v>03-6418-7190</v>
          </cell>
          <cell r="T615" t="str">
            <v>03-6418-7162</v>
          </cell>
          <cell r="U615" t="str">
            <v xml:space="preserve">東京城東病院 </v>
          </cell>
          <cell r="V615" t="str">
            <v>-</v>
          </cell>
          <cell r="W615" t="str">
            <v>-</v>
          </cell>
          <cell r="X615" t="str">
            <v>03-3685-1431</v>
          </cell>
          <cell r="Y615" t="str">
            <v>〒136-0071　東京都江東区亀戸9-13-1</v>
          </cell>
          <cell r="AA615" t="str">
            <v>P18673-01N</v>
          </cell>
          <cell r="AB615" t="str">
            <v/>
          </cell>
          <cell r="AC615" t="str">
            <v/>
          </cell>
          <cell r="AD615" t="str">
            <v/>
          </cell>
          <cell r="AE615" t="str">
            <v/>
          </cell>
          <cell r="AF615" t="str">
            <v/>
          </cell>
          <cell r="AG615" t="str">
            <v/>
          </cell>
          <cell r="AH615" t="str">
            <v/>
          </cell>
          <cell r="AI615" t="str">
            <v/>
          </cell>
          <cell r="AJ615" t="str">
            <v/>
          </cell>
          <cell r="AK615" t="str">
            <v xml:space="preserve">X-PORTE ENGINE, CW, JAPAN </v>
          </cell>
          <cell r="AL615" t="str">
            <v/>
          </cell>
          <cell r="AM615" t="str">
            <v/>
          </cell>
          <cell r="AN615" t="str">
            <v/>
          </cell>
          <cell r="AO615" t="str">
            <v/>
          </cell>
          <cell r="AP615" t="str">
            <v/>
          </cell>
          <cell r="AQ615" t="str">
            <v/>
          </cell>
          <cell r="AR615" t="str">
            <v/>
          </cell>
          <cell r="AS615" t="str">
            <v/>
          </cell>
          <cell r="AT615" t="str">
            <v/>
          </cell>
          <cell r="AU615">
            <v>42309</v>
          </cell>
        </row>
        <row r="616">
          <cell r="A616" t="str">
            <v>S16-0613</v>
          </cell>
          <cell r="B616" t="str">
            <v>笛吹中央病院_0613 (2)</v>
          </cell>
          <cell r="C616" t="str">
            <v>SR#不要</v>
          </cell>
          <cell r="D616" t="str">
            <v>2016/09/01-03</v>
          </cell>
          <cell r="E616" t="str">
            <v>有償</v>
          </cell>
          <cell r="F616">
            <v>42620</v>
          </cell>
          <cell r="G616">
            <v>0</v>
          </cell>
          <cell r="H616">
            <v>42639</v>
          </cell>
          <cell r="I616">
            <v>41698</v>
          </cell>
          <cell r="K616" t="str">
            <v>高橋</v>
          </cell>
          <cell r="M616" t="str">
            <v>HFL50x/15-6</v>
          </cell>
          <cell r="N616" t="str">
            <v>03WQPR</v>
          </cell>
          <cell r="O616" t="str">
            <v>P13811-02</v>
          </cell>
          <cell r="P616" t="str">
            <v>マコト医科器械株式会社</v>
          </cell>
          <cell r="Q616" t="str">
            <v>清水様</v>
          </cell>
          <cell r="R616" t="str">
            <v>〒409-3845　山梨県中央市流通団地北5番地</v>
          </cell>
          <cell r="S616" t="str">
            <v>055-273-0333</v>
          </cell>
          <cell r="T616" t="str">
            <v>055-273-7626</v>
          </cell>
          <cell r="U616" t="str">
            <v>笛吹中央病院 麻酔科</v>
          </cell>
          <cell r="V616" t="str">
            <v>多胡雅夫先生</v>
          </cell>
          <cell r="W616" t="str">
            <v>麻酔科</v>
          </cell>
          <cell r="X616" t="str">
            <v>055-262-2185</v>
          </cell>
          <cell r="Y616" t="str">
            <v>〒406-0032　山梨県笛吹市石和町四日市場47-1</v>
          </cell>
          <cell r="AA616" t="str">
            <v/>
          </cell>
          <cell r="AB616" t="str">
            <v/>
          </cell>
          <cell r="AC616" t="str">
            <v/>
          </cell>
          <cell r="AD616" t="str">
            <v/>
          </cell>
          <cell r="AE616" t="str">
            <v/>
          </cell>
          <cell r="AF616" t="str">
            <v/>
          </cell>
          <cell r="AG616" t="str">
            <v/>
          </cell>
          <cell r="AH616" t="str">
            <v/>
          </cell>
          <cell r="AI616" t="str">
            <v/>
          </cell>
          <cell r="AJ616" t="str">
            <v/>
          </cell>
          <cell r="AK616" t="str">
            <v/>
          </cell>
          <cell r="AL616" t="str">
            <v/>
          </cell>
          <cell r="AM616" t="str">
            <v/>
          </cell>
          <cell r="AN616" t="str">
            <v/>
          </cell>
          <cell r="AO616" t="str">
            <v/>
          </cell>
          <cell r="AP616" t="str">
            <v/>
          </cell>
          <cell r="AQ616" t="str">
            <v/>
          </cell>
          <cell r="AR616" t="str">
            <v/>
          </cell>
          <cell r="AS616" t="str">
            <v/>
          </cell>
          <cell r="AT616" t="str">
            <v/>
          </cell>
          <cell r="AU616">
            <v>41548</v>
          </cell>
        </row>
        <row r="617">
          <cell r="A617" t="str">
            <v>S16-0614</v>
          </cell>
          <cell r="B617" t="str">
            <v>丘ノ規病院_0614 (2)</v>
          </cell>
          <cell r="C617" t="str">
            <v>SR#4232973</v>
          </cell>
          <cell r="D617" t="str">
            <v>-</v>
          </cell>
          <cell r="E617" t="str">
            <v>無償</v>
          </cell>
          <cell r="F617">
            <v>42620</v>
          </cell>
          <cell r="G617">
            <v>0</v>
          </cell>
          <cell r="H617">
            <v>42671</v>
          </cell>
          <cell r="I617">
            <v>41879</v>
          </cell>
          <cell r="K617" t="str">
            <v>高橋</v>
          </cell>
          <cell r="L617">
            <v>3</v>
          </cell>
          <cell r="M617" t="str">
            <v>NanoMaxx</v>
          </cell>
          <cell r="N617" t="str">
            <v>03XW2F</v>
          </cell>
          <cell r="O617" t="str">
            <v>P12700-06</v>
          </cell>
          <cell r="P617" t="str">
            <v>日本コヴィディエン株式会社　営業企画室</v>
          </cell>
          <cell r="Q617" t="str">
            <v>岡田様</v>
          </cell>
          <cell r="R617" t="str">
            <v>〒108-0075  東京都港区港南一丁目2番70号　品川シーズンテラス　22F</v>
          </cell>
          <cell r="S617" t="str">
            <v>03-6774-4629</v>
          </cell>
          <cell r="T617" t="str">
            <v>03-6774-4740</v>
          </cell>
          <cell r="U617" t="str">
            <v>丘ノ規病院</v>
          </cell>
          <cell r="V617" t="str">
            <v>-</v>
          </cell>
          <cell r="W617" t="str">
            <v>-</v>
          </cell>
          <cell r="X617" t="str">
            <v>093-602-6631</v>
          </cell>
          <cell r="Y617" t="str">
            <v>〒807-0831 福岡県北九州市八幡西区大字則松104-1</v>
          </cell>
          <cell r="AA617" t="str">
            <v>P12718-02</v>
          </cell>
          <cell r="AB617" t="str">
            <v/>
          </cell>
          <cell r="AC617" t="str">
            <v/>
          </cell>
          <cell r="AD617" t="str">
            <v/>
          </cell>
          <cell r="AE617" t="str">
            <v/>
          </cell>
          <cell r="AF617" t="str">
            <v/>
          </cell>
          <cell r="AG617" t="str">
            <v/>
          </cell>
          <cell r="AH617" t="str">
            <v/>
          </cell>
          <cell r="AI617" t="str">
            <v/>
          </cell>
          <cell r="AJ617" t="str">
            <v/>
          </cell>
          <cell r="AK617" t="str">
            <v>SERVICE ASSEMBLY, BACK END PCB, NANOMAXX</v>
          </cell>
          <cell r="AL617" t="str">
            <v/>
          </cell>
          <cell r="AM617" t="str">
            <v/>
          </cell>
          <cell r="AN617" t="str">
            <v/>
          </cell>
          <cell r="AO617" t="str">
            <v/>
          </cell>
          <cell r="AP617" t="str">
            <v/>
          </cell>
          <cell r="AQ617" t="str">
            <v/>
          </cell>
          <cell r="AR617" t="str">
            <v/>
          </cell>
          <cell r="AS617" t="str">
            <v/>
          </cell>
          <cell r="AT617" t="str">
            <v/>
          </cell>
          <cell r="AU617">
            <v>41699</v>
          </cell>
        </row>
        <row r="618">
          <cell r="A618" t="str">
            <v>S16-0615</v>
          </cell>
          <cell r="B618" t="str">
            <v>健和会大手町病院_0615 (2)</v>
          </cell>
          <cell r="C618" t="str">
            <v>SR#4232975</v>
          </cell>
          <cell r="D618" t="str">
            <v>-</v>
          </cell>
          <cell r="E618" t="str">
            <v>無償</v>
          </cell>
          <cell r="F618">
            <v>42620</v>
          </cell>
          <cell r="G618">
            <v>0</v>
          </cell>
          <cell r="H618">
            <v>42668</v>
          </cell>
          <cell r="I618">
            <v>41760</v>
          </cell>
          <cell r="K618" t="str">
            <v>高橋</v>
          </cell>
          <cell r="L618">
            <v>3</v>
          </cell>
          <cell r="M618" t="str">
            <v>NanoMaxx</v>
          </cell>
          <cell r="N618" t="str">
            <v>03X4RY</v>
          </cell>
          <cell r="O618" t="str">
            <v>P12700-06</v>
          </cell>
          <cell r="P618" t="str">
            <v>日本コヴィディエン株式会社　九州第一営業所</v>
          </cell>
          <cell r="Q618" t="str">
            <v>原様</v>
          </cell>
          <cell r="R618" t="str">
            <v>〒108-0075  東京都港区港南一丁目2番70号　品川シーズンテラス　22F</v>
          </cell>
          <cell r="S618" t="str">
            <v>03-6774-4629</v>
          </cell>
          <cell r="T618" t="str">
            <v>03-6774-4740</v>
          </cell>
          <cell r="U618" t="str">
            <v>健和会 大手町病院</v>
          </cell>
          <cell r="V618" t="str">
            <v>-</v>
          </cell>
          <cell r="W618" t="str">
            <v>-</v>
          </cell>
          <cell r="X618" t="str">
            <v>093-592-5511</v>
          </cell>
          <cell r="Y618" t="str">
            <v>〒803-8543　福岡県北九州市小倉北区大手町15-1</v>
          </cell>
          <cell r="AA618" t="str">
            <v>P12745-01</v>
          </cell>
          <cell r="AB618" t="str">
            <v>P12718-02</v>
          </cell>
          <cell r="AC618" t="str">
            <v/>
          </cell>
          <cell r="AD618" t="str">
            <v/>
          </cell>
          <cell r="AE618" t="str">
            <v/>
          </cell>
          <cell r="AF618" t="str">
            <v/>
          </cell>
          <cell r="AG618" t="str">
            <v/>
          </cell>
          <cell r="AH618" t="str">
            <v/>
          </cell>
          <cell r="AI618" t="str">
            <v/>
          </cell>
          <cell r="AJ618" t="str">
            <v/>
          </cell>
          <cell r="AK618" t="str">
            <v>SERVICE ASSEMBLY, POWER SUPPLY PCB, NANOMAXX</v>
          </cell>
          <cell r="AL618" t="str">
            <v>SERVICE ASSEMBLY, BACK END PCB, NANOMAXX</v>
          </cell>
          <cell r="AM618" t="str">
            <v/>
          </cell>
          <cell r="AN618" t="str">
            <v/>
          </cell>
          <cell r="AO618" t="str">
            <v/>
          </cell>
          <cell r="AP618" t="str">
            <v/>
          </cell>
          <cell r="AQ618" t="str">
            <v/>
          </cell>
          <cell r="AR618" t="str">
            <v/>
          </cell>
          <cell r="AS618" t="str">
            <v/>
          </cell>
          <cell r="AT618" t="str">
            <v/>
          </cell>
          <cell r="AU618">
            <v>41791</v>
          </cell>
        </row>
        <row r="619">
          <cell r="A619" t="str">
            <v>S16-0616</v>
          </cell>
          <cell r="B619" t="str">
            <v>北柏リハビリ総合病院_0616 (2)</v>
          </cell>
          <cell r="C619" t="str">
            <v>SR#4232977</v>
          </cell>
          <cell r="D619" t="str">
            <v>-</v>
          </cell>
          <cell r="E619" t="str">
            <v>無償</v>
          </cell>
          <cell r="F619">
            <v>42620</v>
          </cell>
          <cell r="G619">
            <v>0</v>
          </cell>
          <cell r="H619">
            <v>42696</v>
          </cell>
          <cell r="I619">
            <v>40981</v>
          </cell>
          <cell r="K619">
            <v>0</v>
          </cell>
          <cell r="M619" t="str">
            <v>NanoMaxx</v>
          </cell>
          <cell r="N619" t="str">
            <v>03N17F</v>
          </cell>
          <cell r="O619" t="str">
            <v>P12700-05</v>
          </cell>
          <cell r="P619" t="str">
            <v>日本コヴィディエン株式会社　首都圏透析営業所</v>
          </cell>
          <cell r="Q619" t="str">
            <v>小林様</v>
          </cell>
          <cell r="R619" t="str">
            <v>〒108-0075  東京都港区港南一丁目2番70号　品川シーズンテラス　22F</v>
          </cell>
          <cell r="S619" t="str">
            <v>03-6774-4629</v>
          </cell>
          <cell r="T619" t="str">
            <v>03-6774-4740</v>
          </cell>
          <cell r="U619" t="str">
            <v>北柏リハビリ総合病院</v>
          </cell>
          <cell r="V619" t="str">
            <v>-</v>
          </cell>
          <cell r="W619" t="str">
            <v>-</v>
          </cell>
          <cell r="X619" t="str">
            <v>04-7169-8000</v>
          </cell>
          <cell r="Y619" t="str">
            <v>〒277-0004 千葉県柏市柏下265</v>
          </cell>
          <cell r="AA619" t="str">
            <v>P12718-02</v>
          </cell>
          <cell r="AB619" t="str">
            <v>P09732-02</v>
          </cell>
          <cell r="AC619" t="str">
            <v/>
          </cell>
          <cell r="AD619" t="str">
            <v/>
          </cell>
          <cell r="AE619" t="str">
            <v/>
          </cell>
          <cell r="AF619" t="str">
            <v/>
          </cell>
          <cell r="AG619" t="str">
            <v/>
          </cell>
          <cell r="AH619" t="str">
            <v/>
          </cell>
          <cell r="AI619" t="str">
            <v/>
          </cell>
          <cell r="AJ619" t="str">
            <v/>
          </cell>
          <cell r="AK619" t="str">
            <v>SERVICE ASSEMBLY, BACK END PCB, NANOMAXX</v>
          </cell>
          <cell r="AL619" t="str">
            <v>ASSEMBLY, 8.4", SCREENED LCD WITH TOUCHSCREEN, IN PLANT COSTED</v>
          </cell>
          <cell r="AM619" t="str">
            <v/>
          </cell>
          <cell r="AN619" t="str">
            <v/>
          </cell>
          <cell r="AO619" t="str">
            <v/>
          </cell>
          <cell r="AP619" t="str">
            <v/>
          </cell>
          <cell r="AQ619" t="str">
            <v/>
          </cell>
          <cell r="AR619" t="str">
            <v/>
          </cell>
          <cell r="AS619" t="str">
            <v/>
          </cell>
          <cell r="AT619" t="str">
            <v/>
          </cell>
          <cell r="AU619">
            <v>40848</v>
          </cell>
        </row>
        <row r="620">
          <cell r="A620" t="str">
            <v>S16-0617</v>
          </cell>
          <cell r="B620" t="str">
            <v>両国きたむら整形外科_0617 (2)</v>
          </cell>
          <cell r="C620" t="str">
            <v>SR#4232979</v>
          </cell>
          <cell r="D620" t="str">
            <v>2016/08/22-03</v>
          </cell>
          <cell r="E620" t="str">
            <v>無償</v>
          </cell>
          <cell r="F620">
            <v>42621</v>
          </cell>
          <cell r="G620">
            <v>0</v>
          </cell>
          <cell r="H620">
            <v>42654</v>
          </cell>
          <cell r="I620">
            <v>41791</v>
          </cell>
          <cell r="K620" t="str">
            <v>高橋</v>
          </cell>
          <cell r="L620">
            <v>3</v>
          </cell>
          <cell r="M620" t="str">
            <v>M-Turbo</v>
          </cell>
          <cell r="N620" t="str">
            <v>WK28B9</v>
          </cell>
          <cell r="O620" t="str">
            <v>P16693-03</v>
          </cell>
          <cell r="P620" t="str">
            <v>両国きたむら整形外科</v>
          </cell>
          <cell r="Q620" t="str">
            <v>北村大地様</v>
          </cell>
          <cell r="R620" t="str">
            <v>〒106-0031　東京都港区西麻布2-26-30 富士フイルム西麻布ビル</v>
          </cell>
          <cell r="S620" t="str">
            <v>03-6659-5173</v>
          </cell>
          <cell r="T620" t="str">
            <v>－</v>
          </cell>
          <cell r="U620" t="str">
            <v>両国きたむら整形外科</v>
          </cell>
          <cell r="V620" t="str">
            <v>-</v>
          </cell>
          <cell r="W620" t="str">
            <v>-</v>
          </cell>
          <cell r="X620" t="str">
            <v>03-6659-5173</v>
          </cell>
          <cell r="Y620" t="str">
            <v xml:space="preserve">〒130-0026 墨田区両国3-19-5 シュタム両国ビル2階 </v>
          </cell>
          <cell r="AA620" t="str">
            <v>P19087-02</v>
          </cell>
          <cell r="AB620" t="str">
            <v/>
          </cell>
          <cell r="AC620" t="str">
            <v/>
          </cell>
          <cell r="AD620" t="str">
            <v/>
          </cell>
          <cell r="AE620" t="str">
            <v/>
          </cell>
          <cell r="AF620" t="str">
            <v/>
          </cell>
          <cell r="AG620" t="str">
            <v/>
          </cell>
          <cell r="AH620" t="str">
            <v/>
          </cell>
          <cell r="AI620" t="str">
            <v/>
          </cell>
          <cell r="AJ620" t="str">
            <v/>
          </cell>
          <cell r="AK620" t="str">
            <v>MAIN PCBA, M-Turbo</v>
          </cell>
          <cell r="AL620" t="str">
            <v/>
          </cell>
          <cell r="AM620" t="str">
            <v/>
          </cell>
          <cell r="AN620" t="str">
            <v/>
          </cell>
          <cell r="AO620" t="str">
            <v/>
          </cell>
          <cell r="AP620" t="str">
            <v/>
          </cell>
          <cell r="AQ620" t="str">
            <v/>
          </cell>
          <cell r="AR620" t="str">
            <v/>
          </cell>
          <cell r="AS620" t="str">
            <v/>
          </cell>
          <cell r="AT620" t="str">
            <v/>
          </cell>
          <cell r="AU620">
            <v>41699</v>
          </cell>
        </row>
        <row r="621">
          <cell r="A621" t="str">
            <v>S16-0618</v>
          </cell>
          <cell r="B621" t="str">
            <v>市立札幌病院_0618 (2)</v>
          </cell>
          <cell r="C621" t="str">
            <v>SR#4238711</v>
          </cell>
          <cell r="D621" t="str">
            <v>2016/09/06-10</v>
          </cell>
          <cell r="E621" t="str">
            <v>無償</v>
          </cell>
          <cell r="F621">
            <v>42621</v>
          </cell>
          <cell r="G621">
            <v>0</v>
          </cell>
          <cell r="H621">
            <v>42696</v>
          </cell>
          <cell r="I621" t="str">
            <v>不明</v>
          </cell>
          <cell r="K621" t="str">
            <v>高橋</v>
          </cell>
          <cell r="L621">
            <v>3</v>
          </cell>
          <cell r="M621" t="str">
            <v>NanoMaxx</v>
          </cell>
          <cell r="N621" t="str">
            <v>03YRWC</v>
          </cell>
          <cell r="O621" t="str">
            <v>P12700-60</v>
          </cell>
          <cell r="P621" t="str">
            <v>富士フイルムメディカル株式会社</v>
          </cell>
          <cell r="Q621" t="str">
            <v>山内様</v>
          </cell>
          <cell r="R621" t="str">
            <v>〒001-0018　北海道札幌市北区北18条西3-1-38</v>
          </cell>
          <cell r="S621" t="str">
            <v>03-6418-7190</v>
          </cell>
          <cell r="T621" t="str">
            <v>03-6418-7162</v>
          </cell>
          <cell r="U621" t="str">
            <v>市立札幌病院 MEセンター</v>
          </cell>
          <cell r="V621" t="str">
            <v>-</v>
          </cell>
          <cell r="W621" t="str">
            <v>-</v>
          </cell>
          <cell r="X621" t="str">
            <v>011-726-2211</v>
          </cell>
          <cell r="Y621" t="str">
            <v>〒060-8604 北海道札幌市中央区北11条西13丁目1-1</v>
          </cell>
          <cell r="AA621" t="str">
            <v>P12717-01</v>
          </cell>
          <cell r="AB621" t="str">
            <v/>
          </cell>
          <cell r="AC621" t="str">
            <v/>
          </cell>
          <cell r="AD621" t="str">
            <v/>
          </cell>
          <cell r="AE621" t="str">
            <v/>
          </cell>
          <cell r="AF621" t="str">
            <v/>
          </cell>
          <cell r="AG621" t="str">
            <v/>
          </cell>
          <cell r="AH621" t="str">
            <v/>
          </cell>
          <cell r="AI621" t="str">
            <v/>
          </cell>
          <cell r="AJ621" t="str">
            <v/>
          </cell>
          <cell r="AK621" t="str">
            <v>SERVICE ASSEMBLY, FRONT END PCB, NANOMAXX</v>
          </cell>
          <cell r="AL621" t="str">
            <v/>
          </cell>
          <cell r="AM621" t="str">
            <v/>
          </cell>
          <cell r="AN621" t="str">
            <v/>
          </cell>
          <cell r="AO621" t="str">
            <v/>
          </cell>
          <cell r="AP621" t="str">
            <v/>
          </cell>
          <cell r="AQ621" t="str">
            <v/>
          </cell>
          <cell r="AR621" t="str">
            <v/>
          </cell>
          <cell r="AS621" t="str">
            <v/>
          </cell>
          <cell r="AT621" t="str">
            <v/>
          </cell>
          <cell r="AU621">
            <v>42156</v>
          </cell>
        </row>
        <row r="622">
          <cell r="A622" t="str">
            <v>S16-0619</v>
          </cell>
          <cell r="B622" t="str">
            <v>千葉西総合病院_0619 (2)</v>
          </cell>
          <cell r="C622" t="str">
            <v>SR#4233989</v>
          </cell>
          <cell r="D622" t="str">
            <v>-</v>
          </cell>
          <cell r="E622" t="str">
            <v>無償</v>
          </cell>
          <cell r="F622">
            <v>42621</v>
          </cell>
          <cell r="G622">
            <v>0</v>
          </cell>
          <cell r="H622">
            <v>42663</v>
          </cell>
          <cell r="I622">
            <v>41835</v>
          </cell>
          <cell r="K622" t="str">
            <v>高橋</v>
          </cell>
          <cell r="L622">
            <v>3</v>
          </cell>
          <cell r="M622" t="str">
            <v>NanoMaxx</v>
          </cell>
          <cell r="N622" t="str">
            <v>03XV05</v>
          </cell>
          <cell r="O622" t="str">
            <v>P12700-06</v>
          </cell>
          <cell r="P622" t="str">
            <v>日本コヴィディエン株式会社　南関東営業所</v>
          </cell>
          <cell r="Q622" t="str">
            <v>中村様</v>
          </cell>
          <cell r="R622" t="str">
            <v>〒108-0075  東京都港区港南一丁目2番70号　品川シーズンテラス　22F</v>
          </cell>
          <cell r="S622" t="str">
            <v>03-6774-4629</v>
          </cell>
          <cell r="T622" t="str">
            <v>03-6774-4740</v>
          </cell>
          <cell r="U622" t="str">
            <v>千葉西総合病院</v>
          </cell>
          <cell r="V622" t="str">
            <v>-</v>
          </cell>
          <cell r="W622" t="str">
            <v>-</v>
          </cell>
          <cell r="X622" t="str">
            <v>047-384-8111</v>
          </cell>
          <cell r="Y622" t="str">
            <v>〒270-2251 千葉県松戸市金ヶ作107-1</v>
          </cell>
          <cell r="AA622" t="str">
            <v>P12745-01</v>
          </cell>
          <cell r="AB622" t="str">
            <v>P12717-01</v>
          </cell>
          <cell r="AC622" t="str">
            <v>P09200-02</v>
          </cell>
          <cell r="AD622" t="str">
            <v/>
          </cell>
          <cell r="AE622" t="str">
            <v/>
          </cell>
          <cell r="AF622" t="str">
            <v/>
          </cell>
          <cell r="AG622" t="str">
            <v/>
          </cell>
          <cell r="AH622" t="str">
            <v/>
          </cell>
          <cell r="AI622" t="str">
            <v/>
          </cell>
          <cell r="AJ622" t="str">
            <v/>
          </cell>
          <cell r="AK622" t="str">
            <v>SERVICE ASSEMBLY, POWER SUPPLY PCB, NANOMAXX</v>
          </cell>
          <cell r="AL622" t="str">
            <v>SERVICE ASSEMBLY, FRONT END PCB, NANOMAXX</v>
          </cell>
          <cell r="AM622" t="str">
            <v>CABLE ASSY, DISPLAY, NANOONE</v>
          </cell>
          <cell r="AN622" t="str">
            <v/>
          </cell>
          <cell r="AO622" t="str">
            <v/>
          </cell>
          <cell r="AP622" t="str">
            <v/>
          </cell>
          <cell r="AQ622" t="str">
            <v/>
          </cell>
          <cell r="AR622" t="str">
            <v/>
          </cell>
          <cell r="AS622" t="str">
            <v/>
          </cell>
          <cell r="AT622" t="str">
            <v/>
          </cell>
          <cell r="AU622">
            <v>41699</v>
          </cell>
        </row>
        <row r="623">
          <cell r="A623" t="str">
            <v>S16-0620</v>
          </cell>
          <cell r="B623" t="str">
            <v>金沢医療センター_0620</v>
          </cell>
          <cell r="C623" t="e">
            <v>#REF!</v>
          </cell>
          <cell r="D623" t="e">
            <v>#REF!</v>
          </cell>
          <cell r="E623" t="e">
            <v>#REF!</v>
          </cell>
          <cell r="F623" t="e">
            <v>#REF!</v>
          </cell>
          <cell r="G623" t="e">
            <v>#REF!</v>
          </cell>
          <cell r="H623" t="e">
            <v>#REF!</v>
          </cell>
          <cell r="I623" t="e">
            <v>#REF!</v>
          </cell>
          <cell r="K623" t="e">
            <v>#REF!</v>
          </cell>
          <cell r="M623" t="e">
            <v>#REF!</v>
          </cell>
          <cell r="N623" t="e">
            <v>#REF!</v>
          </cell>
          <cell r="O623" t="e">
            <v>#REF!</v>
          </cell>
          <cell r="P623" t="e">
            <v>#REF!</v>
          </cell>
          <cell r="Q623" t="e">
            <v>#REF!</v>
          </cell>
          <cell r="R623" t="str">
            <v>〒920-0025　石川県金沢市駅西本町2丁目11-29</v>
          </cell>
          <cell r="S623" t="e">
            <v>#REF!</v>
          </cell>
          <cell r="T623" t="e">
            <v>#REF!</v>
          </cell>
          <cell r="U623" t="e">
            <v>#REF!</v>
          </cell>
          <cell r="V623" t="str">
            <v>-</v>
          </cell>
          <cell r="W623" t="str">
            <v>-</v>
          </cell>
          <cell r="X623" t="str">
            <v>076-262-4161</v>
          </cell>
          <cell r="Y623" t="str">
            <v>〒920-8650 石川県金沢市下石引町1-1</v>
          </cell>
          <cell r="AA623" t="e">
            <v>#REF!</v>
          </cell>
          <cell r="AB623" t="e">
            <v>#REF!</v>
          </cell>
          <cell r="AC623" t="e">
            <v>#REF!</v>
          </cell>
          <cell r="AD623" t="e">
            <v>#REF!</v>
          </cell>
          <cell r="AE623" t="e">
            <v>#REF!</v>
          </cell>
          <cell r="AF623" t="e">
            <v>#REF!</v>
          </cell>
          <cell r="AG623" t="e">
            <v>#REF!</v>
          </cell>
          <cell r="AH623" t="e">
            <v>#REF!</v>
          </cell>
          <cell r="AI623" t="e">
            <v>#REF!</v>
          </cell>
          <cell r="AJ623" t="e">
            <v>#REF!</v>
          </cell>
          <cell r="AK623" t="e">
            <v>#REF!</v>
          </cell>
          <cell r="AL623" t="e">
            <v>#REF!</v>
          </cell>
          <cell r="AM623" t="e">
            <v>#REF!</v>
          </cell>
          <cell r="AN623" t="e">
            <v>#REF!</v>
          </cell>
          <cell r="AO623" t="e">
            <v>#REF!</v>
          </cell>
          <cell r="AP623" t="e">
            <v>#REF!</v>
          </cell>
          <cell r="AQ623" t="e">
            <v>#REF!</v>
          </cell>
          <cell r="AR623" t="e">
            <v>#REF!</v>
          </cell>
          <cell r="AS623" t="e">
            <v>#REF!</v>
          </cell>
          <cell r="AT623" t="e">
            <v>#REF!</v>
          </cell>
          <cell r="AU623" t="e">
            <v>#REF!</v>
          </cell>
        </row>
        <row r="624">
          <cell r="A624" t="str">
            <v>S16-0621</v>
          </cell>
          <cell r="B624" t="str">
            <v>京都南病院_0621 (2)</v>
          </cell>
          <cell r="C624" t="str">
            <v>SR#</v>
          </cell>
          <cell r="D624" t="str">
            <v>2016/09/06-05</v>
          </cell>
          <cell r="E624" t="str">
            <v>有償</v>
          </cell>
          <cell r="F624">
            <v>42621</v>
          </cell>
          <cell r="G624">
            <v>0</v>
          </cell>
          <cell r="H624">
            <v>42629</v>
          </cell>
          <cell r="I624" t="str">
            <v>不明</v>
          </cell>
          <cell r="K624" t="str">
            <v>-</v>
          </cell>
          <cell r="L624" t="str">
            <v>-</v>
          </cell>
          <cell r="M624">
            <v>180</v>
          </cell>
          <cell r="N624" t="str">
            <v>01G30F</v>
          </cell>
          <cell r="O624" t="str">
            <v>P01102-01</v>
          </cell>
          <cell r="P624" t="str">
            <v>株式会社三笑堂</v>
          </cell>
          <cell r="Q624" t="str">
            <v>前田様</v>
          </cell>
          <cell r="R624" t="str">
            <v>〒601-8533　京都府京都市南区上鳥羽大物町68</v>
          </cell>
          <cell r="S624" t="str">
            <v>075-681-5131</v>
          </cell>
          <cell r="T624" t="str">
            <v>075-681-5144</v>
          </cell>
          <cell r="U624" t="str">
            <v>京都南病院</v>
          </cell>
          <cell r="V624" t="str">
            <v>-</v>
          </cell>
          <cell r="W624" t="str">
            <v>-</v>
          </cell>
          <cell r="X624" t="str">
            <v>075-312-7361</v>
          </cell>
          <cell r="Y624" t="str">
            <v>〒600-8876　京都市下京区西七条南中野町8番地</v>
          </cell>
          <cell r="AA624" t="str">
            <v/>
          </cell>
          <cell r="AB624" t="str">
            <v/>
          </cell>
          <cell r="AC624" t="str">
            <v/>
          </cell>
          <cell r="AD624" t="str">
            <v/>
          </cell>
          <cell r="AE624" t="str">
            <v/>
          </cell>
          <cell r="AF624" t="str">
            <v/>
          </cell>
          <cell r="AG624" t="str">
            <v/>
          </cell>
          <cell r="AH624" t="str">
            <v/>
          </cell>
          <cell r="AI624" t="str">
            <v/>
          </cell>
          <cell r="AJ624" t="str">
            <v/>
          </cell>
          <cell r="AK624" t="str">
            <v/>
          </cell>
          <cell r="AL624" t="str">
            <v/>
          </cell>
          <cell r="AM624" t="str">
            <v/>
          </cell>
          <cell r="AN624" t="str">
            <v/>
          </cell>
          <cell r="AO624" t="str">
            <v/>
          </cell>
          <cell r="AP624" t="str">
            <v/>
          </cell>
          <cell r="AQ624" t="str">
            <v/>
          </cell>
          <cell r="AR624" t="str">
            <v/>
          </cell>
          <cell r="AS624" t="str">
            <v/>
          </cell>
          <cell r="AT624" t="str">
            <v/>
          </cell>
          <cell r="AU624">
            <v>36557</v>
          </cell>
        </row>
        <row r="625">
          <cell r="A625" t="str">
            <v>S16-0622</v>
          </cell>
          <cell r="B625" t="str">
            <v>伊那中央病院_0622</v>
          </cell>
          <cell r="C625" t="e">
            <v>#REF!</v>
          </cell>
          <cell r="D625" t="e">
            <v>#REF!</v>
          </cell>
          <cell r="E625" t="e">
            <v>#REF!</v>
          </cell>
          <cell r="F625" t="e">
            <v>#REF!</v>
          </cell>
          <cell r="G625" t="e">
            <v>#REF!</v>
          </cell>
          <cell r="H625" t="e">
            <v>#REF!</v>
          </cell>
          <cell r="I625" t="e">
            <v>#REF!</v>
          </cell>
          <cell r="K625" t="e">
            <v>#REF!</v>
          </cell>
          <cell r="M625" t="e">
            <v>#REF!</v>
          </cell>
          <cell r="N625" t="e">
            <v>#REF!</v>
          </cell>
          <cell r="O625" t="e">
            <v>#REF!</v>
          </cell>
          <cell r="P625" t="e">
            <v>#REF!</v>
          </cell>
          <cell r="Q625" t="e">
            <v>#REF!</v>
          </cell>
          <cell r="R625" t="str">
            <v>〒399-4511　長野県上伊那郡南箕輪村田畑5565-3</v>
          </cell>
          <cell r="S625" t="e">
            <v>#REF!</v>
          </cell>
          <cell r="T625" t="e">
            <v>#REF!</v>
          </cell>
          <cell r="U625" t="e">
            <v>#REF!</v>
          </cell>
          <cell r="V625" t="str">
            <v>-</v>
          </cell>
          <cell r="W625" t="str">
            <v>-</v>
          </cell>
          <cell r="X625" t="str">
            <v>0265-72-3121</v>
          </cell>
          <cell r="Y625" t="str">
            <v>〒396-8555 長野県伊那市小四郎久保1313</v>
          </cell>
          <cell r="AA625" t="e">
            <v>#REF!</v>
          </cell>
          <cell r="AB625" t="e">
            <v>#REF!</v>
          </cell>
          <cell r="AC625" t="e">
            <v>#REF!</v>
          </cell>
          <cell r="AD625" t="e">
            <v>#REF!</v>
          </cell>
          <cell r="AE625" t="e">
            <v>#REF!</v>
          </cell>
          <cell r="AF625" t="e">
            <v>#REF!</v>
          </cell>
          <cell r="AG625" t="e">
            <v>#REF!</v>
          </cell>
          <cell r="AH625" t="e">
            <v>#REF!</v>
          </cell>
          <cell r="AI625" t="e">
            <v>#REF!</v>
          </cell>
          <cell r="AJ625" t="e">
            <v>#REF!</v>
          </cell>
          <cell r="AK625" t="e">
            <v>#REF!</v>
          </cell>
          <cell r="AL625" t="e">
            <v>#REF!</v>
          </cell>
          <cell r="AM625" t="e">
            <v>#REF!</v>
          </cell>
          <cell r="AN625" t="e">
            <v>#REF!</v>
          </cell>
          <cell r="AO625" t="e">
            <v>#REF!</v>
          </cell>
          <cell r="AP625" t="e">
            <v>#REF!</v>
          </cell>
          <cell r="AQ625" t="e">
            <v>#REF!</v>
          </cell>
          <cell r="AR625" t="e">
            <v>#REF!</v>
          </cell>
          <cell r="AS625" t="e">
            <v>#REF!</v>
          </cell>
          <cell r="AT625" t="e">
            <v>#REF!</v>
          </cell>
          <cell r="AU625" t="e">
            <v>#REF!</v>
          </cell>
        </row>
        <row r="626">
          <cell r="A626" t="str">
            <v>S16-0623</v>
          </cell>
          <cell r="B626" t="str">
            <v>武蔵野赤十字病院_0623 (2)</v>
          </cell>
          <cell r="C626" t="str">
            <v>SR#4233985</v>
          </cell>
          <cell r="D626" t="str">
            <v>-</v>
          </cell>
          <cell r="E626" t="str">
            <v>無償</v>
          </cell>
          <cell r="F626">
            <v>42622</v>
          </cell>
          <cell r="G626">
            <v>0</v>
          </cell>
          <cell r="H626">
            <v>42646</v>
          </cell>
          <cell r="I626" t="str">
            <v>不明</v>
          </cell>
          <cell r="K626" t="str">
            <v>高橋</v>
          </cell>
          <cell r="L626">
            <v>3</v>
          </cell>
          <cell r="M626" t="str">
            <v>M-Turbo</v>
          </cell>
          <cell r="N626" t="str">
            <v>WK3B1Z</v>
          </cell>
          <cell r="O626" t="str">
            <v>P09141-61</v>
          </cell>
          <cell r="P626" t="str">
            <v>フクダ電子東京西販売株式会社</v>
          </cell>
          <cell r="Q626" t="str">
            <v>田中様</v>
          </cell>
          <cell r="R626" t="str">
            <v>〒190-0011　東京都立川市高松町1-23-17</v>
          </cell>
          <cell r="S626" t="str">
            <v>042-525-3578</v>
          </cell>
          <cell r="T626" t="str">
            <v>042-527-7262</v>
          </cell>
          <cell r="U626" t="str">
            <v>武蔵野赤十字病院</v>
          </cell>
          <cell r="V626" t="str">
            <v>-</v>
          </cell>
          <cell r="W626" t="str">
            <v>-</v>
          </cell>
          <cell r="X626" t="str">
            <v>0422-32-3111</v>
          </cell>
          <cell r="Y626" t="str">
            <v>〒180-8610 東京都武蔵野市境南町1-26-1</v>
          </cell>
          <cell r="AA626" t="str">
            <v>P05470-01</v>
          </cell>
          <cell r="AB626" t="str">
            <v/>
          </cell>
          <cell r="AC626" t="str">
            <v/>
          </cell>
          <cell r="AD626" t="str">
            <v/>
          </cell>
          <cell r="AE626" t="str">
            <v/>
          </cell>
          <cell r="AF626" t="str">
            <v/>
          </cell>
          <cell r="AG626" t="str">
            <v/>
          </cell>
          <cell r="AH626" t="str">
            <v/>
          </cell>
          <cell r="AI626" t="str">
            <v/>
          </cell>
          <cell r="AJ626" t="str">
            <v/>
          </cell>
          <cell r="AK626" t="str">
            <v>SERVICE ASSEMBLY TGC, MICROMAXX</v>
          </cell>
          <cell r="AL626" t="str">
            <v/>
          </cell>
          <cell r="AM626" t="str">
            <v/>
          </cell>
          <cell r="AN626" t="str">
            <v/>
          </cell>
          <cell r="AO626" t="str">
            <v/>
          </cell>
          <cell r="AP626" t="str">
            <v/>
          </cell>
          <cell r="AQ626" t="str">
            <v/>
          </cell>
          <cell r="AR626" t="str">
            <v/>
          </cell>
          <cell r="AS626" t="str">
            <v/>
          </cell>
          <cell r="AT626" t="str">
            <v/>
          </cell>
          <cell r="AU626">
            <v>42217</v>
          </cell>
        </row>
        <row r="627">
          <cell r="A627" t="str">
            <v>S16-0624</v>
          </cell>
          <cell r="B627" t="str">
            <v>大津赤十字病院_0624 (2)</v>
          </cell>
          <cell r="C627" t="str">
            <v>SR#</v>
          </cell>
          <cell r="D627" t="str">
            <v>-</v>
          </cell>
          <cell r="E627" t="str">
            <v>有償</v>
          </cell>
          <cell r="F627">
            <v>42615</v>
          </cell>
          <cell r="G627">
            <v>0</v>
          </cell>
          <cell r="H627">
            <v>42709</v>
          </cell>
          <cell r="I627" t="str">
            <v>不明</v>
          </cell>
          <cell r="K627" t="str">
            <v>森</v>
          </cell>
          <cell r="M627" t="str">
            <v>X-Porte</v>
          </cell>
          <cell r="N627" t="str">
            <v>03WW1D</v>
          </cell>
          <cell r="O627" t="str">
            <v>P18173-01</v>
          </cell>
          <cell r="P627" t="str">
            <v>石黒メディカルシステム株式会社　滋賀支店</v>
          </cell>
          <cell r="Q627" t="str">
            <v>小林 様</v>
          </cell>
          <cell r="R627" t="str">
            <v>〒524-0041　滋賀県守山市勝部町6-4-36</v>
          </cell>
          <cell r="S627" t="str">
            <v>077-582-7770</v>
          </cell>
          <cell r="T627" t="str">
            <v>077-582-7796</v>
          </cell>
          <cell r="U627" t="str">
            <v>大津赤十字病院</v>
          </cell>
          <cell r="V627" t="str">
            <v>-</v>
          </cell>
          <cell r="W627" t="str">
            <v>-</v>
          </cell>
          <cell r="X627" t="str">
            <v>077-522-4131</v>
          </cell>
          <cell r="Y627" t="str">
            <v>〒520-8511　滋賀県大津市長等一丁目1-35</v>
          </cell>
          <cell r="AA627" t="str">
            <v>P14627-01N</v>
          </cell>
          <cell r="AB627" t="str">
            <v>P16773-01N</v>
          </cell>
          <cell r="AC627" t="str">
            <v/>
          </cell>
          <cell r="AD627" t="str">
            <v/>
          </cell>
          <cell r="AE627" t="str">
            <v/>
          </cell>
          <cell r="AF627" t="str">
            <v/>
          </cell>
          <cell r="AG627" t="str">
            <v/>
          </cell>
          <cell r="AH627" t="str">
            <v/>
          </cell>
          <cell r="AI627" t="str">
            <v/>
          </cell>
          <cell r="AJ627" t="str">
            <v/>
          </cell>
          <cell r="AK627" t="str">
            <v>X-PORTE, Clinical Minitor</v>
          </cell>
          <cell r="AL627" t="str">
            <v>Clinical Monitor Stalk Cable Ser M2</v>
          </cell>
          <cell r="AM627" t="str">
            <v/>
          </cell>
          <cell r="AN627" t="str">
            <v/>
          </cell>
          <cell r="AO627" t="str">
            <v/>
          </cell>
          <cell r="AP627" t="str">
            <v/>
          </cell>
          <cell r="AQ627" t="str">
            <v/>
          </cell>
          <cell r="AR627" t="str">
            <v/>
          </cell>
          <cell r="AS627" t="str">
            <v/>
          </cell>
          <cell r="AT627" t="str">
            <v/>
          </cell>
          <cell r="AU627">
            <v>41579</v>
          </cell>
        </row>
        <row r="628">
          <cell r="A628" t="str">
            <v>S16-0625</v>
          </cell>
          <cell r="B628" t="str">
            <v>福知山市民病院_0625</v>
          </cell>
          <cell r="C628" t="e">
            <v>#REF!</v>
          </cell>
          <cell r="D628" t="e">
            <v>#REF!</v>
          </cell>
          <cell r="E628" t="e">
            <v>#REF!</v>
          </cell>
          <cell r="F628" t="e">
            <v>#REF!</v>
          </cell>
          <cell r="G628" t="e">
            <v>#REF!</v>
          </cell>
          <cell r="H628" t="e">
            <v>#REF!</v>
          </cell>
          <cell r="I628" t="e">
            <v>#REF!</v>
          </cell>
          <cell r="K628" t="e">
            <v>#REF!</v>
          </cell>
          <cell r="M628" t="e">
            <v>#REF!</v>
          </cell>
          <cell r="N628" t="e">
            <v>#REF!</v>
          </cell>
          <cell r="O628" t="e">
            <v>#REF!</v>
          </cell>
          <cell r="P628" t="e">
            <v>#REF!</v>
          </cell>
          <cell r="Q628" t="e">
            <v>#REF!</v>
          </cell>
          <cell r="S628" t="e">
            <v>#REF!</v>
          </cell>
          <cell r="T628" t="e">
            <v>#REF!</v>
          </cell>
          <cell r="U628" t="e">
            <v>#REF!</v>
          </cell>
          <cell r="AA628" t="e">
            <v>#REF!</v>
          </cell>
          <cell r="AB628" t="e">
            <v>#REF!</v>
          </cell>
          <cell r="AC628" t="e">
            <v>#REF!</v>
          </cell>
          <cell r="AD628" t="e">
            <v>#REF!</v>
          </cell>
          <cell r="AE628" t="e">
            <v>#REF!</v>
          </cell>
          <cell r="AF628" t="e">
            <v>#REF!</v>
          </cell>
          <cell r="AG628" t="e">
            <v>#REF!</v>
          </cell>
          <cell r="AH628" t="e">
            <v>#REF!</v>
          </cell>
          <cell r="AI628" t="e">
            <v>#REF!</v>
          </cell>
          <cell r="AJ628" t="e">
            <v>#REF!</v>
          </cell>
          <cell r="AK628" t="e">
            <v>#REF!</v>
          </cell>
          <cell r="AL628" t="e">
            <v>#REF!</v>
          </cell>
          <cell r="AM628" t="e">
            <v>#REF!</v>
          </cell>
          <cell r="AN628" t="e">
            <v>#REF!</v>
          </cell>
          <cell r="AO628" t="e">
            <v>#REF!</v>
          </cell>
          <cell r="AP628" t="e">
            <v>#REF!</v>
          </cell>
          <cell r="AQ628" t="e">
            <v>#REF!</v>
          </cell>
          <cell r="AR628" t="e">
            <v>#REF!</v>
          </cell>
          <cell r="AS628" t="e">
            <v>#REF!</v>
          </cell>
          <cell r="AT628" t="e">
            <v>#REF!</v>
          </cell>
          <cell r="AU628" t="e">
            <v>#REF!</v>
          </cell>
        </row>
        <row r="629">
          <cell r="A629" t="str">
            <v>S16-0626</v>
          </cell>
          <cell r="B629" t="str">
            <v>たなごころ整骨院ひで_0626 (2)</v>
          </cell>
          <cell r="C629" t="str">
            <v>SR#不要</v>
          </cell>
          <cell r="D629" t="str">
            <v>2016/08/29-01</v>
          </cell>
          <cell r="E629" t="str">
            <v>無償</v>
          </cell>
          <cell r="F629">
            <v>42625</v>
          </cell>
          <cell r="G629">
            <v>0</v>
          </cell>
          <cell r="H629">
            <v>42657</v>
          </cell>
          <cell r="I629" t="str">
            <v>不明</v>
          </cell>
          <cell r="K629" t="str">
            <v>高橋</v>
          </cell>
          <cell r="L629">
            <v>3</v>
          </cell>
          <cell r="M629" t="str">
            <v>M-Turbo</v>
          </cell>
          <cell r="N629" t="str">
            <v>WK3HBJ</v>
          </cell>
          <cell r="O629" t="str">
            <v>P16693-62</v>
          </cell>
          <cell r="P629" t="str">
            <v>直接</v>
          </cell>
          <cell r="Q629" t="str">
            <v>中村秀幸様</v>
          </cell>
          <cell r="R629" t="str">
            <v>〒818-0134　福岡県太宰府市大佐野2-11-5</v>
          </cell>
          <cell r="S629" t="str">
            <v>092-555-9400</v>
          </cell>
          <cell r="T629" t="str">
            <v>092-555-7408</v>
          </cell>
          <cell r="U629" t="str">
            <v>たなごころ整骨院ひで</v>
          </cell>
          <cell r="V629" t="str">
            <v>中村秀幸様</v>
          </cell>
          <cell r="W629" t="str">
            <v>-</v>
          </cell>
          <cell r="X629" t="str">
            <v>092-555-9400</v>
          </cell>
          <cell r="Y629" t="str">
            <v>〒818-0134　福岡県太宰府市大佐野2-11-5</v>
          </cell>
          <cell r="AA629" t="str">
            <v/>
          </cell>
          <cell r="AB629" t="str">
            <v/>
          </cell>
          <cell r="AC629" t="str">
            <v/>
          </cell>
          <cell r="AD629" t="str">
            <v/>
          </cell>
          <cell r="AE629" t="str">
            <v/>
          </cell>
          <cell r="AF629" t="str">
            <v/>
          </cell>
          <cell r="AG629" t="str">
            <v/>
          </cell>
          <cell r="AH629" t="str">
            <v/>
          </cell>
          <cell r="AI629" t="str">
            <v/>
          </cell>
          <cell r="AJ629" t="str">
            <v/>
          </cell>
          <cell r="AK629" t="str">
            <v/>
          </cell>
          <cell r="AL629" t="str">
            <v/>
          </cell>
          <cell r="AM629" t="str">
            <v/>
          </cell>
          <cell r="AN629" t="str">
            <v/>
          </cell>
          <cell r="AO629" t="str">
            <v/>
          </cell>
          <cell r="AP629" t="str">
            <v/>
          </cell>
          <cell r="AQ629" t="str">
            <v/>
          </cell>
          <cell r="AR629" t="str">
            <v/>
          </cell>
          <cell r="AS629" t="str">
            <v/>
          </cell>
          <cell r="AT629" t="str">
            <v/>
          </cell>
          <cell r="AU629">
            <v>42430</v>
          </cell>
        </row>
        <row r="630">
          <cell r="A630" t="str">
            <v>S16-0627</v>
          </cell>
          <cell r="B630" t="str">
            <v>日医大多摩永山病院_0627</v>
          </cell>
          <cell r="C630" t="e">
            <v>#REF!</v>
          </cell>
          <cell r="D630" t="e">
            <v>#REF!</v>
          </cell>
          <cell r="E630" t="e">
            <v>#REF!</v>
          </cell>
          <cell r="F630" t="e">
            <v>#REF!</v>
          </cell>
          <cell r="G630" t="e">
            <v>#REF!</v>
          </cell>
          <cell r="H630" t="e">
            <v>#REF!</v>
          </cell>
          <cell r="I630" t="e">
            <v>#REF!</v>
          </cell>
          <cell r="K630" t="e">
            <v>#REF!</v>
          </cell>
          <cell r="M630" t="e">
            <v>#REF!</v>
          </cell>
          <cell r="N630" t="e">
            <v>#REF!</v>
          </cell>
          <cell r="O630" t="e">
            <v>#REF!</v>
          </cell>
          <cell r="P630" t="e">
            <v>#REF!</v>
          </cell>
          <cell r="Q630" t="e">
            <v>#REF!</v>
          </cell>
          <cell r="S630" t="e">
            <v>#REF!</v>
          </cell>
          <cell r="T630" t="e">
            <v>#REF!</v>
          </cell>
          <cell r="U630" t="e">
            <v>#REF!</v>
          </cell>
          <cell r="AA630" t="e">
            <v>#REF!</v>
          </cell>
          <cell r="AB630" t="e">
            <v>#REF!</v>
          </cell>
          <cell r="AC630" t="e">
            <v>#REF!</v>
          </cell>
          <cell r="AD630" t="e">
            <v>#REF!</v>
          </cell>
          <cell r="AE630" t="e">
            <v>#REF!</v>
          </cell>
          <cell r="AF630" t="e">
            <v>#REF!</v>
          </cell>
          <cell r="AG630" t="e">
            <v>#REF!</v>
          </cell>
          <cell r="AH630" t="e">
            <v>#REF!</v>
          </cell>
          <cell r="AI630" t="e">
            <v>#REF!</v>
          </cell>
          <cell r="AJ630" t="e">
            <v>#REF!</v>
          </cell>
          <cell r="AK630" t="e">
            <v>#REF!</v>
          </cell>
          <cell r="AL630" t="e">
            <v>#REF!</v>
          </cell>
          <cell r="AM630" t="e">
            <v>#REF!</v>
          </cell>
          <cell r="AN630" t="e">
            <v>#REF!</v>
          </cell>
          <cell r="AO630" t="e">
            <v>#REF!</v>
          </cell>
          <cell r="AP630" t="e">
            <v>#REF!</v>
          </cell>
          <cell r="AQ630" t="e">
            <v>#REF!</v>
          </cell>
          <cell r="AR630" t="e">
            <v>#REF!</v>
          </cell>
          <cell r="AS630" t="e">
            <v>#REF!</v>
          </cell>
          <cell r="AT630" t="e">
            <v>#REF!</v>
          </cell>
          <cell r="AU630" t="e">
            <v>#REF!</v>
          </cell>
        </row>
        <row r="631">
          <cell r="A631" t="str">
            <v>S16-0628</v>
          </cell>
          <cell r="B631" t="str">
            <v>伊達赤十字病院_0628 (2)</v>
          </cell>
          <cell r="C631" t="str">
            <v>SR#不要</v>
          </cell>
          <cell r="D631" t="str">
            <v>2016/08/02-01</v>
          </cell>
          <cell r="E631" t="str">
            <v/>
          </cell>
          <cell r="F631">
            <v>42625</v>
          </cell>
          <cell r="G631">
            <v>0</v>
          </cell>
          <cell r="H631">
            <v>42655</v>
          </cell>
          <cell r="I631" t="str">
            <v>不明</v>
          </cell>
          <cell r="K631" t="str">
            <v>高橋</v>
          </cell>
          <cell r="L631">
            <v>3</v>
          </cell>
          <cell r="M631" t="str">
            <v>MicroMaxx</v>
          </cell>
          <cell r="N631" t="str">
            <v>037HPK</v>
          </cell>
          <cell r="O631" t="str">
            <v>P05670-05</v>
          </cell>
          <cell r="P631" t="str">
            <v>株式会社 竹山　室蘭支店</v>
          </cell>
          <cell r="Q631" t="str">
            <v>石黒様</v>
          </cell>
          <cell r="R631" t="str">
            <v xml:space="preserve">〒050-0081　北海道室蘭市日の出町2丁目1番14号 </v>
          </cell>
          <cell r="S631" t="str">
            <v>0143-45-1221</v>
          </cell>
          <cell r="T631" t="str">
            <v>0143-45-1305</v>
          </cell>
          <cell r="U631" t="str">
            <v>伊達赤十字病院 救急外来</v>
          </cell>
          <cell r="V631" t="str">
            <v>-</v>
          </cell>
          <cell r="W631" t="str">
            <v>-</v>
          </cell>
          <cell r="X631" t="str">
            <v>0142-23-2211</v>
          </cell>
          <cell r="Y631" t="str">
            <v>〒052-8511　北海道伊達市末永町81番地</v>
          </cell>
          <cell r="AA631" t="str">
            <v/>
          </cell>
          <cell r="AB631" t="str">
            <v/>
          </cell>
          <cell r="AC631" t="str">
            <v/>
          </cell>
          <cell r="AD631" t="str">
            <v/>
          </cell>
          <cell r="AE631" t="str">
            <v/>
          </cell>
          <cell r="AF631" t="str">
            <v/>
          </cell>
          <cell r="AG631" t="str">
            <v/>
          </cell>
          <cell r="AH631" t="str">
            <v/>
          </cell>
          <cell r="AI631" t="str">
            <v/>
          </cell>
          <cell r="AJ631" t="str">
            <v/>
          </cell>
          <cell r="AK631" t="str">
            <v/>
          </cell>
          <cell r="AL631" t="str">
            <v/>
          </cell>
          <cell r="AM631" t="str">
            <v/>
          </cell>
          <cell r="AN631" t="str">
            <v/>
          </cell>
          <cell r="AO631" t="str">
            <v/>
          </cell>
          <cell r="AP631" t="str">
            <v/>
          </cell>
          <cell r="AQ631" t="str">
            <v/>
          </cell>
          <cell r="AR631" t="str">
            <v/>
          </cell>
          <cell r="AS631" t="str">
            <v/>
          </cell>
          <cell r="AT631" t="str">
            <v/>
          </cell>
          <cell r="AU631">
            <v>39022</v>
          </cell>
        </row>
        <row r="632">
          <cell r="A632" t="str">
            <v>S16-0629</v>
          </cell>
          <cell r="B632" t="str">
            <v>板橋中央病院_0629</v>
          </cell>
          <cell r="C632" t="e">
            <v>#REF!</v>
          </cell>
          <cell r="D632" t="e">
            <v>#REF!</v>
          </cell>
          <cell r="E632" t="e">
            <v>#REF!</v>
          </cell>
          <cell r="F632" t="e">
            <v>#REF!</v>
          </cell>
          <cell r="G632" t="e">
            <v>#REF!</v>
          </cell>
          <cell r="H632" t="e">
            <v>#REF!</v>
          </cell>
          <cell r="I632" t="e">
            <v>#REF!</v>
          </cell>
          <cell r="K632" t="e">
            <v>#REF!</v>
          </cell>
          <cell r="M632" t="e">
            <v>#REF!</v>
          </cell>
          <cell r="N632" t="e">
            <v>#REF!</v>
          </cell>
          <cell r="O632" t="e">
            <v>#REF!</v>
          </cell>
          <cell r="P632" t="e">
            <v>#REF!</v>
          </cell>
          <cell r="Q632" t="e">
            <v>#REF!</v>
          </cell>
          <cell r="S632" t="e">
            <v>#REF!</v>
          </cell>
          <cell r="T632" t="e">
            <v>#REF!</v>
          </cell>
          <cell r="U632" t="e">
            <v>#REF!</v>
          </cell>
          <cell r="AA632" t="e">
            <v>#REF!</v>
          </cell>
          <cell r="AB632" t="e">
            <v>#REF!</v>
          </cell>
          <cell r="AC632" t="e">
            <v>#REF!</v>
          </cell>
          <cell r="AD632" t="e">
            <v>#REF!</v>
          </cell>
          <cell r="AE632" t="e">
            <v>#REF!</v>
          </cell>
          <cell r="AF632" t="e">
            <v>#REF!</v>
          </cell>
          <cell r="AG632" t="e">
            <v>#REF!</v>
          </cell>
          <cell r="AH632" t="e">
            <v>#REF!</v>
          </cell>
          <cell r="AI632" t="e">
            <v>#REF!</v>
          </cell>
          <cell r="AJ632" t="e">
            <v>#REF!</v>
          </cell>
          <cell r="AK632" t="e">
            <v>#REF!</v>
          </cell>
          <cell r="AL632" t="e">
            <v>#REF!</v>
          </cell>
          <cell r="AM632" t="e">
            <v>#REF!</v>
          </cell>
          <cell r="AN632" t="e">
            <v>#REF!</v>
          </cell>
          <cell r="AO632" t="e">
            <v>#REF!</v>
          </cell>
          <cell r="AP632" t="e">
            <v>#REF!</v>
          </cell>
          <cell r="AQ632" t="e">
            <v>#REF!</v>
          </cell>
          <cell r="AR632" t="e">
            <v>#REF!</v>
          </cell>
          <cell r="AS632" t="e">
            <v>#REF!</v>
          </cell>
          <cell r="AT632" t="e">
            <v>#REF!</v>
          </cell>
          <cell r="AU632" t="e">
            <v>#REF!</v>
          </cell>
        </row>
        <row r="633">
          <cell r="A633" t="str">
            <v>S16-0630</v>
          </cell>
          <cell r="B633" t="str">
            <v>吉田クリニック_0630 (2)</v>
          </cell>
          <cell r="C633" t="str">
            <v>SR#不要</v>
          </cell>
          <cell r="D633" t="str">
            <v>2016/08/29-05</v>
          </cell>
          <cell r="E633" t="str">
            <v xml:space="preserve"> </v>
          </cell>
          <cell r="F633">
            <v>42626</v>
          </cell>
          <cell r="G633">
            <v>0</v>
          </cell>
          <cell r="H633">
            <v>42654</v>
          </cell>
          <cell r="I633" t="str">
            <v>不明</v>
          </cell>
          <cell r="K633" t="str">
            <v>高橋</v>
          </cell>
          <cell r="L633" t="str">
            <v>-</v>
          </cell>
          <cell r="M633" t="str">
            <v>TiTAN</v>
          </cell>
          <cell r="N633" t="str">
            <v>03356Y</v>
          </cell>
          <cell r="O633" t="str">
            <v>P04338-01</v>
          </cell>
          <cell r="P633" t="str">
            <v>株式会社八神製作所　本社</v>
          </cell>
          <cell r="Q633" t="str">
            <v>垣見様</v>
          </cell>
          <cell r="R633" t="str">
            <v>〒460-8318　愛知県名古屋市中区千代田二丁目16番30号</v>
          </cell>
          <cell r="S633" t="str">
            <v>052-251-6671</v>
          </cell>
          <cell r="T633" t="str">
            <v>0552-251-7726</v>
          </cell>
          <cell r="U633" t="str">
            <v>吉田クリニック</v>
          </cell>
          <cell r="V633" t="str">
            <v>-</v>
          </cell>
          <cell r="W633" t="str">
            <v>-</v>
          </cell>
          <cell r="X633" t="str">
            <v>052-723-0018</v>
          </cell>
          <cell r="Y633" t="str">
            <v>〒464-0082 愛知県名古屋市千種区上野1-2-7　三貴ビル２Ｆ</v>
          </cell>
          <cell r="AA633" t="str">
            <v>P02173</v>
          </cell>
          <cell r="AB633" t="str">
            <v/>
          </cell>
          <cell r="AC633" t="str">
            <v/>
          </cell>
          <cell r="AD633" t="str">
            <v/>
          </cell>
          <cell r="AE633" t="str">
            <v/>
          </cell>
          <cell r="AF633" t="str">
            <v/>
          </cell>
          <cell r="AG633" t="str">
            <v/>
          </cell>
          <cell r="AH633" t="str">
            <v/>
          </cell>
          <cell r="AI633" t="str">
            <v/>
          </cell>
          <cell r="AJ633" t="str">
            <v/>
          </cell>
          <cell r="AK633" t="str">
            <v>WIRE HARNESS, DISPLAY, C2</v>
          </cell>
          <cell r="AL633" t="str">
            <v/>
          </cell>
          <cell r="AM633" t="str">
            <v/>
          </cell>
          <cell r="AN633" t="str">
            <v/>
          </cell>
          <cell r="AO633" t="str">
            <v/>
          </cell>
          <cell r="AP633" t="str">
            <v/>
          </cell>
          <cell r="AQ633" t="str">
            <v/>
          </cell>
          <cell r="AR633" t="str">
            <v/>
          </cell>
          <cell r="AS633" t="str">
            <v/>
          </cell>
          <cell r="AT633" t="str">
            <v/>
          </cell>
          <cell r="AU633">
            <v>38261</v>
          </cell>
        </row>
        <row r="634">
          <cell r="A634" t="str">
            <v>S16-0631</v>
          </cell>
          <cell r="B634" t="str">
            <v>桜美林大学_0631 (2)</v>
          </cell>
          <cell r="C634" t="str">
            <v>SR#</v>
          </cell>
          <cell r="D634" t="str">
            <v>2016/09/06-04</v>
          </cell>
          <cell r="E634" t="str">
            <v xml:space="preserve"> </v>
          </cell>
          <cell r="F634">
            <v>42627</v>
          </cell>
          <cell r="G634">
            <v>0</v>
          </cell>
          <cell r="H634">
            <v>42650</v>
          </cell>
          <cell r="I634" t="str">
            <v>不明</v>
          </cell>
          <cell r="K634" t="str">
            <v>高橋</v>
          </cell>
          <cell r="L634">
            <v>3</v>
          </cell>
          <cell r="M634" t="str">
            <v>MicroMaxx</v>
          </cell>
          <cell r="N634" t="str">
            <v>03C770</v>
          </cell>
          <cell r="O634" t="str">
            <v>P08063-03</v>
          </cell>
          <cell r="P634" t="str">
            <v>桜美林大学 健康福祉学群　</v>
          </cell>
          <cell r="Q634" t="str">
            <v>緑川様</v>
          </cell>
          <cell r="R634" t="str">
            <v xml:space="preserve">〒194-0294 東京都町田市常盤町3758 </v>
          </cell>
          <cell r="S634" t="str">
            <v>042-797-8426</v>
          </cell>
          <cell r="T634" t="str">
            <v>-</v>
          </cell>
          <cell r="U634" t="str">
            <v>桜美林大学 健康福祉学群　</v>
          </cell>
          <cell r="V634" t="str">
            <v>-</v>
          </cell>
          <cell r="W634" t="str">
            <v>-</v>
          </cell>
          <cell r="X634" t="str">
            <v>-</v>
          </cell>
          <cell r="Y634" t="str">
            <v>-</v>
          </cell>
          <cell r="AA634" t="str">
            <v>P07418-02</v>
          </cell>
          <cell r="AB634" t="str">
            <v/>
          </cell>
          <cell r="AC634" t="str">
            <v/>
          </cell>
          <cell r="AD634" t="str">
            <v/>
          </cell>
          <cell r="AE634" t="str">
            <v/>
          </cell>
          <cell r="AF634" t="str">
            <v/>
          </cell>
          <cell r="AG634" t="str">
            <v/>
          </cell>
          <cell r="AH634" t="str">
            <v/>
          </cell>
          <cell r="AI634" t="str">
            <v/>
          </cell>
          <cell r="AJ634" t="str">
            <v/>
          </cell>
          <cell r="AK634" t="str">
            <v>SERVICE ASSEMBLY MAIN PCBA, D2, MICROMAXX</v>
          </cell>
          <cell r="AL634" t="str">
            <v/>
          </cell>
          <cell r="AM634" t="str">
            <v/>
          </cell>
          <cell r="AN634" t="str">
            <v/>
          </cell>
          <cell r="AO634" t="str">
            <v/>
          </cell>
          <cell r="AP634" t="str">
            <v/>
          </cell>
          <cell r="AQ634" t="str">
            <v/>
          </cell>
          <cell r="AR634" t="str">
            <v/>
          </cell>
          <cell r="AS634" t="str">
            <v/>
          </cell>
          <cell r="AT634" t="str">
            <v/>
          </cell>
          <cell r="AU634">
            <v>39569</v>
          </cell>
        </row>
        <row r="635">
          <cell r="A635" t="str">
            <v>S16-0632</v>
          </cell>
          <cell r="B635" t="str">
            <v>岸和田徳洲会病院_0632 (2)</v>
          </cell>
          <cell r="C635" t="str">
            <v>SR#4235665</v>
          </cell>
          <cell r="D635" t="str">
            <v>2016/09/12-02</v>
          </cell>
          <cell r="E635" t="str">
            <v>無償</v>
          </cell>
          <cell r="F635">
            <v>42627</v>
          </cell>
          <cell r="G635">
            <v>0</v>
          </cell>
          <cell r="H635">
            <v>42654</v>
          </cell>
          <cell r="I635" t="str">
            <v>不明</v>
          </cell>
          <cell r="K635" t="str">
            <v>高橋</v>
          </cell>
          <cell r="L635">
            <v>3</v>
          </cell>
          <cell r="M635" t="str">
            <v>M-Turbo</v>
          </cell>
          <cell r="N635" t="str">
            <v>WK218F</v>
          </cell>
          <cell r="O635" t="str">
            <v>P09141-26</v>
          </cell>
          <cell r="P635" t="str">
            <v>富士フイルムメディカル株式会社</v>
          </cell>
          <cell r="Q635" t="str">
            <v>遠藤様</v>
          </cell>
          <cell r="R635" t="str">
            <v>〒532-0004　大阪府大阪市淀川区西宮原1-3-5</v>
          </cell>
          <cell r="S635" t="str">
            <v>03-6418-7190</v>
          </cell>
          <cell r="T635" t="str">
            <v>03-6418-7162</v>
          </cell>
          <cell r="U635" t="str">
            <v>岸和田徳洲会病院</v>
          </cell>
          <cell r="V635" t="str">
            <v>-</v>
          </cell>
          <cell r="W635" t="str">
            <v>-</v>
          </cell>
          <cell r="X635" t="str">
            <v>072-445-9915</v>
          </cell>
          <cell r="Y635" t="str">
            <v>〒596-8522　大阪府岸和田市加守町4-27-1</v>
          </cell>
          <cell r="AA635" t="str">
            <v>P19087-02</v>
          </cell>
          <cell r="AB635" t="str">
            <v/>
          </cell>
          <cell r="AC635" t="str">
            <v/>
          </cell>
          <cell r="AD635" t="str">
            <v/>
          </cell>
          <cell r="AE635" t="str">
            <v/>
          </cell>
          <cell r="AF635" t="str">
            <v/>
          </cell>
          <cell r="AG635" t="str">
            <v/>
          </cell>
          <cell r="AH635" t="str">
            <v/>
          </cell>
          <cell r="AI635" t="str">
            <v/>
          </cell>
          <cell r="AJ635" t="str">
            <v/>
          </cell>
          <cell r="AK635" t="str">
            <v>MAIN PCBA, M-Turbo</v>
          </cell>
          <cell r="AL635" t="str">
            <v/>
          </cell>
          <cell r="AM635" t="str">
            <v/>
          </cell>
          <cell r="AN635" t="str">
            <v/>
          </cell>
          <cell r="AO635" t="str">
            <v/>
          </cell>
          <cell r="AP635" t="str">
            <v/>
          </cell>
          <cell r="AQ635" t="str">
            <v/>
          </cell>
          <cell r="AR635" t="str">
            <v/>
          </cell>
          <cell r="AS635" t="str">
            <v/>
          </cell>
          <cell r="AT635" t="str">
            <v/>
          </cell>
          <cell r="AU635">
            <v>41548</v>
          </cell>
        </row>
        <row r="636">
          <cell r="A636" t="str">
            <v>S16-0633</v>
          </cell>
          <cell r="B636" t="str">
            <v>弘前大学附属病院_0633</v>
          </cell>
          <cell r="C636" t="e">
            <v>#REF!</v>
          </cell>
          <cell r="D636" t="e">
            <v>#REF!</v>
          </cell>
          <cell r="E636" t="e">
            <v>#REF!</v>
          </cell>
          <cell r="F636" t="e">
            <v>#REF!</v>
          </cell>
          <cell r="G636" t="e">
            <v>#REF!</v>
          </cell>
          <cell r="H636" t="e">
            <v>#REF!</v>
          </cell>
          <cell r="I636" t="e">
            <v>#REF!</v>
          </cell>
          <cell r="K636" t="str">
            <v>高橋</v>
          </cell>
          <cell r="L636">
            <v>3</v>
          </cell>
          <cell r="M636" t="e">
            <v>#REF!</v>
          </cell>
          <cell r="N636" t="e">
            <v>#REF!</v>
          </cell>
          <cell r="O636" t="e">
            <v>#REF!</v>
          </cell>
          <cell r="P636" t="e">
            <v>#REF!</v>
          </cell>
          <cell r="Q636" t="e">
            <v>#REF!</v>
          </cell>
          <cell r="R636" t="str">
            <v>〒036-8084　青森県弘前市大字高田3-7-1</v>
          </cell>
          <cell r="S636" t="e">
            <v>#REF!</v>
          </cell>
          <cell r="T636" t="e">
            <v>#REF!</v>
          </cell>
          <cell r="U636" t="e">
            <v>#REF!</v>
          </cell>
          <cell r="V636" t="str">
            <v>北山先生</v>
          </cell>
          <cell r="W636" t="str">
            <v>手術部（麻酔科）</v>
          </cell>
          <cell r="X636" t="str">
            <v xml:space="preserve">0172-33-5111 </v>
          </cell>
          <cell r="Y636" t="str">
            <v>〒036-8563　青森県弘前市本町53</v>
          </cell>
          <cell r="AA636" t="e">
            <v>#REF!</v>
          </cell>
          <cell r="AB636" t="e">
            <v>#REF!</v>
          </cell>
          <cell r="AC636" t="e">
            <v>#REF!</v>
          </cell>
          <cell r="AD636" t="e">
            <v>#REF!</v>
          </cell>
          <cell r="AE636" t="e">
            <v>#REF!</v>
          </cell>
          <cell r="AF636" t="e">
            <v>#REF!</v>
          </cell>
          <cell r="AG636" t="e">
            <v>#REF!</v>
          </cell>
          <cell r="AH636" t="e">
            <v>#REF!</v>
          </cell>
          <cell r="AI636" t="e">
            <v>#REF!</v>
          </cell>
          <cell r="AJ636" t="e">
            <v>#REF!</v>
          </cell>
          <cell r="AK636" t="e">
            <v>#REF!</v>
          </cell>
          <cell r="AL636" t="e">
            <v>#REF!</v>
          </cell>
          <cell r="AM636" t="e">
            <v>#REF!</v>
          </cell>
          <cell r="AN636" t="e">
            <v>#REF!</v>
          </cell>
          <cell r="AO636" t="e">
            <v>#REF!</v>
          </cell>
          <cell r="AP636" t="e">
            <v>#REF!</v>
          </cell>
          <cell r="AQ636" t="e">
            <v>#REF!</v>
          </cell>
          <cell r="AR636" t="e">
            <v>#REF!</v>
          </cell>
          <cell r="AS636" t="e">
            <v>#REF!</v>
          </cell>
          <cell r="AT636" t="e">
            <v>#REF!</v>
          </cell>
          <cell r="AU636" t="e">
            <v>#REF!</v>
          </cell>
        </row>
        <row r="637">
          <cell r="A637" t="str">
            <v>S16-0634</v>
          </cell>
          <cell r="B637" t="str">
            <v>呉共済病院_0634</v>
          </cell>
          <cell r="C637" t="e">
            <v>#REF!</v>
          </cell>
          <cell r="D637" t="e">
            <v>#REF!</v>
          </cell>
          <cell r="E637" t="e">
            <v>#REF!</v>
          </cell>
          <cell r="F637" t="e">
            <v>#REF!</v>
          </cell>
          <cell r="G637" t="e">
            <v>#REF!</v>
          </cell>
          <cell r="H637" t="e">
            <v>#REF!</v>
          </cell>
          <cell r="I637" t="e">
            <v>#REF!</v>
          </cell>
          <cell r="K637" t="e">
            <v>#REF!</v>
          </cell>
          <cell r="M637" t="e">
            <v>#REF!</v>
          </cell>
          <cell r="N637" t="e">
            <v>#REF!</v>
          </cell>
          <cell r="O637" t="e">
            <v>#REF!</v>
          </cell>
          <cell r="P637" t="e">
            <v>#REF!</v>
          </cell>
          <cell r="Q637" t="e">
            <v>#REF!</v>
          </cell>
          <cell r="S637" t="e">
            <v>#REF!</v>
          </cell>
          <cell r="T637" t="e">
            <v>#REF!</v>
          </cell>
          <cell r="U637" t="e">
            <v>#REF!</v>
          </cell>
          <cell r="AA637" t="e">
            <v>#REF!</v>
          </cell>
          <cell r="AB637" t="e">
            <v>#REF!</v>
          </cell>
          <cell r="AC637" t="e">
            <v>#REF!</v>
          </cell>
          <cell r="AD637" t="e">
            <v>#REF!</v>
          </cell>
          <cell r="AE637" t="e">
            <v>#REF!</v>
          </cell>
          <cell r="AF637" t="e">
            <v>#REF!</v>
          </cell>
          <cell r="AG637" t="e">
            <v>#REF!</v>
          </cell>
          <cell r="AH637" t="e">
            <v>#REF!</v>
          </cell>
          <cell r="AI637" t="e">
            <v>#REF!</v>
          </cell>
          <cell r="AJ637" t="e">
            <v>#REF!</v>
          </cell>
          <cell r="AK637" t="e">
            <v>#REF!</v>
          </cell>
          <cell r="AL637" t="e">
            <v>#REF!</v>
          </cell>
          <cell r="AM637" t="e">
            <v>#REF!</v>
          </cell>
          <cell r="AN637" t="e">
            <v>#REF!</v>
          </cell>
          <cell r="AO637" t="e">
            <v>#REF!</v>
          </cell>
          <cell r="AP637" t="e">
            <v>#REF!</v>
          </cell>
          <cell r="AQ637" t="e">
            <v>#REF!</v>
          </cell>
          <cell r="AR637" t="e">
            <v>#REF!</v>
          </cell>
          <cell r="AS637" t="e">
            <v>#REF!</v>
          </cell>
          <cell r="AT637" t="e">
            <v>#REF!</v>
          </cell>
          <cell r="AU637" t="e">
            <v>#REF!</v>
          </cell>
        </row>
        <row r="638">
          <cell r="A638" t="str">
            <v>S16-0635</v>
          </cell>
          <cell r="B638" t="str">
            <v>八鹿病院_0635 (2)</v>
          </cell>
          <cell r="C638" t="str">
            <v>SR#不要</v>
          </cell>
          <cell r="D638" t="str">
            <v>2016/09/12-04</v>
          </cell>
          <cell r="E638" t="str">
            <v xml:space="preserve"> </v>
          </cell>
          <cell r="F638">
            <v>42628</v>
          </cell>
          <cell r="G638">
            <v>0</v>
          </cell>
          <cell r="H638">
            <v>42709</v>
          </cell>
          <cell r="I638" t="str">
            <v>不明</v>
          </cell>
          <cell r="K638" t="str">
            <v>高橋</v>
          </cell>
          <cell r="L638">
            <v>3</v>
          </cell>
          <cell r="M638">
            <v>180</v>
          </cell>
          <cell r="N638" t="str">
            <v>01LBT1</v>
          </cell>
          <cell r="O638" t="str">
            <v>P01102-03</v>
          </cell>
          <cell r="P638" t="str">
            <v>マリヤ医科興業株式会社</v>
          </cell>
          <cell r="Q638" t="str">
            <v>小山様</v>
          </cell>
          <cell r="R638" t="str">
            <v>〒668-0024　兵庫県豊岡市寿町10-10</v>
          </cell>
          <cell r="S638" t="str">
            <v>0796-22-6155</v>
          </cell>
          <cell r="T638" t="str">
            <v>0796-22-6158</v>
          </cell>
          <cell r="U638" t="str">
            <v>八鹿病院　7病棟</v>
          </cell>
          <cell r="V638" t="str">
            <v>-</v>
          </cell>
          <cell r="W638" t="str">
            <v>-</v>
          </cell>
          <cell r="X638" t="str">
            <v>079-662-5555</v>
          </cell>
          <cell r="Y638" t="str">
            <v>〒667-8555　兵庫県養父市八鹿町八鹿1878-1</v>
          </cell>
          <cell r="AA638" t="str">
            <v>P00538-03</v>
          </cell>
          <cell r="AB638" t="str">
            <v/>
          </cell>
          <cell r="AC638" t="str">
            <v/>
          </cell>
          <cell r="AD638" t="str">
            <v/>
          </cell>
          <cell r="AE638" t="str">
            <v/>
          </cell>
          <cell r="AF638" t="str">
            <v/>
          </cell>
          <cell r="AG638" t="str">
            <v/>
          </cell>
          <cell r="AH638" t="str">
            <v/>
          </cell>
          <cell r="AI638" t="str">
            <v/>
          </cell>
          <cell r="AJ638" t="str">
            <v/>
          </cell>
          <cell r="AK638" t="str">
            <v>POWER SUPPLY, 85-264 VAC, 50-60HZ, 16V, 45W, 180</v>
          </cell>
          <cell r="AL638" t="str">
            <v/>
          </cell>
          <cell r="AM638" t="str">
            <v/>
          </cell>
          <cell r="AN638" t="str">
            <v/>
          </cell>
          <cell r="AO638" t="str">
            <v/>
          </cell>
          <cell r="AP638" t="str">
            <v/>
          </cell>
          <cell r="AQ638" t="str">
            <v/>
          </cell>
          <cell r="AR638" t="str">
            <v/>
          </cell>
          <cell r="AS638" t="str">
            <v/>
          </cell>
          <cell r="AT638" t="str">
            <v/>
          </cell>
          <cell r="AU638">
            <v>36678</v>
          </cell>
        </row>
        <row r="639">
          <cell r="A639" t="str">
            <v>S16-0636</v>
          </cell>
          <cell r="B639" t="str">
            <v>KUM3_0636</v>
          </cell>
          <cell r="C639" t="e">
            <v>#REF!</v>
          </cell>
          <cell r="D639" t="e">
            <v>#REF!</v>
          </cell>
          <cell r="E639" t="e">
            <v>#REF!</v>
          </cell>
          <cell r="F639" t="e">
            <v>#REF!</v>
          </cell>
          <cell r="G639" t="e">
            <v>#REF!</v>
          </cell>
          <cell r="H639" t="e">
            <v>#REF!</v>
          </cell>
          <cell r="I639" t="e">
            <v>#REF!</v>
          </cell>
          <cell r="K639" t="e">
            <v>#REF!</v>
          </cell>
          <cell r="M639" t="e">
            <v>#REF!</v>
          </cell>
          <cell r="N639" t="e">
            <v>#REF!</v>
          </cell>
          <cell r="O639" t="e">
            <v>#REF!</v>
          </cell>
          <cell r="P639" t="e">
            <v>#REF!</v>
          </cell>
          <cell r="Q639" t="e">
            <v>#REF!</v>
          </cell>
          <cell r="S639" t="e">
            <v>#REF!</v>
          </cell>
          <cell r="T639" t="e">
            <v>#REF!</v>
          </cell>
          <cell r="U639" t="e">
            <v>#REF!</v>
          </cell>
          <cell r="AA639" t="e">
            <v>#REF!</v>
          </cell>
          <cell r="AB639" t="e">
            <v>#REF!</v>
          </cell>
          <cell r="AC639" t="e">
            <v>#REF!</v>
          </cell>
          <cell r="AD639" t="e">
            <v>#REF!</v>
          </cell>
          <cell r="AE639" t="e">
            <v>#REF!</v>
          </cell>
          <cell r="AF639" t="e">
            <v>#REF!</v>
          </cell>
          <cell r="AG639" t="e">
            <v>#REF!</v>
          </cell>
          <cell r="AH639" t="e">
            <v>#REF!</v>
          </cell>
          <cell r="AI639" t="e">
            <v>#REF!</v>
          </cell>
          <cell r="AJ639" t="e">
            <v>#REF!</v>
          </cell>
          <cell r="AK639" t="e">
            <v>#REF!</v>
          </cell>
          <cell r="AL639" t="e">
            <v>#REF!</v>
          </cell>
          <cell r="AM639" t="e">
            <v>#REF!</v>
          </cell>
          <cell r="AN639" t="e">
            <v>#REF!</v>
          </cell>
          <cell r="AO639" t="e">
            <v>#REF!</v>
          </cell>
          <cell r="AP639" t="e">
            <v>#REF!</v>
          </cell>
          <cell r="AQ639" t="e">
            <v>#REF!</v>
          </cell>
          <cell r="AR639" t="e">
            <v>#REF!</v>
          </cell>
          <cell r="AS639" t="e">
            <v>#REF!</v>
          </cell>
          <cell r="AT639" t="e">
            <v>#REF!</v>
          </cell>
          <cell r="AU639" t="e">
            <v>#REF!</v>
          </cell>
        </row>
        <row r="640">
          <cell r="A640" t="str">
            <v>S16-0637</v>
          </cell>
          <cell r="B640" t="str">
            <v>水島協同病院_0637</v>
          </cell>
          <cell r="C640" t="e">
            <v>#REF!</v>
          </cell>
          <cell r="D640" t="e">
            <v>#REF!</v>
          </cell>
          <cell r="E640" t="e">
            <v>#REF!</v>
          </cell>
          <cell r="F640" t="e">
            <v>#REF!</v>
          </cell>
          <cell r="G640" t="e">
            <v>#REF!</v>
          </cell>
          <cell r="H640" t="e">
            <v>#REF!</v>
          </cell>
          <cell r="I640" t="e">
            <v>#REF!</v>
          </cell>
          <cell r="K640" t="e">
            <v>#REF!</v>
          </cell>
          <cell r="M640" t="e">
            <v>#REF!</v>
          </cell>
          <cell r="N640" t="e">
            <v>#REF!</v>
          </cell>
          <cell r="O640" t="e">
            <v>#REF!</v>
          </cell>
          <cell r="P640" t="e">
            <v>#REF!</v>
          </cell>
          <cell r="Q640" t="e">
            <v>#REF!</v>
          </cell>
          <cell r="S640" t="e">
            <v>#REF!</v>
          </cell>
          <cell r="T640" t="e">
            <v>#REF!</v>
          </cell>
          <cell r="U640" t="e">
            <v>#REF!</v>
          </cell>
          <cell r="AA640" t="e">
            <v>#REF!</v>
          </cell>
          <cell r="AB640" t="e">
            <v>#REF!</v>
          </cell>
          <cell r="AC640" t="e">
            <v>#REF!</v>
          </cell>
          <cell r="AD640" t="e">
            <v>#REF!</v>
          </cell>
          <cell r="AE640" t="e">
            <v>#REF!</v>
          </cell>
          <cell r="AF640" t="e">
            <v>#REF!</v>
          </cell>
          <cell r="AG640" t="e">
            <v>#REF!</v>
          </cell>
          <cell r="AH640" t="e">
            <v>#REF!</v>
          </cell>
          <cell r="AI640" t="e">
            <v>#REF!</v>
          </cell>
          <cell r="AJ640" t="e">
            <v>#REF!</v>
          </cell>
          <cell r="AK640" t="e">
            <v>#REF!</v>
          </cell>
          <cell r="AL640" t="e">
            <v>#REF!</v>
          </cell>
          <cell r="AM640" t="e">
            <v>#REF!</v>
          </cell>
          <cell r="AN640" t="e">
            <v>#REF!</v>
          </cell>
          <cell r="AO640" t="e">
            <v>#REF!</v>
          </cell>
          <cell r="AP640" t="e">
            <v>#REF!</v>
          </cell>
          <cell r="AQ640" t="e">
            <v>#REF!</v>
          </cell>
          <cell r="AR640" t="e">
            <v>#REF!</v>
          </cell>
          <cell r="AS640" t="e">
            <v>#REF!</v>
          </cell>
          <cell r="AT640" t="e">
            <v>#REF!</v>
          </cell>
          <cell r="AU640" t="e">
            <v>#REF!</v>
          </cell>
        </row>
        <row r="641">
          <cell r="A641" t="str">
            <v>S16-0638</v>
          </cell>
          <cell r="B641" t="str">
            <v>岐阜市民病院_0638 (2)</v>
          </cell>
          <cell r="C641" t="str">
            <v>SR#不要</v>
          </cell>
          <cell r="D641" t="str">
            <v>-</v>
          </cell>
          <cell r="E641" t="str">
            <v xml:space="preserve"> </v>
          </cell>
          <cell r="F641">
            <v>42629</v>
          </cell>
          <cell r="G641">
            <v>0</v>
          </cell>
          <cell r="H641">
            <v>42674</v>
          </cell>
          <cell r="I641">
            <v>40074</v>
          </cell>
          <cell r="K641" t="str">
            <v>-</v>
          </cell>
          <cell r="L641" t="str">
            <v>-</v>
          </cell>
          <cell r="M641" t="str">
            <v>iLook25</v>
          </cell>
          <cell r="N641" t="str">
            <v>03DVZ6</v>
          </cell>
          <cell r="O641" t="str">
            <v>P04303-02</v>
          </cell>
          <cell r="P641" t="str">
            <v>日本コヴィディエン株式会社</v>
          </cell>
          <cell r="Q641" t="str">
            <v>田中様</v>
          </cell>
          <cell r="R641" t="str">
            <v>〒108-0075  東京都港区港南一丁目2番70号　品川シーズンテラス　22F</v>
          </cell>
          <cell r="S641" t="str">
            <v>03-6774-4629</v>
          </cell>
          <cell r="T641" t="str">
            <v>03-6774-4740</v>
          </cell>
          <cell r="U641" t="str">
            <v>岐阜市民病院</v>
          </cell>
          <cell r="V641" t="str">
            <v>-</v>
          </cell>
          <cell r="W641" t="str">
            <v>-</v>
          </cell>
          <cell r="X641" t="str">
            <v>058-251-1101</v>
          </cell>
          <cell r="Y641" t="str">
            <v>〒500-8323　岐阜県岐阜市鹿島町7-1</v>
          </cell>
          <cell r="AA641" t="str">
            <v/>
          </cell>
          <cell r="AB641" t="str">
            <v/>
          </cell>
          <cell r="AC641" t="str">
            <v/>
          </cell>
          <cell r="AD641" t="str">
            <v/>
          </cell>
          <cell r="AE641" t="str">
            <v/>
          </cell>
          <cell r="AF641" t="str">
            <v/>
          </cell>
          <cell r="AG641" t="str">
            <v/>
          </cell>
          <cell r="AH641" t="str">
            <v/>
          </cell>
          <cell r="AI641" t="str">
            <v/>
          </cell>
          <cell r="AJ641" t="str">
            <v/>
          </cell>
          <cell r="AK641" t="str">
            <v/>
          </cell>
          <cell r="AL641" t="str">
            <v/>
          </cell>
          <cell r="AM641" t="str">
            <v/>
          </cell>
          <cell r="AN641" t="str">
            <v/>
          </cell>
          <cell r="AO641" t="str">
            <v/>
          </cell>
          <cell r="AP641" t="str">
            <v/>
          </cell>
          <cell r="AQ641" t="str">
            <v/>
          </cell>
          <cell r="AR641" t="str">
            <v/>
          </cell>
          <cell r="AS641" t="str">
            <v/>
          </cell>
          <cell r="AT641" t="str">
            <v/>
          </cell>
          <cell r="AU641">
            <v>39814</v>
          </cell>
        </row>
        <row r="642">
          <cell r="A642" t="str">
            <v>S16-0639</v>
          </cell>
          <cell r="B642" t="str">
            <v>名古屋医療センター_0639 (2)</v>
          </cell>
          <cell r="C642" t="str">
            <v>SR#4238447</v>
          </cell>
          <cell r="D642" t="str">
            <v>-</v>
          </cell>
          <cell r="E642" t="str">
            <v>無償</v>
          </cell>
          <cell r="F642">
            <v>42629</v>
          </cell>
          <cell r="G642">
            <v>0</v>
          </cell>
          <cell r="H642">
            <v>42696</v>
          </cell>
          <cell r="I642">
            <v>41669</v>
          </cell>
          <cell r="K642" t="str">
            <v>高橋</v>
          </cell>
          <cell r="L642">
            <v>3</v>
          </cell>
          <cell r="M642" t="str">
            <v>NanoMaxx</v>
          </cell>
          <cell r="N642" t="str">
            <v>03VRRH</v>
          </cell>
          <cell r="O642" t="str">
            <v>P12700-06</v>
          </cell>
          <cell r="P642" t="str">
            <v>日本コヴィディエン株式会社　愛知岐阜営業所</v>
          </cell>
          <cell r="Q642" t="str">
            <v>松下様</v>
          </cell>
          <cell r="R642" t="str">
            <v>〒108-0075  東京都港区港南一丁目2番70号　品川シーズンテラス　22F</v>
          </cell>
          <cell r="S642" t="str">
            <v>03-6774-4629</v>
          </cell>
          <cell r="T642" t="str">
            <v>03-6774-4740</v>
          </cell>
          <cell r="U642" t="str">
            <v>名古屋医療センター</v>
          </cell>
          <cell r="V642" t="str">
            <v>-</v>
          </cell>
          <cell r="W642" t="str">
            <v>-</v>
          </cell>
          <cell r="X642" t="str">
            <v>052-951-1111</v>
          </cell>
          <cell r="Y642" t="str">
            <v>〒460-0001 愛知県名古屋市中区三の丸4-1-1</v>
          </cell>
          <cell r="AA642" t="str">
            <v>P12717-01</v>
          </cell>
          <cell r="AB642" t="str">
            <v/>
          </cell>
          <cell r="AC642" t="str">
            <v/>
          </cell>
          <cell r="AD642" t="str">
            <v/>
          </cell>
          <cell r="AE642" t="str">
            <v/>
          </cell>
          <cell r="AF642" t="str">
            <v/>
          </cell>
          <cell r="AG642" t="str">
            <v/>
          </cell>
          <cell r="AH642" t="str">
            <v/>
          </cell>
          <cell r="AI642" t="str">
            <v/>
          </cell>
          <cell r="AJ642" t="str">
            <v/>
          </cell>
          <cell r="AK642" t="str">
            <v>SERVICE ASSEMBLY, FRONT END PCB, NANOMAXX</v>
          </cell>
          <cell r="AL642" t="str">
            <v/>
          </cell>
          <cell r="AM642" t="str">
            <v/>
          </cell>
          <cell r="AN642" t="str">
            <v/>
          </cell>
          <cell r="AO642" t="str">
            <v/>
          </cell>
          <cell r="AP642" t="str">
            <v/>
          </cell>
          <cell r="AQ642" t="str">
            <v/>
          </cell>
          <cell r="AR642" t="str">
            <v/>
          </cell>
          <cell r="AS642" t="str">
            <v/>
          </cell>
          <cell r="AT642" t="str">
            <v/>
          </cell>
          <cell r="AU642">
            <v>41487</v>
          </cell>
        </row>
        <row r="643">
          <cell r="A643" t="str">
            <v>S16-0640</v>
          </cell>
          <cell r="B643" t="str">
            <v>広島鉄道病院_0640 (2)</v>
          </cell>
          <cell r="C643" t="str">
            <v>SR#4236433</v>
          </cell>
          <cell r="D643" t="str">
            <v>2016/09/06-07</v>
          </cell>
          <cell r="E643" t="str">
            <v>無償</v>
          </cell>
          <cell r="F643">
            <v>42629</v>
          </cell>
          <cell r="G643">
            <v>0</v>
          </cell>
          <cell r="H643">
            <v>42654</v>
          </cell>
          <cell r="I643" t="str">
            <v>不明</v>
          </cell>
          <cell r="K643" t="str">
            <v>高橋</v>
          </cell>
          <cell r="L643">
            <v>3</v>
          </cell>
          <cell r="M643" t="str">
            <v>M-Turbo</v>
          </cell>
          <cell r="N643" t="str">
            <v>WK28WC</v>
          </cell>
          <cell r="O643" t="str">
            <v>P16693-03</v>
          </cell>
          <cell r="P643" t="str">
            <v>ティーエスアルフレッサ株式会社　広島機器試薬支店</v>
          </cell>
          <cell r="Q643" t="str">
            <v>岸岡様</v>
          </cell>
          <cell r="R643" t="str">
            <v>〒733-8633　広島県広島市商工センター1-2-19</v>
          </cell>
          <cell r="S643" t="str">
            <v>082-501-0466</v>
          </cell>
          <cell r="T643" t="str">
            <v>082-276-3017</v>
          </cell>
          <cell r="U643" t="str">
            <v>広島鉄道病院</v>
          </cell>
          <cell r="V643" t="str">
            <v>三重野先生</v>
          </cell>
          <cell r="W643" t="str">
            <v>内科</v>
          </cell>
          <cell r="X643" t="str">
            <v>082-262-1171</v>
          </cell>
          <cell r="Y643" t="str">
            <v>〒732-0057 広島県広島市東区二葉の里三丁目1-36</v>
          </cell>
          <cell r="AA643" t="str">
            <v>P19087-02</v>
          </cell>
          <cell r="AB643" t="str">
            <v/>
          </cell>
          <cell r="AC643" t="str">
            <v/>
          </cell>
          <cell r="AD643" t="str">
            <v/>
          </cell>
          <cell r="AE643" t="str">
            <v/>
          </cell>
          <cell r="AF643" t="str">
            <v/>
          </cell>
          <cell r="AG643" t="str">
            <v/>
          </cell>
          <cell r="AH643" t="str">
            <v/>
          </cell>
          <cell r="AI643" t="str">
            <v/>
          </cell>
          <cell r="AJ643" t="str">
            <v/>
          </cell>
          <cell r="AK643" t="str">
            <v>MAIN PCBA, M-Turbo</v>
          </cell>
          <cell r="AL643" t="str">
            <v/>
          </cell>
          <cell r="AM643" t="str">
            <v/>
          </cell>
          <cell r="AN643" t="str">
            <v/>
          </cell>
          <cell r="AO643" t="str">
            <v/>
          </cell>
          <cell r="AP643" t="str">
            <v/>
          </cell>
          <cell r="AQ643" t="str">
            <v/>
          </cell>
          <cell r="AR643" t="str">
            <v/>
          </cell>
          <cell r="AS643" t="str">
            <v/>
          </cell>
          <cell r="AT643" t="str">
            <v/>
          </cell>
          <cell r="AU643">
            <v>41699</v>
          </cell>
        </row>
        <row r="644">
          <cell r="A644" t="str">
            <v>S16-0641</v>
          </cell>
          <cell r="B644" t="str">
            <v>七栗記念病院_0641</v>
          </cell>
          <cell r="C644" t="e">
            <v>#REF!</v>
          </cell>
          <cell r="D644" t="e">
            <v>#REF!</v>
          </cell>
          <cell r="E644" t="e">
            <v>#REF!</v>
          </cell>
          <cell r="F644" t="e">
            <v>#REF!</v>
          </cell>
          <cell r="G644" t="e">
            <v>#REF!</v>
          </cell>
          <cell r="H644" t="e">
            <v>#REF!</v>
          </cell>
          <cell r="I644" t="e">
            <v>#REF!</v>
          </cell>
          <cell r="K644" t="str">
            <v>-</v>
          </cell>
          <cell r="L644" t="str">
            <v>-</v>
          </cell>
          <cell r="M644" t="e">
            <v>#REF!</v>
          </cell>
          <cell r="N644" t="e">
            <v>#REF!</v>
          </cell>
          <cell r="O644" t="e">
            <v>#REF!</v>
          </cell>
          <cell r="P644" t="e">
            <v>#REF!</v>
          </cell>
          <cell r="Q644" t="e">
            <v>#REF!</v>
          </cell>
          <cell r="R644" t="str">
            <v>〒514-0103　三重県津市栗真中山町大縄手196</v>
          </cell>
          <cell r="S644" t="e">
            <v>#REF!</v>
          </cell>
          <cell r="T644" t="e">
            <v>#REF!</v>
          </cell>
          <cell r="U644" t="e">
            <v>#REF!</v>
          </cell>
          <cell r="V644" t="str">
            <v>-</v>
          </cell>
          <cell r="W644" t="str">
            <v>-</v>
          </cell>
          <cell r="X644" t="str">
            <v xml:space="preserve"> 059-252-1555</v>
          </cell>
          <cell r="Y644" t="str">
            <v xml:space="preserve">〒514-1295 三重県津市大鳥町424番地の1 </v>
          </cell>
          <cell r="AA644" t="e">
            <v>#REF!</v>
          </cell>
          <cell r="AB644" t="e">
            <v>#REF!</v>
          </cell>
          <cell r="AC644" t="e">
            <v>#REF!</v>
          </cell>
          <cell r="AD644" t="e">
            <v>#REF!</v>
          </cell>
          <cell r="AE644" t="e">
            <v>#REF!</v>
          </cell>
          <cell r="AF644" t="e">
            <v>#REF!</v>
          </cell>
          <cell r="AG644" t="e">
            <v>#REF!</v>
          </cell>
          <cell r="AH644" t="e">
            <v>#REF!</v>
          </cell>
          <cell r="AI644" t="e">
            <v>#REF!</v>
          </cell>
          <cell r="AJ644" t="e">
            <v>#REF!</v>
          </cell>
          <cell r="AK644" t="e">
            <v>#REF!</v>
          </cell>
          <cell r="AL644" t="e">
            <v>#REF!</v>
          </cell>
          <cell r="AM644" t="e">
            <v>#REF!</v>
          </cell>
          <cell r="AN644" t="e">
            <v>#REF!</v>
          </cell>
          <cell r="AO644" t="e">
            <v>#REF!</v>
          </cell>
          <cell r="AP644" t="e">
            <v>#REF!</v>
          </cell>
          <cell r="AQ644" t="e">
            <v>#REF!</v>
          </cell>
          <cell r="AR644" t="e">
            <v>#REF!</v>
          </cell>
          <cell r="AS644" t="e">
            <v>#REF!</v>
          </cell>
          <cell r="AT644" t="e">
            <v>#REF!</v>
          </cell>
          <cell r="AU644" t="e">
            <v>#REF!</v>
          </cell>
        </row>
        <row r="645">
          <cell r="A645" t="str">
            <v>S16-0642</v>
          </cell>
          <cell r="B645" t="str">
            <v>足利赤十字病院_0642 (2)</v>
          </cell>
          <cell r="C645" t="str">
            <v>SR#4238449</v>
          </cell>
          <cell r="D645" t="str">
            <v>-</v>
          </cell>
          <cell r="E645" t="str">
            <v>無償</v>
          </cell>
          <cell r="F645">
            <v>42629</v>
          </cell>
          <cell r="G645">
            <v>0</v>
          </cell>
          <cell r="H645">
            <v>42663</v>
          </cell>
          <cell r="I645">
            <v>41802</v>
          </cell>
          <cell r="K645" t="str">
            <v>高橋</v>
          </cell>
          <cell r="L645">
            <v>3</v>
          </cell>
          <cell r="M645" t="str">
            <v>NanoMaxx</v>
          </cell>
          <cell r="N645" t="str">
            <v>03X61B</v>
          </cell>
          <cell r="O645" t="str">
            <v>P12700-06</v>
          </cell>
          <cell r="P645" t="str">
            <v>日本コヴィディエン株式会社　北関東営業所</v>
          </cell>
          <cell r="Q645" t="str">
            <v>三田様</v>
          </cell>
          <cell r="R645" t="str">
            <v>〒108-0075  東京都港区港南一丁目2番70号　品川シーズンテラス　22F</v>
          </cell>
          <cell r="S645" t="str">
            <v>03-6774-4629</v>
          </cell>
          <cell r="T645" t="str">
            <v>03-6774-4740</v>
          </cell>
          <cell r="U645" t="str">
            <v>足利赤十字病院</v>
          </cell>
          <cell r="V645" t="str">
            <v>-</v>
          </cell>
          <cell r="W645" t="str">
            <v>-</v>
          </cell>
          <cell r="X645" t="str">
            <v>0284-21-0121</v>
          </cell>
          <cell r="Y645" t="str">
            <v>〒326-0843　栃木県足利市五十部町284-1</v>
          </cell>
          <cell r="AA645" t="str">
            <v>P09977-01</v>
          </cell>
          <cell r="AB645" t="str">
            <v>P09732-02</v>
          </cell>
          <cell r="AC645" t="str">
            <v/>
          </cell>
          <cell r="AD645" t="str">
            <v/>
          </cell>
          <cell r="AE645" t="str">
            <v/>
          </cell>
          <cell r="AF645" t="str">
            <v/>
          </cell>
          <cell r="AG645" t="str">
            <v/>
          </cell>
          <cell r="AH645" t="str">
            <v/>
          </cell>
          <cell r="AI645" t="str">
            <v/>
          </cell>
          <cell r="AJ645" t="str">
            <v/>
          </cell>
          <cell r="AK645" t="str">
            <v>CABLE,FFC,0.5MM PITCH,14 POS,6" LENGTH</v>
          </cell>
          <cell r="AL645" t="str">
            <v>ASSEMBLY, 8.4", SCREENED LCD WITH TOUCHSCREEN, IN PLANT COSTED</v>
          </cell>
          <cell r="AM645" t="str">
            <v/>
          </cell>
          <cell r="AN645" t="str">
            <v/>
          </cell>
          <cell r="AO645" t="str">
            <v/>
          </cell>
          <cell r="AP645" t="str">
            <v/>
          </cell>
          <cell r="AQ645" t="str">
            <v/>
          </cell>
          <cell r="AR645" t="str">
            <v/>
          </cell>
          <cell r="AS645" t="str">
            <v/>
          </cell>
          <cell r="AT645" t="str">
            <v/>
          </cell>
          <cell r="AU645">
            <v>41671</v>
          </cell>
        </row>
        <row r="646">
          <cell r="A646" t="str">
            <v>S16-0643</v>
          </cell>
          <cell r="B646" t="str">
            <v>済生会和歌山病院_0643 (2)</v>
          </cell>
          <cell r="C646" t="str">
            <v>SR#不要</v>
          </cell>
          <cell r="D646" t="str">
            <v>-</v>
          </cell>
          <cell r="E646" t="str">
            <v xml:space="preserve"> </v>
          </cell>
          <cell r="F646">
            <v>42633</v>
          </cell>
          <cell r="G646">
            <v>0</v>
          </cell>
          <cell r="H646">
            <v>42642</v>
          </cell>
          <cell r="I646">
            <v>39212</v>
          </cell>
          <cell r="K646" t="str">
            <v>-</v>
          </cell>
          <cell r="L646" t="str">
            <v>-</v>
          </cell>
          <cell r="M646" t="str">
            <v>iLook25</v>
          </cell>
          <cell r="N646" t="str">
            <v>038576</v>
          </cell>
          <cell r="O646" t="str">
            <v>P04303-02</v>
          </cell>
          <cell r="P646" t="str">
            <v>日本コヴィディエン株式会社　大阪営業所</v>
          </cell>
          <cell r="Q646" t="str">
            <v>道本様</v>
          </cell>
          <cell r="R646" t="str">
            <v>〒108-0075  東京都港区港南一丁目2番70号　品川シーズンテラス　22F</v>
          </cell>
          <cell r="S646" t="str">
            <v>03-6774-4629</v>
          </cell>
          <cell r="T646" t="str">
            <v>03-6774-4740</v>
          </cell>
          <cell r="U646" t="str">
            <v>済生会和歌山病院</v>
          </cell>
          <cell r="AA646" t="str">
            <v/>
          </cell>
          <cell r="AB646" t="str">
            <v/>
          </cell>
          <cell r="AC646" t="str">
            <v/>
          </cell>
          <cell r="AD646" t="str">
            <v/>
          </cell>
          <cell r="AE646" t="str">
            <v/>
          </cell>
          <cell r="AF646" t="str">
            <v/>
          </cell>
          <cell r="AG646" t="str">
            <v/>
          </cell>
          <cell r="AH646" t="str">
            <v/>
          </cell>
          <cell r="AI646" t="str">
            <v/>
          </cell>
          <cell r="AJ646" t="str">
            <v/>
          </cell>
          <cell r="AK646" t="str">
            <v/>
          </cell>
          <cell r="AL646" t="str">
            <v/>
          </cell>
          <cell r="AM646" t="str">
            <v/>
          </cell>
          <cell r="AN646" t="str">
            <v/>
          </cell>
          <cell r="AO646" t="str">
            <v/>
          </cell>
          <cell r="AP646" t="str">
            <v/>
          </cell>
          <cell r="AQ646" t="str">
            <v/>
          </cell>
          <cell r="AR646" t="str">
            <v/>
          </cell>
          <cell r="AS646" t="str">
            <v/>
          </cell>
          <cell r="AT646" t="str">
            <v/>
          </cell>
          <cell r="AU646">
            <v>39114</v>
          </cell>
        </row>
        <row r="647">
          <cell r="A647" t="str">
            <v>S16-0644</v>
          </cell>
          <cell r="B647" t="str">
            <v>西宮市立中央病院_0644</v>
          </cell>
          <cell r="C647" t="e">
            <v>#REF!</v>
          </cell>
          <cell r="D647" t="e">
            <v>#REF!</v>
          </cell>
          <cell r="E647" t="e">
            <v>#REF!</v>
          </cell>
          <cell r="F647" t="e">
            <v>#REF!</v>
          </cell>
          <cell r="G647" t="e">
            <v>#REF!</v>
          </cell>
          <cell r="H647" t="e">
            <v>#REF!</v>
          </cell>
          <cell r="I647" t="e">
            <v>#REF!</v>
          </cell>
          <cell r="K647" t="e">
            <v>#REF!</v>
          </cell>
          <cell r="M647" t="e">
            <v>#REF!</v>
          </cell>
          <cell r="N647" t="e">
            <v>#REF!</v>
          </cell>
          <cell r="O647" t="e">
            <v>#REF!</v>
          </cell>
          <cell r="P647" t="e">
            <v>#REF!</v>
          </cell>
          <cell r="Q647" t="e">
            <v>#REF!</v>
          </cell>
          <cell r="S647" t="e">
            <v>#REF!</v>
          </cell>
          <cell r="T647" t="e">
            <v>#REF!</v>
          </cell>
          <cell r="U647" t="e">
            <v>#REF!</v>
          </cell>
          <cell r="AA647" t="e">
            <v>#REF!</v>
          </cell>
          <cell r="AB647" t="e">
            <v>#REF!</v>
          </cell>
          <cell r="AC647" t="e">
            <v>#REF!</v>
          </cell>
          <cell r="AD647" t="e">
            <v>#REF!</v>
          </cell>
          <cell r="AE647" t="e">
            <v>#REF!</v>
          </cell>
          <cell r="AF647" t="e">
            <v>#REF!</v>
          </cell>
          <cell r="AG647" t="e">
            <v>#REF!</v>
          </cell>
          <cell r="AH647" t="e">
            <v>#REF!</v>
          </cell>
          <cell r="AI647" t="e">
            <v>#REF!</v>
          </cell>
          <cell r="AJ647" t="e">
            <v>#REF!</v>
          </cell>
          <cell r="AK647" t="e">
            <v>#REF!</v>
          </cell>
          <cell r="AL647" t="e">
            <v>#REF!</v>
          </cell>
          <cell r="AM647" t="e">
            <v>#REF!</v>
          </cell>
          <cell r="AN647" t="e">
            <v>#REF!</v>
          </cell>
          <cell r="AO647" t="e">
            <v>#REF!</v>
          </cell>
          <cell r="AP647" t="e">
            <v>#REF!</v>
          </cell>
          <cell r="AQ647" t="e">
            <v>#REF!</v>
          </cell>
          <cell r="AR647" t="e">
            <v>#REF!</v>
          </cell>
          <cell r="AS647" t="e">
            <v>#REF!</v>
          </cell>
          <cell r="AT647" t="e">
            <v>#REF!</v>
          </cell>
          <cell r="AU647" t="e">
            <v>#REF!</v>
          </cell>
        </row>
        <row r="648">
          <cell r="A648" t="str">
            <v>S16-0645</v>
          </cell>
          <cell r="B648" t="str">
            <v>自治医科大学附属さいたま医療センター_0645 (2)</v>
          </cell>
          <cell r="C648" t="str">
            <v>SR#</v>
          </cell>
          <cell r="D648" t="str">
            <v>2016/09/15-06</v>
          </cell>
          <cell r="E648" t="str">
            <v>有償</v>
          </cell>
          <cell r="F648">
            <v>42633</v>
          </cell>
          <cell r="G648">
            <v>0</v>
          </cell>
          <cell r="H648">
            <v>42676</v>
          </cell>
          <cell r="I648" t="str">
            <v>不明</v>
          </cell>
          <cell r="K648" t="str">
            <v>高橋</v>
          </cell>
          <cell r="L648">
            <v>3</v>
          </cell>
          <cell r="M648" t="str">
            <v>TiTAN</v>
          </cell>
          <cell r="N648" t="str">
            <v>0334D8</v>
          </cell>
          <cell r="O648" t="str">
            <v>P04338-01</v>
          </cell>
          <cell r="P648" t="str">
            <v>ユフ精器株式会社　埼玉営業所</v>
          </cell>
          <cell r="Q648" t="str">
            <v>永井様</v>
          </cell>
          <cell r="R648" t="str">
            <v>〒336-0926　埼玉県さいたま市緑区東浦和5-13-1</v>
          </cell>
          <cell r="S648" t="str">
            <v>048-875-1131</v>
          </cell>
          <cell r="T648" t="str">
            <v>048-875-6800</v>
          </cell>
          <cell r="U648" t="str">
            <v>自治医科大学附属さいたま医療センター</v>
          </cell>
          <cell r="V648" t="str">
            <v>-</v>
          </cell>
          <cell r="W648" t="str">
            <v>循環器科</v>
          </cell>
          <cell r="X648" t="str">
            <v>048-647-2111</v>
          </cell>
          <cell r="Y648" t="str">
            <v>〒330-0834埼玉県さいたま市大宮区天沼町1-847</v>
          </cell>
          <cell r="AA648" t="str">
            <v>P06733-01</v>
          </cell>
          <cell r="AB648" t="str">
            <v>P06902-01</v>
          </cell>
          <cell r="AC648" t="str">
            <v>P07168-20</v>
          </cell>
          <cell r="AD648" t="str">
            <v/>
          </cell>
          <cell r="AE648" t="str">
            <v/>
          </cell>
          <cell r="AF648" t="str">
            <v/>
          </cell>
          <cell r="AG648" t="str">
            <v/>
          </cell>
          <cell r="AH648" t="str">
            <v/>
          </cell>
          <cell r="AI648" t="str">
            <v/>
          </cell>
          <cell r="AJ648" t="str">
            <v/>
          </cell>
          <cell r="AK648" t="str">
            <v>SERVICE ASSEMBLY MAIN PCBA, NEW CONN, TITAN HIGH MEMORY</v>
          </cell>
          <cell r="AL648" t="str">
            <v>SERVICE ASSEMBLY, POWER SUPPLY, 2.3.1 TITAN</v>
          </cell>
          <cell r="AM648" t="str">
            <v>BATTERY PACK, 6 CELL, 11.25V, 5.2AMP-HOUR, LITHIUM-ION</v>
          </cell>
          <cell r="AN648" t="str">
            <v/>
          </cell>
          <cell r="AO648" t="str">
            <v/>
          </cell>
          <cell r="AP648" t="str">
            <v/>
          </cell>
          <cell r="AQ648" t="str">
            <v/>
          </cell>
          <cell r="AR648" t="str">
            <v/>
          </cell>
          <cell r="AS648" t="str">
            <v/>
          </cell>
          <cell r="AT648" t="str">
            <v/>
          </cell>
          <cell r="AU648">
            <v>38261</v>
          </cell>
        </row>
        <row r="649">
          <cell r="A649" t="str">
            <v>S16-0646</v>
          </cell>
          <cell r="B649" t="str">
            <v>新庄徳洲会病院_0646 (2)</v>
          </cell>
          <cell r="C649" t="str">
            <v>SR#不要</v>
          </cell>
          <cell r="D649" t="str">
            <v>2016/09/13-01</v>
          </cell>
          <cell r="E649" t="str">
            <v>有償</v>
          </cell>
          <cell r="F649">
            <v>42633</v>
          </cell>
          <cell r="G649">
            <v>0</v>
          </cell>
          <cell r="H649">
            <v>42699</v>
          </cell>
          <cell r="I649" t="str">
            <v>不明</v>
          </cell>
          <cell r="K649">
            <v>0</v>
          </cell>
          <cell r="M649">
            <v>180</v>
          </cell>
          <cell r="N649" t="str">
            <v>01LBWR</v>
          </cell>
          <cell r="O649" t="str">
            <v>P01102-03</v>
          </cell>
          <cell r="P649" t="str">
            <v xml:space="preserve"> 株式会社コーア</v>
          </cell>
          <cell r="Q649" t="str">
            <v>酒井様</v>
          </cell>
          <cell r="S649" t="str">
            <v>023-631-6232</v>
          </cell>
          <cell r="T649" t="str">
            <v>023-631-0564</v>
          </cell>
          <cell r="U649" t="str">
            <v>新庄徳洲会病院（検査科）</v>
          </cell>
          <cell r="AA649" t="str">
            <v/>
          </cell>
          <cell r="AB649" t="str">
            <v/>
          </cell>
          <cell r="AC649" t="str">
            <v/>
          </cell>
          <cell r="AD649" t="str">
            <v/>
          </cell>
          <cell r="AE649" t="str">
            <v/>
          </cell>
          <cell r="AF649" t="str">
            <v/>
          </cell>
          <cell r="AG649" t="str">
            <v/>
          </cell>
          <cell r="AH649" t="str">
            <v/>
          </cell>
          <cell r="AI649" t="str">
            <v/>
          </cell>
          <cell r="AJ649" t="str">
            <v/>
          </cell>
          <cell r="AK649" t="str">
            <v/>
          </cell>
          <cell r="AL649" t="str">
            <v/>
          </cell>
          <cell r="AM649" t="str">
            <v/>
          </cell>
          <cell r="AN649" t="str">
            <v/>
          </cell>
          <cell r="AO649" t="str">
            <v/>
          </cell>
          <cell r="AP649" t="str">
            <v/>
          </cell>
          <cell r="AQ649" t="str">
            <v/>
          </cell>
          <cell r="AR649" t="str">
            <v/>
          </cell>
          <cell r="AS649" t="str">
            <v/>
          </cell>
          <cell r="AT649" t="str">
            <v/>
          </cell>
          <cell r="AU649">
            <v>36647</v>
          </cell>
        </row>
        <row r="650">
          <cell r="A650" t="str">
            <v>S16-0647</v>
          </cell>
          <cell r="B650" t="str">
            <v>石川県立中央病院_0647 (2)</v>
          </cell>
          <cell r="C650" t="str">
            <v>SR#4238451</v>
          </cell>
          <cell r="D650" t="str">
            <v>-</v>
          </cell>
          <cell r="E650" t="str">
            <v>無償</v>
          </cell>
          <cell r="F650">
            <v>42633</v>
          </cell>
          <cell r="G650">
            <v>0</v>
          </cell>
          <cell r="H650">
            <v>42647</v>
          </cell>
          <cell r="I650">
            <v>41711</v>
          </cell>
          <cell r="K650" t="str">
            <v>高橋</v>
          </cell>
          <cell r="L650">
            <v>3</v>
          </cell>
          <cell r="M650" t="str">
            <v>NanoMaxx</v>
          </cell>
          <cell r="N650" t="str">
            <v>03WF8J</v>
          </cell>
          <cell r="O650" t="str">
            <v>P12700-06</v>
          </cell>
          <cell r="P650" t="str">
            <v>日本コヴィディエン株式会社　東海北陸営業所</v>
          </cell>
          <cell r="Q650" t="str">
            <v>三村様</v>
          </cell>
          <cell r="R650" t="str">
            <v>〒108-0075  東京都港区港南一丁目2番70号　品川シーズンテラス　22F</v>
          </cell>
          <cell r="S650" t="str">
            <v>03-6774-4629</v>
          </cell>
          <cell r="T650" t="str">
            <v>03-6774-4740</v>
          </cell>
          <cell r="U650" t="str">
            <v>石川県立中央病院</v>
          </cell>
          <cell r="V650" t="str">
            <v>-</v>
          </cell>
          <cell r="W650" t="str">
            <v>-</v>
          </cell>
          <cell r="X650" t="str">
            <v>076-237-8211</v>
          </cell>
          <cell r="Y650" t="str">
            <v>〒920-8530　石川県金沢市鞍月東2丁目1番地</v>
          </cell>
          <cell r="AA650" t="str">
            <v/>
          </cell>
          <cell r="AB650" t="str">
            <v/>
          </cell>
          <cell r="AC650" t="str">
            <v/>
          </cell>
          <cell r="AD650" t="str">
            <v/>
          </cell>
          <cell r="AE650" t="str">
            <v/>
          </cell>
          <cell r="AF650" t="str">
            <v/>
          </cell>
          <cell r="AG650" t="str">
            <v/>
          </cell>
          <cell r="AH650" t="str">
            <v/>
          </cell>
          <cell r="AI650" t="str">
            <v/>
          </cell>
          <cell r="AJ650" t="str">
            <v/>
          </cell>
          <cell r="AK650" t="str">
            <v/>
          </cell>
          <cell r="AL650" t="str">
            <v/>
          </cell>
          <cell r="AM650" t="str">
            <v/>
          </cell>
          <cell r="AN650" t="str">
            <v/>
          </cell>
          <cell r="AO650" t="str">
            <v/>
          </cell>
          <cell r="AP650" t="str">
            <v/>
          </cell>
          <cell r="AQ650" t="str">
            <v/>
          </cell>
          <cell r="AR650" t="str">
            <v/>
          </cell>
          <cell r="AS650" t="str">
            <v/>
          </cell>
          <cell r="AT650" t="str">
            <v/>
          </cell>
          <cell r="AU650">
            <v>41579</v>
          </cell>
        </row>
        <row r="651">
          <cell r="A651" t="str">
            <v>S16-0648</v>
          </cell>
          <cell r="B651" t="str">
            <v>藤本クリニック_0648 (2)</v>
          </cell>
          <cell r="C651" t="str">
            <v>SR#不要</v>
          </cell>
          <cell r="D651" t="str">
            <v>2016/09/16-04</v>
          </cell>
          <cell r="E651" t="str">
            <v>無償</v>
          </cell>
          <cell r="F651">
            <v>42634</v>
          </cell>
          <cell r="G651">
            <v>0</v>
          </cell>
          <cell r="H651">
            <v>42641</v>
          </cell>
          <cell r="I651" t="str">
            <v>不明</v>
          </cell>
          <cell r="K651" t="str">
            <v>高橋</v>
          </cell>
          <cell r="L651" t="str">
            <v>-</v>
          </cell>
          <cell r="M651" t="str">
            <v>MicroMaxx</v>
          </cell>
          <cell r="N651" t="str">
            <v>WK0T8F</v>
          </cell>
          <cell r="O651" t="str">
            <v>P08063-07</v>
          </cell>
          <cell r="P651" t="str">
            <v>株式会社日立製作所　東京第一営業所</v>
          </cell>
          <cell r="Q651" t="str">
            <v>齊藤様</v>
          </cell>
          <cell r="R651" t="str">
            <v>〒110-0015　東京都台東区東上野2-16-1</v>
          </cell>
          <cell r="S651" t="str">
            <v>03-6284-3669</v>
          </cell>
          <cell r="T651" t="str">
            <v>03-6284-3662</v>
          </cell>
          <cell r="U651" t="str">
            <v>藤本クリニック</v>
          </cell>
          <cell r="V651" t="str">
            <v>-</v>
          </cell>
          <cell r="W651" t="str">
            <v>-</v>
          </cell>
          <cell r="X651" t="str">
            <v>03-5685-2151</v>
          </cell>
          <cell r="Y651" t="str">
            <v xml:space="preserve">〒110-0002　東京都台東区上野桜木1-10-22 </v>
          </cell>
          <cell r="AA651" t="str">
            <v/>
          </cell>
          <cell r="AB651" t="str">
            <v/>
          </cell>
          <cell r="AC651" t="str">
            <v/>
          </cell>
          <cell r="AD651" t="str">
            <v/>
          </cell>
          <cell r="AE651" t="str">
            <v/>
          </cell>
          <cell r="AF651" t="str">
            <v/>
          </cell>
          <cell r="AG651" t="str">
            <v/>
          </cell>
          <cell r="AH651" t="str">
            <v/>
          </cell>
          <cell r="AI651" t="str">
            <v/>
          </cell>
          <cell r="AJ651" t="str">
            <v/>
          </cell>
          <cell r="AK651" t="str">
            <v/>
          </cell>
          <cell r="AL651" t="str">
            <v/>
          </cell>
          <cell r="AM651" t="str">
            <v/>
          </cell>
          <cell r="AN651" t="str">
            <v/>
          </cell>
          <cell r="AO651" t="str">
            <v/>
          </cell>
          <cell r="AP651" t="str">
            <v/>
          </cell>
          <cell r="AQ651" t="str">
            <v/>
          </cell>
          <cell r="AR651" t="str">
            <v/>
          </cell>
          <cell r="AS651" t="str">
            <v/>
          </cell>
          <cell r="AT651" t="str">
            <v/>
          </cell>
          <cell r="AU651">
            <v>40940</v>
          </cell>
        </row>
        <row r="652">
          <cell r="A652" t="str">
            <v>S16-0649</v>
          </cell>
          <cell r="B652" t="str">
            <v>JA愛知厚生連海南病院_0649</v>
          </cell>
          <cell r="C652" t="e">
            <v>#REF!</v>
          </cell>
          <cell r="D652" t="e">
            <v>#REF!</v>
          </cell>
          <cell r="E652" t="e">
            <v>#REF!</v>
          </cell>
          <cell r="F652" t="e">
            <v>#REF!</v>
          </cell>
          <cell r="G652" t="e">
            <v>#REF!</v>
          </cell>
          <cell r="H652" t="e">
            <v>#REF!</v>
          </cell>
          <cell r="I652" t="e">
            <v>#REF!</v>
          </cell>
          <cell r="K652" t="e">
            <v>#REF!</v>
          </cell>
          <cell r="M652" t="e">
            <v>#REF!</v>
          </cell>
          <cell r="N652" t="e">
            <v>#REF!</v>
          </cell>
          <cell r="O652" t="e">
            <v>#REF!</v>
          </cell>
          <cell r="P652" t="e">
            <v>#REF!</v>
          </cell>
          <cell r="Q652" t="e">
            <v>#REF!</v>
          </cell>
          <cell r="S652" t="e">
            <v>#REF!</v>
          </cell>
          <cell r="T652" t="e">
            <v>#REF!</v>
          </cell>
          <cell r="U652" t="e">
            <v>#REF!</v>
          </cell>
          <cell r="AA652" t="e">
            <v>#REF!</v>
          </cell>
          <cell r="AB652" t="e">
            <v>#REF!</v>
          </cell>
          <cell r="AC652" t="e">
            <v>#REF!</v>
          </cell>
          <cell r="AD652" t="e">
            <v>#REF!</v>
          </cell>
          <cell r="AE652" t="e">
            <v>#REF!</v>
          </cell>
          <cell r="AF652" t="e">
            <v>#REF!</v>
          </cell>
          <cell r="AG652" t="e">
            <v>#REF!</v>
          </cell>
          <cell r="AH652" t="e">
            <v>#REF!</v>
          </cell>
          <cell r="AI652" t="e">
            <v>#REF!</v>
          </cell>
          <cell r="AJ652" t="e">
            <v>#REF!</v>
          </cell>
          <cell r="AK652" t="e">
            <v>#REF!</v>
          </cell>
          <cell r="AL652" t="e">
            <v>#REF!</v>
          </cell>
          <cell r="AM652" t="e">
            <v>#REF!</v>
          </cell>
          <cell r="AN652" t="e">
            <v>#REF!</v>
          </cell>
          <cell r="AO652" t="e">
            <v>#REF!</v>
          </cell>
          <cell r="AP652" t="e">
            <v>#REF!</v>
          </cell>
          <cell r="AQ652" t="e">
            <v>#REF!</v>
          </cell>
          <cell r="AR652" t="e">
            <v>#REF!</v>
          </cell>
          <cell r="AS652" t="e">
            <v>#REF!</v>
          </cell>
          <cell r="AT652" t="e">
            <v>#REF!</v>
          </cell>
          <cell r="AU652" t="e">
            <v>#REF!</v>
          </cell>
        </row>
        <row r="653">
          <cell r="A653" t="str">
            <v>S16-0650</v>
          </cell>
          <cell r="B653" t="str">
            <v>関西労災病院_0650</v>
          </cell>
          <cell r="C653" t="e">
            <v>#REF!</v>
          </cell>
          <cell r="D653" t="e">
            <v>#REF!</v>
          </cell>
          <cell r="E653" t="e">
            <v>#REF!</v>
          </cell>
          <cell r="F653" t="e">
            <v>#REF!</v>
          </cell>
          <cell r="G653" t="e">
            <v>#REF!</v>
          </cell>
          <cell r="H653" t="e">
            <v>#REF!</v>
          </cell>
          <cell r="I653" t="e">
            <v>#REF!</v>
          </cell>
          <cell r="K653" t="e">
            <v>#REF!</v>
          </cell>
          <cell r="M653" t="e">
            <v>#REF!</v>
          </cell>
          <cell r="N653" t="e">
            <v>#REF!</v>
          </cell>
          <cell r="O653" t="e">
            <v>#REF!</v>
          </cell>
          <cell r="P653" t="e">
            <v>#REF!</v>
          </cell>
          <cell r="Q653" t="e">
            <v>#REF!</v>
          </cell>
          <cell r="S653" t="e">
            <v>#REF!</v>
          </cell>
          <cell r="T653" t="e">
            <v>#REF!</v>
          </cell>
          <cell r="U653" t="e">
            <v>#REF!</v>
          </cell>
          <cell r="AA653" t="e">
            <v>#REF!</v>
          </cell>
          <cell r="AB653" t="e">
            <v>#REF!</v>
          </cell>
          <cell r="AC653" t="e">
            <v>#REF!</v>
          </cell>
          <cell r="AD653" t="e">
            <v>#REF!</v>
          </cell>
          <cell r="AE653" t="e">
            <v>#REF!</v>
          </cell>
          <cell r="AF653" t="e">
            <v>#REF!</v>
          </cell>
          <cell r="AG653" t="e">
            <v>#REF!</v>
          </cell>
          <cell r="AH653" t="e">
            <v>#REF!</v>
          </cell>
          <cell r="AI653" t="e">
            <v>#REF!</v>
          </cell>
          <cell r="AJ653" t="e">
            <v>#REF!</v>
          </cell>
          <cell r="AK653" t="e">
            <v>#REF!</v>
          </cell>
          <cell r="AL653" t="e">
            <v>#REF!</v>
          </cell>
          <cell r="AM653" t="e">
            <v>#REF!</v>
          </cell>
          <cell r="AN653" t="e">
            <v>#REF!</v>
          </cell>
          <cell r="AO653" t="e">
            <v>#REF!</v>
          </cell>
          <cell r="AP653" t="e">
            <v>#REF!</v>
          </cell>
          <cell r="AQ653" t="e">
            <v>#REF!</v>
          </cell>
          <cell r="AR653" t="e">
            <v>#REF!</v>
          </cell>
          <cell r="AS653" t="e">
            <v>#REF!</v>
          </cell>
          <cell r="AT653" t="e">
            <v>#REF!</v>
          </cell>
          <cell r="AU653" t="e">
            <v>#REF!</v>
          </cell>
        </row>
        <row r="654">
          <cell r="A654" t="str">
            <v>S16-0651</v>
          </cell>
          <cell r="B654" t="str">
            <v>国立国際医療研究センター病院_0651</v>
          </cell>
          <cell r="C654" t="e">
            <v>#REF!</v>
          </cell>
          <cell r="D654" t="e">
            <v>#REF!</v>
          </cell>
          <cell r="E654" t="e">
            <v>#REF!</v>
          </cell>
          <cell r="F654" t="e">
            <v>#REF!</v>
          </cell>
          <cell r="G654" t="e">
            <v>#REF!</v>
          </cell>
          <cell r="H654" t="e">
            <v>#REF!</v>
          </cell>
          <cell r="I654" t="e">
            <v>#REF!</v>
          </cell>
          <cell r="K654" t="e">
            <v>#REF!</v>
          </cell>
          <cell r="M654" t="e">
            <v>#REF!</v>
          </cell>
          <cell r="N654" t="e">
            <v>#REF!</v>
          </cell>
          <cell r="O654" t="e">
            <v>#REF!</v>
          </cell>
          <cell r="P654" t="e">
            <v>#REF!</v>
          </cell>
          <cell r="Q654" t="e">
            <v>#REF!</v>
          </cell>
          <cell r="S654" t="e">
            <v>#REF!</v>
          </cell>
          <cell r="T654" t="e">
            <v>#REF!</v>
          </cell>
          <cell r="U654" t="e">
            <v>#REF!</v>
          </cell>
          <cell r="V654" t="str">
            <v>-</v>
          </cell>
          <cell r="X654" t="str">
            <v>03-3202-7181</v>
          </cell>
          <cell r="Y654" t="str">
            <v>〒162-8655　東京都新宿区戸山1-21-1</v>
          </cell>
          <cell r="AA654" t="e">
            <v>#REF!</v>
          </cell>
          <cell r="AB654" t="e">
            <v>#REF!</v>
          </cell>
          <cell r="AC654" t="e">
            <v>#REF!</v>
          </cell>
          <cell r="AD654" t="e">
            <v>#REF!</v>
          </cell>
          <cell r="AE654" t="e">
            <v>#REF!</v>
          </cell>
          <cell r="AF654" t="e">
            <v>#REF!</v>
          </cell>
          <cell r="AG654" t="e">
            <v>#REF!</v>
          </cell>
          <cell r="AH654" t="e">
            <v>#REF!</v>
          </cell>
          <cell r="AI654" t="e">
            <v>#REF!</v>
          </cell>
          <cell r="AJ654" t="e">
            <v>#REF!</v>
          </cell>
          <cell r="AK654" t="e">
            <v>#REF!</v>
          </cell>
          <cell r="AL654" t="e">
            <v>#REF!</v>
          </cell>
          <cell r="AM654" t="e">
            <v>#REF!</v>
          </cell>
          <cell r="AN654" t="e">
            <v>#REF!</v>
          </cell>
          <cell r="AO654" t="e">
            <v>#REF!</v>
          </cell>
          <cell r="AP654" t="e">
            <v>#REF!</v>
          </cell>
          <cell r="AQ654" t="e">
            <v>#REF!</v>
          </cell>
          <cell r="AR654" t="e">
            <v>#REF!</v>
          </cell>
          <cell r="AS654" t="e">
            <v>#REF!</v>
          </cell>
          <cell r="AT654" t="e">
            <v>#REF!</v>
          </cell>
          <cell r="AU654" t="e">
            <v>#REF!</v>
          </cell>
        </row>
        <row r="655">
          <cell r="A655" t="str">
            <v>S16-0652</v>
          </cell>
          <cell r="B655" t="str">
            <v>ももたろう往診クリニック_0652 (2)</v>
          </cell>
          <cell r="C655" t="str">
            <v>SR#不要</v>
          </cell>
          <cell r="D655" t="str">
            <v>2016/08/22-04</v>
          </cell>
          <cell r="E655" t="str">
            <v>有償</v>
          </cell>
          <cell r="F655">
            <v>42634</v>
          </cell>
          <cell r="G655">
            <v>0</v>
          </cell>
          <cell r="H655">
            <v>42667</v>
          </cell>
          <cell r="I655" t="str">
            <v>不明</v>
          </cell>
          <cell r="K655" t="str">
            <v>高橋</v>
          </cell>
          <cell r="L655">
            <v>3</v>
          </cell>
          <cell r="M655" t="str">
            <v>MicroMaxx</v>
          </cell>
          <cell r="N655" t="str">
            <v>WK0BY9</v>
          </cell>
          <cell r="O655" t="str">
            <v>P14179-01</v>
          </cell>
          <cell r="P655" t="str">
            <v xml:space="preserve"> 株式会社カワニシ　岡山支店</v>
          </cell>
          <cell r="Q655" t="str">
            <v>中村様</v>
          </cell>
          <cell r="R655" t="str">
            <v>〒700-8528　岡山県岡山市北区今1-4-31</v>
          </cell>
          <cell r="S655" t="str">
            <v>086-241-1112</v>
          </cell>
          <cell r="T655" t="str">
            <v>086-241-5943</v>
          </cell>
          <cell r="U655" t="str">
            <v xml:space="preserve">ももたろう往診クリニック </v>
          </cell>
          <cell r="V655" t="str">
            <v>小森先生</v>
          </cell>
          <cell r="W655" t="str">
            <v>-</v>
          </cell>
          <cell r="X655" t="str">
            <v>086-242-3232</v>
          </cell>
          <cell r="Y655" t="str">
            <v>〒700-0953　岡山県岡山市南区西市101-4-2</v>
          </cell>
          <cell r="AA655" t="str">
            <v/>
          </cell>
          <cell r="AB655" t="str">
            <v/>
          </cell>
          <cell r="AC655" t="str">
            <v/>
          </cell>
          <cell r="AD655" t="str">
            <v/>
          </cell>
          <cell r="AE655" t="str">
            <v/>
          </cell>
          <cell r="AF655" t="str">
            <v/>
          </cell>
          <cell r="AG655" t="str">
            <v/>
          </cell>
          <cell r="AH655" t="str">
            <v/>
          </cell>
          <cell r="AI655" t="str">
            <v/>
          </cell>
          <cell r="AJ655" t="str">
            <v/>
          </cell>
          <cell r="AK655" t="str">
            <v/>
          </cell>
          <cell r="AL655" t="str">
            <v/>
          </cell>
          <cell r="AM655" t="str">
            <v/>
          </cell>
          <cell r="AN655" t="str">
            <v/>
          </cell>
          <cell r="AO655" t="str">
            <v/>
          </cell>
          <cell r="AP655" t="str">
            <v/>
          </cell>
          <cell r="AQ655" t="str">
            <v/>
          </cell>
          <cell r="AR655" t="str">
            <v/>
          </cell>
          <cell r="AS655" t="str">
            <v/>
          </cell>
          <cell r="AT655" t="str">
            <v/>
          </cell>
          <cell r="AU655">
            <v>40575</v>
          </cell>
        </row>
        <row r="656">
          <cell r="A656" t="str">
            <v>S16-0653</v>
          </cell>
          <cell r="B656" t="str">
            <v>横浜市立大学附属市民総合医療センタ_0653</v>
          </cell>
          <cell r="C656" t="e">
            <v>#REF!</v>
          </cell>
          <cell r="D656" t="e">
            <v>#REF!</v>
          </cell>
          <cell r="E656" t="e">
            <v>#REF!</v>
          </cell>
          <cell r="F656" t="e">
            <v>#REF!</v>
          </cell>
          <cell r="G656" t="e">
            <v>#REF!</v>
          </cell>
          <cell r="H656" t="e">
            <v>#REF!</v>
          </cell>
          <cell r="I656" t="e">
            <v>#REF!</v>
          </cell>
          <cell r="K656" t="e">
            <v>#REF!</v>
          </cell>
          <cell r="M656" t="e">
            <v>#REF!</v>
          </cell>
          <cell r="N656" t="e">
            <v>#REF!</v>
          </cell>
          <cell r="O656" t="e">
            <v>#REF!</v>
          </cell>
          <cell r="P656" t="e">
            <v>#REF!</v>
          </cell>
          <cell r="Q656" t="e">
            <v>#REF!</v>
          </cell>
          <cell r="R656" t="str">
            <v>〒108-0075  東京都港区港南一丁目2番70号　品川シーズンテラス　22F</v>
          </cell>
          <cell r="S656" t="e">
            <v>#REF!</v>
          </cell>
          <cell r="T656" t="e">
            <v>#REF!</v>
          </cell>
          <cell r="U656" t="e">
            <v>#REF!</v>
          </cell>
          <cell r="AA656" t="e">
            <v>#REF!</v>
          </cell>
          <cell r="AB656" t="e">
            <v>#REF!</v>
          </cell>
          <cell r="AC656" t="e">
            <v>#REF!</v>
          </cell>
          <cell r="AD656" t="e">
            <v>#REF!</v>
          </cell>
          <cell r="AE656" t="e">
            <v>#REF!</v>
          </cell>
          <cell r="AF656" t="e">
            <v>#REF!</v>
          </cell>
          <cell r="AG656" t="e">
            <v>#REF!</v>
          </cell>
          <cell r="AH656" t="e">
            <v>#REF!</v>
          </cell>
          <cell r="AI656" t="e">
            <v>#REF!</v>
          </cell>
          <cell r="AJ656" t="e">
            <v>#REF!</v>
          </cell>
          <cell r="AK656" t="e">
            <v>#REF!</v>
          </cell>
          <cell r="AL656" t="e">
            <v>#REF!</v>
          </cell>
          <cell r="AM656" t="e">
            <v>#REF!</v>
          </cell>
          <cell r="AN656" t="e">
            <v>#REF!</v>
          </cell>
          <cell r="AO656" t="e">
            <v>#REF!</v>
          </cell>
          <cell r="AP656" t="e">
            <v>#REF!</v>
          </cell>
          <cell r="AQ656" t="e">
            <v>#REF!</v>
          </cell>
          <cell r="AR656" t="e">
            <v>#REF!</v>
          </cell>
          <cell r="AS656" t="e">
            <v>#REF!</v>
          </cell>
          <cell r="AT656" t="e">
            <v>#REF!</v>
          </cell>
          <cell r="AU656" t="e">
            <v>#REF!</v>
          </cell>
        </row>
        <row r="657">
          <cell r="A657" t="str">
            <v>S16-0654</v>
          </cell>
          <cell r="B657" t="str">
            <v>デモ機EST4_0654</v>
          </cell>
          <cell r="C657" t="e">
            <v>#REF!</v>
          </cell>
          <cell r="D657" t="e">
            <v>#REF!</v>
          </cell>
          <cell r="E657" t="e">
            <v>#REF!</v>
          </cell>
          <cell r="F657" t="e">
            <v>#REF!</v>
          </cell>
          <cell r="G657" t="e">
            <v>#REF!</v>
          </cell>
          <cell r="H657" t="e">
            <v>#REF!</v>
          </cell>
          <cell r="I657" t="e">
            <v>#REF!</v>
          </cell>
          <cell r="K657" t="e">
            <v>#REF!</v>
          </cell>
          <cell r="M657" t="e">
            <v>#REF!</v>
          </cell>
          <cell r="N657" t="e">
            <v>#REF!</v>
          </cell>
          <cell r="O657" t="e">
            <v>#REF!</v>
          </cell>
          <cell r="P657" t="e">
            <v>#REF!</v>
          </cell>
          <cell r="Q657" t="e">
            <v>#REF!</v>
          </cell>
          <cell r="S657" t="e">
            <v>#REF!</v>
          </cell>
          <cell r="T657" t="e">
            <v>#REF!</v>
          </cell>
          <cell r="U657" t="e">
            <v>#REF!</v>
          </cell>
          <cell r="AA657" t="e">
            <v>#REF!</v>
          </cell>
          <cell r="AB657" t="e">
            <v>#REF!</v>
          </cell>
          <cell r="AC657" t="e">
            <v>#REF!</v>
          </cell>
          <cell r="AD657" t="e">
            <v>#REF!</v>
          </cell>
          <cell r="AE657" t="e">
            <v>#REF!</v>
          </cell>
          <cell r="AF657" t="e">
            <v>#REF!</v>
          </cell>
          <cell r="AG657" t="e">
            <v>#REF!</v>
          </cell>
          <cell r="AH657" t="e">
            <v>#REF!</v>
          </cell>
          <cell r="AI657" t="e">
            <v>#REF!</v>
          </cell>
          <cell r="AJ657" t="e">
            <v>#REF!</v>
          </cell>
          <cell r="AK657" t="e">
            <v>#REF!</v>
          </cell>
          <cell r="AL657" t="e">
            <v>#REF!</v>
          </cell>
          <cell r="AM657" t="e">
            <v>#REF!</v>
          </cell>
          <cell r="AN657" t="e">
            <v>#REF!</v>
          </cell>
          <cell r="AO657" t="e">
            <v>#REF!</v>
          </cell>
          <cell r="AP657" t="e">
            <v>#REF!</v>
          </cell>
          <cell r="AQ657" t="e">
            <v>#REF!</v>
          </cell>
          <cell r="AR657" t="e">
            <v>#REF!</v>
          </cell>
          <cell r="AS657" t="e">
            <v>#REF!</v>
          </cell>
          <cell r="AT657" t="e">
            <v>#REF!</v>
          </cell>
          <cell r="AU657" t="e">
            <v>#REF!</v>
          </cell>
        </row>
        <row r="658">
          <cell r="A658" t="str">
            <v>S16-0655</v>
          </cell>
          <cell r="B658" t="str">
            <v>豊見城中央病院_0655 (2)</v>
          </cell>
          <cell r="C658" t="str">
            <v>SR#4241611</v>
          </cell>
          <cell r="D658" t="str">
            <v>2016/08/03-03</v>
          </cell>
          <cell r="E658" t="str">
            <v>無償</v>
          </cell>
          <cell r="F658">
            <v>42636</v>
          </cell>
          <cell r="G658">
            <v>0</v>
          </cell>
          <cell r="H658">
            <v>42678</v>
          </cell>
          <cell r="I658" t="str">
            <v>不明</v>
          </cell>
          <cell r="K658" t="str">
            <v>高橋</v>
          </cell>
          <cell r="L658">
            <v>3</v>
          </cell>
          <cell r="M658" t="str">
            <v>MicroMaxx</v>
          </cell>
          <cell r="N658" t="str">
            <v>WK1QLX</v>
          </cell>
          <cell r="O658" t="str">
            <v>P14179-03</v>
          </cell>
          <cell r="P658" t="str">
            <v>アイティーアイ株式会社 沖縄支店</v>
          </cell>
          <cell r="Q658" t="str">
            <v>興那嶺様</v>
          </cell>
          <cell r="R658" t="str">
            <v>〒900-0001　沖縄県那覇市港町2-9-5</v>
          </cell>
          <cell r="S658" t="str">
            <v>098-869-2281</v>
          </cell>
          <cell r="T658" t="str">
            <v>098-869-2282</v>
          </cell>
          <cell r="U658" t="str">
            <v>豊見城中央病院 循環器</v>
          </cell>
          <cell r="V658" t="str">
            <v>下地師長</v>
          </cell>
          <cell r="W658" t="str">
            <v>三階西病院</v>
          </cell>
          <cell r="X658" t="str">
            <v>098-850-3811</v>
          </cell>
          <cell r="Y658" t="str">
            <v>〒901-0243　沖縄県豊見城市字上田25番地</v>
          </cell>
          <cell r="AA658" t="str">
            <v>P18035-01</v>
          </cell>
          <cell r="AB658" t="str">
            <v>P19080-01</v>
          </cell>
          <cell r="AC658" t="str">
            <v/>
          </cell>
          <cell r="AD658" t="str">
            <v/>
          </cell>
          <cell r="AE658" t="str">
            <v/>
          </cell>
          <cell r="AF658" t="str">
            <v/>
          </cell>
          <cell r="AG658" t="str">
            <v/>
          </cell>
          <cell r="AH658" t="str">
            <v/>
          </cell>
          <cell r="AI658" t="str">
            <v/>
          </cell>
          <cell r="AJ658" t="str">
            <v/>
          </cell>
          <cell r="AK658" t="str">
            <v>CONNECTOR BRACKET</v>
          </cell>
          <cell r="AL658" t="str">
            <v>5　PIN CIRCULAR DIN ,SN CONTACTS</v>
          </cell>
          <cell r="AM658" t="str">
            <v/>
          </cell>
          <cell r="AN658" t="str">
            <v/>
          </cell>
          <cell r="AO658" t="str">
            <v/>
          </cell>
          <cell r="AP658" t="str">
            <v/>
          </cell>
          <cell r="AQ658" t="str">
            <v/>
          </cell>
          <cell r="AR658" t="str">
            <v/>
          </cell>
          <cell r="AS658" t="str">
            <v/>
          </cell>
          <cell r="AT658" t="str">
            <v/>
          </cell>
          <cell r="AU658">
            <v>41426</v>
          </cell>
        </row>
        <row r="659">
          <cell r="A659" t="str">
            <v>S16-0656</v>
          </cell>
          <cell r="B659" t="str">
            <v>日本赤十字社医療センター_0656 (2)</v>
          </cell>
          <cell r="C659" t="str">
            <v>SR#</v>
          </cell>
          <cell r="D659" t="str">
            <v>2016/09/20-03</v>
          </cell>
          <cell r="E659" t="str">
            <v>有償</v>
          </cell>
          <cell r="F659">
            <v>42636</v>
          </cell>
          <cell r="G659">
            <v>0</v>
          </cell>
          <cell r="H659">
            <v>42660</v>
          </cell>
          <cell r="I659" t="str">
            <v>不明</v>
          </cell>
          <cell r="K659" t="str">
            <v>高橋</v>
          </cell>
          <cell r="L659">
            <v>3</v>
          </cell>
          <cell r="M659" t="str">
            <v>180Plus</v>
          </cell>
          <cell r="N659" t="str">
            <v>0337GP</v>
          </cell>
          <cell r="O659" t="str">
            <v>P04326-03</v>
          </cell>
          <cell r="P659" t="str">
            <v>株式会社栗原医療器械店</v>
          </cell>
          <cell r="Q659" t="str">
            <v>一之瀬様</v>
          </cell>
          <cell r="R659" t="str">
            <v>〒108-0022　東京都港区海岸3-26-1 バーク芝浦11階</v>
          </cell>
          <cell r="S659" t="str">
            <v>03-5442-2011</v>
          </cell>
          <cell r="T659" t="str">
            <v>03-5442-2009</v>
          </cell>
          <cell r="U659" t="str">
            <v>日本赤十字社医療センター</v>
          </cell>
          <cell r="V659" t="str">
            <v>-</v>
          </cell>
          <cell r="W659" t="str">
            <v>-</v>
          </cell>
          <cell r="X659" t="str">
            <v>03-3400-1311</v>
          </cell>
          <cell r="Y659" t="str">
            <v>〒150-8935 東京都渋谷区広尾4-1-22</v>
          </cell>
          <cell r="AA659" t="str">
            <v>P00538-03</v>
          </cell>
          <cell r="AB659" t="str">
            <v>P00364-02</v>
          </cell>
          <cell r="AC659" t="str">
            <v/>
          </cell>
          <cell r="AD659" t="str">
            <v/>
          </cell>
          <cell r="AE659" t="str">
            <v/>
          </cell>
          <cell r="AF659" t="str">
            <v/>
          </cell>
          <cell r="AG659" t="str">
            <v/>
          </cell>
          <cell r="AH659" t="str">
            <v/>
          </cell>
          <cell r="AI659" t="str">
            <v/>
          </cell>
          <cell r="AJ659" t="str">
            <v/>
          </cell>
          <cell r="AK659" t="str">
            <v>POWER SUPPLY, 85-264 VAC, 50-60HZ, 16V, 45W, 180</v>
          </cell>
          <cell r="AL659" t="str">
            <v>CONNECTOR, INTERPOSER</v>
          </cell>
          <cell r="AM659" t="str">
            <v/>
          </cell>
          <cell r="AN659" t="str">
            <v/>
          </cell>
          <cell r="AO659" t="str">
            <v/>
          </cell>
          <cell r="AP659" t="str">
            <v/>
          </cell>
          <cell r="AQ659" t="str">
            <v/>
          </cell>
          <cell r="AR659" t="str">
            <v/>
          </cell>
          <cell r="AS659" t="str">
            <v/>
          </cell>
          <cell r="AT659" t="str">
            <v/>
          </cell>
          <cell r="AU659">
            <v>38322</v>
          </cell>
        </row>
        <row r="660">
          <cell r="A660" t="str">
            <v>S16-0657</v>
          </cell>
          <cell r="B660" t="str">
            <v>宮崎大学医学部附属病院_0657</v>
          </cell>
          <cell r="C660" t="e">
            <v>#REF!</v>
          </cell>
          <cell r="D660" t="e">
            <v>#REF!</v>
          </cell>
          <cell r="E660" t="e">
            <v>#REF!</v>
          </cell>
          <cell r="F660" t="e">
            <v>#REF!</v>
          </cell>
          <cell r="G660" t="e">
            <v>#REF!</v>
          </cell>
          <cell r="H660" t="e">
            <v>#REF!</v>
          </cell>
          <cell r="I660" t="e">
            <v>#REF!</v>
          </cell>
          <cell r="K660" t="str">
            <v>高橋</v>
          </cell>
          <cell r="L660">
            <v>3</v>
          </cell>
          <cell r="M660" t="e">
            <v>#REF!</v>
          </cell>
          <cell r="N660" t="e">
            <v>#REF!</v>
          </cell>
          <cell r="O660" t="e">
            <v>#REF!</v>
          </cell>
          <cell r="P660" t="e">
            <v>#REF!</v>
          </cell>
          <cell r="Q660" t="e">
            <v>#REF!</v>
          </cell>
          <cell r="R660" t="str">
            <v>〒880-0814　宮崎県宮崎市江平中町5-1</v>
          </cell>
          <cell r="S660" t="e">
            <v>#REF!</v>
          </cell>
          <cell r="T660" t="e">
            <v>#REF!</v>
          </cell>
          <cell r="U660" t="e">
            <v>#REF!</v>
          </cell>
          <cell r="V660" t="str">
            <v>-</v>
          </cell>
          <cell r="W660" t="str">
            <v>麻酔科外科</v>
          </cell>
          <cell r="X660" t="str">
            <v>0985-85-1510</v>
          </cell>
          <cell r="Y660" t="str">
            <v>〒889-1692 宮崎県宮崎市清武町木原5200</v>
          </cell>
          <cell r="AA660" t="e">
            <v>#REF!</v>
          </cell>
          <cell r="AB660" t="e">
            <v>#REF!</v>
          </cell>
          <cell r="AC660" t="e">
            <v>#REF!</v>
          </cell>
          <cell r="AD660" t="e">
            <v>#REF!</v>
          </cell>
          <cell r="AE660" t="e">
            <v>#REF!</v>
          </cell>
          <cell r="AF660" t="e">
            <v>#REF!</v>
          </cell>
          <cell r="AG660" t="e">
            <v>#REF!</v>
          </cell>
          <cell r="AH660" t="e">
            <v>#REF!</v>
          </cell>
          <cell r="AI660" t="e">
            <v>#REF!</v>
          </cell>
          <cell r="AJ660" t="e">
            <v>#REF!</v>
          </cell>
          <cell r="AK660" t="e">
            <v>#REF!</v>
          </cell>
          <cell r="AL660" t="e">
            <v>#REF!</v>
          </cell>
          <cell r="AM660" t="e">
            <v>#REF!</v>
          </cell>
          <cell r="AN660" t="e">
            <v>#REF!</v>
          </cell>
          <cell r="AO660" t="e">
            <v>#REF!</v>
          </cell>
          <cell r="AP660" t="e">
            <v>#REF!</v>
          </cell>
          <cell r="AQ660" t="e">
            <v>#REF!</v>
          </cell>
          <cell r="AR660" t="e">
            <v>#REF!</v>
          </cell>
          <cell r="AS660" t="e">
            <v>#REF!</v>
          </cell>
          <cell r="AT660" t="e">
            <v>#REF!</v>
          </cell>
          <cell r="AU660" t="e">
            <v>#REF!</v>
          </cell>
        </row>
        <row r="661">
          <cell r="A661" t="str">
            <v>S16-0658</v>
          </cell>
          <cell r="B661" t="str">
            <v>森之宮病院_0658 (2)</v>
          </cell>
          <cell r="C661" t="str">
            <v>SR#</v>
          </cell>
          <cell r="D661" t="str">
            <v>-</v>
          </cell>
          <cell r="E661" t="str">
            <v>有償</v>
          </cell>
          <cell r="F661">
            <v>42636</v>
          </cell>
          <cell r="G661">
            <v>0</v>
          </cell>
          <cell r="H661">
            <v>42660</v>
          </cell>
          <cell r="I661">
            <v>40634</v>
          </cell>
          <cell r="K661" t="str">
            <v>高橋</v>
          </cell>
          <cell r="L661">
            <v>3</v>
          </cell>
          <cell r="M661" t="str">
            <v>NanoMaxx</v>
          </cell>
          <cell r="N661" t="str">
            <v>03KD36</v>
          </cell>
          <cell r="O661" t="str">
            <v>P12700-03</v>
          </cell>
          <cell r="P661" t="str">
            <v>日本コヴィディエン株式会社　大阪営業所</v>
          </cell>
          <cell r="Q661" t="str">
            <v>佐藤様</v>
          </cell>
          <cell r="R661" t="str">
            <v>〒108-0075  東京都港区港南一丁目2番70号　品川シーズンテラス　22F</v>
          </cell>
          <cell r="S661" t="str">
            <v>03-6774-4629</v>
          </cell>
          <cell r="T661" t="str">
            <v>03-6774-4740</v>
          </cell>
          <cell r="U661" t="str">
            <v>大道会　森之宮病院</v>
          </cell>
          <cell r="V661" t="str">
            <v>-</v>
          </cell>
          <cell r="W661" t="str">
            <v>-</v>
          </cell>
          <cell r="X661" t="str">
            <v>06-6969-0111</v>
          </cell>
          <cell r="Y661" t="str">
            <v>〒536-0025 大阪府大阪市城東区森之宮2丁目1-88</v>
          </cell>
          <cell r="AA661" t="str">
            <v>P00855-01</v>
          </cell>
          <cell r="AB661" t="str">
            <v>P12889-20</v>
          </cell>
          <cell r="AC661" t="str">
            <v/>
          </cell>
          <cell r="AD661" t="str">
            <v/>
          </cell>
          <cell r="AE661" t="str">
            <v/>
          </cell>
          <cell r="AF661" t="str">
            <v/>
          </cell>
          <cell r="AG661" t="str">
            <v/>
          </cell>
          <cell r="AH661" t="str">
            <v/>
          </cell>
          <cell r="AI661" t="str">
            <v/>
          </cell>
          <cell r="AJ661" t="str">
            <v/>
          </cell>
          <cell r="AK661" t="str">
            <v>CORDSET, 15 AMP ,C13 CONNECTOR,JAPANESE</v>
          </cell>
          <cell r="AL661" t="str">
            <v>NANOMAXX BATTERY ASSEMBLY, NATIONAL PANASONIC CELLS</v>
          </cell>
          <cell r="AM661" t="str">
            <v/>
          </cell>
          <cell r="AN661" t="str">
            <v/>
          </cell>
          <cell r="AO661" t="str">
            <v/>
          </cell>
          <cell r="AP661" t="str">
            <v/>
          </cell>
          <cell r="AQ661" t="str">
            <v/>
          </cell>
          <cell r="AR661" t="str">
            <v/>
          </cell>
          <cell r="AS661" t="str">
            <v/>
          </cell>
          <cell r="AT661" t="str">
            <v/>
          </cell>
          <cell r="AU661">
            <v>40544</v>
          </cell>
        </row>
        <row r="662">
          <cell r="A662" t="str">
            <v>S16-0659</v>
          </cell>
          <cell r="B662" t="str">
            <v>産業医科大学病院_0659 (2)</v>
          </cell>
          <cell r="C662" t="str">
            <v>SR#不要</v>
          </cell>
          <cell r="D662" t="str">
            <v>2016/09/16-03</v>
          </cell>
          <cell r="E662" t="str">
            <v>有償</v>
          </cell>
          <cell r="F662">
            <v>42636</v>
          </cell>
          <cell r="G662">
            <v>0</v>
          </cell>
          <cell r="H662">
            <v>42650</v>
          </cell>
          <cell r="I662" t="str">
            <v>不明</v>
          </cell>
          <cell r="K662" t="str">
            <v>高橋</v>
          </cell>
          <cell r="L662" t="str">
            <v>-</v>
          </cell>
          <cell r="M662" t="str">
            <v>Mini-Dock （MDSm用）</v>
          </cell>
          <cell r="N662" t="str">
            <v>WV00DN</v>
          </cell>
          <cell r="O662" t="str">
            <v>P10390-01</v>
          </cell>
          <cell r="P662" t="str">
            <v>株式会社 キシヤ　北九州営業所</v>
          </cell>
          <cell r="Q662" t="str">
            <v>谷口様</v>
          </cell>
          <cell r="R662" t="str">
            <v>〒805-0071　福岡県北九州市八幡東区東田1-3-7</v>
          </cell>
          <cell r="S662" t="str">
            <v>093-663-8610</v>
          </cell>
          <cell r="T662" t="str">
            <v>093-663-8620</v>
          </cell>
          <cell r="U662" t="str">
            <v>産業医科大学病院 臨床工学科</v>
          </cell>
          <cell r="V662" t="str">
            <v>高橋様</v>
          </cell>
          <cell r="W662" t="str">
            <v>臨床工学部(ME)</v>
          </cell>
          <cell r="X662" t="str">
            <v>093-603-1611</v>
          </cell>
          <cell r="Y662" t="str">
            <v>〒807-8556　福岡県北九州市八幡西区医生ヶ丘1番1号</v>
          </cell>
          <cell r="AA662" t="str">
            <v>P10401-30</v>
          </cell>
          <cell r="AB662" t="str">
            <v/>
          </cell>
          <cell r="AC662" t="str">
            <v/>
          </cell>
          <cell r="AD662" t="str">
            <v/>
          </cell>
          <cell r="AE662" t="str">
            <v/>
          </cell>
          <cell r="AF662" t="str">
            <v/>
          </cell>
          <cell r="AG662" t="str">
            <v/>
          </cell>
          <cell r="AH662" t="str">
            <v/>
          </cell>
          <cell r="AI662" t="str">
            <v/>
          </cell>
          <cell r="AJ662" t="str">
            <v/>
          </cell>
          <cell r="AK662" t="str">
            <v>MINIDOCK DVI, DESKTOP VERSION, M-SERIES</v>
          </cell>
          <cell r="AL662" t="str">
            <v/>
          </cell>
          <cell r="AM662" t="str">
            <v/>
          </cell>
          <cell r="AN662" t="str">
            <v/>
          </cell>
          <cell r="AO662" t="str">
            <v/>
          </cell>
          <cell r="AP662" t="str">
            <v/>
          </cell>
          <cell r="AQ662" t="str">
            <v/>
          </cell>
          <cell r="AR662" t="str">
            <v/>
          </cell>
          <cell r="AS662" t="str">
            <v/>
          </cell>
          <cell r="AT662" t="str">
            <v/>
          </cell>
          <cell r="AU662">
            <v>39873</v>
          </cell>
        </row>
        <row r="663">
          <cell r="A663" t="str">
            <v>S16-0660</v>
          </cell>
          <cell r="B663" t="str">
            <v>近畿大学医学部附属病院_0660 (2)</v>
          </cell>
          <cell r="C663" t="str">
            <v>SR#</v>
          </cell>
          <cell r="D663" t="str">
            <v>-</v>
          </cell>
          <cell r="E663" t="str">
            <v>有償</v>
          </cell>
          <cell r="F663">
            <v>42636</v>
          </cell>
          <cell r="G663">
            <v>0</v>
          </cell>
          <cell r="H663">
            <v>42689</v>
          </cell>
          <cell r="I663">
            <v>40603</v>
          </cell>
          <cell r="K663" t="str">
            <v>高橋</v>
          </cell>
          <cell r="L663">
            <v>3</v>
          </cell>
          <cell r="M663" t="str">
            <v>NanoMaxx</v>
          </cell>
          <cell r="N663" t="str">
            <v>03K0NG</v>
          </cell>
          <cell r="O663" t="str">
            <v>P12700-03</v>
          </cell>
          <cell r="P663" t="str">
            <v>日本コヴィディエン株式会社　大阪営業所</v>
          </cell>
          <cell r="Q663" t="str">
            <v>道本様</v>
          </cell>
          <cell r="R663" t="str">
            <v>〒108-0075  東京都港区港南一丁目2番70号　品川シーズンテラス　22F</v>
          </cell>
          <cell r="S663" t="str">
            <v>03-6774-4629</v>
          </cell>
          <cell r="T663" t="str">
            <v>03-6774-4740</v>
          </cell>
          <cell r="U663" t="str">
            <v>近畿大学医学部附属病院</v>
          </cell>
          <cell r="V663" t="str">
            <v>-</v>
          </cell>
          <cell r="W663" t="str">
            <v>-</v>
          </cell>
          <cell r="X663" t="str">
            <v>072-366-0221</v>
          </cell>
          <cell r="Y663" t="str">
            <v>〒589-8511　大阪府大阪狭山市大野東377-2</v>
          </cell>
          <cell r="AA663" t="str">
            <v>P12889-20</v>
          </cell>
          <cell r="AB663" t="str">
            <v/>
          </cell>
          <cell r="AC663" t="str">
            <v/>
          </cell>
          <cell r="AD663" t="str">
            <v/>
          </cell>
          <cell r="AE663" t="str">
            <v/>
          </cell>
          <cell r="AF663" t="str">
            <v/>
          </cell>
          <cell r="AG663" t="str">
            <v/>
          </cell>
          <cell r="AH663" t="str">
            <v/>
          </cell>
          <cell r="AI663" t="str">
            <v/>
          </cell>
          <cell r="AJ663" t="str">
            <v/>
          </cell>
          <cell r="AK663" t="str">
            <v>NANOMAXX BATTERY ASSEMBLY, NATIONAL PANASONIC CELLS</v>
          </cell>
          <cell r="AL663" t="str">
            <v/>
          </cell>
          <cell r="AM663" t="str">
            <v/>
          </cell>
          <cell r="AN663" t="str">
            <v/>
          </cell>
          <cell r="AO663" t="str">
            <v/>
          </cell>
          <cell r="AP663" t="str">
            <v/>
          </cell>
          <cell r="AQ663" t="str">
            <v/>
          </cell>
          <cell r="AR663" t="str">
            <v/>
          </cell>
          <cell r="AS663" t="str">
            <v/>
          </cell>
          <cell r="AT663" t="str">
            <v/>
          </cell>
          <cell r="AU663">
            <v>40483</v>
          </cell>
        </row>
        <row r="664">
          <cell r="A664" t="str">
            <v>S16-0661</v>
          </cell>
          <cell r="B664" t="str">
            <v>伊勢崎佐波医師会病院_0661</v>
          </cell>
          <cell r="C664" t="e">
            <v>#REF!</v>
          </cell>
          <cell r="D664" t="e">
            <v>#REF!</v>
          </cell>
          <cell r="E664" t="e">
            <v>#REF!</v>
          </cell>
          <cell r="F664" t="e">
            <v>#REF!</v>
          </cell>
          <cell r="G664" t="e">
            <v>#REF!</v>
          </cell>
          <cell r="H664" t="e">
            <v>#REF!</v>
          </cell>
          <cell r="I664" t="e">
            <v>#REF!</v>
          </cell>
          <cell r="K664" t="e">
            <v>#REF!</v>
          </cell>
          <cell r="M664" t="e">
            <v>#REF!</v>
          </cell>
          <cell r="N664" t="e">
            <v>#REF!</v>
          </cell>
          <cell r="O664" t="e">
            <v>#REF!</v>
          </cell>
          <cell r="P664" t="e">
            <v>#REF!</v>
          </cell>
          <cell r="Q664" t="e">
            <v>#REF!</v>
          </cell>
          <cell r="S664" t="e">
            <v>#REF!</v>
          </cell>
          <cell r="T664" t="e">
            <v>#REF!</v>
          </cell>
          <cell r="U664" t="e">
            <v>#REF!</v>
          </cell>
          <cell r="AA664" t="e">
            <v>#REF!</v>
          </cell>
          <cell r="AB664" t="e">
            <v>#REF!</v>
          </cell>
          <cell r="AC664" t="e">
            <v>#REF!</v>
          </cell>
          <cell r="AD664" t="e">
            <v>#REF!</v>
          </cell>
          <cell r="AE664" t="e">
            <v>#REF!</v>
          </cell>
          <cell r="AF664" t="e">
            <v>#REF!</v>
          </cell>
          <cell r="AG664" t="e">
            <v>#REF!</v>
          </cell>
          <cell r="AH664" t="e">
            <v>#REF!</v>
          </cell>
          <cell r="AI664" t="e">
            <v>#REF!</v>
          </cell>
          <cell r="AJ664" t="e">
            <v>#REF!</v>
          </cell>
          <cell r="AK664" t="e">
            <v>#REF!</v>
          </cell>
          <cell r="AL664" t="e">
            <v>#REF!</v>
          </cell>
          <cell r="AM664" t="e">
            <v>#REF!</v>
          </cell>
          <cell r="AN664" t="e">
            <v>#REF!</v>
          </cell>
          <cell r="AO664" t="e">
            <v>#REF!</v>
          </cell>
          <cell r="AP664" t="e">
            <v>#REF!</v>
          </cell>
          <cell r="AQ664" t="e">
            <v>#REF!</v>
          </cell>
          <cell r="AR664" t="e">
            <v>#REF!</v>
          </cell>
          <cell r="AS664" t="e">
            <v>#REF!</v>
          </cell>
          <cell r="AT664" t="e">
            <v>#REF!</v>
          </cell>
          <cell r="AU664" t="e">
            <v>#REF!</v>
          </cell>
        </row>
        <row r="665">
          <cell r="A665" t="str">
            <v>S16-0662</v>
          </cell>
          <cell r="B665" t="str">
            <v>鹿児島市立病院_0662 (2)</v>
          </cell>
          <cell r="C665" t="str">
            <v>SR#</v>
          </cell>
          <cell r="D665" t="str">
            <v>2016/09/16-02</v>
          </cell>
          <cell r="E665" t="str">
            <v>有償</v>
          </cell>
          <cell r="F665">
            <v>42639</v>
          </cell>
          <cell r="G665">
            <v>0</v>
          </cell>
          <cell r="H665">
            <v>42709</v>
          </cell>
          <cell r="I665">
            <v>40801</v>
          </cell>
          <cell r="K665" t="str">
            <v>高橋</v>
          </cell>
          <cell r="L665">
            <v>3</v>
          </cell>
          <cell r="M665" t="str">
            <v>MicroMaxx</v>
          </cell>
          <cell r="N665" t="str">
            <v>WK0G0J</v>
          </cell>
          <cell r="O665" t="str">
            <v>P14179-02</v>
          </cell>
          <cell r="P665" t="str">
            <v>富士フイルムメディカル株式会社　鹿児島営業所</v>
          </cell>
          <cell r="Q665" t="str">
            <v>内田様</v>
          </cell>
          <cell r="R665" t="str">
            <v>〒890-0073　鹿児島県鹿児島市宇宿1-13-10</v>
          </cell>
          <cell r="S665" t="str">
            <v>03-6418-7190</v>
          </cell>
          <cell r="T665" t="str">
            <v>03-6418-7162</v>
          </cell>
          <cell r="U665" t="str">
            <v>鹿児島市立病院 救急、ドクターヘリ</v>
          </cell>
          <cell r="V665" t="str">
            <v>-</v>
          </cell>
          <cell r="W665" t="str">
            <v>ドクターヘリ</v>
          </cell>
          <cell r="X665" t="str">
            <v>099-230-7000</v>
          </cell>
          <cell r="Y665" t="str">
            <v>〒890-8760　鹿児島県鹿児島市上荒田町37-1</v>
          </cell>
          <cell r="AA665" t="str">
            <v>P05463-01</v>
          </cell>
          <cell r="AB665" t="str">
            <v>P07418-02</v>
          </cell>
          <cell r="AC665" t="str">
            <v/>
          </cell>
          <cell r="AD665" t="str">
            <v/>
          </cell>
          <cell r="AE665" t="str">
            <v/>
          </cell>
          <cell r="AF665" t="str">
            <v/>
          </cell>
          <cell r="AG665" t="str">
            <v/>
          </cell>
          <cell r="AH665" t="str">
            <v/>
          </cell>
          <cell r="AI665" t="str">
            <v/>
          </cell>
          <cell r="AJ665" t="str">
            <v/>
          </cell>
          <cell r="AK665" t="str">
            <v>SERVICE ASSEMBLY DISPLAY, MICROMAXX</v>
          </cell>
          <cell r="AL665" t="str">
            <v>SERVICE ASSEMBLY MAIN PCBA, D2, MICROMAXX</v>
          </cell>
          <cell r="AM665" t="str">
            <v/>
          </cell>
          <cell r="AN665" t="str">
            <v/>
          </cell>
          <cell r="AO665" t="str">
            <v/>
          </cell>
          <cell r="AP665" t="str">
            <v/>
          </cell>
          <cell r="AQ665" t="str">
            <v/>
          </cell>
          <cell r="AR665" t="str">
            <v/>
          </cell>
          <cell r="AS665" t="str">
            <v/>
          </cell>
          <cell r="AT665" t="str">
            <v/>
          </cell>
          <cell r="AU665">
            <v>40756</v>
          </cell>
        </row>
        <row r="666">
          <cell r="A666" t="str">
            <v>S16-0663</v>
          </cell>
          <cell r="B666" t="str">
            <v>岩手医科大学_0663</v>
          </cell>
          <cell r="C666" t="e">
            <v>#REF!</v>
          </cell>
          <cell r="D666" t="e">
            <v>#REF!</v>
          </cell>
          <cell r="E666" t="e">
            <v>#REF!</v>
          </cell>
          <cell r="F666" t="e">
            <v>#REF!</v>
          </cell>
          <cell r="G666" t="e">
            <v>#REF!</v>
          </cell>
          <cell r="H666" t="e">
            <v>#REF!</v>
          </cell>
          <cell r="I666" t="e">
            <v>#REF!</v>
          </cell>
          <cell r="K666" t="e">
            <v>#REF!</v>
          </cell>
          <cell r="M666" t="e">
            <v>#REF!</v>
          </cell>
          <cell r="N666" t="e">
            <v>#REF!</v>
          </cell>
          <cell r="O666" t="e">
            <v>#REF!</v>
          </cell>
          <cell r="P666" t="e">
            <v>#REF!</v>
          </cell>
          <cell r="Q666" t="e">
            <v>#REF!</v>
          </cell>
          <cell r="S666" t="e">
            <v>#REF!</v>
          </cell>
          <cell r="T666" t="e">
            <v>#REF!</v>
          </cell>
          <cell r="U666" t="e">
            <v>#REF!</v>
          </cell>
          <cell r="AA666" t="e">
            <v>#REF!</v>
          </cell>
          <cell r="AB666" t="e">
            <v>#REF!</v>
          </cell>
          <cell r="AC666" t="e">
            <v>#REF!</v>
          </cell>
          <cell r="AD666" t="e">
            <v>#REF!</v>
          </cell>
          <cell r="AE666" t="e">
            <v>#REF!</v>
          </cell>
          <cell r="AF666" t="e">
            <v>#REF!</v>
          </cell>
          <cell r="AG666" t="e">
            <v>#REF!</v>
          </cell>
          <cell r="AH666" t="e">
            <v>#REF!</v>
          </cell>
          <cell r="AI666" t="e">
            <v>#REF!</v>
          </cell>
          <cell r="AJ666" t="e">
            <v>#REF!</v>
          </cell>
          <cell r="AK666" t="e">
            <v>#REF!</v>
          </cell>
          <cell r="AL666" t="e">
            <v>#REF!</v>
          </cell>
          <cell r="AM666" t="e">
            <v>#REF!</v>
          </cell>
          <cell r="AN666" t="e">
            <v>#REF!</v>
          </cell>
          <cell r="AO666" t="e">
            <v>#REF!</v>
          </cell>
          <cell r="AP666" t="e">
            <v>#REF!</v>
          </cell>
          <cell r="AQ666" t="e">
            <v>#REF!</v>
          </cell>
          <cell r="AR666" t="e">
            <v>#REF!</v>
          </cell>
          <cell r="AS666" t="e">
            <v>#REF!</v>
          </cell>
          <cell r="AT666" t="e">
            <v>#REF!</v>
          </cell>
          <cell r="AU666" t="e">
            <v>#REF!</v>
          </cell>
        </row>
        <row r="667">
          <cell r="A667" t="str">
            <v>S16-0664</v>
          </cell>
          <cell r="B667" t="str">
            <v>佐世保市総合医療センター_0664 (2)</v>
          </cell>
          <cell r="C667" t="str">
            <v>SR#不要</v>
          </cell>
          <cell r="D667" t="str">
            <v>2016/09/21-04</v>
          </cell>
          <cell r="E667" t="str">
            <v>有償</v>
          </cell>
          <cell r="F667">
            <v>42639</v>
          </cell>
          <cell r="G667">
            <v>0</v>
          </cell>
          <cell r="H667">
            <v>42684</v>
          </cell>
          <cell r="I667">
            <v>37680</v>
          </cell>
          <cell r="K667" t="str">
            <v>高橋</v>
          </cell>
          <cell r="L667">
            <v>3</v>
          </cell>
          <cell r="M667" t="str">
            <v>180Ⅱ</v>
          </cell>
          <cell r="N667" t="str">
            <v>0300ZY</v>
          </cell>
          <cell r="O667" t="str">
            <v>P02456-02</v>
          </cell>
          <cell r="P667" t="str">
            <v>山下医科器械株式会社 佐世保支社</v>
          </cell>
          <cell r="Q667" t="str">
            <v>大浦様</v>
          </cell>
          <cell r="R667" t="str">
            <v>〒857-0055　長崎県佐世保市湊町3-13</v>
          </cell>
          <cell r="S667" t="str">
            <v>0956-25-2111</v>
          </cell>
          <cell r="T667" t="str">
            <v>0956-25-2116</v>
          </cell>
          <cell r="U667" t="str">
            <v>佐世保市総合医療センター 外科外来</v>
          </cell>
          <cell r="V667" t="str">
            <v>中井様</v>
          </cell>
          <cell r="W667" t="str">
            <v>外科外来</v>
          </cell>
          <cell r="X667" t="str">
            <v>0956-24-1515</v>
          </cell>
          <cell r="Y667" t="str">
            <v>〒857-8511 長崎県佐世保市平瀬町9-3</v>
          </cell>
          <cell r="AA667" t="str">
            <v>P01795-02</v>
          </cell>
          <cell r="AB667" t="str">
            <v/>
          </cell>
          <cell r="AC667" t="str">
            <v/>
          </cell>
          <cell r="AD667" t="str">
            <v/>
          </cell>
          <cell r="AE667" t="str">
            <v/>
          </cell>
          <cell r="AF667" t="str">
            <v/>
          </cell>
          <cell r="AG667" t="str">
            <v/>
          </cell>
          <cell r="AH667" t="str">
            <v/>
          </cell>
          <cell r="AI667" t="str">
            <v/>
          </cell>
          <cell r="AJ667" t="str">
            <v/>
          </cell>
          <cell r="AK667" t="str">
            <v>ASSEMBLY, PCB, DOCK INTERFACE W/ FAN SPEED CTL</v>
          </cell>
          <cell r="AL667" t="str">
            <v/>
          </cell>
          <cell r="AM667" t="str">
            <v/>
          </cell>
          <cell r="AN667" t="str">
            <v/>
          </cell>
          <cell r="AO667" t="str">
            <v/>
          </cell>
          <cell r="AP667" t="str">
            <v/>
          </cell>
          <cell r="AQ667" t="str">
            <v/>
          </cell>
          <cell r="AR667" t="str">
            <v/>
          </cell>
          <cell r="AS667" t="str">
            <v/>
          </cell>
          <cell r="AT667" t="str">
            <v/>
          </cell>
          <cell r="AU667">
            <v>37316</v>
          </cell>
        </row>
        <row r="668">
          <cell r="A668" t="str">
            <v>S16-0665</v>
          </cell>
          <cell r="B668" t="str">
            <v>香川大学医学部附属病院_0665 (2)</v>
          </cell>
          <cell r="C668" t="str">
            <v>SR#4238707</v>
          </cell>
          <cell r="D668" t="str">
            <v>-</v>
          </cell>
          <cell r="E668" t="str">
            <v>無償</v>
          </cell>
          <cell r="F668">
            <v>42639</v>
          </cell>
          <cell r="G668">
            <v>0</v>
          </cell>
          <cell r="H668">
            <v>42654</v>
          </cell>
          <cell r="I668">
            <v>41518</v>
          </cell>
          <cell r="K668" t="str">
            <v>高橋</v>
          </cell>
          <cell r="L668">
            <v>3</v>
          </cell>
          <cell r="M668" t="str">
            <v>NanoMaxx</v>
          </cell>
          <cell r="N668" t="str">
            <v>03V2VF</v>
          </cell>
          <cell r="O668" t="str">
            <v>P12700-06</v>
          </cell>
          <cell r="P668" t="str">
            <v>日本コヴィディエン株式会社　中四国営業所</v>
          </cell>
          <cell r="Q668" t="str">
            <v>加藤様</v>
          </cell>
          <cell r="R668" t="str">
            <v>〒108-0075  東京都港区港南一丁目2番70号　品川シーズンテラス　22F</v>
          </cell>
          <cell r="S668" t="str">
            <v>03-6774-4629</v>
          </cell>
          <cell r="T668" t="str">
            <v>03-6774-4740</v>
          </cell>
          <cell r="U668" t="str">
            <v>香川大学医学部附属病院</v>
          </cell>
          <cell r="V668" t="str">
            <v>-</v>
          </cell>
          <cell r="W668" t="str">
            <v>-</v>
          </cell>
          <cell r="X668" t="str">
            <v>087-898-5111</v>
          </cell>
          <cell r="Y668" t="str">
            <v>〒761-0793　香川県木田郡三木町池戸1750-1</v>
          </cell>
          <cell r="AA668" t="str">
            <v>P12745-01</v>
          </cell>
          <cell r="AB668" t="str">
            <v/>
          </cell>
          <cell r="AC668" t="str">
            <v/>
          </cell>
          <cell r="AD668" t="str">
            <v/>
          </cell>
          <cell r="AE668" t="str">
            <v/>
          </cell>
          <cell r="AF668" t="str">
            <v/>
          </cell>
          <cell r="AG668" t="str">
            <v/>
          </cell>
          <cell r="AH668" t="str">
            <v/>
          </cell>
          <cell r="AI668" t="str">
            <v/>
          </cell>
          <cell r="AJ668" t="str">
            <v/>
          </cell>
          <cell r="AK668" t="str">
            <v>SERVICE ASSEMBLY, POWER SUPPLY PCB, NANOMAXX</v>
          </cell>
          <cell r="AL668" t="str">
            <v/>
          </cell>
          <cell r="AM668" t="str">
            <v/>
          </cell>
          <cell r="AN668" t="str">
            <v/>
          </cell>
          <cell r="AO668" t="str">
            <v/>
          </cell>
          <cell r="AP668" t="str">
            <v/>
          </cell>
          <cell r="AQ668" t="str">
            <v/>
          </cell>
          <cell r="AR668" t="str">
            <v/>
          </cell>
          <cell r="AS668" t="str">
            <v/>
          </cell>
          <cell r="AT668" t="str">
            <v/>
          </cell>
          <cell r="AU668">
            <v>41395</v>
          </cell>
        </row>
        <row r="669">
          <cell r="A669" t="str">
            <v>S16-0666</v>
          </cell>
          <cell r="B669" t="str">
            <v>札幌医科大学病院_0666 (2)</v>
          </cell>
          <cell r="C669" t="str">
            <v>SR#</v>
          </cell>
          <cell r="D669" t="str">
            <v>2016/09/21-06</v>
          </cell>
          <cell r="E669" t="str">
            <v>有償</v>
          </cell>
          <cell r="F669">
            <v>42639</v>
          </cell>
          <cell r="G669">
            <v>0</v>
          </cell>
          <cell r="H669">
            <v>42668</v>
          </cell>
          <cell r="I669" t="str">
            <v>不明</v>
          </cell>
          <cell r="K669" t="str">
            <v>高橋</v>
          </cell>
          <cell r="L669">
            <v>2</v>
          </cell>
          <cell r="M669" t="str">
            <v>C11x/8-5</v>
          </cell>
          <cell r="N669" t="str">
            <v>03TGRW</v>
          </cell>
          <cell r="O669" t="str">
            <v>P09167-05</v>
          </cell>
          <cell r="P669" t="str">
            <v>株式会社マック</v>
          </cell>
          <cell r="Q669" t="str">
            <v>佐藤 様</v>
          </cell>
          <cell r="R669" t="str">
            <v>〒060-0041 北海道札幌市中央区大通東2丁目3番地 第36桂和ビル</v>
          </cell>
          <cell r="S669" t="str">
            <v>011-241-3181</v>
          </cell>
          <cell r="T669" t="str">
            <v>011-241-0626</v>
          </cell>
          <cell r="U669" t="str">
            <v>札幌医科大学附属病院</v>
          </cell>
          <cell r="V669" t="str">
            <v>-</v>
          </cell>
          <cell r="W669" t="str">
            <v>-</v>
          </cell>
          <cell r="X669" t="str">
            <v>011-611-2111</v>
          </cell>
          <cell r="Y669" t="str">
            <v>〒060-8543　北海道札幌市中央区南1条西16丁目291</v>
          </cell>
          <cell r="AA669" t="str">
            <v>P11882-01</v>
          </cell>
          <cell r="AB669" t="str">
            <v/>
          </cell>
          <cell r="AC669" t="str">
            <v/>
          </cell>
          <cell r="AD669" t="str">
            <v/>
          </cell>
          <cell r="AE669" t="str">
            <v/>
          </cell>
          <cell r="AF669" t="str">
            <v/>
          </cell>
          <cell r="AG669" t="str">
            <v/>
          </cell>
          <cell r="AH669" t="str">
            <v/>
          </cell>
          <cell r="AI669" t="str">
            <v/>
          </cell>
          <cell r="AJ669" t="str">
            <v/>
          </cell>
          <cell r="AK669" t="str">
            <v>LATCH KIT ASSEMBLY, ROHS</v>
          </cell>
          <cell r="AL669" t="str">
            <v/>
          </cell>
          <cell r="AM669" t="str">
            <v/>
          </cell>
          <cell r="AN669" t="str">
            <v/>
          </cell>
          <cell r="AO669" t="str">
            <v/>
          </cell>
          <cell r="AP669" t="str">
            <v/>
          </cell>
          <cell r="AQ669" t="str">
            <v/>
          </cell>
          <cell r="AR669" t="str">
            <v/>
          </cell>
          <cell r="AS669" t="str">
            <v/>
          </cell>
          <cell r="AT669" t="str">
            <v/>
          </cell>
          <cell r="AU669">
            <v>41306</v>
          </cell>
        </row>
        <row r="670">
          <cell r="A670" t="str">
            <v>S16-0667</v>
          </cell>
          <cell r="B670" t="str">
            <v>JAとりで総合医療センター_0667</v>
          </cell>
          <cell r="C670" t="e">
            <v>#REF!</v>
          </cell>
          <cell r="D670" t="e">
            <v>#REF!</v>
          </cell>
          <cell r="E670" t="e">
            <v>#REF!</v>
          </cell>
          <cell r="F670" t="e">
            <v>#REF!</v>
          </cell>
          <cell r="G670" t="e">
            <v>#REF!</v>
          </cell>
          <cell r="H670" t="e">
            <v>#REF!</v>
          </cell>
          <cell r="I670" t="e">
            <v>#REF!</v>
          </cell>
          <cell r="K670" t="e">
            <v>#REF!</v>
          </cell>
          <cell r="M670" t="e">
            <v>#REF!</v>
          </cell>
          <cell r="N670" t="e">
            <v>#REF!</v>
          </cell>
          <cell r="O670" t="e">
            <v>#REF!</v>
          </cell>
          <cell r="P670" t="e">
            <v>#REF!</v>
          </cell>
          <cell r="Q670" t="e">
            <v>#REF!</v>
          </cell>
          <cell r="S670" t="e">
            <v>#REF!</v>
          </cell>
          <cell r="T670" t="e">
            <v>#REF!</v>
          </cell>
          <cell r="U670" t="e">
            <v>#REF!</v>
          </cell>
          <cell r="AA670" t="e">
            <v>#REF!</v>
          </cell>
          <cell r="AB670" t="e">
            <v>#REF!</v>
          </cell>
          <cell r="AC670" t="e">
            <v>#REF!</v>
          </cell>
          <cell r="AD670" t="e">
            <v>#REF!</v>
          </cell>
          <cell r="AE670" t="e">
            <v>#REF!</v>
          </cell>
          <cell r="AF670" t="e">
            <v>#REF!</v>
          </cell>
          <cell r="AG670" t="e">
            <v>#REF!</v>
          </cell>
          <cell r="AH670" t="e">
            <v>#REF!</v>
          </cell>
          <cell r="AI670" t="e">
            <v>#REF!</v>
          </cell>
          <cell r="AJ670" t="e">
            <v>#REF!</v>
          </cell>
          <cell r="AK670" t="e">
            <v>#REF!</v>
          </cell>
          <cell r="AL670" t="e">
            <v>#REF!</v>
          </cell>
          <cell r="AM670" t="e">
            <v>#REF!</v>
          </cell>
          <cell r="AN670" t="e">
            <v>#REF!</v>
          </cell>
          <cell r="AO670" t="e">
            <v>#REF!</v>
          </cell>
          <cell r="AP670" t="e">
            <v>#REF!</v>
          </cell>
          <cell r="AQ670" t="e">
            <v>#REF!</v>
          </cell>
          <cell r="AR670" t="e">
            <v>#REF!</v>
          </cell>
          <cell r="AS670" t="e">
            <v>#REF!</v>
          </cell>
          <cell r="AT670" t="e">
            <v>#REF!</v>
          </cell>
          <cell r="AU670" t="e">
            <v>#REF!</v>
          </cell>
        </row>
        <row r="671">
          <cell r="A671" t="str">
            <v>S16-0668</v>
          </cell>
          <cell r="B671" t="str">
            <v>横浜南共済病院_0668</v>
          </cell>
          <cell r="C671" t="e">
            <v>#REF!</v>
          </cell>
          <cell r="D671" t="e">
            <v>#REF!</v>
          </cell>
          <cell r="E671" t="e">
            <v>#REF!</v>
          </cell>
          <cell r="F671" t="e">
            <v>#REF!</v>
          </cell>
          <cell r="G671" t="e">
            <v>#REF!</v>
          </cell>
          <cell r="H671" t="e">
            <v>#REF!</v>
          </cell>
          <cell r="I671" t="e">
            <v>#REF!</v>
          </cell>
          <cell r="K671" t="e">
            <v>#REF!</v>
          </cell>
          <cell r="M671" t="e">
            <v>#REF!</v>
          </cell>
          <cell r="N671" t="e">
            <v>#REF!</v>
          </cell>
          <cell r="O671" t="e">
            <v>#REF!</v>
          </cell>
          <cell r="P671" t="e">
            <v>#REF!</v>
          </cell>
          <cell r="Q671" t="e">
            <v>#REF!</v>
          </cell>
          <cell r="S671" t="e">
            <v>#REF!</v>
          </cell>
          <cell r="T671" t="e">
            <v>#REF!</v>
          </cell>
          <cell r="U671" t="e">
            <v>#REF!</v>
          </cell>
          <cell r="AA671" t="e">
            <v>#REF!</v>
          </cell>
          <cell r="AB671" t="e">
            <v>#REF!</v>
          </cell>
          <cell r="AC671" t="e">
            <v>#REF!</v>
          </cell>
          <cell r="AD671" t="e">
            <v>#REF!</v>
          </cell>
          <cell r="AE671" t="e">
            <v>#REF!</v>
          </cell>
          <cell r="AF671" t="e">
            <v>#REF!</v>
          </cell>
          <cell r="AG671" t="e">
            <v>#REF!</v>
          </cell>
          <cell r="AH671" t="e">
            <v>#REF!</v>
          </cell>
          <cell r="AI671" t="e">
            <v>#REF!</v>
          </cell>
          <cell r="AJ671" t="e">
            <v>#REF!</v>
          </cell>
          <cell r="AK671" t="e">
            <v>#REF!</v>
          </cell>
          <cell r="AL671" t="e">
            <v>#REF!</v>
          </cell>
          <cell r="AM671" t="e">
            <v>#REF!</v>
          </cell>
          <cell r="AN671" t="e">
            <v>#REF!</v>
          </cell>
          <cell r="AO671" t="e">
            <v>#REF!</v>
          </cell>
          <cell r="AP671" t="e">
            <v>#REF!</v>
          </cell>
          <cell r="AQ671" t="e">
            <v>#REF!</v>
          </cell>
          <cell r="AR671" t="e">
            <v>#REF!</v>
          </cell>
          <cell r="AS671" t="e">
            <v>#REF!</v>
          </cell>
          <cell r="AT671" t="e">
            <v>#REF!</v>
          </cell>
          <cell r="AU671" t="e">
            <v>#REF!</v>
          </cell>
        </row>
        <row r="672">
          <cell r="A672" t="str">
            <v>S16-0669</v>
          </cell>
          <cell r="B672" t="str">
            <v>日本医科大学附属病院_0669 (2)</v>
          </cell>
          <cell r="C672" t="str">
            <v>SR#4238713</v>
          </cell>
          <cell r="D672" t="str">
            <v>2016/09/21-03</v>
          </cell>
          <cell r="E672" t="str">
            <v>無償</v>
          </cell>
          <cell r="F672">
            <v>42640</v>
          </cell>
          <cell r="G672">
            <v>0</v>
          </cell>
          <cell r="H672">
            <v>42688</v>
          </cell>
          <cell r="I672" t="str">
            <v>不明</v>
          </cell>
          <cell r="K672" t="str">
            <v>高橋</v>
          </cell>
          <cell r="L672">
            <v>3</v>
          </cell>
          <cell r="M672" t="str">
            <v>M-Turbo</v>
          </cell>
          <cell r="N672" t="str">
            <v>WK1F3R</v>
          </cell>
          <cell r="O672" t="str">
            <v>P09141-25</v>
          </cell>
          <cell r="P672" t="str">
            <v>株式会社イノメディックス 本郷営業所</v>
          </cell>
          <cell r="Q672" t="str">
            <v>阿久津様</v>
          </cell>
          <cell r="R672" t="str">
            <v xml:space="preserve">〒113-0034 東京都文京区湯島2-16-11 </v>
          </cell>
          <cell r="S672" t="str">
            <v>03-3815-8921</v>
          </cell>
          <cell r="T672" t="str">
            <v>03-3815-8638</v>
          </cell>
          <cell r="U672" t="str">
            <v>日本医科大学附属病院</v>
          </cell>
          <cell r="V672" t="str">
            <v>-</v>
          </cell>
          <cell r="W672" t="str">
            <v>-</v>
          </cell>
          <cell r="X672" t="str">
            <v>03-3822-2131</v>
          </cell>
          <cell r="Y672" t="str">
            <v>〒113-8603　東京都文京区千駄木1-1-5</v>
          </cell>
          <cell r="AA672" t="str">
            <v>P19060-02</v>
          </cell>
          <cell r="AB672" t="str">
            <v/>
          </cell>
          <cell r="AC672" t="str">
            <v/>
          </cell>
          <cell r="AD672" t="str">
            <v/>
          </cell>
          <cell r="AE672" t="str">
            <v/>
          </cell>
          <cell r="AF672" t="str">
            <v/>
          </cell>
          <cell r="AG672" t="str">
            <v/>
          </cell>
          <cell r="AH672" t="str">
            <v/>
          </cell>
          <cell r="AI672" t="str">
            <v/>
          </cell>
          <cell r="AJ672" t="str">
            <v/>
          </cell>
          <cell r="AK672" t="str">
            <v>MAIN PCBA, M-Turbo</v>
          </cell>
          <cell r="AL672" t="str">
            <v/>
          </cell>
          <cell r="AM672" t="str">
            <v/>
          </cell>
          <cell r="AN672" t="str">
            <v/>
          </cell>
          <cell r="AO672" t="str">
            <v/>
          </cell>
          <cell r="AP672" t="str">
            <v/>
          </cell>
          <cell r="AQ672" t="str">
            <v/>
          </cell>
          <cell r="AR672" t="str">
            <v/>
          </cell>
          <cell r="AS672" t="str">
            <v/>
          </cell>
          <cell r="AT672" t="str">
            <v/>
          </cell>
          <cell r="AU672">
            <v>41244</v>
          </cell>
        </row>
        <row r="673">
          <cell r="A673" t="str">
            <v>S16-0670</v>
          </cell>
          <cell r="B673" t="str">
            <v>代替機NIM60_0670（2）</v>
          </cell>
          <cell r="C673" t="str">
            <v>SR#不要</v>
          </cell>
          <cell r="D673" t="str">
            <v>-</v>
          </cell>
          <cell r="E673" t="str">
            <v>有償</v>
          </cell>
          <cell r="F673">
            <v>42640</v>
          </cell>
          <cell r="G673">
            <v>0</v>
          </cell>
          <cell r="H673">
            <v>42654</v>
          </cell>
          <cell r="I673" t="str">
            <v>―</v>
          </cell>
          <cell r="K673" t="str">
            <v>-</v>
          </cell>
          <cell r="L673" t="str">
            <v>-</v>
          </cell>
          <cell r="M673" t="str">
            <v>TiTAN</v>
          </cell>
          <cell r="N673" t="str">
            <v>035V2V</v>
          </cell>
          <cell r="O673" t="str">
            <v>P06092-01</v>
          </cell>
          <cell r="P673" t="str">
            <v>富士フイルムメディカル株式会社</v>
          </cell>
          <cell r="Q673" t="str">
            <v>テクニカルサポート</v>
          </cell>
          <cell r="R673" t="str">
            <v>-</v>
          </cell>
          <cell r="S673" t="str">
            <v>03-6418-7190</v>
          </cell>
          <cell r="T673" t="str">
            <v>03-6418-7162</v>
          </cell>
          <cell r="U673" t="str">
            <v>代替機NIM60</v>
          </cell>
          <cell r="V673" t="str">
            <v>-</v>
          </cell>
          <cell r="W673" t="str">
            <v>-</v>
          </cell>
          <cell r="X673" t="str">
            <v>-</v>
          </cell>
          <cell r="Y673" t="str">
            <v>-</v>
          </cell>
          <cell r="AA673" t="str">
            <v/>
          </cell>
          <cell r="AB673" t="str">
            <v/>
          </cell>
          <cell r="AC673" t="str">
            <v/>
          </cell>
          <cell r="AD673" t="str">
            <v/>
          </cell>
          <cell r="AE673" t="str">
            <v/>
          </cell>
          <cell r="AF673" t="str">
            <v/>
          </cell>
          <cell r="AG673" t="str">
            <v/>
          </cell>
          <cell r="AH673" t="str">
            <v/>
          </cell>
          <cell r="AI673" t="str">
            <v/>
          </cell>
          <cell r="AJ673" t="str">
            <v/>
          </cell>
          <cell r="AK673" t="str">
            <v/>
          </cell>
          <cell r="AL673" t="str">
            <v/>
          </cell>
          <cell r="AM673" t="str">
            <v/>
          </cell>
          <cell r="AN673" t="str">
            <v/>
          </cell>
          <cell r="AO673" t="str">
            <v/>
          </cell>
          <cell r="AP673" t="str">
            <v/>
          </cell>
          <cell r="AQ673" t="str">
            <v/>
          </cell>
          <cell r="AR673" t="str">
            <v/>
          </cell>
          <cell r="AS673" t="str">
            <v/>
          </cell>
          <cell r="AT673" t="str">
            <v/>
          </cell>
          <cell r="AU673">
            <v>38777</v>
          </cell>
        </row>
        <row r="674">
          <cell r="A674" t="str">
            <v>S16-0671</v>
          </cell>
          <cell r="B674" t="str">
            <v>名寄市立病院_0671 (2)</v>
          </cell>
          <cell r="C674" t="str">
            <v>SR#4247429</v>
          </cell>
          <cell r="D674" t="str">
            <v>2016/09/07-03</v>
          </cell>
          <cell r="E674" t="str">
            <v>無償</v>
          </cell>
          <cell r="F674">
            <v>42641</v>
          </cell>
          <cell r="G674">
            <v>0</v>
          </cell>
          <cell r="H674">
            <v>42691</v>
          </cell>
          <cell r="I674" t="str">
            <v>不明</v>
          </cell>
          <cell r="K674" t="str">
            <v>高橋</v>
          </cell>
          <cell r="L674">
            <v>3</v>
          </cell>
          <cell r="M674" t="str">
            <v>EDGE</v>
          </cell>
          <cell r="N674" t="str">
            <v>041XG2</v>
          </cell>
          <cell r="O674" t="str">
            <v>P16360-63</v>
          </cell>
          <cell r="P674" t="str">
            <v>富士フイルムメディカル株式会社　札幌支店</v>
          </cell>
          <cell r="Q674" t="str">
            <v>山内 様</v>
          </cell>
          <cell r="R674" t="str">
            <v>〒096-0036　北海道名寄市西6条北11丁目58番地21</v>
          </cell>
          <cell r="S674" t="str">
            <v>011-758-0381</v>
          </cell>
          <cell r="T674" t="str">
            <v>011-747-9485</v>
          </cell>
          <cell r="U674" t="str">
            <v>名寄市立総合病院</v>
          </cell>
          <cell r="V674" t="str">
            <v>-</v>
          </cell>
          <cell r="W674" t="str">
            <v>-</v>
          </cell>
          <cell r="X674" t="str">
            <v>01654-3-3101</v>
          </cell>
          <cell r="Y674" t="str">
            <v>〒096-8511　北海道名寄市西7条南8丁目1番地</v>
          </cell>
          <cell r="AA674" t="str">
            <v>P15637-01</v>
          </cell>
          <cell r="AB674" t="str">
            <v/>
          </cell>
          <cell r="AC674" t="str">
            <v/>
          </cell>
          <cell r="AD674" t="str">
            <v/>
          </cell>
          <cell r="AE674" t="str">
            <v/>
          </cell>
          <cell r="AF674" t="str">
            <v/>
          </cell>
          <cell r="AG674" t="str">
            <v/>
          </cell>
          <cell r="AH674" t="str">
            <v/>
          </cell>
          <cell r="AI674" t="str">
            <v/>
          </cell>
          <cell r="AJ674" t="str">
            <v/>
          </cell>
          <cell r="AK674" t="str">
            <v>SERVICE ASSEMBLY, DISPLAY, EDGE</v>
          </cell>
          <cell r="AL674" t="str">
            <v/>
          </cell>
          <cell r="AM674" t="str">
            <v/>
          </cell>
          <cell r="AN674" t="str">
            <v/>
          </cell>
          <cell r="AO674" t="str">
            <v/>
          </cell>
          <cell r="AP674" t="str">
            <v/>
          </cell>
          <cell r="AQ674" t="str">
            <v/>
          </cell>
          <cell r="AR674" t="str">
            <v/>
          </cell>
          <cell r="AS674" t="str">
            <v/>
          </cell>
          <cell r="AT674" t="str">
            <v/>
          </cell>
          <cell r="AU674">
            <v>42217</v>
          </cell>
        </row>
        <row r="675">
          <cell r="A675" t="str">
            <v>S16-0672</v>
          </cell>
          <cell r="B675" t="str">
            <v>近江八幡市立総合医療センター_0672</v>
          </cell>
          <cell r="C675" t="e">
            <v>#REF!</v>
          </cell>
          <cell r="D675" t="e">
            <v>#REF!</v>
          </cell>
          <cell r="E675" t="e">
            <v>#REF!</v>
          </cell>
          <cell r="F675" t="e">
            <v>#REF!</v>
          </cell>
          <cell r="G675" t="e">
            <v>#REF!</v>
          </cell>
          <cell r="H675" t="e">
            <v>#REF!</v>
          </cell>
          <cell r="I675" t="e">
            <v>#REF!</v>
          </cell>
          <cell r="K675" t="e">
            <v>#REF!</v>
          </cell>
          <cell r="M675" t="e">
            <v>#REF!</v>
          </cell>
          <cell r="N675" t="e">
            <v>#REF!</v>
          </cell>
          <cell r="O675" t="e">
            <v>#REF!</v>
          </cell>
          <cell r="P675" t="e">
            <v>#REF!</v>
          </cell>
          <cell r="Q675" t="e">
            <v>#REF!</v>
          </cell>
          <cell r="S675" t="e">
            <v>#REF!</v>
          </cell>
          <cell r="T675" t="e">
            <v>#REF!</v>
          </cell>
          <cell r="U675" t="e">
            <v>#REF!</v>
          </cell>
          <cell r="AA675" t="e">
            <v>#REF!</v>
          </cell>
          <cell r="AB675" t="e">
            <v>#REF!</v>
          </cell>
          <cell r="AC675" t="e">
            <v>#REF!</v>
          </cell>
          <cell r="AD675" t="e">
            <v>#REF!</v>
          </cell>
          <cell r="AE675" t="e">
            <v>#REF!</v>
          </cell>
          <cell r="AF675" t="e">
            <v>#REF!</v>
          </cell>
          <cell r="AG675" t="e">
            <v>#REF!</v>
          </cell>
          <cell r="AH675" t="e">
            <v>#REF!</v>
          </cell>
          <cell r="AI675" t="e">
            <v>#REF!</v>
          </cell>
          <cell r="AJ675" t="e">
            <v>#REF!</v>
          </cell>
          <cell r="AK675" t="e">
            <v>#REF!</v>
          </cell>
          <cell r="AL675" t="e">
            <v>#REF!</v>
          </cell>
          <cell r="AM675" t="e">
            <v>#REF!</v>
          </cell>
          <cell r="AN675" t="e">
            <v>#REF!</v>
          </cell>
          <cell r="AO675" t="e">
            <v>#REF!</v>
          </cell>
          <cell r="AP675" t="e">
            <v>#REF!</v>
          </cell>
          <cell r="AQ675" t="e">
            <v>#REF!</v>
          </cell>
          <cell r="AR675" t="e">
            <v>#REF!</v>
          </cell>
          <cell r="AS675" t="e">
            <v>#REF!</v>
          </cell>
          <cell r="AT675" t="e">
            <v>#REF!</v>
          </cell>
          <cell r="AU675" t="e">
            <v>#REF!</v>
          </cell>
        </row>
        <row r="676">
          <cell r="A676" t="str">
            <v>S16-0673</v>
          </cell>
          <cell r="B676" t="str">
            <v>聖隷浜松病院_0673 (2)</v>
          </cell>
          <cell r="C676" t="str">
            <v>SR#不要</v>
          </cell>
          <cell r="D676" t="str">
            <v>2016/09/26-01</v>
          </cell>
          <cell r="E676" t="str">
            <v>有償</v>
          </cell>
          <cell r="F676">
            <v>42642</v>
          </cell>
          <cell r="G676">
            <v>0</v>
          </cell>
          <cell r="H676">
            <v>42706</v>
          </cell>
          <cell r="I676" t="str">
            <v>不明</v>
          </cell>
          <cell r="K676" t="str">
            <v>高橋</v>
          </cell>
          <cell r="L676" t="str">
            <v>-</v>
          </cell>
          <cell r="M676" t="str">
            <v>MicroMaxx</v>
          </cell>
          <cell r="N676" t="str">
            <v>WK02VJ</v>
          </cell>
          <cell r="O676" t="str">
            <v>P08063-05</v>
          </cell>
          <cell r="P676" t="str">
            <v>富士フイルムメディカル株式会社</v>
          </cell>
          <cell r="Q676" t="str">
            <v>岡崎様</v>
          </cell>
          <cell r="R676" t="str">
            <v>〒222-0033　神奈川県横浜市港北区新横浜2-8-11</v>
          </cell>
          <cell r="S676" t="str">
            <v>03-6418-7190</v>
          </cell>
          <cell r="T676" t="str">
            <v>03-6418-7162</v>
          </cell>
          <cell r="U676" t="str">
            <v>聖隷浜松病院　NICU</v>
          </cell>
          <cell r="V676" t="str">
            <v>-</v>
          </cell>
          <cell r="W676" t="str">
            <v>-</v>
          </cell>
          <cell r="X676" t="str">
            <v>053-474-2222</v>
          </cell>
          <cell r="Y676" t="str">
            <v>〒430-8558　静岡県浜松市中区住吉2-12-12</v>
          </cell>
          <cell r="AA676" t="str">
            <v>P05471-01</v>
          </cell>
          <cell r="AB676" t="str">
            <v/>
          </cell>
          <cell r="AC676" t="str">
            <v/>
          </cell>
          <cell r="AD676" t="str">
            <v/>
          </cell>
          <cell r="AE676" t="str">
            <v/>
          </cell>
          <cell r="AF676" t="str">
            <v/>
          </cell>
          <cell r="AG676" t="str">
            <v/>
          </cell>
          <cell r="AH676" t="str">
            <v/>
          </cell>
          <cell r="AI676" t="str">
            <v/>
          </cell>
          <cell r="AJ676" t="str">
            <v/>
          </cell>
          <cell r="AK676" t="str">
            <v>SERVICE ASSEMBLY, POWER SUPPLY, MICROMAXX</v>
          </cell>
          <cell r="AL676" t="str">
            <v/>
          </cell>
          <cell r="AM676" t="str">
            <v/>
          </cell>
          <cell r="AN676" t="str">
            <v/>
          </cell>
          <cell r="AO676" t="str">
            <v/>
          </cell>
          <cell r="AP676" t="str">
            <v/>
          </cell>
          <cell r="AQ676" t="str">
            <v/>
          </cell>
          <cell r="AR676" t="str">
            <v/>
          </cell>
          <cell r="AS676" t="str">
            <v/>
          </cell>
          <cell r="AT676" t="str">
            <v/>
          </cell>
          <cell r="AU676">
            <v>40179</v>
          </cell>
        </row>
        <row r="677">
          <cell r="A677" t="str">
            <v>S16-0674</v>
          </cell>
          <cell r="B677" t="str">
            <v>東京労災病院_0674</v>
          </cell>
          <cell r="C677" t="e">
            <v>#REF!</v>
          </cell>
          <cell r="D677" t="e">
            <v>#REF!</v>
          </cell>
          <cell r="E677" t="e">
            <v>#REF!</v>
          </cell>
          <cell r="F677" t="e">
            <v>#REF!</v>
          </cell>
          <cell r="G677" t="e">
            <v>#REF!</v>
          </cell>
          <cell r="H677" t="e">
            <v>#REF!</v>
          </cell>
          <cell r="I677" t="e">
            <v>#REF!</v>
          </cell>
          <cell r="K677" t="e">
            <v>#REF!</v>
          </cell>
          <cell r="M677" t="e">
            <v>#REF!</v>
          </cell>
          <cell r="N677" t="e">
            <v>#REF!</v>
          </cell>
          <cell r="O677" t="e">
            <v>#REF!</v>
          </cell>
          <cell r="P677" t="e">
            <v>#REF!</v>
          </cell>
          <cell r="Q677" t="e">
            <v>#REF!</v>
          </cell>
          <cell r="S677" t="e">
            <v>#REF!</v>
          </cell>
          <cell r="T677" t="e">
            <v>#REF!</v>
          </cell>
          <cell r="U677" t="e">
            <v>#REF!</v>
          </cell>
          <cell r="AA677" t="e">
            <v>#REF!</v>
          </cell>
          <cell r="AB677" t="e">
            <v>#REF!</v>
          </cell>
          <cell r="AC677" t="e">
            <v>#REF!</v>
          </cell>
          <cell r="AD677" t="e">
            <v>#REF!</v>
          </cell>
          <cell r="AE677" t="e">
            <v>#REF!</v>
          </cell>
          <cell r="AF677" t="e">
            <v>#REF!</v>
          </cell>
          <cell r="AG677" t="e">
            <v>#REF!</v>
          </cell>
          <cell r="AH677" t="e">
            <v>#REF!</v>
          </cell>
          <cell r="AI677" t="e">
            <v>#REF!</v>
          </cell>
          <cell r="AJ677" t="e">
            <v>#REF!</v>
          </cell>
          <cell r="AK677" t="e">
            <v>#REF!</v>
          </cell>
          <cell r="AL677" t="e">
            <v>#REF!</v>
          </cell>
          <cell r="AM677" t="e">
            <v>#REF!</v>
          </cell>
          <cell r="AN677" t="e">
            <v>#REF!</v>
          </cell>
          <cell r="AO677" t="e">
            <v>#REF!</v>
          </cell>
          <cell r="AP677" t="e">
            <v>#REF!</v>
          </cell>
          <cell r="AQ677" t="e">
            <v>#REF!</v>
          </cell>
          <cell r="AR677" t="e">
            <v>#REF!</v>
          </cell>
          <cell r="AS677" t="e">
            <v>#REF!</v>
          </cell>
          <cell r="AT677" t="e">
            <v>#REF!</v>
          </cell>
          <cell r="AU677" t="e">
            <v>#REF!</v>
          </cell>
        </row>
        <row r="678">
          <cell r="A678" t="str">
            <v>S16-0675</v>
          </cell>
          <cell r="B678" t="str">
            <v>東海記念病院_0675</v>
          </cell>
          <cell r="C678" t="e">
            <v>#REF!</v>
          </cell>
          <cell r="D678" t="e">
            <v>#REF!</v>
          </cell>
          <cell r="E678" t="e">
            <v>#REF!</v>
          </cell>
          <cell r="F678" t="e">
            <v>#REF!</v>
          </cell>
          <cell r="G678" t="e">
            <v>#REF!</v>
          </cell>
          <cell r="H678" t="e">
            <v>#REF!</v>
          </cell>
          <cell r="I678" t="e">
            <v>#REF!</v>
          </cell>
          <cell r="K678" t="e">
            <v>#REF!</v>
          </cell>
          <cell r="M678" t="e">
            <v>#REF!</v>
          </cell>
          <cell r="N678" t="e">
            <v>#REF!</v>
          </cell>
          <cell r="O678" t="e">
            <v>#REF!</v>
          </cell>
          <cell r="P678" t="e">
            <v>#REF!</v>
          </cell>
          <cell r="Q678" t="e">
            <v>#REF!</v>
          </cell>
          <cell r="S678" t="e">
            <v>#REF!</v>
          </cell>
          <cell r="T678" t="e">
            <v>#REF!</v>
          </cell>
          <cell r="U678" t="e">
            <v>#REF!</v>
          </cell>
          <cell r="AA678" t="e">
            <v>#REF!</v>
          </cell>
          <cell r="AB678" t="e">
            <v>#REF!</v>
          </cell>
          <cell r="AC678" t="e">
            <v>#REF!</v>
          </cell>
          <cell r="AD678" t="e">
            <v>#REF!</v>
          </cell>
          <cell r="AE678" t="e">
            <v>#REF!</v>
          </cell>
          <cell r="AF678" t="e">
            <v>#REF!</v>
          </cell>
          <cell r="AG678" t="e">
            <v>#REF!</v>
          </cell>
          <cell r="AH678" t="e">
            <v>#REF!</v>
          </cell>
          <cell r="AI678" t="e">
            <v>#REF!</v>
          </cell>
          <cell r="AJ678" t="e">
            <v>#REF!</v>
          </cell>
          <cell r="AK678" t="e">
            <v>#REF!</v>
          </cell>
          <cell r="AL678" t="e">
            <v>#REF!</v>
          </cell>
          <cell r="AM678" t="e">
            <v>#REF!</v>
          </cell>
          <cell r="AN678" t="e">
            <v>#REF!</v>
          </cell>
          <cell r="AO678" t="e">
            <v>#REF!</v>
          </cell>
          <cell r="AP678" t="e">
            <v>#REF!</v>
          </cell>
          <cell r="AQ678" t="e">
            <v>#REF!</v>
          </cell>
          <cell r="AR678" t="e">
            <v>#REF!</v>
          </cell>
          <cell r="AS678" t="e">
            <v>#REF!</v>
          </cell>
          <cell r="AT678" t="e">
            <v>#REF!</v>
          </cell>
          <cell r="AU678" t="e">
            <v>#REF!</v>
          </cell>
        </row>
        <row r="679">
          <cell r="A679" t="str">
            <v>S16-0676</v>
          </cell>
          <cell r="B679" t="str">
            <v>みずい整形外科_0676</v>
          </cell>
          <cell r="C679" t="e">
            <v>#REF!</v>
          </cell>
          <cell r="D679" t="e">
            <v>#REF!</v>
          </cell>
          <cell r="E679" t="e">
            <v>#REF!</v>
          </cell>
          <cell r="F679" t="e">
            <v>#REF!</v>
          </cell>
          <cell r="G679" t="e">
            <v>#REF!</v>
          </cell>
          <cell r="H679" t="e">
            <v>#REF!</v>
          </cell>
          <cell r="I679" t="e">
            <v>#REF!</v>
          </cell>
          <cell r="K679" t="e">
            <v>#REF!</v>
          </cell>
          <cell r="M679" t="e">
            <v>#REF!</v>
          </cell>
          <cell r="N679" t="e">
            <v>#REF!</v>
          </cell>
          <cell r="O679" t="e">
            <v>#REF!</v>
          </cell>
          <cell r="P679" t="e">
            <v>#REF!</v>
          </cell>
          <cell r="Q679" t="e">
            <v>#REF!</v>
          </cell>
          <cell r="S679" t="e">
            <v>#REF!</v>
          </cell>
          <cell r="T679" t="e">
            <v>#REF!</v>
          </cell>
          <cell r="U679" t="e">
            <v>#REF!</v>
          </cell>
          <cell r="AA679" t="e">
            <v>#REF!</v>
          </cell>
          <cell r="AB679" t="e">
            <v>#REF!</v>
          </cell>
          <cell r="AC679" t="e">
            <v>#REF!</v>
          </cell>
          <cell r="AD679" t="e">
            <v>#REF!</v>
          </cell>
          <cell r="AE679" t="e">
            <v>#REF!</v>
          </cell>
          <cell r="AF679" t="e">
            <v>#REF!</v>
          </cell>
          <cell r="AG679" t="e">
            <v>#REF!</v>
          </cell>
          <cell r="AH679" t="e">
            <v>#REF!</v>
          </cell>
          <cell r="AI679" t="e">
            <v>#REF!</v>
          </cell>
          <cell r="AJ679" t="e">
            <v>#REF!</v>
          </cell>
          <cell r="AK679" t="e">
            <v>#REF!</v>
          </cell>
          <cell r="AL679" t="e">
            <v>#REF!</v>
          </cell>
          <cell r="AM679" t="e">
            <v>#REF!</v>
          </cell>
          <cell r="AN679" t="e">
            <v>#REF!</v>
          </cell>
          <cell r="AO679" t="e">
            <v>#REF!</v>
          </cell>
          <cell r="AP679" t="e">
            <v>#REF!</v>
          </cell>
          <cell r="AQ679" t="e">
            <v>#REF!</v>
          </cell>
          <cell r="AR679" t="e">
            <v>#REF!</v>
          </cell>
          <cell r="AS679" t="e">
            <v>#REF!</v>
          </cell>
          <cell r="AT679" t="e">
            <v>#REF!</v>
          </cell>
          <cell r="AU679" t="e">
            <v>#REF!</v>
          </cell>
        </row>
        <row r="680">
          <cell r="A680" t="str">
            <v>S16-0677</v>
          </cell>
          <cell r="B680" t="str">
            <v>焼津市立病院_0677 (2)</v>
          </cell>
          <cell r="C680" t="str">
            <v>SR#</v>
          </cell>
          <cell r="D680" t="str">
            <v>2016/09/23-01</v>
          </cell>
          <cell r="E680" t="str">
            <v>有償</v>
          </cell>
          <cell r="F680">
            <v>42646</v>
          </cell>
          <cell r="G680">
            <v>0</v>
          </cell>
          <cell r="H680">
            <v>42667</v>
          </cell>
          <cell r="I680" t="str">
            <v>不明</v>
          </cell>
          <cell r="K680" t="str">
            <v>高橋</v>
          </cell>
          <cell r="L680">
            <v>3</v>
          </cell>
          <cell r="M680" t="str">
            <v>180Ⅱ</v>
          </cell>
          <cell r="N680" t="str">
            <v>0206XH</v>
          </cell>
          <cell r="O680" t="str">
            <v>P02456-02</v>
          </cell>
          <cell r="P680" t="str">
            <v>協和医科器械株式会社 焼津支店</v>
          </cell>
          <cell r="Q680" t="str">
            <v>山本様</v>
          </cell>
          <cell r="R680" t="str">
            <v>〒425-0066　静岡県焼津市大島817-1</v>
          </cell>
          <cell r="S680" t="str">
            <v>054-623-2222</v>
          </cell>
          <cell r="T680" t="str">
            <v>054-623-2919</v>
          </cell>
          <cell r="U680" t="str">
            <v>焼津市立病院 4C病棟</v>
          </cell>
          <cell r="V680" t="str">
            <v>-</v>
          </cell>
          <cell r="W680" t="str">
            <v>4C病棟</v>
          </cell>
          <cell r="X680" t="str">
            <v>054-623-3111</v>
          </cell>
          <cell r="Y680" t="str">
            <v>〒425-8505 静岡県焼津市道原1000番地</v>
          </cell>
          <cell r="AA680" t="str">
            <v>P00104-02</v>
          </cell>
          <cell r="AB680" t="str">
            <v/>
          </cell>
          <cell r="AC680" t="str">
            <v/>
          </cell>
          <cell r="AD680" t="str">
            <v/>
          </cell>
          <cell r="AE680" t="str">
            <v/>
          </cell>
          <cell r="AF680" t="str">
            <v/>
          </cell>
          <cell r="AG680" t="str">
            <v/>
          </cell>
          <cell r="AH680" t="str">
            <v/>
          </cell>
          <cell r="AI680" t="str">
            <v/>
          </cell>
          <cell r="AJ680" t="str">
            <v/>
          </cell>
          <cell r="AK680" t="str">
            <v>KEY, ON/OFF</v>
          </cell>
          <cell r="AL680" t="str">
            <v/>
          </cell>
          <cell r="AM680" t="str">
            <v/>
          </cell>
          <cell r="AN680" t="str">
            <v/>
          </cell>
          <cell r="AO680" t="str">
            <v/>
          </cell>
          <cell r="AP680" t="str">
            <v/>
          </cell>
          <cell r="AQ680" t="str">
            <v/>
          </cell>
          <cell r="AR680" t="str">
            <v/>
          </cell>
          <cell r="AS680" t="str">
            <v/>
          </cell>
          <cell r="AT680" t="str">
            <v/>
          </cell>
          <cell r="AU680">
            <v>37226</v>
          </cell>
        </row>
        <row r="681">
          <cell r="A681" t="str">
            <v>S16-0678</v>
          </cell>
          <cell r="B681" t="str">
            <v>高槻病院_0678 (2)</v>
          </cell>
          <cell r="C681" t="str">
            <v>SR#4242743</v>
          </cell>
          <cell r="D681" t="str">
            <v>-</v>
          </cell>
          <cell r="E681" t="str">
            <v>無償</v>
          </cell>
          <cell r="F681">
            <v>42646</v>
          </cell>
          <cell r="G681">
            <v>0</v>
          </cell>
          <cell r="H681">
            <v>42696</v>
          </cell>
          <cell r="I681">
            <v>41372</v>
          </cell>
          <cell r="K681" t="str">
            <v>高橋</v>
          </cell>
          <cell r="L681">
            <v>3</v>
          </cell>
          <cell r="M681" t="str">
            <v>NanoMaxx</v>
          </cell>
          <cell r="N681" t="str">
            <v>03T9KD</v>
          </cell>
          <cell r="O681" t="str">
            <v>P12700-06</v>
          </cell>
          <cell r="P681" t="str">
            <v>日本コヴィディエン株式会社　大阪営業所</v>
          </cell>
          <cell r="Q681" t="str">
            <v>草野様</v>
          </cell>
          <cell r="R681" t="str">
            <v>〒108-0075  東京都港区港南一丁目2番70号　品川シーズンテラス　22F</v>
          </cell>
          <cell r="S681" t="str">
            <v>03-6774-4629</v>
          </cell>
          <cell r="T681" t="str">
            <v>03-6774-4740</v>
          </cell>
          <cell r="U681" t="str">
            <v>高槻病院</v>
          </cell>
          <cell r="V681" t="str">
            <v>-</v>
          </cell>
          <cell r="W681" t="str">
            <v>-</v>
          </cell>
          <cell r="X681" t="str">
            <v>072-681-3801</v>
          </cell>
          <cell r="Y681" t="str">
            <v>〒569-1192　大阪府高槻市古曽部町1丁目3番13号</v>
          </cell>
          <cell r="AA681" t="str">
            <v>P12745-01</v>
          </cell>
          <cell r="AB681" t="str">
            <v>P12717-01</v>
          </cell>
          <cell r="AC681" t="str">
            <v/>
          </cell>
          <cell r="AD681" t="str">
            <v/>
          </cell>
          <cell r="AE681" t="str">
            <v/>
          </cell>
          <cell r="AF681" t="str">
            <v/>
          </cell>
          <cell r="AG681" t="str">
            <v/>
          </cell>
          <cell r="AH681" t="str">
            <v/>
          </cell>
          <cell r="AI681" t="str">
            <v/>
          </cell>
          <cell r="AJ681" t="str">
            <v/>
          </cell>
          <cell r="AK681" t="str">
            <v>SERVICE ASSEMBLY, POWER SUPPLY PCB, NANOMAXX</v>
          </cell>
          <cell r="AL681" t="str">
            <v>SERVICE ASSEMBLY, FRONT END PCB, NANOMAXX</v>
          </cell>
          <cell r="AM681" t="str">
            <v/>
          </cell>
          <cell r="AN681" t="str">
            <v/>
          </cell>
          <cell r="AO681" t="str">
            <v/>
          </cell>
          <cell r="AP681" t="str">
            <v/>
          </cell>
          <cell r="AQ681" t="str">
            <v/>
          </cell>
          <cell r="AR681" t="str">
            <v/>
          </cell>
          <cell r="AS681" t="str">
            <v/>
          </cell>
          <cell r="AT681" t="str">
            <v/>
          </cell>
          <cell r="AU681">
            <v>41244</v>
          </cell>
        </row>
        <row r="682">
          <cell r="A682" t="str">
            <v>S16-0679</v>
          </cell>
          <cell r="B682" t="str">
            <v>東京女子医科大学病院_0679</v>
          </cell>
          <cell r="C682" t="e">
            <v>#REF!</v>
          </cell>
          <cell r="D682" t="e">
            <v>#REF!</v>
          </cell>
          <cell r="E682" t="e">
            <v>#REF!</v>
          </cell>
          <cell r="F682" t="e">
            <v>#REF!</v>
          </cell>
          <cell r="G682" t="e">
            <v>#REF!</v>
          </cell>
          <cell r="H682" t="e">
            <v>#REF!</v>
          </cell>
          <cell r="I682" t="e">
            <v>#REF!</v>
          </cell>
          <cell r="K682" t="e">
            <v>#REF!</v>
          </cell>
          <cell r="M682" t="e">
            <v>#REF!</v>
          </cell>
          <cell r="N682" t="e">
            <v>#REF!</v>
          </cell>
          <cell r="O682" t="e">
            <v>#REF!</v>
          </cell>
          <cell r="P682" t="e">
            <v>#REF!</v>
          </cell>
          <cell r="Q682" t="e">
            <v>#REF!</v>
          </cell>
          <cell r="S682" t="e">
            <v>#REF!</v>
          </cell>
          <cell r="T682" t="e">
            <v>#REF!</v>
          </cell>
          <cell r="U682" t="e">
            <v>#REF!</v>
          </cell>
          <cell r="AA682" t="e">
            <v>#REF!</v>
          </cell>
          <cell r="AB682" t="e">
            <v>#REF!</v>
          </cell>
          <cell r="AC682" t="e">
            <v>#REF!</v>
          </cell>
          <cell r="AD682" t="e">
            <v>#REF!</v>
          </cell>
          <cell r="AE682" t="e">
            <v>#REF!</v>
          </cell>
          <cell r="AF682" t="e">
            <v>#REF!</v>
          </cell>
          <cell r="AG682" t="e">
            <v>#REF!</v>
          </cell>
          <cell r="AH682" t="e">
            <v>#REF!</v>
          </cell>
          <cell r="AI682" t="e">
            <v>#REF!</v>
          </cell>
          <cell r="AJ682" t="e">
            <v>#REF!</v>
          </cell>
          <cell r="AK682" t="e">
            <v>#REF!</v>
          </cell>
          <cell r="AL682" t="e">
            <v>#REF!</v>
          </cell>
          <cell r="AM682" t="e">
            <v>#REF!</v>
          </cell>
          <cell r="AN682" t="e">
            <v>#REF!</v>
          </cell>
          <cell r="AO682" t="e">
            <v>#REF!</v>
          </cell>
          <cell r="AP682" t="e">
            <v>#REF!</v>
          </cell>
          <cell r="AQ682" t="e">
            <v>#REF!</v>
          </cell>
          <cell r="AR682" t="e">
            <v>#REF!</v>
          </cell>
          <cell r="AS682" t="e">
            <v>#REF!</v>
          </cell>
          <cell r="AT682" t="e">
            <v>#REF!</v>
          </cell>
          <cell r="AU682" t="e">
            <v>#REF!</v>
          </cell>
        </row>
        <row r="683">
          <cell r="A683" t="str">
            <v>S16-0680</v>
          </cell>
          <cell r="B683" t="str">
            <v>東北大学病院_0680</v>
          </cell>
          <cell r="C683" t="e">
            <v>#REF!</v>
          </cell>
          <cell r="D683" t="e">
            <v>#REF!</v>
          </cell>
          <cell r="E683" t="e">
            <v>#REF!</v>
          </cell>
          <cell r="F683" t="e">
            <v>#REF!</v>
          </cell>
          <cell r="G683" t="e">
            <v>#REF!</v>
          </cell>
          <cell r="H683" t="e">
            <v>#REF!</v>
          </cell>
          <cell r="I683" t="e">
            <v>#REF!</v>
          </cell>
          <cell r="K683" t="e">
            <v>#REF!</v>
          </cell>
          <cell r="M683" t="e">
            <v>#REF!</v>
          </cell>
          <cell r="N683" t="e">
            <v>#REF!</v>
          </cell>
          <cell r="O683" t="e">
            <v>#REF!</v>
          </cell>
          <cell r="P683" t="e">
            <v>#REF!</v>
          </cell>
          <cell r="Q683" t="e">
            <v>#REF!</v>
          </cell>
          <cell r="S683" t="e">
            <v>#REF!</v>
          </cell>
          <cell r="T683" t="e">
            <v>#REF!</v>
          </cell>
          <cell r="U683" t="e">
            <v>#REF!</v>
          </cell>
          <cell r="AA683" t="e">
            <v>#REF!</v>
          </cell>
          <cell r="AB683" t="e">
            <v>#REF!</v>
          </cell>
          <cell r="AC683" t="e">
            <v>#REF!</v>
          </cell>
          <cell r="AD683" t="e">
            <v>#REF!</v>
          </cell>
          <cell r="AE683" t="e">
            <v>#REF!</v>
          </cell>
          <cell r="AF683" t="e">
            <v>#REF!</v>
          </cell>
          <cell r="AG683" t="e">
            <v>#REF!</v>
          </cell>
          <cell r="AH683" t="e">
            <v>#REF!</v>
          </cell>
          <cell r="AI683" t="e">
            <v>#REF!</v>
          </cell>
          <cell r="AJ683" t="e">
            <v>#REF!</v>
          </cell>
          <cell r="AK683" t="e">
            <v>#REF!</v>
          </cell>
          <cell r="AL683" t="e">
            <v>#REF!</v>
          </cell>
          <cell r="AM683" t="e">
            <v>#REF!</v>
          </cell>
          <cell r="AN683" t="e">
            <v>#REF!</v>
          </cell>
          <cell r="AO683" t="e">
            <v>#REF!</v>
          </cell>
          <cell r="AP683" t="e">
            <v>#REF!</v>
          </cell>
          <cell r="AQ683" t="e">
            <v>#REF!</v>
          </cell>
          <cell r="AR683" t="e">
            <v>#REF!</v>
          </cell>
          <cell r="AS683" t="e">
            <v>#REF!</v>
          </cell>
          <cell r="AT683" t="e">
            <v>#REF!</v>
          </cell>
          <cell r="AU683" t="e">
            <v>#REF!</v>
          </cell>
        </row>
        <row r="684">
          <cell r="A684" t="str">
            <v>S16-0681</v>
          </cell>
          <cell r="B684" t="str">
            <v>前橋協立病院_0681 (2)</v>
          </cell>
          <cell r="C684" t="str">
            <v>SR#</v>
          </cell>
          <cell r="D684" t="str">
            <v>2016/09/30-03</v>
          </cell>
          <cell r="E684" t="str">
            <v>有償</v>
          </cell>
          <cell r="F684">
            <v>42647</v>
          </cell>
          <cell r="G684">
            <v>0</v>
          </cell>
          <cell r="H684">
            <v>42695</v>
          </cell>
          <cell r="I684" t="str">
            <v>不明</v>
          </cell>
          <cell r="K684" t="str">
            <v>高橋</v>
          </cell>
          <cell r="L684">
            <v>3</v>
          </cell>
          <cell r="M684" t="str">
            <v>TiTAN</v>
          </cell>
          <cell r="N684" t="str">
            <v>035HPD</v>
          </cell>
          <cell r="O684" t="str">
            <v>P06092-02</v>
          </cell>
          <cell r="P684" t="str">
            <v>株式会社栗原医療器械店 前橋支社</v>
          </cell>
          <cell r="Q684" t="str">
            <v>落合様</v>
          </cell>
          <cell r="R684" t="str">
            <v>〒371-0044　群馬県前橋市荒牧町2-39-7</v>
          </cell>
          <cell r="S684" t="str">
            <v>027-232-9691</v>
          </cell>
          <cell r="T684" t="str">
            <v>027-233-3168</v>
          </cell>
          <cell r="U684" t="str">
            <v>前橋協立病院 総務課</v>
          </cell>
          <cell r="V684" t="str">
            <v>須永様</v>
          </cell>
          <cell r="W684" t="str">
            <v>総務課</v>
          </cell>
          <cell r="X684" t="str">
            <v>027-265-3511</v>
          </cell>
          <cell r="Y684" t="str">
            <v>〒371-0811　群馬県前橋市朝倉町828-1</v>
          </cell>
          <cell r="AA684" t="str">
            <v>P03861-02</v>
          </cell>
          <cell r="AB684" t="str">
            <v/>
          </cell>
          <cell r="AC684" t="str">
            <v/>
          </cell>
          <cell r="AD684" t="str">
            <v/>
          </cell>
          <cell r="AE684" t="str">
            <v/>
          </cell>
          <cell r="AF684" t="str">
            <v/>
          </cell>
          <cell r="AG684" t="str">
            <v/>
          </cell>
          <cell r="AH684" t="str">
            <v/>
          </cell>
          <cell r="AI684" t="str">
            <v/>
          </cell>
          <cell r="AJ684" t="str">
            <v/>
          </cell>
          <cell r="AK684" t="str">
            <v>SERVICE ASSEMBLY DISPLAY, TITAN</v>
          </cell>
          <cell r="AL684" t="str">
            <v/>
          </cell>
          <cell r="AM684" t="str">
            <v/>
          </cell>
          <cell r="AN684" t="str">
            <v/>
          </cell>
          <cell r="AO684" t="str">
            <v/>
          </cell>
          <cell r="AP684" t="str">
            <v/>
          </cell>
          <cell r="AQ684" t="str">
            <v/>
          </cell>
          <cell r="AR684" t="str">
            <v/>
          </cell>
          <cell r="AS684" t="str">
            <v/>
          </cell>
          <cell r="AT684" t="str">
            <v/>
          </cell>
          <cell r="AU684">
            <v>38838</v>
          </cell>
        </row>
        <row r="685">
          <cell r="A685" t="str">
            <v>S16-0682</v>
          </cell>
          <cell r="B685" t="str">
            <v>近森病院_0682</v>
          </cell>
          <cell r="C685" t="e">
            <v>#REF!</v>
          </cell>
          <cell r="D685" t="e">
            <v>#REF!</v>
          </cell>
          <cell r="E685" t="e">
            <v>#REF!</v>
          </cell>
          <cell r="F685" t="e">
            <v>#REF!</v>
          </cell>
          <cell r="G685" t="e">
            <v>#REF!</v>
          </cell>
          <cell r="H685" t="e">
            <v>#REF!</v>
          </cell>
          <cell r="I685" t="e">
            <v>#REF!</v>
          </cell>
          <cell r="K685" t="e">
            <v>#REF!</v>
          </cell>
          <cell r="M685" t="e">
            <v>#REF!</v>
          </cell>
          <cell r="N685" t="e">
            <v>#REF!</v>
          </cell>
          <cell r="O685" t="e">
            <v>#REF!</v>
          </cell>
          <cell r="P685" t="e">
            <v>#REF!</v>
          </cell>
          <cell r="Q685" t="e">
            <v>#REF!</v>
          </cell>
          <cell r="S685" t="e">
            <v>#REF!</v>
          </cell>
          <cell r="T685" t="e">
            <v>#REF!</v>
          </cell>
          <cell r="U685" t="e">
            <v>#REF!</v>
          </cell>
          <cell r="AA685" t="e">
            <v>#REF!</v>
          </cell>
          <cell r="AB685" t="e">
            <v>#REF!</v>
          </cell>
          <cell r="AC685" t="e">
            <v>#REF!</v>
          </cell>
          <cell r="AD685" t="e">
            <v>#REF!</v>
          </cell>
          <cell r="AE685" t="e">
            <v>#REF!</v>
          </cell>
          <cell r="AF685" t="e">
            <v>#REF!</v>
          </cell>
          <cell r="AG685" t="e">
            <v>#REF!</v>
          </cell>
          <cell r="AH685" t="e">
            <v>#REF!</v>
          </cell>
          <cell r="AI685" t="e">
            <v>#REF!</v>
          </cell>
          <cell r="AJ685" t="e">
            <v>#REF!</v>
          </cell>
          <cell r="AK685" t="e">
            <v>#REF!</v>
          </cell>
          <cell r="AL685" t="e">
            <v>#REF!</v>
          </cell>
          <cell r="AM685" t="e">
            <v>#REF!</v>
          </cell>
          <cell r="AN685" t="e">
            <v>#REF!</v>
          </cell>
          <cell r="AO685" t="e">
            <v>#REF!</v>
          </cell>
          <cell r="AP685" t="e">
            <v>#REF!</v>
          </cell>
          <cell r="AQ685" t="e">
            <v>#REF!</v>
          </cell>
          <cell r="AR685" t="e">
            <v>#REF!</v>
          </cell>
          <cell r="AS685" t="e">
            <v>#REF!</v>
          </cell>
          <cell r="AT685" t="e">
            <v>#REF!</v>
          </cell>
          <cell r="AU685" t="e">
            <v>#REF!</v>
          </cell>
        </row>
        <row r="686">
          <cell r="A686" t="str">
            <v>S16-0683</v>
          </cell>
          <cell r="B686" t="str">
            <v>ふなき助産院_0683 (2)</v>
          </cell>
          <cell r="C686" t="str">
            <v>SR#</v>
          </cell>
          <cell r="D686" t="str">
            <v>2016/10/03-03</v>
          </cell>
          <cell r="E686" t="str">
            <v>有償</v>
          </cell>
          <cell r="F686">
            <v>42648</v>
          </cell>
          <cell r="G686">
            <v>0</v>
          </cell>
          <cell r="H686">
            <v>42682</v>
          </cell>
          <cell r="I686" t="str">
            <v>不明</v>
          </cell>
          <cell r="K686" t="str">
            <v>高橋</v>
          </cell>
          <cell r="L686">
            <v>3</v>
          </cell>
          <cell r="M686" t="str">
            <v>180Plus</v>
          </cell>
          <cell r="N686" t="str">
            <v>03CMWP</v>
          </cell>
          <cell r="O686" t="str">
            <v>P04326-05</v>
          </cell>
          <cell r="P686" t="str">
            <v>株式会社 大黒 大阪支店</v>
          </cell>
          <cell r="Q686" t="str">
            <v>尾茂様</v>
          </cell>
          <cell r="R686" t="str">
            <v>〒550-0002　大阪府大阪市西区江戸堀3-5-27</v>
          </cell>
          <cell r="S686" t="str">
            <v>06-6445-8828</v>
          </cell>
          <cell r="T686" t="str">
            <v>06-6445-1404</v>
          </cell>
          <cell r="U686" t="str">
            <v>ふなき助産院</v>
          </cell>
          <cell r="V686" t="str">
            <v>舟木操様</v>
          </cell>
          <cell r="W686" t="str">
            <v>-</v>
          </cell>
          <cell r="X686" t="str">
            <v>06-6911-1238</v>
          </cell>
          <cell r="Y686" t="str">
            <v>〒538-0053　大阪府大阪市鶴見区鶴見3丁目6-26</v>
          </cell>
          <cell r="AA686" t="str">
            <v>P02088-02</v>
          </cell>
          <cell r="AB686" t="str">
            <v>P00343-01</v>
          </cell>
          <cell r="AC686" t="str">
            <v>P01213-01</v>
          </cell>
          <cell r="AD686" t="str">
            <v>P00104-02</v>
          </cell>
          <cell r="AE686" t="str">
            <v/>
          </cell>
          <cell r="AF686" t="str">
            <v/>
          </cell>
          <cell r="AG686" t="str">
            <v/>
          </cell>
          <cell r="AH686" t="str">
            <v/>
          </cell>
          <cell r="AI686" t="str">
            <v/>
          </cell>
          <cell r="AJ686" t="str">
            <v/>
          </cell>
          <cell r="AK686" t="str">
            <v>SERVICE ASSEMBLY, TRACKBALL, C1.9</v>
          </cell>
          <cell r="AL686" t="str">
            <v>HINGE, DISPLAY</v>
          </cell>
          <cell r="AM686" t="str">
            <v>FLEX CIRCUIT, FAB, C1 DISPLAY</v>
          </cell>
          <cell r="AN686" t="str">
            <v>KEY, ON/OFF</v>
          </cell>
          <cell r="AO686" t="str">
            <v/>
          </cell>
          <cell r="AP686" t="str">
            <v/>
          </cell>
          <cell r="AQ686" t="str">
            <v/>
          </cell>
          <cell r="AR686" t="str">
            <v/>
          </cell>
          <cell r="AS686" t="str">
            <v/>
          </cell>
          <cell r="AT686" t="str">
            <v/>
          </cell>
          <cell r="AU686">
            <v>39630</v>
          </cell>
        </row>
        <row r="687">
          <cell r="A687" t="str">
            <v>S16-0684</v>
          </cell>
          <cell r="B687" t="str">
            <v>岡山大学病院_0684</v>
          </cell>
          <cell r="C687" t="e">
            <v>#REF!</v>
          </cell>
          <cell r="D687" t="e">
            <v>#REF!</v>
          </cell>
          <cell r="E687" t="e">
            <v>#REF!</v>
          </cell>
          <cell r="F687" t="e">
            <v>#REF!</v>
          </cell>
          <cell r="G687" t="e">
            <v>#REF!</v>
          </cell>
          <cell r="H687" t="e">
            <v>#REF!</v>
          </cell>
          <cell r="I687" t="e">
            <v>#REF!</v>
          </cell>
          <cell r="K687" t="str">
            <v>-</v>
          </cell>
          <cell r="L687" t="str">
            <v>-</v>
          </cell>
          <cell r="M687" t="e">
            <v>#REF!</v>
          </cell>
          <cell r="N687" t="e">
            <v>#REF!</v>
          </cell>
          <cell r="O687" t="e">
            <v>#REF!</v>
          </cell>
          <cell r="P687" t="e">
            <v>#REF!</v>
          </cell>
          <cell r="Q687" t="e">
            <v>#REF!</v>
          </cell>
          <cell r="S687" t="e">
            <v>#REF!</v>
          </cell>
          <cell r="T687" t="e">
            <v>#REF!</v>
          </cell>
          <cell r="U687" t="e">
            <v>#REF!</v>
          </cell>
          <cell r="AA687" t="e">
            <v>#REF!</v>
          </cell>
          <cell r="AB687" t="e">
            <v>#REF!</v>
          </cell>
          <cell r="AC687" t="e">
            <v>#REF!</v>
          </cell>
          <cell r="AD687" t="e">
            <v>#REF!</v>
          </cell>
          <cell r="AE687" t="e">
            <v>#REF!</v>
          </cell>
          <cell r="AF687" t="e">
            <v>#REF!</v>
          </cell>
          <cell r="AG687" t="e">
            <v>#REF!</v>
          </cell>
          <cell r="AH687" t="e">
            <v>#REF!</v>
          </cell>
          <cell r="AI687" t="e">
            <v>#REF!</v>
          </cell>
          <cell r="AJ687" t="e">
            <v>#REF!</v>
          </cell>
          <cell r="AK687" t="e">
            <v>#REF!</v>
          </cell>
          <cell r="AL687" t="e">
            <v>#REF!</v>
          </cell>
          <cell r="AM687" t="e">
            <v>#REF!</v>
          </cell>
          <cell r="AN687" t="e">
            <v>#REF!</v>
          </cell>
          <cell r="AO687" t="e">
            <v>#REF!</v>
          </cell>
          <cell r="AP687" t="e">
            <v>#REF!</v>
          </cell>
          <cell r="AQ687" t="e">
            <v>#REF!</v>
          </cell>
          <cell r="AR687" t="e">
            <v>#REF!</v>
          </cell>
          <cell r="AS687" t="e">
            <v>#REF!</v>
          </cell>
          <cell r="AT687" t="e">
            <v>#REF!</v>
          </cell>
          <cell r="AU687" t="e">
            <v>#REF!</v>
          </cell>
        </row>
        <row r="688">
          <cell r="A688" t="str">
            <v>S16-0685</v>
          </cell>
          <cell r="B688" t="str">
            <v>ふなやまペインクリニック_0685 (2)</v>
          </cell>
          <cell r="C688" t="str">
            <v>SR#</v>
          </cell>
          <cell r="D688" t="str">
            <v>2016/09/23-05</v>
          </cell>
          <cell r="E688" t="str">
            <v>有償</v>
          </cell>
          <cell r="F688">
            <v>42648</v>
          </cell>
          <cell r="G688">
            <v>0</v>
          </cell>
          <cell r="H688">
            <v>42710</v>
          </cell>
          <cell r="I688" t="str">
            <v>不明</v>
          </cell>
          <cell r="K688" t="str">
            <v>-</v>
          </cell>
          <cell r="L688" t="str">
            <v>-</v>
          </cell>
          <cell r="M688" t="str">
            <v>S-Nerve</v>
          </cell>
          <cell r="N688" t="str">
            <v>03CF1X</v>
          </cell>
          <cell r="O688" t="str">
            <v>P10284-041</v>
          </cell>
          <cell r="P688" t="str">
            <v>フクダ電子長野販売株式会社 山梨営業所</v>
          </cell>
          <cell r="Q688" t="str">
            <v>小渕様</v>
          </cell>
          <cell r="R688" t="str">
            <v>〒400-0047　山梨県甲府市徳行3-13-23</v>
          </cell>
          <cell r="S688" t="str">
            <v>055-222-6655</v>
          </cell>
          <cell r="T688" t="str">
            <v>055-222-6465</v>
          </cell>
          <cell r="U688" t="str">
            <v>ふなやまペインクリニック</v>
          </cell>
          <cell r="V688" t="str">
            <v>-</v>
          </cell>
          <cell r="W688" t="str">
            <v>-</v>
          </cell>
          <cell r="X688" t="str">
            <v>055-221-1347</v>
          </cell>
          <cell r="Y688" t="str">
            <v>〒400-0043　山梨県甲府市国母1-22-20</v>
          </cell>
          <cell r="AA688" t="str">
            <v/>
          </cell>
          <cell r="AB688" t="str">
            <v/>
          </cell>
          <cell r="AC688" t="str">
            <v/>
          </cell>
          <cell r="AD688" t="str">
            <v/>
          </cell>
          <cell r="AE688" t="str">
            <v/>
          </cell>
          <cell r="AF688" t="str">
            <v/>
          </cell>
          <cell r="AG688" t="str">
            <v/>
          </cell>
          <cell r="AH688" t="str">
            <v/>
          </cell>
          <cell r="AI688" t="str">
            <v/>
          </cell>
          <cell r="AJ688" t="str">
            <v/>
          </cell>
          <cell r="AK688" t="str">
            <v/>
          </cell>
          <cell r="AL688" t="str">
            <v/>
          </cell>
          <cell r="AM688" t="str">
            <v/>
          </cell>
          <cell r="AN688" t="str">
            <v/>
          </cell>
          <cell r="AO688" t="str">
            <v/>
          </cell>
          <cell r="AP688" t="str">
            <v/>
          </cell>
          <cell r="AQ688" t="str">
            <v/>
          </cell>
          <cell r="AR688" t="str">
            <v/>
          </cell>
          <cell r="AS688" t="str">
            <v/>
          </cell>
          <cell r="AT688" t="str">
            <v/>
          </cell>
          <cell r="AU688">
            <v>39600</v>
          </cell>
        </row>
        <row r="689">
          <cell r="A689" t="str">
            <v>S16-0686</v>
          </cell>
          <cell r="B689" t="str">
            <v>八反丸クリニック_0686 (2)</v>
          </cell>
          <cell r="C689" t="str">
            <v>SR#不要</v>
          </cell>
          <cell r="D689" t="str">
            <v>-</v>
          </cell>
          <cell r="E689" t="str">
            <v>有償</v>
          </cell>
          <cell r="F689">
            <v>42649</v>
          </cell>
          <cell r="G689">
            <v>0</v>
          </cell>
          <cell r="H689">
            <v>42689</v>
          </cell>
          <cell r="I689" t="str">
            <v>不明</v>
          </cell>
          <cell r="K689" t="str">
            <v>-</v>
          </cell>
          <cell r="L689" t="str">
            <v>-</v>
          </cell>
          <cell r="M689" t="str">
            <v>H-Universal Stand</v>
          </cell>
          <cell r="N689" t="str">
            <v>WM0F86</v>
          </cell>
          <cell r="O689" t="str">
            <v>P13813-01</v>
          </cell>
          <cell r="P689" t="str">
            <v>富士フイルムメディカル株式会社</v>
          </cell>
          <cell r="Q689" t="str">
            <v>望月様</v>
          </cell>
          <cell r="R689" t="str">
            <v>〒260-0843　千葉県千葉市中央区末広5-6-15</v>
          </cell>
          <cell r="S689" t="str">
            <v>043-261-8801</v>
          </cell>
          <cell r="T689" t="str">
            <v>043-261-8807</v>
          </cell>
          <cell r="U689" t="str">
            <v>ペインクリニック八反丸</v>
          </cell>
          <cell r="V689" t="str">
            <v>-</v>
          </cell>
          <cell r="W689" t="str">
            <v>-</v>
          </cell>
          <cell r="X689" t="str">
            <v>047-312-0088</v>
          </cell>
          <cell r="Y689" t="str">
            <v>〒270-0034 千葉県松戸市新松戸1-359-1幸和ビル2F-A</v>
          </cell>
          <cell r="AA689" t="str">
            <v/>
          </cell>
          <cell r="AB689" t="str">
            <v/>
          </cell>
          <cell r="AC689" t="str">
            <v/>
          </cell>
          <cell r="AD689" t="str">
            <v/>
          </cell>
          <cell r="AE689" t="str">
            <v/>
          </cell>
          <cell r="AF689" t="str">
            <v/>
          </cell>
          <cell r="AG689" t="str">
            <v/>
          </cell>
          <cell r="AH689" t="str">
            <v/>
          </cell>
          <cell r="AI689" t="str">
            <v/>
          </cell>
          <cell r="AJ689" t="str">
            <v/>
          </cell>
          <cell r="AK689" t="str">
            <v/>
          </cell>
          <cell r="AL689" t="str">
            <v/>
          </cell>
          <cell r="AM689" t="str">
            <v/>
          </cell>
          <cell r="AN689" t="str">
            <v/>
          </cell>
          <cell r="AO689" t="str">
            <v/>
          </cell>
          <cell r="AP689" t="str">
            <v/>
          </cell>
          <cell r="AQ689" t="str">
            <v/>
          </cell>
          <cell r="AR689" t="str">
            <v/>
          </cell>
          <cell r="AS689" t="str">
            <v/>
          </cell>
          <cell r="AT689" t="str">
            <v/>
          </cell>
          <cell r="AU689">
            <v>40575</v>
          </cell>
        </row>
        <row r="690">
          <cell r="A690" t="str">
            <v>S16-0687</v>
          </cell>
          <cell r="B690" t="str">
            <v>大田病院_0687</v>
          </cell>
          <cell r="C690" t="e">
            <v>#REF!</v>
          </cell>
          <cell r="D690" t="e">
            <v>#REF!</v>
          </cell>
          <cell r="E690" t="e">
            <v>#REF!</v>
          </cell>
          <cell r="F690" t="e">
            <v>#REF!</v>
          </cell>
          <cell r="G690" t="e">
            <v>#REF!</v>
          </cell>
          <cell r="H690" t="e">
            <v>#REF!</v>
          </cell>
          <cell r="I690" t="e">
            <v>#REF!</v>
          </cell>
          <cell r="K690" t="e">
            <v>#REF!</v>
          </cell>
          <cell r="M690" t="e">
            <v>#REF!</v>
          </cell>
          <cell r="N690" t="e">
            <v>#REF!</v>
          </cell>
          <cell r="O690" t="e">
            <v>#REF!</v>
          </cell>
          <cell r="P690" t="e">
            <v>#REF!</v>
          </cell>
          <cell r="Q690" t="e">
            <v>#REF!</v>
          </cell>
          <cell r="R690" t="str">
            <v>〒108-0075  東京都港区港南一丁目2番70号　品川シーズンテラス　22F</v>
          </cell>
          <cell r="S690" t="e">
            <v>#REF!</v>
          </cell>
          <cell r="T690" t="e">
            <v>#REF!</v>
          </cell>
          <cell r="U690" t="e">
            <v>#REF!</v>
          </cell>
          <cell r="V690" t="str">
            <v>-</v>
          </cell>
          <cell r="W690" t="str">
            <v>-</v>
          </cell>
          <cell r="X690" t="str">
            <v>03-3762-8421</v>
          </cell>
          <cell r="Y690" t="str">
            <v>〒143-0012　東京都大田区大森東4-4-14</v>
          </cell>
          <cell r="AA690" t="e">
            <v>#REF!</v>
          </cell>
          <cell r="AB690" t="e">
            <v>#REF!</v>
          </cell>
          <cell r="AC690" t="e">
            <v>#REF!</v>
          </cell>
          <cell r="AD690" t="e">
            <v>#REF!</v>
          </cell>
          <cell r="AE690" t="e">
            <v>#REF!</v>
          </cell>
          <cell r="AF690" t="e">
            <v>#REF!</v>
          </cell>
          <cell r="AG690" t="e">
            <v>#REF!</v>
          </cell>
          <cell r="AH690" t="e">
            <v>#REF!</v>
          </cell>
          <cell r="AI690" t="e">
            <v>#REF!</v>
          </cell>
          <cell r="AJ690" t="e">
            <v>#REF!</v>
          </cell>
          <cell r="AK690" t="e">
            <v>#REF!</v>
          </cell>
          <cell r="AL690" t="e">
            <v>#REF!</v>
          </cell>
          <cell r="AM690" t="e">
            <v>#REF!</v>
          </cell>
          <cell r="AN690" t="e">
            <v>#REF!</v>
          </cell>
          <cell r="AO690" t="e">
            <v>#REF!</v>
          </cell>
          <cell r="AP690" t="e">
            <v>#REF!</v>
          </cell>
          <cell r="AQ690" t="e">
            <v>#REF!</v>
          </cell>
          <cell r="AR690" t="e">
            <v>#REF!</v>
          </cell>
          <cell r="AS690" t="e">
            <v>#REF!</v>
          </cell>
          <cell r="AT690" t="e">
            <v>#REF!</v>
          </cell>
          <cell r="AU690" t="e">
            <v>#REF!</v>
          </cell>
        </row>
        <row r="691">
          <cell r="A691" t="str">
            <v>S16-0688</v>
          </cell>
          <cell r="B691" t="str">
            <v>北里大学医療衛生学部_0688 (2)</v>
          </cell>
          <cell r="C691" t="str">
            <v>SR#4244461</v>
          </cell>
          <cell r="D691" t="str">
            <v>2016/09/27-02</v>
          </cell>
          <cell r="E691" t="str">
            <v>無償</v>
          </cell>
          <cell r="F691">
            <v>42649</v>
          </cell>
          <cell r="G691">
            <v>0</v>
          </cell>
          <cell r="H691">
            <v>42678</v>
          </cell>
          <cell r="I691" t="str">
            <v>不明</v>
          </cell>
          <cell r="K691" t="str">
            <v>高橋</v>
          </cell>
          <cell r="L691">
            <v>3</v>
          </cell>
          <cell r="M691" t="str">
            <v>M-Turbo</v>
          </cell>
          <cell r="N691" t="str">
            <v>WK141H</v>
          </cell>
          <cell r="O691" t="str">
            <v>P09141-23</v>
          </cell>
          <cell r="P691" t="str">
            <v>株式会社イノメディックス　相模原営業所</v>
          </cell>
          <cell r="Q691" t="str">
            <v>梶原様</v>
          </cell>
          <cell r="R691" t="str">
            <v>〒252-0206　神奈川県相模原市中央区淵野辺4-19-16</v>
          </cell>
          <cell r="S691" t="str">
            <v>042-752-7611</v>
          </cell>
          <cell r="T691" t="str">
            <v>042-752-2499</v>
          </cell>
          <cell r="U691" t="str">
            <v>北里大学　医療衛生学部</v>
          </cell>
          <cell r="V691" t="str">
            <v>渡辺様</v>
          </cell>
          <cell r="W691" t="str">
            <v>リハビリテーション学科</v>
          </cell>
          <cell r="X691" t="str">
            <v>042-778-9968</v>
          </cell>
          <cell r="Y691" t="str">
            <v>〒252-0373 神奈川県相模原市南区北里1-15-1</v>
          </cell>
          <cell r="AA691" t="str">
            <v>P18035-01</v>
          </cell>
          <cell r="AB691" t="str">
            <v>P19080-01</v>
          </cell>
          <cell r="AC691" t="str">
            <v>P02312-01</v>
          </cell>
          <cell r="AD691" t="str">
            <v/>
          </cell>
          <cell r="AE691" t="str">
            <v/>
          </cell>
          <cell r="AF691" t="str">
            <v/>
          </cell>
          <cell r="AG691" t="str">
            <v/>
          </cell>
          <cell r="AH691" t="str">
            <v/>
          </cell>
          <cell r="AI691" t="str">
            <v/>
          </cell>
          <cell r="AJ691" t="str">
            <v/>
          </cell>
          <cell r="AK691" t="str">
            <v>CONN,RCPT,5 PIN CIRCULAR DIN,SN CONTACTS,SHIELDED,LOW PROFILE,ROHS</v>
          </cell>
          <cell r="AL691" t="str">
            <v xml:space="preserve">BRACKET,DIN CONNECTOR </v>
          </cell>
          <cell r="AM691" t="str">
            <v>FAN ASSEMBLY</v>
          </cell>
          <cell r="AN691" t="str">
            <v/>
          </cell>
          <cell r="AO691" t="str">
            <v/>
          </cell>
          <cell r="AP691" t="str">
            <v/>
          </cell>
          <cell r="AQ691" t="str">
            <v/>
          </cell>
          <cell r="AR691" t="str">
            <v/>
          </cell>
          <cell r="AS691" t="str">
            <v/>
          </cell>
          <cell r="AT691" t="str">
            <v/>
          </cell>
          <cell r="AU691">
            <v>41061</v>
          </cell>
        </row>
        <row r="692">
          <cell r="A692" t="str">
            <v>S16-0689</v>
          </cell>
          <cell r="B692" t="str">
            <v>大阪市立総合医療センター_0689 (2)</v>
          </cell>
          <cell r="C692" t="str">
            <v>SR#不要</v>
          </cell>
          <cell r="D692" t="str">
            <v>2016/09/27-04</v>
          </cell>
          <cell r="E692" t="str">
            <v>有償</v>
          </cell>
          <cell r="F692">
            <v>42649</v>
          </cell>
          <cell r="G692">
            <v>0</v>
          </cell>
          <cell r="H692">
            <v>42702</v>
          </cell>
          <cell r="I692" t="str">
            <v>不明</v>
          </cell>
          <cell r="K692" t="str">
            <v>高橋</v>
          </cell>
          <cell r="L692">
            <v>3</v>
          </cell>
          <cell r="M692" t="str">
            <v>UP-25MD</v>
          </cell>
          <cell r="N692" t="str">
            <v>310910</v>
          </cell>
          <cell r="O692" t="str">
            <v>-</v>
          </cell>
          <cell r="P692" t="str">
            <v>株式会社MMコーポレーション　北大阪支店</v>
          </cell>
          <cell r="Q692" t="str">
            <v>手塚様</v>
          </cell>
          <cell r="R692" t="str">
            <v>〒564-0043　大阪府吹田市南吹田5-19-26</v>
          </cell>
          <cell r="S692" t="str">
            <v>06-6384-5700</v>
          </cell>
          <cell r="T692" t="str">
            <v>06-6384-5705</v>
          </cell>
          <cell r="U692" t="str">
            <v>大阪市立総合医療センター</v>
          </cell>
          <cell r="V692" t="str">
            <v>-</v>
          </cell>
          <cell r="W692" t="str">
            <v>-</v>
          </cell>
          <cell r="X692" t="str">
            <v>06-6929-1221</v>
          </cell>
          <cell r="Y692" t="str">
            <v>〒534-0021　大阪府大阪市都島区都島本通2-13-22</v>
          </cell>
          <cell r="AA692">
            <v>416730302</v>
          </cell>
          <cell r="AB692">
            <v>416731201</v>
          </cell>
          <cell r="AC692" t="str">
            <v/>
          </cell>
          <cell r="AD692" t="str">
            <v/>
          </cell>
          <cell r="AE692" t="str">
            <v/>
          </cell>
          <cell r="AF692" t="str">
            <v/>
          </cell>
          <cell r="AG692" t="str">
            <v/>
          </cell>
          <cell r="AH692" t="str">
            <v/>
          </cell>
          <cell r="AI692" t="str">
            <v/>
          </cell>
          <cell r="AJ692" t="str">
            <v/>
          </cell>
          <cell r="AK692" t="str">
            <v>給紙トレイガイド</v>
          </cell>
          <cell r="AL692" t="str">
            <v>トレイロック</v>
          </cell>
          <cell r="AM692" t="str">
            <v/>
          </cell>
          <cell r="AN692" t="str">
            <v/>
          </cell>
          <cell r="AO692" t="str">
            <v/>
          </cell>
          <cell r="AP692" t="str">
            <v/>
          </cell>
          <cell r="AQ692" t="str">
            <v/>
          </cell>
          <cell r="AR692" t="str">
            <v/>
          </cell>
          <cell r="AS692" t="str">
            <v/>
          </cell>
          <cell r="AT692" t="str">
            <v/>
          </cell>
          <cell r="AU692" t="str">
            <v>-</v>
          </cell>
        </row>
        <row r="693">
          <cell r="A693" t="str">
            <v>S16-0690</v>
          </cell>
          <cell r="B693" t="str">
            <v>なおしま医院_0690 (2)</v>
          </cell>
          <cell r="C693" t="str">
            <v>SR#4241607</v>
          </cell>
          <cell r="D693" t="str">
            <v>2016/10/04-03</v>
          </cell>
          <cell r="E693" t="str">
            <v>無償</v>
          </cell>
          <cell r="F693">
            <v>42650</v>
          </cell>
          <cell r="G693">
            <v>0</v>
          </cell>
          <cell r="H693">
            <v>42678</v>
          </cell>
          <cell r="I693" t="str">
            <v>不明</v>
          </cell>
          <cell r="K693" t="str">
            <v>高橋</v>
          </cell>
          <cell r="L693">
            <v>3</v>
          </cell>
          <cell r="M693" t="str">
            <v>M-Turbo</v>
          </cell>
          <cell r="N693" t="str">
            <v>WK2788</v>
          </cell>
          <cell r="O693" t="str">
            <v>P09141-27</v>
          </cell>
          <cell r="P693" t="str">
            <v>フクダ電子北東北販売株式会社　盛岡営業所</v>
          </cell>
          <cell r="Q693" t="str">
            <v>吉島様</v>
          </cell>
          <cell r="R693" t="str">
            <v>〒020-0051　岩手県盛岡市下太田下川原12-1</v>
          </cell>
          <cell r="S693" t="str">
            <v>019-656-2200</v>
          </cell>
          <cell r="T693" t="str">
            <v>019-656-2266</v>
          </cell>
          <cell r="U693" t="str">
            <v>なおしま医院</v>
          </cell>
          <cell r="V693" t="str">
            <v>-</v>
          </cell>
          <cell r="W693" t="str">
            <v>-</v>
          </cell>
          <cell r="X693" t="str">
            <v>019-673-6967</v>
          </cell>
          <cell r="Y693" t="str">
            <v>〒028-3441　岩手県紫波郡紫波町上平沢字川原田33-5</v>
          </cell>
          <cell r="AA693" t="str">
            <v>P08659-03</v>
          </cell>
          <cell r="AB693" t="str">
            <v/>
          </cell>
          <cell r="AC693" t="str">
            <v/>
          </cell>
          <cell r="AD693" t="str">
            <v/>
          </cell>
          <cell r="AE693" t="str">
            <v/>
          </cell>
          <cell r="AF693" t="str">
            <v/>
          </cell>
          <cell r="AG693" t="str">
            <v/>
          </cell>
          <cell r="AH693" t="str">
            <v/>
          </cell>
          <cell r="AI693" t="str">
            <v/>
          </cell>
          <cell r="AJ693" t="str">
            <v/>
          </cell>
          <cell r="AK693" t="str">
            <v>SERVICE ASSEMBLY, LCD DISPLAY, M-TURBO</v>
          </cell>
          <cell r="AL693" t="str">
            <v/>
          </cell>
          <cell r="AM693" t="str">
            <v/>
          </cell>
          <cell r="AN693" t="str">
            <v/>
          </cell>
          <cell r="AO693" t="str">
            <v/>
          </cell>
          <cell r="AP693" t="str">
            <v/>
          </cell>
          <cell r="AQ693" t="str">
            <v/>
          </cell>
          <cell r="AR693" t="str">
            <v/>
          </cell>
          <cell r="AS693" t="str">
            <v/>
          </cell>
          <cell r="AT693" t="str">
            <v/>
          </cell>
          <cell r="AU693">
            <v>41671</v>
          </cell>
        </row>
        <row r="694">
          <cell r="A694" t="str">
            <v>S16-0691</v>
          </cell>
          <cell r="B694" t="str">
            <v>はしぐち整骨院_0691 (2)</v>
          </cell>
          <cell r="C694" t="str">
            <v>SR#</v>
          </cell>
          <cell r="D694" t="str">
            <v>2016/09/01-02</v>
          </cell>
          <cell r="E694" t="str">
            <v>有償</v>
          </cell>
          <cell r="F694">
            <v>42650</v>
          </cell>
          <cell r="G694">
            <v>0</v>
          </cell>
          <cell r="H694">
            <v>42669</v>
          </cell>
          <cell r="I694" t="str">
            <v>不明</v>
          </cell>
          <cell r="K694" t="str">
            <v>高橋</v>
          </cell>
          <cell r="L694">
            <v>3</v>
          </cell>
          <cell r="M694" t="str">
            <v>MicroMaxx</v>
          </cell>
          <cell r="N694" t="str">
            <v>WK02GX</v>
          </cell>
          <cell r="O694" t="str">
            <v>P08063-05</v>
          </cell>
          <cell r="P694" t="str">
            <v>株式会社エス・エス・ピー</v>
          </cell>
          <cell r="Q694" t="str">
            <v>中村様</v>
          </cell>
          <cell r="R694" t="str">
            <v>〒305-0853　茨城県つくば市榎戸748-2　榎戸倉庫6スパン</v>
          </cell>
          <cell r="S694" t="str">
            <v>029-839-0349</v>
          </cell>
          <cell r="T694" t="str">
            <v>029-838-0896</v>
          </cell>
          <cell r="U694" t="str">
            <v>はしぐち整骨院</v>
          </cell>
          <cell r="V694" t="str">
            <v>-</v>
          </cell>
          <cell r="W694" t="str">
            <v>-</v>
          </cell>
          <cell r="X694" t="str">
            <v>095-818-6608</v>
          </cell>
          <cell r="Y694" t="str">
            <v>〒850-0877　長崎県長崎市築町1-17 2F</v>
          </cell>
          <cell r="AA694" t="str">
            <v>P05463-01</v>
          </cell>
          <cell r="AB694" t="str">
            <v/>
          </cell>
          <cell r="AC694" t="str">
            <v/>
          </cell>
          <cell r="AD694" t="str">
            <v/>
          </cell>
          <cell r="AE694" t="str">
            <v/>
          </cell>
          <cell r="AF694" t="str">
            <v/>
          </cell>
          <cell r="AG694" t="str">
            <v/>
          </cell>
          <cell r="AH694" t="str">
            <v/>
          </cell>
          <cell r="AI694" t="str">
            <v/>
          </cell>
          <cell r="AJ694" t="str">
            <v/>
          </cell>
          <cell r="AK694" t="str">
            <v>SERVICE ASSEMBLY DISPLAY, MICROMAXX</v>
          </cell>
          <cell r="AL694" t="str">
            <v/>
          </cell>
          <cell r="AM694" t="str">
            <v/>
          </cell>
          <cell r="AN694" t="str">
            <v/>
          </cell>
          <cell r="AO694" t="str">
            <v/>
          </cell>
          <cell r="AP694" t="str">
            <v/>
          </cell>
          <cell r="AQ694" t="str">
            <v/>
          </cell>
          <cell r="AR694" t="str">
            <v/>
          </cell>
          <cell r="AS694" t="str">
            <v/>
          </cell>
          <cell r="AT694" t="str">
            <v/>
          </cell>
          <cell r="AU694">
            <v>40026</v>
          </cell>
        </row>
        <row r="695">
          <cell r="A695" t="str">
            <v>S16-0692</v>
          </cell>
          <cell r="B695" t="str">
            <v>済生会川口総合病院_0692</v>
          </cell>
          <cell r="C695" t="e">
            <v>#REF!</v>
          </cell>
          <cell r="D695" t="e">
            <v>#REF!</v>
          </cell>
          <cell r="E695" t="e">
            <v>#REF!</v>
          </cell>
          <cell r="F695" t="e">
            <v>#REF!</v>
          </cell>
          <cell r="G695" t="e">
            <v>#REF!</v>
          </cell>
          <cell r="H695" t="e">
            <v>#REF!</v>
          </cell>
          <cell r="I695" t="e">
            <v>#REF!</v>
          </cell>
          <cell r="K695" t="e">
            <v>#REF!</v>
          </cell>
          <cell r="M695" t="e">
            <v>#REF!</v>
          </cell>
          <cell r="N695" t="e">
            <v>#REF!</v>
          </cell>
          <cell r="O695" t="e">
            <v>#REF!</v>
          </cell>
          <cell r="P695" t="e">
            <v>#REF!</v>
          </cell>
          <cell r="Q695" t="e">
            <v>#REF!</v>
          </cell>
          <cell r="S695" t="e">
            <v>#REF!</v>
          </cell>
          <cell r="T695" t="e">
            <v>#REF!</v>
          </cell>
          <cell r="U695" t="e">
            <v>#REF!</v>
          </cell>
          <cell r="AA695" t="e">
            <v>#REF!</v>
          </cell>
          <cell r="AB695" t="e">
            <v>#REF!</v>
          </cell>
          <cell r="AC695" t="e">
            <v>#REF!</v>
          </cell>
          <cell r="AD695" t="e">
            <v>#REF!</v>
          </cell>
          <cell r="AE695" t="e">
            <v>#REF!</v>
          </cell>
          <cell r="AF695" t="e">
            <v>#REF!</v>
          </cell>
          <cell r="AG695" t="e">
            <v>#REF!</v>
          </cell>
          <cell r="AH695" t="e">
            <v>#REF!</v>
          </cell>
          <cell r="AI695" t="e">
            <v>#REF!</v>
          </cell>
          <cell r="AJ695" t="e">
            <v>#REF!</v>
          </cell>
          <cell r="AK695" t="e">
            <v>#REF!</v>
          </cell>
          <cell r="AL695" t="e">
            <v>#REF!</v>
          </cell>
          <cell r="AM695" t="e">
            <v>#REF!</v>
          </cell>
          <cell r="AN695" t="e">
            <v>#REF!</v>
          </cell>
          <cell r="AO695" t="e">
            <v>#REF!</v>
          </cell>
          <cell r="AP695" t="e">
            <v>#REF!</v>
          </cell>
          <cell r="AQ695" t="e">
            <v>#REF!</v>
          </cell>
          <cell r="AR695" t="e">
            <v>#REF!</v>
          </cell>
          <cell r="AS695" t="e">
            <v>#REF!</v>
          </cell>
          <cell r="AT695" t="e">
            <v>#REF!</v>
          </cell>
          <cell r="AU695" t="e">
            <v>#REF!</v>
          </cell>
        </row>
        <row r="696">
          <cell r="A696" t="str">
            <v>S16-0693</v>
          </cell>
          <cell r="B696" t="str">
            <v>大隅鹿屋病院_0693 (2)</v>
          </cell>
          <cell r="C696" t="str">
            <v>SR#4242739</v>
          </cell>
          <cell r="D696" t="str">
            <v>2016/10/03-02</v>
          </cell>
          <cell r="E696" t="str">
            <v>無償</v>
          </cell>
          <cell r="F696">
            <v>42654</v>
          </cell>
          <cell r="G696">
            <v>0</v>
          </cell>
          <cell r="H696">
            <v>42704</v>
          </cell>
          <cell r="I696" t="str">
            <v>不明</v>
          </cell>
          <cell r="K696" t="str">
            <v>高橋</v>
          </cell>
          <cell r="L696">
            <v>3</v>
          </cell>
          <cell r="M696" t="str">
            <v>NanoMaxx</v>
          </cell>
          <cell r="N696" t="str">
            <v>040Y7D</v>
          </cell>
          <cell r="O696" t="str">
            <v>P12700-60</v>
          </cell>
          <cell r="P696" t="str">
            <v>アイティーアイ株式会社　鹿屋営業所</v>
          </cell>
          <cell r="Q696" t="str">
            <v>井上様</v>
          </cell>
          <cell r="S696" t="str">
            <v>0994-42-7811</v>
          </cell>
          <cell r="T696" t="str">
            <v xml:space="preserve">0994-42-7812 </v>
          </cell>
          <cell r="U696" t="str">
            <v>大隅鹿屋病院</v>
          </cell>
          <cell r="AA696" t="str">
            <v>P12745-01</v>
          </cell>
          <cell r="AB696" t="str">
            <v/>
          </cell>
          <cell r="AC696" t="str">
            <v/>
          </cell>
          <cell r="AD696" t="str">
            <v/>
          </cell>
          <cell r="AE696" t="str">
            <v/>
          </cell>
          <cell r="AF696" t="str">
            <v/>
          </cell>
          <cell r="AG696" t="str">
            <v/>
          </cell>
          <cell r="AH696" t="str">
            <v/>
          </cell>
          <cell r="AI696" t="str">
            <v/>
          </cell>
          <cell r="AJ696" t="str">
            <v/>
          </cell>
          <cell r="AK696" t="str">
            <v>SERVICE ASSEMBLY, POWER SUPPLY PCB, NANOMAXX</v>
          </cell>
          <cell r="AL696" t="str">
            <v/>
          </cell>
          <cell r="AM696" t="str">
            <v/>
          </cell>
          <cell r="AN696" t="str">
            <v/>
          </cell>
          <cell r="AO696" t="str">
            <v/>
          </cell>
          <cell r="AP696" t="str">
            <v/>
          </cell>
          <cell r="AQ696" t="str">
            <v/>
          </cell>
          <cell r="AR696" t="str">
            <v/>
          </cell>
          <cell r="AS696" t="str">
            <v/>
          </cell>
          <cell r="AT696" t="str">
            <v/>
          </cell>
          <cell r="AU696">
            <v>42095</v>
          </cell>
        </row>
        <row r="697">
          <cell r="A697" t="str">
            <v>S16-0694</v>
          </cell>
          <cell r="B697" t="str">
            <v>帯広厚生病院_0694</v>
          </cell>
          <cell r="C697" t="e">
            <v>#REF!</v>
          </cell>
          <cell r="D697" t="e">
            <v>#REF!</v>
          </cell>
          <cell r="E697" t="e">
            <v>#REF!</v>
          </cell>
          <cell r="F697" t="e">
            <v>#REF!</v>
          </cell>
          <cell r="G697" t="e">
            <v>#REF!</v>
          </cell>
          <cell r="H697" t="e">
            <v>#REF!</v>
          </cell>
          <cell r="I697" t="e">
            <v>#REF!</v>
          </cell>
          <cell r="K697" t="e">
            <v>#REF!</v>
          </cell>
          <cell r="M697" t="e">
            <v>#REF!</v>
          </cell>
          <cell r="N697" t="e">
            <v>#REF!</v>
          </cell>
          <cell r="O697" t="e">
            <v>#REF!</v>
          </cell>
          <cell r="P697" t="e">
            <v>#REF!</v>
          </cell>
          <cell r="Q697" t="e">
            <v>#REF!</v>
          </cell>
          <cell r="S697" t="e">
            <v>#REF!</v>
          </cell>
          <cell r="T697" t="e">
            <v>#REF!</v>
          </cell>
          <cell r="U697" t="e">
            <v>#REF!</v>
          </cell>
          <cell r="AA697" t="e">
            <v>#REF!</v>
          </cell>
          <cell r="AB697" t="e">
            <v>#REF!</v>
          </cell>
          <cell r="AC697" t="e">
            <v>#REF!</v>
          </cell>
          <cell r="AD697" t="e">
            <v>#REF!</v>
          </cell>
          <cell r="AE697" t="e">
            <v>#REF!</v>
          </cell>
          <cell r="AF697" t="e">
            <v>#REF!</v>
          </cell>
          <cell r="AG697" t="e">
            <v>#REF!</v>
          </cell>
          <cell r="AH697" t="e">
            <v>#REF!</v>
          </cell>
          <cell r="AI697" t="e">
            <v>#REF!</v>
          </cell>
          <cell r="AJ697" t="e">
            <v>#REF!</v>
          </cell>
          <cell r="AK697" t="e">
            <v>#REF!</v>
          </cell>
          <cell r="AL697" t="e">
            <v>#REF!</v>
          </cell>
          <cell r="AM697" t="e">
            <v>#REF!</v>
          </cell>
          <cell r="AN697" t="e">
            <v>#REF!</v>
          </cell>
          <cell r="AO697" t="e">
            <v>#REF!</v>
          </cell>
          <cell r="AP697" t="e">
            <v>#REF!</v>
          </cell>
          <cell r="AQ697" t="e">
            <v>#REF!</v>
          </cell>
          <cell r="AR697" t="e">
            <v>#REF!</v>
          </cell>
          <cell r="AS697" t="e">
            <v>#REF!</v>
          </cell>
          <cell r="AT697" t="e">
            <v>#REF!</v>
          </cell>
          <cell r="AU697" t="e">
            <v>#REF!</v>
          </cell>
        </row>
        <row r="698">
          <cell r="A698" t="str">
            <v>S16-0695</v>
          </cell>
          <cell r="B698" t="str">
            <v>まきの消化器内科・外科クリニック_0695 (2)</v>
          </cell>
          <cell r="C698" t="str">
            <v>SR#4249563</v>
          </cell>
          <cell r="D698" t="str">
            <v>2016/09/01-07</v>
          </cell>
          <cell r="E698" t="str">
            <v>無償</v>
          </cell>
          <cell r="F698">
            <v>42654</v>
          </cell>
          <cell r="G698">
            <v>0</v>
          </cell>
          <cell r="H698">
            <v>42704</v>
          </cell>
          <cell r="I698">
            <v>42332</v>
          </cell>
          <cell r="K698">
            <v>0</v>
          </cell>
          <cell r="M698" t="str">
            <v>M-Turbo</v>
          </cell>
          <cell r="N698" t="str">
            <v>WK2YXZ</v>
          </cell>
          <cell r="O698" t="str">
            <v>P16693-60C</v>
          </cell>
          <cell r="P698" t="str">
            <v>富士フイルムメディカル株式会社　埼玉支店</v>
          </cell>
          <cell r="Q698" t="str">
            <v>矢野様</v>
          </cell>
          <cell r="S698" t="str">
            <v>03-6418-7190</v>
          </cell>
          <cell r="T698" t="str">
            <v>03-6418-7162</v>
          </cell>
          <cell r="U698" t="str">
            <v>まきの消化器内科・外科クリニック</v>
          </cell>
          <cell r="AA698" t="str">
            <v>P19087-02</v>
          </cell>
          <cell r="AB698" t="str">
            <v>P08856-01</v>
          </cell>
          <cell r="AC698" t="str">
            <v/>
          </cell>
          <cell r="AD698" t="str">
            <v/>
          </cell>
          <cell r="AE698" t="str">
            <v/>
          </cell>
          <cell r="AF698" t="str">
            <v/>
          </cell>
          <cell r="AG698" t="str">
            <v/>
          </cell>
          <cell r="AH698" t="str">
            <v/>
          </cell>
          <cell r="AI698" t="str">
            <v/>
          </cell>
          <cell r="AJ698" t="str">
            <v/>
          </cell>
          <cell r="AK698" t="str">
            <v>MAIN PCBA, M-Turbo</v>
          </cell>
          <cell r="AL698" t="str">
            <v>SERVICE ASSEMBLY CONTROL PANEL, M-TURBO, ENGLISH</v>
          </cell>
          <cell r="AM698" t="str">
            <v/>
          </cell>
          <cell r="AN698" t="str">
            <v/>
          </cell>
          <cell r="AO698" t="str">
            <v/>
          </cell>
          <cell r="AP698" t="str">
            <v/>
          </cell>
          <cell r="AQ698" t="str">
            <v/>
          </cell>
          <cell r="AR698" t="str">
            <v/>
          </cell>
          <cell r="AS698" t="str">
            <v/>
          </cell>
          <cell r="AT698" t="str">
            <v/>
          </cell>
          <cell r="AU698">
            <v>42064</v>
          </cell>
        </row>
        <row r="699">
          <cell r="A699" t="str">
            <v>S16-0696</v>
          </cell>
          <cell r="B699" t="str">
            <v>宇部興産中央病院_0696</v>
          </cell>
          <cell r="C699" t="e">
            <v>#REF!</v>
          </cell>
          <cell r="D699" t="e">
            <v>#REF!</v>
          </cell>
          <cell r="E699" t="e">
            <v>#REF!</v>
          </cell>
          <cell r="F699" t="e">
            <v>#REF!</v>
          </cell>
          <cell r="G699" t="e">
            <v>#REF!</v>
          </cell>
          <cell r="H699" t="e">
            <v>#REF!</v>
          </cell>
          <cell r="I699" t="e">
            <v>#REF!</v>
          </cell>
          <cell r="K699" t="e">
            <v>#REF!</v>
          </cell>
          <cell r="M699" t="e">
            <v>#REF!</v>
          </cell>
          <cell r="N699" t="e">
            <v>#REF!</v>
          </cell>
          <cell r="O699" t="e">
            <v>#REF!</v>
          </cell>
          <cell r="P699" t="e">
            <v>#REF!</v>
          </cell>
          <cell r="Q699" t="e">
            <v>#REF!</v>
          </cell>
          <cell r="S699" t="e">
            <v>#REF!</v>
          </cell>
          <cell r="T699" t="e">
            <v>#REF!</v>
          </cell>
          <cell r="U699" t="e">
            <v>#REF!</v>
          </cell>
          <cell r="AA699" t="e">
            <v>#REF!</v>
          </cell>
          <cell r="AB699" t="e">
            <v>#REF!</v>
          </cell>
          <cell r="AC699" t="e">
            <v>#REF!</v>
          </cell>
          <cell r="AD699" t="e">
            <v>#REF!</v>
          </cell>
          <cell r="AE699" t="e">
            <v>#REF!</v>
          </cell>
          <cell r="AF699" t="e">
            <v>#REF!</v>
          </cell>
          <cell r="AG699" t="e">
            <v>#REF!</v>
          </cell>
          <cell r="AH699" t="e">
            <v>#REF!</v>
          </cell>
          <cell r="AI699" t="e">
            <v>#REF!</v>
          </cell>
          <cell r="AJ699" t="e">
            <v>#REF!</v>
          </cell>
          <cell r="AK699" t="e">
            <v>#REF!</v>
          </cell>
          <cell r="AL699" t="e">
            <v>#REF!</v>
          </cell>
          <cell r="AM699" t="e">
            <v>#REF!</v>
          </cell>
          <cell r="AN699" t="e">
            <v>#REF!</v>
          </cell>
          <cell r="AO699" t="e">
            <v>#REF!</v>
          </cell>
          <cell r="AP699" t="e">
            <v>#REF!</v>
          </cell>
          <cell r="AQ699" t="e">
            <v>#REF!</v>
          </cell>
          <cell r="AR699" t="e">
            <v>#REF!</v>
          </cell>
          <cell r="AS699" t="e">
            <v>#REF!</v>
          </cell>
          <cell r="AT699" t="e">
            <v>#REF!</v>
          </cell>
          <cell r="AU699" t="e">
            <v>#REF!</v>
          </cell>
        </row>
        <row r="700">
          <cell r="A700" t="str">
            <v>S16-0697</v>
          </cell>
          <cell r="B700" t="str">
            <v>長岡中央総合病院_0697 (2)</v>
          </cell>
          <cell r="C700" t="str">
            <v>SR#</v>
          </cell>
          <cell r="D700" t="str">
            <v>2016/10/04-02</v>
          </cell>
          <cell r="E700" t="str">
            <v>有償</v>
          </cell>
          <cell r="F700">
            <v>42655</v>
          </cell>
          <cell r="G700">
            <v>0</v>
          </cell>
          <cell r="H700">
            <v>42682</v>
          </cell>
          <cell r="I700" t="str">
            <v>不明</v>
          </cell>
          <cell r="K700" t="str">
            <v>高橋</v>
          </cell>
          <cell r="L700">
            <v>3</v>
          </cell>
          <cell r="M700" t="str">
            <v>180Ⅱ</v>
          </cell>
          <cell r="N700" t="str">
            <v>030HG7</v>
          </cell>
          <cell r="O700" t="str">
            <v>P02997-01</v>
          </cell>
          <cell r="P700" t="str">
            <v>ジェイメディカル株式会社 長岡営業所</v>
          </cell>
          <cell r="Q700" t="str">
            <v>鈴木様</v>
          </cell>
          <cell r="R700" t="str">
            <v>〒954-0124　新潟県長岡市中之島1781-4</v>
          </cell>
          <cell r="S700" t="str">
            <v>0258-61-5351</v>
          </cell>
          <cell r="T700" t="str">
            <v>0258-61-5352</v>
          </cell>
          <cell r="U700" t="str">
            <v>長岡中央総合病院</v>
          </cell>
          <cell r="V700" t="str">
            <v>-</v>
          </cell>
          <cell r="W700" t="str">
            <v>-</v>
          </cell>
          <cell r="X700" t="str">
            <v>0258-35-3700</v>
          </cell>
          <cell r="Y700" t="str">
            <v>〒940-8653　新潟県長岡市川崎町2041番地</v>
          </cell>
          <cell r="AA700" t="str">
            <v>P01213-01</v>
          </cell>
          <cell r="AB700" t="str">
            <v>P00340-02</v>
          </cell>
          <cell r="AC700" t="str">
            <v>P00104-02</v>
          </cell>
          <cell r="AD700" t="str">
            <v/>
          </cell>
          <cell r="AE700" t="str">
            <v/>
          </cell>
          <cell r="AF700" t="str">
            <v/>
          </cell>
          <cell r="AG700" t="str">
            <v/>
          </cell>
          <cell r="AH700" t="str">
            <v/>
          </cell>
          <cell r="AI700" t="str">
            <v/>
          </cell>
          <cell r="AJ700" t="str">
            <v/>
          </cell>
          <cell r="AK700" t="str">
            <v>FLEX CIRCUIT, FAB, C1 DISPLAY</v>
          </cell>
          <cell r="AL700" t="str">
            <v>LENS, DISPLAY</v>
          </cell>
          <cell r="AM700" t="str">
            <v>KEY, ON/OFF</v>
          </cell>
          <cell r="AN700" t="str">
            <v/>
          </cell>
          <cell r="AO700" t="str">
            <v/>
          </cell>
          <cell r="AP700" t="str">
            <v/>
          </cell>
          <cell r="AQ700" t="str">
            <v/>
          </cell>
          <cell r="AR700" t="str">
            <v/>
          </cell>
          <cell r="AS700" t="str">
            <v/>
          </cell>
          <cell r="AT700" t="str">
            <v/>
          </cell>
          <cell r="AU700">
            <v>37500</v>
          </cell>
        </row>
        <row r="701">
          <cell r="A701" t="str">
            <v>S16-0698</v>
          </cell>
          <cell r="B701" t="str">
            <v>南生協病院_0698</v>
          </cell>
          <cell r="C701" t="e">
            <v>#REF!</v>
          </cell>
          <cell r="D701" t="e">
            <v>#REF!</v>
          </cell>
          <cell r="E701" t="e">
            <v>#REF!</v>
          </cell>
          <cell r="F701" t="e">
            <v>#REF!</v>
          </cell>
          <cell r="G701" t="e">
            <v>#REF!</v>
          </cell>
          <cell r="H701" t="e">
            <v>#REF!</v>
          </cell>
          <cell r="I701" t="e">
            <v>#REF!</v>
          </cell>
          <cell r="K701" t="e">
            <v>#REF!</v>
          </cell>
          <cell r="M701" t="e">
            <v>#REF!</v>
          </cell>
          <cell r="N701" t="e">
            <v>#REF!</v>
          </cell>
          <cell r="O701" t="e">
            <v>#REF!</v>
          </cell>
          <cell r="P701" t="e">
            <v>#REF!</v>
          </cell>
          <cell r="Q701" t="e">
            <v>#REF!</v>
          </cell>
          <cell r="S701" t="e">
            <v>#REF!</v>
          </cell>
          <cell r="T701" t="e">
            <v>#REF!</v>
          </cell>
          <cell r="U701" t="e">
            <v>#REF!</v>
          </cell>
          <cell r="AA701" t="e">
            <v>#REF!</v>
          </cell>
          <cell r="AB701" t="e">
            <v>#REF!</v>
          </cell>
          <cell r="AC701" t="e">
            <v>#REF!</v>
          </cell>
          <cell r="AD701" t="e">
            <v>#REF!</v>
          </cell>
          <cell r="AE701" t="e">
            <v>#REF!</v>
          </cell>
          <cell r="AF701" t="e">
            <v>#REF!</v>
          </cell>
          <cell r="AG701" t="e">
            <v>#REF!</v>
          </cell>
          <cell r="AH701" t="e">
            <v>#REF!</v>
          </cell>
          <cell r="AI701" t="e">
            <v>#REF!</v>
          </cell>
          <cell r="AJ701" t="e">
            <v>#REF!</v>
          </cell>
          <cell r="AK701" t="e">
            <v>#REF!</v>
          </cell>
          <cell r="AL701" t="e">
            <v>#REF!</v>
          </cell>
          <cell r="AM701" t="e">
            <v>#REF!</v>
          </cell>
          <cell r="AN701" t="e">
            <v>#REF!</v>
          </cell>
          <cell r="AO701" t="e">
            <v>#REF!</v>
          </cell>
          <cell r="AP701" t="e">
            <v>#REF!</v>
          </cell>
          <cell r="AQ701" t="e">
            <v>#REF!</v>
          </cell>
          <cell r="AR701" t="e">
            <v>#REF!</v>
          </cell>
          <cell r="AS701" t="e">
            <v>#REF!</v>
          </cell>
          <cell r="AT701" t="e">
            <v>#REF!</v>
          </cell>
          <cell r="AU701" t="e">
            <v>#REF!</v>
          </cell>
        </row>
        <row r="702">
          <cell r="A702" t="str">
            <v>S16-0699</v>
          </cell>
          <cell r="B702" t="str">
            <v>羊ヶ丘病院_0699 (2)</v>
          </cell>
          <cell r="C702" t="str">
            <v>SR#4244449</v>
          </cell>
          <cell r="D702" t="str">
            <v>2016/10/05-04</v>
          </cell>
          <cell r="E702" t="str">
            <v>無償</v>
          </cell>
          <cell r="F702">
            <v>42656</v>
          </cell>
          <cell r="G702">
            <v>0</v>
          </cell>
          <cell r="H702">
            <v>42689</v>
          </cell>
          <cell r="I702" t="str">
            <v>不明</v>
          </cell>
          <cell r="K702" t="str">
            <v>高橋</v>
          </cell>
          <cell r="L702">
            <v>3</v>
          </cell>
          <cell r="M702" t="str">
            <v>EDGE</v>
          </cell>
          <cell r="N702" t="str">
            <v>03WCTV</v>
          </cell>
          <cell r="O702" t="str">
            <v>P16360-04</v>
          </cell>
          <cell r="P702" t="str">
            <v>富士フイルムメディカル株式会社</v>
          </cell>
          <cell r="Q702" t="str">
            <v>山内様</v>
          </cell>
          <cell r="R702" t="str">
            <v>〒001-0018　北海道札幌市北区北18条西3-1-38</v>
          </cell>
          <cell r="S702" t="str">
            <v>011-758-0381</v>
          </cell>
          <cell r="T702" t="str">
            <v>011-747-9485</v>
          </cell>
          <cell r="U702" t="str">
            <v>羊ヶ丘病院 麻酔科</v>
          </cell>
          <cell r="V702" t="str">
            <v>-</v>
          </cell>
          <cell r="W702" t="str">
            <v>麻酔科</v>
          </cell>
          <cell r="X702" t="str">
            <v>011-351-2211</v>
          </cell>
          <cell r="Y702" t="str">
            <v>〒004-0021 北海道札幌市厚別区青葉町3丁目1番10号</v>
          </cell>
          <cell r="AA702" t="str">
            <v>P15615-03</v>
          </cell>
          <cell r="AB702" t="str">
            <v/>
          </cell>
          <cell r="AC702" t="str">
            <v/>
          </cell>
          <cell r="AD702" t="str">
            <v/>
          </cell>
          <cell r="AE702" t="str">
            <v/>
          </cell>
          <cell r="AF702" t="str">
            <v/>
          </cell>
          <cell r="AG702" t="str">
            <v/>
          </cell>
          <cell r="AH702" t="str">
            <v/>
          </cell>
          <cell r="AI702" t="str">
            <v/>
          </cell>
          <cell r="AJ702" t="str">
            <v/>
          </cell>
          <cell r="AK702" t="str">
            <v>SERVICE ASSEMBLY, MAIN PCBA, EDGE</v>
          </cell>
          <cell r="AL702" t="str">
            <v/>
          </cell>
          <cell r="AM702" t="str">
            <v/>
          </cell>
          <cell r="AN702" t="str">
            <v/>
          </cell>
          <cell r="AO702" t="str">
            <v/>
          </cell>
          <cell r="AP702" t="str">
            <v/>
          </cell>
          <cell r="AQ702" t="str">
            <v/>
          </cell>
          <cell r="AR702" t="str">
            <v/>
          </cell>
          <cell r="AS702" t="str">
            <v/>
          </cell>
          <cell r="AT702" t="str">
            <v/>
          </cell>
          <cell r="AU702">
            <v>41640</v>
          </cell>
        </row>
        <row r="703">
          <cell r="A703" t="str">
            <v>S16-0700</v>
          </cell>
          <cell r="B703" t="str">
            <v>中濃厚生病院_0700 (2)</v>
          </cell>
          <cell r="C703" t="str">
            <v>SR#4245115</v>
          </cell>
          <cell r="D703" t="str">
            <v>-</v>
          </cell>
          <cell r="E703" t="str">
            <v>無償</v>
          </cell>
          <cell r="F703">
            <v>42656</v>
          </cell>
          <cell r="G703">
            <v>0</v>
          </cell>
          <cell r="H703">
            <v>42678</v>
          </cell>
          <cell r="I703">
            <v>41122</v>
          </cell>
          <cell r="K703" t="str">
            <v>高橋</v>
          </cell>
          <cell r="L703">
            <v>3</v>
          </cell>
          <cell r="M703" t="str">
            <v>NanoMaxx</v>
          </cell>
          <cell r="N703" t="str">
            <v>03PVNL</v>
          </cell>
          <cell r="O703" t="str">
            <v>P12700-05</v>
          </cell>
          <cell r="P703" t="str">
            <v>日本コヴィディエン株式会社 愛知岐阜営業所</v>
          </cell>
          <cell r="Q703" t="str">
            <v>田中様</v>
          </cell>
          <cell r="R703" t="str">
            <v>〒108-0075  東京都港区港南一丁目2番70号　品川シーズンテラス　22F</v>
          </cell>
          <cell r="S703" t="str">
            <v>03-6774-4629</v>
          </cell>
          <cell r="T703" t="str">
            <v>03-6774-4740</v>
          </cell>
          <cell r="U703" t="str">
            <v>中濃厚生病院</v>
          </cell>
          <cell r="V703" t="str">
            <v>-</v>
          </cell>
          <cell r="W703" t="str">
            <v>-</v>
          </cell>
          <cell r="X703" t="str">
            <v>0575-22-1111</v>
          </cell>
          <cell r="Y703" t="str">
            <v>〒501-3802　岐阜県関市若草通5-1</v>
          </cell>
          <cell r="AA703" t="str">
            <v>P00163-01</v>
          </cell>
          <cell r="AB703" t="str">
            <v/>
          </cell>
          <cell r="AC703" t="str">
            <v/>
          </cell>
          <cell r="AD703" t="str">
            <v/>
          </cell>
          <cell r="AE703" t="str">
            <v/>
          </cell>
          <cell r="AF703" t="str">
            <v/>
          </cell>
          <cell r="AG703" t="str">
            <v/>
          </cell>
          <cell r="AH703" t="str">
            <v/>
          </cell>
          <cell r="AI703" t="str">
            <v/>
          </cell>
          <cell r="AJ703" t="str">
            <v/>
          </cell>
          <cell r="AK703" t="str">
            <v>BAT,3V,7MAH,BUTTON,LITH,RECHARG,PCB,ROHS</v>
          </cell>
          <cell r="AL703" t="str">
            <v/>
          </cell>
          <cell r="AM703" t="str">
            <v/>
          </cell>
          <cell r="AN703" t="str">
            <v/>
          </cell>
          <cell r="AO703" t="str">
            <v/>
          </cell>
          <cell r="AP703" t="str">
            <v/>
          </cell>
          <cell r="AQ703" t="str">
            <v/>
          </cell>
          <cell r="AR703" t="str">
            <v/>
          </cell>
          <cell r="AS703" t="str">
            <v/>
          </cell>
          <cell r="AT703" t="str">
            <v/>
          </cell>
          <cell r="AU703">
            <v>41000</v>
          </cell>
        </row>
        <row r="704">
          <cell r="A704" t="str">
            <v>S16-0701</v>
          </cell>
          <cell r="B704" t="str">
            <v>北部地区医師会病院_0701 (2)</v>
          </cell>
          <cell r="C704" t="str">
            <v>SR#不要</v>
          </cell>
          <cell r="D704" t="str">
            <v>-</v>
          </cell>
          <cell r="E704" t="str">
            <v>有償</v>
          </cell>
          <cell r="F704">
            <v>42656</v>
          </cell>
          <cell r="G704">
            <v>0</v>
          </cell>
          <cell r="H704">
            <v>42688</v>
          </cell>
          <cell r="I704" t="str">
            <v>不明</v>
          </cell>
          <cell r="K704" t="str">
            <v>高橋</v>
          </cell>
          <cell r="L704">
            <v>3</v>
          </cell>
          <cell r="M704" t="str">
            <v>TiTAN</v>
          </cell>
          <cell r="N704" t="str">
            <v>037RYN</v>
          </cell>
          <cell r="O704" t="str">
            <v>P06590-02</v>
          </cell>
          <cell r="P704" t="str">
            <v>南西医療器株式会社</v>
          </cell>
          <cell r="Q704" t="str">
            <v>座間味様</v>
          </cell>
          <cell r="R704" t="str">
            <v>〒901-2133　沖縄県浦添市城間4-2-10</v>
          </cell>
          <cell r="S704" t="str">
            <v>098-870-1515</v>
          </cell>
          <cell r="T704" t="str">
            <v>098-870-4545</v>
          </cell>
          <cell r="U704" t="str">
            <v>北部地区医師会病院</v>
          </cell>
          <cell r="V704" t="str">
            <v>-</v>
          </cell>
          <cell r="W704" t="str">
            <v>-</v>
          </cell>
          <cell r="X704" t="str">
            <v xml:space="preserve">0980-54-1111 </v>
          </cell>
          <cell r="Y704" t="str">
            <v>〒905-8611　沖縄県名護市字宇茂佐1712-3</v>
          </cell>
          <cell r="AA704" t="str">
            <v>P09823-06</v>
          </cell>
          <cell r="AB704" t="str">
            <v>P08060-03</v>
          </cell>
          <cell r="AC704" t="str">
            <v>P03297-01</v>
          </cell>
          <cell r="AD704" t="str">
            <v/>
          </cell>
          <cell r="AE704" t="str">
            <v/>
          </cell>
          <cell r="AF704" t="str">
            <v/>
          </cell>
          <cell r="AG704" t="str">
            <v/>
          </cell>
          <cell r="AH704" t="str">
            <v/>
          </cell>
          <cell r="AI704" t="str">
            <v/>
          </cell>
          <cell r="AJ704" t="str">
            <v/>
          </cell>
          <cell r="AK704" t="str">
            <v>LOW NOISE POWER SUPPLY,15V W/BATTERY CHARGER,75 W</v>
          </cell>
          <cell r="AL704" t="str">
            <v>HINGE, 6LB, TURBO, C3, C2</v>
          </cell>
          <cell r="AM704" t="str">
            <v>LABEL, DISPLAY, TITAN</v>
          </cell>
          <cell r="AN704" t="str">
            <v/>
          </cell>
          <cell r="AO704" t="str">
            <v/>
          </cell>
          <cell r="AP704" t="str">
            <v/>
          </cell>
          <cell r="AQ704" t="str">
            <v/>
          </cell>
          <cell r="AR704" t="str">
            <v/>
          </cell>
          <cell r="AS704" t="str">
            <v/>
          </cell>
          <cell r="AT704" t="str">
            <v/>
          </cell>
          <cell r="AU704">
            <v>39114</v>
          </cell>
        </row>
        <row r="705">
          <cell r="A705" t="str">
            <v>S16-0702</v>
          </cell>
          <cell r="B705" t="str">
            <v>倉敷中央病院_0702</v>
          </cell>
          <cell r="C705" t="e">
            <v>#REF!</v>
          </cell>
          <cell r="D705" t="e">
            <v>#REF!</v>
          </cell>
          <cell r="E705" t="e">
            <v>#REF!</v>
          </cell>
          <cell r="F705" t="e">
            <v>#REF!</v>
          </cell>
          <cell r="G705" t="e">
            <v>#REF!</v>
          </cell>
          <cell r="H705" t="e">
            <v>#REF!</v>
          </cell>
          <cell r="I705" t="e">
            <v>#REF!</v>
          </cell>
          <cell r="K705" t="e">
            <v>#REF!</v>
          </cell>
          <cell r="M705" t="e">
            <v>#REF!</v>
          </cell>
          <cell r="N705" t="e">
            <v>#REF!</v>
          </cell>
          <cell r="O705" t="e">
            <v>#REF!</v>
          </cell>
          <cell r="P705" t="e">
            <v>#REF!</v>
          </cell>
          <cell r="Q705" t="e">
            <v>#REF!</v>
          </cell>
          <cell r="S705" t="e">
            <v>#REF!</v>
          </cell>
          <cell r="T705" t="e">
            <v>#REF!</v>
          </cell>
          <cell r="U705" t="e">
            <v>#REF!</v>
          </cell>
          <cell r="AA705" t="e">
            <v>#REF!</v>
          </cell>
          <cell r="AB705" t="e">
            <v>#REF!</v>
          </cell>
          <cell r="AC705" t="e">
            <v>#REF!</v>
          </cell>
          <cell r="AD705" t="e">
            <v>#REF!</v>
          </cell>
          <cell r="AE705" t="e">
            <v>#REF!</v>
          </cell>
          <cell r="AF705" t="e">
            <v>#REF!</v>
          </cell>
          <cell r="AG705" t="e">
            <v>#REF!</v>
          </cell>
          <cell r="AH705" t="e">
            <v>#REF!</v>
          </cell>
          <cell r="AI705" t="e">
            <v>#REF!</v>
          </cell>
          <cell r="AJ705" t="e">
            <v>#REF!</v>
          </cell>
          <cell r="AK705" t="e">
            <v>#REF!</v>
          </cell>
          <cell r="AL705" t="e">
            <v>#REF!</v>
          </cell>
          <cell r="AM705" t="e">
            <v>#REF!</v>
          </cell>
          <cell r="AN705" t="e">
            <v>#REF!</v>
          </cell>
          <cell r="AO705" t="e">
            <v>#REF!</v>
          </cell>
          <cell r="AP705" t="e">
            <v>#REF!</v>
          </cell>
          <cell r="AQ705" t="e">
            <v>#REF!</v>
          </cell>
          <cell r="AR705" t="e">
            <v>#REF!</v>
          </cell>
          <cell r="AS705" t="e">
            <v>#REF!</v>
          </cell>
          <cell r="AT705" t="e">
            <v>#REF!</v>
          </cell>
          <cell r="AU705" t="e">
            <v>#REF!</v>
          </cell>
        </row>
        <row r="706">
          <cell r="A706" t="str">
            <v>S16-0703</v>
          </cell>
          <cell r="B706" t="str">
            <v>筑波記念病院_0703 (2)</v>
          </cell>
          <cell r="C706" t="str">
            <v>SR#</v>
          </cell>
          <cell r="D706" t="str">
            <v>2016/10/06-01</v>
          </cell>
          <cell r="E706" t="str">
            <v>有償</v>
          </cell>
          <cell r="F706">
            <v>42657</v>
          </cell>
          <cell r="G706">
            <v>0</v>
          </cell>
          <cell r="H706">
            <v>42692</v>
          </cell>
          <cell r="I706" t="str">
            <v>不明</v>
          </cell>
          <cell r="K706" t="str">
            <v>高橋</v>
          </cell>
          <cell r="L706">
            <v>3</v>
          </cell>
          <cell r="M706" t="str">
            <v>M-Turbo</v>
          </cell>
          <cell r="N706" t="str">
            <v>03JHG7</v>
          </cell>
          <cell r="O706" t="str">
            <v>P09141-15</v>
          </cell>
          <cell r="P706" t="str">
            <v>株式会社日立製作所 ヘルスケア水戸営業所</v>
          </cell>
          <cell r="Q706" t="str">
            <v>高橋様</v>
          </cell>
          <cell r="R706" t="str">
            <v>〒310-0026　茨城県水戸市泉町1-2-4 水戸泉町第一生命ビル5F</v>
          </cell>
          <cell r="S706" t="str">
            <v>050-3188-2223</v>
          </cell>
          <cell r="T706" t="str">
            <v>029-226-4843</v>
          </cell>
          <cell r="U706" t="str">
            <v>筑波記念病院 手術室</v>
          </cell>
          <cell r="V706" t="str">
            <v>原田様</v>
          </cell>
          <cell r="W706" t="str">
            <v>手術室</v>
          </cell>
          <cell r="X706" t="str">
            <v>029-864-1212</v>
          </cell>
          <cell r="Y706" t="str">
            <v>〒300-2622　茨城県つくば市要1187-299</v>
          </cell>
          <cell r="AA706" t="str">
            <v>P08306-01</v>
          </cell>
          <cell r="AB706" t="str">
            <v/>
          </cell>
          <cell r="AC706" t="str">
            <v/>
          </cell>
          <cell r="AD706" t="str">
            <v/>
          </cell>
          <cell r="AE706" t="str">
            <v/>
          </cell>
          <cell r="AF706" t="str">
            <v/>
          </cell>
          <cell r="AG706" t="str">
            <v/>
          </cell>
          <cell r="AH706" t="str">
            <v/>
          </cell>
          <cell r="AI706" t="str">
            <v/>
          </cell>
          <cell r="AJ706" t="str">
            <v/>
          </cell>
          <cell r="AK706" t="str">
            <v>CONN,COMPRESSION</v>
          </cell>
          <cell r="AL706" t="str">
            <v/>
          </cell>
          <cell r="AM706" t="str">
            <v/>
          </cell>
          <cell r="AN706" t="str">
            <v/>
          </cell>
          <cell r="AO706" t="str">
            <v/>
          </cell>
          <cell r="AP706" t="str">
            <v/>
          </cell>
          <cell r="AQ706" t="str">
            <v/>
          </cell>
          <cell r="AR706" t="str">
            <v/>
          </cell>
          <cell r="AS706" t="str">
            <v/>
          </cell>
          <cell r="AT706" t="str">
            <v/>
          </cell>
          <cell r="AU706">
            <v>40330</v>
          </cell>
        </row>
        <row r="707">
          <cell r="A707" t="str">
            <v>S16-0704</v>
          </cell>
          <cell r="B707" t="str">
            <v>増子整形外科_0704 (2)</v>
          </cell>
          <cell r="C707" t="str">
            <v>SR#4244451</v>
          </cell>
          <cell r="D707" t="str">
            <v>2016/06/03-03</v>
          </cell>
          <cell r="E707" t="str">
            <v>無償</v>
          </cell>
          <cell r="F707">
            <v>42657</v>
          </cell>
          <cell r="G707">
            <v>0</v>
          </cell>
          <cell r="H707">
            <v>42678</v>
          </cell>
          <cell r="I707" t="str">
            <v>不明</v>
          </cell>
          <cell r="K707" t="str">
            <v>高橋</v>
          </cell>
          <cell r="L707">
            <v>3</v>
          </cell>
          <cell r="M707" t="str">
            <v>M-Turbo</v>
          </cell>
          <cell r="N707" t="str">
            <v>WK0P9P</v>
          </cell>
          <cell r="O707" t="str">
            <v>P09141-23</v>
          </cell>
          <cell r="P707" t="str">
            <v xml:space="preserve">フクダ電子西東京販売株式会社 </v>
          </cell>
          <cell r="Q707" t="str">
            <v>平沼様</v>
          </cell>
          <cell r="R707" t="str">
            <v>〒190-0011　東京都立川市高松町1-23-17</v>
          </cell>
          <cell r="S707" t="str">
            <v>042-525-3578</v>
          </cell>
          <cell r="T707" t="str">
            <v>042-527-7262</v>
          </cell>
          <cell r="U707" t="str">
            <v>増子整形外科まり皮フ科</v>
          </cell>
          <cell r="V707" t="str">
            <v>-</v>
          </cell>
          <cell r="W707" t="str">
            <v>-</v>
          </cell>
          <cell r="X707" t="str">
            <v>042-735-1499</v>
          </cell>
          <cell r="Y707" t="str">
            <v>〒195-0061　東京都町田市鶴川1-17-18</v>
          </cell>
          <cell r="AA707" t="str">
            <v>P00364-02</v>
          </cell>
          <cell r="AB707" t="str">
            <v>P18035-01</v>
          </cell>
          <cell r="AC707" t="str">
            <v>P19080-01</v>
          </cell>
          <cell r="AD707" t="str">
            <v/>
          </cell>
          <cell r="AE707" t="str">
            <v/>
          </cell>
          <cell r="AF707" t="str">
            <v/>
          </cell>
          <cell r="AG707" t="str">
            <v/>
          </cell>
          <cell r="AH707" t="str">
            <v/>
          </cell>
          <cell r="AI707" t="str">
            <v/>
          </cell>
          <cell r="AJ707" t="str">
            <v/>
          </cell>
          <cell r="AK707" t="str">
            <v>CONNECTOR, INTERPOSER</v>
          </cell>
          <cell r="AL707" t="str">
            <v>CONN,RCPT,5 PIN CIRCULAR DIN,SN CONTACTS,SHIELDED,LOW PROFILE,ROHS</v>
          </cell>
          <cell r="AM707" t="str">
            <v xml:space="preserve">BRACKET,DIN CONNECTOR </v>
          </cell>
          <cell r="AN707" t="str">
            <v/>
          </cell>
          <cell r="AO707" t="str">
            <v/>
          </cell>
          <cell r="AP707" t="str">
            <v/>
          </cell>
          <cell r="AQ707" t="str">
            <v/>
          </cell>
          <cell r="AR707" t="str">
            <v/>
          </cell>
          <cell r="AS707" t="str">
            <v/>
          </cell>
          <cell r="AT707" t="str">
            <v/>
          </cell>
          <cell r="AU707">
            <v>40848</v>
          </cell>
        </row>
        <row r="708">
          <cell r="A708" t="str">
            <v>S16-0705</v>
          </cell>
          <cell r="B708" t="str">
            <v>順天堂練馬病院_0705 (2)</v>
          </cell>
          <cell r="C708" t="str">
            <v>SR#4243263</v>
          </cell>
          <cell r="D708" t="str">
            <v>2016/10/05-02</v>
          </cell>
          <cell r="E708" t="str">
            <v>無償</v>
          </cell>
          <cell r="F708">
            <v>42660</v>
          </cell>
          <cell r="G708">
            <v>0</v>
          </cell>
          <cell r="H708">
            <v>42678</v>
          </cell>
          <cell r="I708" t="str">
            <v>不明</v>
          </cell>
          <cell r="K708" t="str">
            <v>高橋</v>
          </cell>
          <cell r="L708">
            <v>3</v>
          </cell>
          <cell r="M708" t="str">
            <v>EDGE</v>
          </cell>
          <cell r="N708" t="str">
            <v>03VH8C</v>
          </cell>
          <cell r="O708" t="str">
            <v>P16360-02</v>
          </cell>
          <cell r="P708" t="str">
            <v>富士フイルムメディカル株式会社</v>
          </cell>
          <cell r="Q708" t="str">
            <v>島崎様</v>
          </cell>
          <cell r="R708" t="str">
            <v>〒106-0031　東京都港区西麻布2-26-30 富士フイルム西麻布ビル</v>
          </cell>
          <cell r="S708" t="str">
            <v>03-6418-7190</v>
          </cell>
          <cell r="T708" t="str">
            <v>03-6418-7162</v>
          </cell>
          <cell r="U708" t="str">
            <v>順天堂大学医学部附属練馬病院　透析室</v>
          </cell>
          <cell r="V708" t="str">
            <v>-</v>
          </cell>
          <cell r="W708" t="str">
            <v>-</v>
          </cell>
          <cell r="X708" t="str">
            <v>03-5923-3111</v>
          </cell>
          <cell r="Y708" t="str">
            <v>〒177-8521 東京都練馬区高野台3-1-10</v>
          </cell>
          <cell r="AA708" t="str">
            <v>P15618-02</v>
          </cell>
          <cell r="AB708" t="str">
            <v/>
          </cell>
          <cell r="AC708" t="str">
            <v/>
          </cell>
          <cell r="AD708" t="str">
            <v/>
          </cell>
          <cell r="AE708" t="str">
            <v/>
          </cell>
          <cell r="AF708" t="str">
            <v/>
          </cell>
          <cell r="AG708" t="str">
            <v/>
          </cell>
          <cell r="AH708" t="str">
            <v/>
          </cell>
          <cell r="AI708" t="str">
            <v/>
          </cell>
          <cell r="AJ708" t="str">
            <v/>
          </cell>
          <cell r="AK708" t="str">
            <v>CONTROL PANEL, EDGE, ENGLISH</v>
          </cell>
          <cell r="AL708" t="str">
            <v/>
          </cell>
          <cell r="AM708" t="str">
            <v/>
          </cell>
          <cell r="AN708" t="str">
            <v/>
          </cell>
          <cell r="AO708" t="str">
            <v/>
          </cell>
          <cell r="AP708" t="str">
            <v/>
          </cell>
          <cell r="AQ708" t="str">
            <v/>
          </cell>
          <cell r="AR708" t="str">
            <v/>
          </cell>
          <cell r="AS708" t="str">
            <v/>
          </cell>
          <cell r="AT708" t="str">
            <v/>
          </cell>
          <cell r="AU708">
            <v>41426</v>
          </cell>
        </row>
        <row r="709">
          <cell r="A709" t="str">
            <v>S16-0706</v>
          </cell>
          <cell r="B709" t="str">
            <v>松江記念病院_0706 (2)</v>
          </cell>
          <cell r="C709" t="str">
            <v>SR#不要</v>
          </cell>
          <cell r="D709" t="str">
            <v>2016/09/28-01</v>
          </cell>
          <cell r="E709" t="str">
            <v>有償</v>
          </cell>
          <cell r="F709">
            <v>42660</v>
          </cell>
          <cell r="G709">
            <v>0</v>
          </cell>
          <cell r="H709">
            <v>42709</v>
          </cell>
          <cell r="I709" t="str">
            <v>不明</v>
          </cell>
          <cell r="K709" t="str">
            <v>高橋</v>
          </cell>
          <cell r="L709">
            <v>5</v>
          </cell>
          <cell r="M709" t="str">
            <v>180Plus</v>
          </cell>
          <cell r="N709" t="str">
            <v>02070Y</v>
          </cell>
          <cell r="O709" t="str">
            <v>P02650-01</v>
          </cell>
          <cell r="P709" t="str">
            <v>ティーエスアルフレッサ株式会社 松江支店</v>
          </cell>
          <cell r="Q709" t="str">
            <v>増原様</v>
          </cell>
          <cell r="R709" t="str">
            <v>〒690-0021 島根県松江市矢田町218番地2</v>
          </cell>
          <cell r="S709" t="str">
            <v>0852-21-4909</v>
          </cell>
          <cell r="T709" t="str">
            <v>0852-31-4499</v>
          </cell>
          <cell r="U709" t="str">
            <v>松江記念病院　外科</v>
          </cell>
          <cell r="V709" t="str">
            <v>-</v>
          </cell>
          <cell r="W709" t="str">
            <v>外科</v>
          </cell>
          <cell r="X709" t="str">
            <v>0852-27-8111</v>
          </cell>
          <cell r="Y709" t="str">
            <v>〒690-0015 島根県松江市上乃木三丁目4番1号</v>
          </cell>
          <cell r="AA709" t="str">
            <v/>
          </cell>
          <cell r="AB709" t="str">
            <v/>
          </cell>
          <cell r="AC709" t="str">
            <v/>
          </cell>
          <cell r="AD709" t="str">
            <v/>
          </cell>
          <cell r="AE709" t="str">
            <v/>
          </cell>
          <cell r="AF709" t="str">
            <v/>
          </cell>
          <cell r="AG709" t="str">
            <v/>
          </cell>
          <cell r="AH709" t="str">
            <v/>
          </cell>
          <cell r="AI709" t="str">
            <v/>
          </cell>
          <cell r="AJ709" t="str">
            <v/>
          </cell>
          <cell r="AK709" t="str">
            <v/>
          </cell>
          <cell r="AL709" t="str">
            <v/>
          </cell>
          <cell r="AM709" t="str">
            <v/>
          </cell>
          <cell r="AN709" t="str">
            <v/>
          </cell>
          <cell r="AO709" t="str">
            <v/>
          </cell>
          <cell r="AP709" t="str">
            <v/>
          </cell>
          <cell r="AQ709" t="str">
            <v/>
          </cell>
          <cell r="AR709" t="str">
            <v/>
          </cell>
          <cell r="AS709" t="str">
            <v/>
          </cell>
          <cell r="AT709" t="str">
            <v/>
          </cell>
          <cell r="AU709">
            <v>37226</v>
          </cell>
        </row>
        <row r="710">
          <cell r="A710" t="str">
            <v>S16-0707</v>
          </cell>
          <cell r="B710" t="str">
            <v>福岡徳洲会病院_0707 (2)</v>
          </cell>
          <cell r="C710" t="str">
            <v>SR#4244471</v>
          </cell>
          <cell r="D710" t="str">
            <v>2016/10/11-01</v>
          </cell>
          <cell r="E710" t="str">
            <v>無償</v>
          </cell>
          <cell r="F710">
            <v>42660</v>
          </cell>
          <cell r="G710">
            <v>0</v>
          </cell>
          <cell r="H710">
            <v>42704</v>
          </cell>
          <cell r="I710" t="str">
            <v>不明</v>
          </cell>
          <cell r="K710" t="str">
            <v>高橋</v>
          </cell>
          <cell r="L710">
            <v>3</v>
          </cell>
          <cell r="M710" t="str">
            <v>MicroMaxx</v>
          </cell>
          <cell r="N710" t="str">
            <v>WK1TQB</v>
          </cell>
          <cell r="O710" t="str">
            <v>P08063-07</v>
          </cell>
          <cell r="P710" t="str">
            <v>株式会社アステム ME福岡支店</v>
          </cell>
          <cell r="Q710" t="str">
            <v>宮本様</v>
          </cell>
          <cell r="S710" t="str">
            <v>092-626-8443</v>
          </cell>
          <cell r="T710" t="str">
            <v>092-612-2500</v>
          </cell>
          <cell r="U710" t="str">
            <v>福岡徳洲会病院</v>
          </cell>
          <cell r="AA710" t="str">
            <v>P05462-01</v>
          </cell>
          <cell r="AB710" t="str">
            <v/>
          </cell>
          <cell r="AC710" t="str">
            <v/>
          </cell>
          <cell r="AD710" t="str">
            <v/>
          </cell>
          <cell r="AE710" t="str">
            <v/>
          </cell>
          <cell r="AF710" t="str">
            <v/>
          </cell>
          <cell r="AG710" t="str">
            <v/>
          </cell>
          <cell r="AH710" t="str">
            <v/>
          </cell>
          <cell r="AI710" t="str">
            <v/>
          </cell>
          <cell r="AJ710" t="str">
            <v/>
          </cell>
          <cell r="AK710" t="str">
            <v>SERVICE ASSEMBLY CONTROL PANEL, MICROMAXX, ENGLISH</v>
          </cell>
          <cell r="AL710" t="str">
            <v/>
          </cell>
          <cell r="AM710" t="str">
            <v/>
          </cell>
          <cell r="AN710" t="str">
            <v/>
          </cell>
          <cell r="AO710" t="str">
            <v/>
          </cell>
          <cell r="AP710" t="str">
            <v/>
          </cell>
          <cell r="AQ710" t="str">
            <v/>
          </cell>
          <cell r="AR710" t="str">
            <v/>
          </cell>
          <cell r="AS710" t="str">
            <v/>
          </cell>
          <cell r="AT710" t="str">
            <v/>
          </cell>
          <cell r="AU710">
            <v>41426</v>
          </cell>
        </row>
        <row r="711">
          <cell r="A711" t="str">
            <v>S16-0708</v>
          </cell>
          <cell r="B711" t="str">
            <v>手稲渓仁会病院_0708 (2)</v>
          </cell>
          <cell r="C711" t="str">
            <v>SR#4243261</v>
          </cell>
          <cell r="D711" t="str">
            <v>2016/10/11-08</v>
          </cell>
          <cell r="E711" t="str">
            <v>無償</v>
          </cell>
          <cell r="F711">
            <v>42660</v>
          </cell>
          <cell r="G711">
            <v>0</v>
          </cell>
          <cell r="H711">
            <v>42678</v>
          </cell>
          <cell r="I711" t="str">
            <v>不明</v>
          </cell>
          <cell r="K711" t="str">
            <v>高橋</v>
          </cell>
          <cell r="L711">
            <v>3</v>
          </cell>
          <cell r="M711" t="str">
            <v>EDGE</v>
          </cell>
          <cell r="N711" t="str">
            <v>03W0TY</v>
          </cell>
          <cell r="O711" t="str">
            <v>P16360-03</v>
          </cell>
          <cell r="P711" t="str">
            <v>株式会社マック　手稲支店</v>
          </cell>
          <cell r="Q711" t="str">
            <v>井上様</v>
          </cell>
          <cell r="R711" t="str">
            <v>〒006-0811 北海道札幌市手稲区前田1条12丁目1番22号 西通BLD201</v>
          </cell>
          <cell r="S711" t="str">
            <v>011-699-7210</v>
          </cell>
          <cell r="T711" t="str">
            <v>011-699-7211</v>
          </cell>
          <cell r="U711" t="str">
            <v>手稲渓仁会病院</v>
          </cell>
          <cell r="V711" t="str">
            <v>-</v>
          </cell>
          <cell r="W711" t="str">
            <v>-</v>
          </cell>
          <cell r="X711" t="str">
            <v>011-681-8111</v>
          </cell>
          <cell r="Y711" t="str">
            <v>〒006-8555 北海道札幌市手稲区前田1条12丁目1-40</v>
          </cell>
          <cell r="AA711" t="str">
            <v>P15615-03</v>
          </cell>
          <cell r="AB711" t="str">
            <v/>
          </cell>
          <cell r="AC711" t="str">
            <v/>
          </cell>
          <cell r="AD711" t="str">
            <v/>
          </cell>
          <cell r="AE711" t="str">
            <v/>
          </cell>
          <cell r="AF711" t="str">
            <v/>
          </cell>
          <cell r="AG711" t="str">
            <v/>
          </cell>
          <cell r="AH711" t="str">
            <v/>
          </cell>
          <cell r="AI711" t="str">
            <v/>
          </cell>
          <cell r="AJ711" t="str">
            <v/>
          </cell>
          <cell r="AK711" t="str">
            <v>SERVICE ASSEMBLY, MAIN PCBA, EDGE</v>
          </cell>
          <cell r="AL711" t="str">
            <v/>
          </cell>
          <cell r="AM711" t="str">
            <v/>
          </cell>
          <cell r="AN711" t="str">
            <v/>
          </cell>
          <cell r="AO711" t="str">
            <v/>
          </cell>
          <cell r="AP711" t="str">
            <v/>
          </cell>
          <cell r="AQ711" t="str">
            <v/>
          </cell>
          <cell r="AR711" t="str">
            <v/>
          </cell>
          <cell r="AS711" t="str">
            <v/>
          </cell>
          <cell r="AT711" t="str">
            <v/>
          </cell>
          <cell r="AU711">
            <v>41487</v>
          </cell>
        </row>
        <row r="712">
          <cell r="A712" t="str">
            <v>S16-0709</v>
          </cell>
          <cell r="B712" t="str">
            <v>春日部嬉泉病院_0709</v>
          </cell>
          <cell r="C712" t="e">
            <v>#REF!</v>
          </cell>
          <cell r="D712" t="e">
            <v>#REF!</v>
          </cell>
          <cell r="E712" t="e">
            <v>#REF!</v>
          </cell>
          <cell r="F712" t="e">
            <v>#REF!</v>
          </cell>
          <cell r="G712" t="e">
            <v>#REF!</v>
          </cell>
          <cell r="H712" t="e">
            <v>#REF!</v>
          </cell>
          <cell r="I712" t="e">
            <v>#REF!</v>
          </cell>
          <cell r="K712" t="e">
            <v>#REF!</v>
          </cell>
          <cell r="M712" t="e">
            <v>#REF!</v>
          </cell>
          <cell r="N712" t="e">
            <v>#REF!</v>
          </cell>
          <cell r="O712" t="e">
            <v>#REF!</v>
          </cell>
          <cell r="P712" t="e">
            <v>#REF!</v>
          </cell>
          <cell r="Q712" t="e">
            <v>#REF!</v>
          </cell>
          <cell r="S712" t="e">
            <v>#REF!</v>
          </cell>
          <cell r="T712" t="e">
            <v>#REF!</v>
          </cell>
          <cell r="U712" t="e">
            <v>#REF!</v>
          </cell>
          <cell r="AA712" t="e">
            <v>#REF!</v>
          </cell>
          <cell r="AB712" t="e">
            <v>#REF!</v>
          </cell>
          <cell r="AC712" t="e">
            <v>#REF!</v>
          </cell>
          <cell r="AD712" t="e">
            <v>#REF!</v>
          </cell>
          <cell r="AE712" t="e">
            <v>#REF!</v>
          </cell>
          <cell r="AF712" t="e">
            <v>#REF!</v>
          </cell>
          <cell r="AG712" t="e">
            <v>#REF!</v>
          </cell>
          <cell r="AH712" t="e">
            <v>#REF!</v>
          </cell>
          <cell r="AI712" t="e">
            <v>#REF!</v>
          </cell>
          <cell r="AJ712" t="e">
            <v>#REF!</v>
          </cell>
          <cell r="AK712" t="e">
            <v>#REF!</v>
          </cell>
          <cell r="AL712" t="e">
            <v>#REF!</v>
          </cell>
          <cell r="AM712" t="e">
            <v>#REF!</v>
          </cell>
          <cell r="AN712" t="e">
            <v>#REF!</v>
          </cell>
          <cell r="AO712" t="e">
            <v>#REF!</v>
          </cell>
          <cell r="AP712" t="e">
            <v>#REF!</v>
          </cell>
          <cell r="AQ712" t="e">
            <v>#REF!</v>
          </cell>
          <cell r="AR712" t="e">
            <v>#REF!</v>
          </cell>
          <cell r="AS712" t="e">
            <v>#REF!</v>
          </cell>
          <cell r="AT712" t="e">
            <v>#REF!</v>
          </cell>
          <cell r="AU712" t="e">
            <v>#REF!</v>
          </cell>
        </row>
        <row r="713">
          <cell r="A713" t="str">
            <v>S16-0710</v>
          </cell>
          <cell r="B713" t="str">
            <v>邑久光明園_0710 (2)</v>
          </cell>
          <cell r="C713" t="str">
            <v>SR#</v>
          </cell>
          <cell r="D713" t="str">
            <v>2016/10/11-02</v>
          </cell>
          <cell r="E713" t="str">
            <v>有償</v>
          </cell>
          <cell r="F713">
            <v>42660</v>
          </cell>
          <cell r="G713">
            <v>0</v>
          </cell>
          <cell r="H713">
            <v>42667</v>
          </cell>
          <cell r="I713" t="str">
            <v>不明</v>
          </cell>
          <cell r="K713" t="str">
            <v>高橋</v>
          </cell>
          <cell r="L713">
            <v>3</v>
          </cell>
          <cell r="M713" t="str">
            <v>TiTAN</v>
          </cell>
          <cell r="N713" t="str">
            <v>03JH8D</v>
          </cell>
          <cell r="O713" t="str">
            <v>P06590-03</v>
          </cell>
          <cell r="P713" t="str">
            <v>株式会社 日立製作所　ヘルスケア岡山第一営業所</v>
          </cell>
          <cell r="Q713" t="str">
            <v>佐藤様</v>
          </cell>
          <cell r="R713" t="str">
            <v>〒700-0923　岡山県岡山市北区大元駅前3-40</v>
          </cell>
          <cell r="S713" t="str">
            <v>086-235-0202</v>
          </cell>
          <cell r="T713" t="str">
            <v>086-234-2211</v>
          </cell>
          <cell r="U713" t="str">
            <v>邑久光明園</v>
          </cell>
          <cell r="V713" t="str">
            <v>-</v>
          </cell>
          <cell r="W713" t="str">
            <v>-</v>
          </cell>
          <cell r="X713" t="str">
            <v>0869-25-0011</v>
          </cell>
          <cell r="Y713" t="str">
            <v>〒701-4593 岡山県瀬戸内市邑久町虫明6253</v>
          </cell>
          <cell r="AA713" t="str">
            <v/>
          </cell>
          <cell r="AB713" t="str">
            <v/>
          </cell>
          <cell r="AC713" t="str">
            <v/>
          </cell>
          <cell r="AD713" t="str">
            <v/>
          </cell>
          <cell r="AE713" t="str">
            <v/>
          </cell>
          <cell r="AF713" t="str">
            <v/>
          </cell>
          <cell r="AG713" t="str">
            <v/>
          </cell>
          <cell r="AH713" t="str">
            <v/>
          </cell>
          <cell r="AI713" t="str">
            <v/>
          </cell>
          <cell r="AJ713" t="str">
            <v/>
          </cell>
          <cell r="AK713" t="str">
            <v/>
          </cell>
          <cell r="AL713" t="str">
            <v/>
          </cell>
          <cell r="AM713" t="str">
            <v/>
          </cell>
          <cell r="AN713" t="str">
            <v/>
          </cell>
          <cell r="AO713" t="str">
            <v/>
          </cell>
          <cell r="AP713" t="str">
            <v/>
          </cell>
          <cell r="AQ713" t="str">
            <v/>
          </cell>
          <cell r="AR713" t="str">
            <v/>
          </cell>
          <cell r="AS713" t="str">
            <v/>
          </cell>
          <cell r="AT713" t="str">
            <v/>
          </cell>
          <cell r="AU713">
            <v>40330</v>
          </cell>
        </row>
        <row r="714">
          <cell r="A714" t="str">
            <v>S16-0711</v>
          </cell>
          <cell r="B714" t="str">
            <v>吉田クリニック_0711 (2)</v>
          </cell>
          <cell r="C714" t="str">
            <v>SR#不要</v>
          </cell>
          <cell r="D714" t="str">
            <v>2016/10/11-05</v>
          </cell>
          <cell r="E714" t="str">
            <v>有償</v>
          </cell>
          <cell r="F714">
            <v>42660</v>
          </cell>
          <cell r="G714">
            <v>0</v>
          </cell>
          <cell r="H714">
            <v>42668</v>
          </cell>
          <cell r="I714" t="str">
            <v>不明</v>
          </cell>
          <cell r="K714" t="str">
            <v>高橋</v>
          </cell>
          <cell r="L714" t="str">
            <v>-</v>
          </cell>
          <cell r="M714" t="str">
            <v>C60/5-2</v>
          </cell>
          <cell r="N714" t="str">
            <v>036LPY</v>
          </cell>
          <cell r="O714" t="str">
            <v>P04332-03</v>
          </cell>
          <cell r="P714" t="str">
            <v>株式会社 八神製作所</v>
          </cell>
          <cell r="Q714" t="str">
            <v>垣見様</v>
          </cell>
          <cell r="R714" t="str">
            <v>〒460-8318　愛知県名古屋市中区千代田2-16-30</v>
          </cell>
          <cell r="S714" t="str">
            <v>052-251-6671</v>
          </cell>
          <cell r="T714" t="str">
            <v>052-251-7726</v>
          </cell>
          <cell r="U714" t="str">
            <v>吉田クリニック</v>
          </cell>
          <cell r="V714" t="str">
            <v>-</v>
          </cell>
          <cell r="W714" t="str">
            <v>-</v>
          </cell>
          <cell r="X714" t="str">
            <v>052-723-0018</v>
          </cell>
          <cell r="Y714" t="str">
            <v>〒464-0082 愛知県名古屋市千種区上野1-2-7　三貴ビル２Ｆ</v>
          </cell>
          <cell r="AA714" t="str">
            <v/>
          </cell>
          <cell r="AB714" t="str">
            <v/>
          </cell>
          <cell r="AC714" t="str">
            <v/>
          </cell>
          <cell r="AD714" t="str">
            <v/>
          </cell>
          <cell r="AE714" t="str">
            <v/>
          </cell>
          <cell r="AF714" t="str">
            <v/>
          </cell>
          <cell r="AG714" t="str">
            <v/>
          </cell>
          <cell r="AH714" t="str">
            <v/>
          </cell>
          <cell r="AI714" t="str">
            <v/>
          </cell>
          <cell r="AJ714" t="str">
            <v/>
          </cell>
          <cell r="AK714" t="str">
            <v/>
          </cell>
          <cell r="AL714" t="str">
            <v/>
          </cell>
          <cell r="AM714" t="str">
            <v/>
          </cell>
          <cell r="AN714" t="str">
            <v/>
          </cell>
          <cell r="AO714" t="str">
            <v/>
          </cell>
          <cell r="AP714" t="str">
            <v/>
          </cell>
          <cell r="AQ714" t="str">
            <v/>
          </cell>
          <cell r="AR714" t="str">
            <v/>
          </cell>
          <cell r="AS714" t="str">
            <v/>
          </cell>
          <cell r="AT714" t="str">
            <v/>
          </cell>
          <cell r="AU714">
            <v>38869</v>
          </cell>
        </row>
        <row r="715">
          <cell r="A715" t="str">
            <v>S16-0712</v>
          </cell>
          <cell r="B715" t="str">
            <v>代替機NIM136_0712 (2)</v>
          </cell>
          <cell r="C715" t="str">
            <v>SR#不要</v>
          </cell>
          <cell r="D715" t="str">
            <v>-</v>
          </cell>
          <cell r="E715" t="str">
            <v>有償</v>
          </cell>
          <cell r="F715">
            <v>42661</v>
          </cell>
          <cell r="G715">
            <v>0</v>
          </cell>
          <cell r="H715">
            <v>42669</v>
          </cell>
          <cell r="I715" t="str">
            <v>―</v>
          </cell>
          <cell r="K715">
            <v>0</v>
          </cell>
          <cell r="M715" t="str">
            <v>UP-897MD</v>
          </cell>
          <cell r="N715" t="str">
            <v>35633</v>
          </cell>
          <cell r="O715" t="str">
            <v>-</v>
          </cell>
          <cell r="P715" t="str">
            <v>富士フイルムメディカル株式会社</v>
          </cell>
          <cell r="Q715" t="str">
            <v>テクニカルサポート</v>
          </cell>
          <cell r="R715" t="str">
            <v>-</v>
          </cell>
          <cell r="S715" t="str">
            <v>03-5469-3510</v>
          </cell>
          <cell r="T715" t="str">
            <v>代替機NIM136</v>
          </cell>
          <cell r="U715" t="str">
            <v>-</v>
          </cell>
          <cell r="V715" t="str">
            <v>-</v>
          </cell>
          <cell r="W715" t="str">
            <v>-</v>
          </cell>
          <cell r="X715" t="str">
            <v>-</v>
          </cell>
          <cell r="Y715" t="str">
            <v>-</v>
          </cell>
          <cell r="AA715" t="str">
            <v/>
          </cell>
          <cell r="AB715" t="str">
            <v/>
          </cell>
          <cell r="AC715" t="str">
            <v/>
          </cell>
          <cell r="AD715" t="str">
            <v/>
          </cell>
          <cell r="AE715" t="str">
            <v/>
          </cell>
          <cell r="AF715" t="str">
            <v/>
          </cell>
          <cell r="AG715" t="str">
            <v/>
          </cell>
          <cell r="AH715" t="str">
            <v/>
          </cell>
          <cell r="AI715" t="str">
            <v/>
          </cell>
          <cell r="AJ715" t="str">
            <v/>
          </cell>
          <cell r="AK715" t="str">
            <v/>
          </cell>
          <cell r="AL715" t="str">
            <v/>
          </cell>
          <cell r="AM715" t="str">
            <v/>
          </cell>
          <cell r="AN715" t="str">
            <v/>
          </cell>
          <cell r="AO715" t="str">
            <v/>
          </cell>
          <cell r="AP715" t="str">
            <v/>
          </cell>
          <cell r="AQ715" t="str">
            <v/>
          </cell>
          <cell r="AR715" t="str">
            <v/>
          </cell>
          <cell r="AS715" t="str">
            <v/>
          </cell>
          <cell r="AT715" t="str">
            <v/>
          </cell>
          <cell r="AU715" t="str">
            <v>-</v>
          </cell>
        </row>
        <row r="716">
          <cell r="A716" t="str">
            <v>S16-0713</v>
          </cell>
          <cell r="B716" t="str">
            <v>岐阜市民病院_0713 (2)</v>
          </cell>
          <cell r="C716" t="str">
            <v>SR#不要</v>
          </cell>
          <cell r="D716" t="str">
            <v>2016/10/13-05</v>
          </cell>
          <cell r="E716" t="str">
            <v>有償</v>
          </cell>
          <cell r="F716">
            <v>42661</v>
          </cell>
          <cell r="G716">
            <v>0</v>
          </cell>
          <cell r="H716">
            <v>42702</v>
          </cell>
          <cell r="I716" t="str">
            <v>不明</v>
          </cell>
          <cell r="K716" t="str">
            <v>高橋</v>
          </cell>
          <cell r="L716">
            <v>3</v>
          </cell>
          <cell r="M716" t="str">
            <v>UP-897MD</v>
          </cell>
          <cell r="N716" t="str">
            <v>39750</v>
          </cell>
          <cell r="O716" t="str">
            <v>-</v>
          </cell>
          <cell r="P716" t="str">
            <v>株式会社フォーム 岐阜支店</v>
          </cell>
          <cell r="Q716" t="str">
            <v>小椋様</v>
          </cell>
          <cell r="R716" t="str">
            <v>〒500-8154　岐阜県岐阜市木ノ下町5-16</v>
          </cell>
          <cell r="S716" t="str">
            <v>058-240-0059</v>
          </cell>
          <cell r="T716" t="str">
            <v>058-240-0527</v>
          </cell>
          <cell r="U716" t="str">
            <v>岐阜市民病院</v>
          </cell>
          <cell r="V716" t="str">
            <v>-</v>
          </cell>
          <cell r="W716" t="str">
            <v>-</v>
          </cell>
          <cell r="X716" t="str">
            <v>058-251-1101</v>
          </cell>
          <cell r="Y716" t="str">
            <v>〒500-8513　岐阜県岐阜市鹿島町7丁目1番地</v>
          </cell>
          <cell r="AA716" t="str">
            <v>A1078892B</v>
          </cell>
          <cell r="AB716" t="str">
            <v/>
          </cell>
          <cell r="AC716" t="str">
            <v/>
          </cell>
          <cell r="AD716" t="str">
            <v/>
          </cell>
          <cell r="AE716" t="str">
            <v/>
          </cell>
          <cell r="AF716" t="str">
            <v/>
          </cell>
          <cell r="AG716" t="str">
            <v/>
          </cell>
          <cell r="AH716" t="str">
            <v/>
          </cell>
          <cell r="AI716" t="str">
            <v/>
          </cell>
          <cell r="AJ716" t="str">
            <v/>
          </cell>
          <cell r="AK716" t="str">
            <v>SE-768 MOUNT</v>
          </cell>
          <cell r="AL716" t="str">
            <v/>
          </cell>
          <cell r="AM716" t="str">
            <v/>
          </cell>
          <cell r="AN716" t="str">
            <v/>
          </cell>
          <cell r="AO716" t="str">
            <v/>
          </cell>
          <cell r="AP716" t="str">
            <v/>
          </cell>
          <cell r="AQ716" t="str">
            <v/>
          </cell>
          <cell r="AR716" t="str">
            <v/>
          </cell>
          <cell r="AS716" t="str">
            <v/>
          </cell>
          <cell r="AT716" t="str">
            <v/>
          </cell>
          <cell r="AU716" t="str">
            <v>-</v>
          </cell>
        </row>
        <row r="717">
          <cell r="A717" t="str">
            <v>S16-0714</v>
          </cell>
          <cell r="B717" t="str">
            <v>岡山大学病院_0714</v>
          </cell>
          <cell r="C717" t="e">
            <v>#REF!</v>
          </cell>
          <cell r="D717" t="e">
            <v>#REF!</v>
          </cell>
          <cell r="E717" t="e">
            <v>#REF!</v>
          </cell>
          <cell r="F717" t="e">
            <v>#REF!</v>
          </cell>
          <cell r="G717" t="e">
            <v>#REF!</v>
          </cell>
          <cell r="H717" t="e">
            <v>#REF!</v>
          </cell>
          <cell r="I717" t="e">
            <v>#REF!</v>
          </cell>
          <cell r="K717" t="e">
            <v>#REF!</v>
          </cell>
          <cell r="M717" t="e">
            <v>#REF!</v>
          </cell>
          <cell r="N717" t="e">
            <v>#REF!</v>
          </cell>
          <cell r="O717" t="e">
            <v>#REF!</v>
          </cell>
          <cell r="P717" t="e">
            <v>#REF!</v>
          </cell>
          <cell r="Q717" t="e">
            <v>#REF!</v>
          </cell>
          <cell r="S717" t="e">
            <v>#REF!</v>
          </cell>
          <cell r="T717" t="e">
            <v>#REF!</v>
          </cell>
          <cell r="U717" t="e">
            <v>#REF!</v>
          </cell>
          <cell r="AA717" t="e">
            <v>#REF!</v>
          </cell>
          <cell r="AB717" t="e">
            <v>#REF!</v>
          </cell>
          <cell r="AC717" t="e">
            <v>#REF!</v>
          </cell>
          <cell r="AD717" t="e">
            <v>#REF!</v>
          </cell>
          <cell r="AE717" t="e">
            <v>#REF!</v>
          </cell>
          <cell r="AF717" t="e">
            <v>#REF!</v>
          </cell>
          <cell r="AG717" t="e">
            <v>#REF!</v>
          </cell>
          <cell r="AH717" t="e">
            <v>#REF!</v>
          </cell>
          <cell r="AI717" t="e">
            <v>#REF!</v>
          </cell>
          <cell r="AJ717" t="e">
            <v>#REF!</v>
          </cell>
          <cell r="AK717" t="e">
            <v>#REF!</v>
          </cell>
          <cell r="AL717" t="e">
            <v>#REF!</v>
          </cell>
          <cell r="AM717" t="e">
            <v>#REF!</v>
          </cell>
          <cell r="AN717" t="e">
            <v>#REF!</v>
          </cell>
          <cell r="AO717" t="e">
            <v>#REF!</v>
          </cell>
          <cell r="AP717" t="e">
            <v>#REF!</v>
          </cell>
          <cell r="AQ717" t="e">
            <v>#REF!</v>
          </cell>
          <cell r="AR717" t="e">
            <v>#REF!</v>
          </cell>
          <cell r="AS717" t="e">
            <v>#REF!</v>
          </cell>
          <cell r="AT717" t="e">
            <v>#REF!</v>
          </cell>
          <cell r="AU717" t="e">
            <v>#REF!</v>
          </cell>
        </row>
        <row r="718">
          <cell r="A718" t="str">
            <v>S16-0715</v>
          </cell>
          <cell r="B718" t="str">
            <v>岡山協立病院_0715 (2)</v>
          </cell>
          <cell r="C718" t="str">
            <v>SR#4244463</v>
          </cell>
          <cell r="D718" t="str">
            <v>-</v>
          </cell>
          <cell r="E718" t="str">
            <v>無償</v>
          </cell>
          <cell r="F718">
            <v>42662</v>
          </cell>
          <cell r="G718">
            <v>0</v>
          </cell>
          <cell r="H718">
            <v>42699</v>
          </cell>
          <cell r="I718">
            <v>41862</v>
          </cell>
          <cell r="K718" t="str">
            <v>高橋</v>
          </cell>
          <cell r="L718">
            <v>3</v>
          </cell>
          <cell r="M718" t="str">
            <v>NanoMaxx</v>
          </cell>
          <cell r="N718" t="str">
            <v>03XW27</v>
          </cell>
          <cell r="O718" t="str">
            <v>P12700-06</v>
          </cell>
          <cell r="P718" t="str">
            <v>日本コヴィディエン株式会社　中四国営業所</v>
          </cell>
          <cell r="Q718" t="str">
            <v>工藤様</v>
          </cell>
          <cell r="R718" t="str">
            <v>〒108-0075  東京都港区港南一丁目2番70号　品川シーズンテラス　22F</v>
          </cell>
          <cell r="S718" t="str">
            <v>03-6774-4629</v>
          </cell>
          <cell r="T718" t="str">
            <v>03-6774-4740</v>
          </cell>
          <cell r="U718" t="str">
            <v>岡山協立病院</v>
          </cell>
          <cell r="V718" t="str">
            <v>-</v>
          </cell>
          <cell r="W718" t="str">
            <v>-</v>
          </cell>
          <cell r="X718" t="str">
            <v>086-272-2121</v>
          </cell>
          <cell r="Y718" t="str">
            <v>〒703-8511 岡山県岡山市中区赤坂本町8-10</v>
          </cell>
          <cell r="AA718" t="str">
            <v>P12717-01</v>
          </cell>
          <cell r="AB718" t="str">
            <v/>
          </cell>
          <cell r="AC718" t="str">
            <v/>
          </cell>
          <cell r="AD718" t="str">
            <v/>
          </cell>
          <cell r="AE718" t="str">
            <v/>
          </cell>
          <cell r="AF718" t="str">
            <v/>
          </cell>
          <cell r="AG718" t="str">
            <v/>
          </cell>
          <cell r="AH718" t="str">
            <v/>
          </cell>
          <cell r="AI718" t="str">
            <v/>
          </cell>
          <cell r="AJ718" t="str">
            <v/>
          </cell>
          <cell r="AK718" t="str">
            <v>SERVICE ASSEMBLY, FRONT END PCB, NANOMAXX</v>
          </cell>
          <cell r="AL718" t="str">
            <v/>
          </cell>
          <cell r="AM718" t="str">
            <v/>
          </cell>
          <cell r="AN718" t="str">
            <v/>
          </cell>
          <cell r="AO718" t="str">
            <v/>
          </cell>
          <cell r="AP718" t="str">
            <v/>
          </cell>
          <cell r="AQ718" t="str">
            <v/>
          </cell>
          <cell r="AR718" t="str">
            <v/>
          </cell>
          <cell r="AS718" t="str">
            <v/>
          </cell>
          <cell r="AT718" t="str">
            <v/>
          </cell>
          <cell r="AU718">
            <v>41699</v>
          </cell>
        </row>
        <row r="719">
          <cell r="A719" t="str">
            <v>S16-0716</v>
          </cell>
          <cell r="B719" t="str">
            <v>京都大学医学部附属病院_0716 (2)</v>
          </cell>
          <cell r="C719" t="str">
            <v>SR#4244453</v>
          </cell>
          <cell r="D719" t="str">
            <v>-</v>
          </cell>
          <cell r="E719" t="str">
            <v>無償</v>
          </cell>
          <cell r="F719">
            <v>42662</v>
          </cell>
          <cell r="G719">
            <v>0</v>
          </cell>
          <cell r="H719">
            <v>42699</v>
          </cell>
          <cell r="I719">
            <v>41289</v>
          </cell>
          <cell r="K719" t="str">
            <v>高橋</v>
          </cell>
          <cell r="L719">
            <v>3</v>
          </cell>
          <cell r="M719" t="str">
            <v>NanoMaxx</v>
          </cell>
          <cell r="N719" t="str">
            <v>03TBWV</v>
          </cell>
          <cell r="O719" t="str">
            <v>P12700-06</v>
          </cell>
          <cell r="P719" t="str">
            <v>日本コヴィディエン株式会社 西日本透析営業所</v>
          </cell>
          <cell r="Q719" t="str">
            <v>濱口様</v>
          </cell>
          <cell r="R719" t="str">
            <v>〒108-0075  東京都港区港南一丁目2番70号　品川シーズンテラス　22F</v>
          </cell>
          <cell r="S719" t="str">
            <v>03-6774-4629</v>
          </cell>
          <cell r="T719" t="str">
            <v>03-6774-4740</v>
          </cell>
          <cell r="U719" t="str">
            <v>京都大学医学部附属病院</v>
          </cell>
          <cell r="V719" t="str">
            <v>-</v>
          </cell>
          <cell r="W719" t="str">
            <v>-</v>
          </cell>
          <cell r="X719" t="str">
            <v>075-751-3111</v>
          </cell>
          <cell r="Y719" t="str">
            <v>〒606-8507　京都府京都市左京区聖護院川原町54</v>
          </cell>
          <cell r="AA719" t="str">
            <v>P12745-01</v>
          </cell>
          <cell r="AB719" t="str">
            <v/>
          </cell>
          <cell r="AC719" t="str">
            <v/>
          </cell>
          <cell r="AD719" t="str">
            <v/>
          </cell>
          <cell r="AE719" t="str">
            <v/>
          </cell>
          <cell r="AF719" t="str">
            <v/>
          </cell>
          <cell r="AG719" t="str">
            <v/>
          </cell>
          <cell r="AH719" t="str">
            <v/>
          </cell>
          <cell r="AI719" t="str">
            <v/>
          </cell>
          <cell r="AJ719" t="str">
            <v/>
          </cell>
          <cell r="AK719" t="str">
            <v>SERVICE ASSEMBLY, POWER SUPPLY PCB, NANOMAXX</v>
          </cell>
          <cell r="AL719" t="str">
            <v/>
          </cell>
          <cell r="AM719" t="str">
            <v/>
          </cell>
          <cell r="AN719" t="str">
            <v/>
          </cell>
          <cell r="AO719" t="str">
            <v/>
          </cell>
          <cell r="AP719" t="str">
            <v/>
          </cell>
          <cell r="AQ719" t="str">
            <v/>
          </cell>
          <cell r="AR719" t="str">
            <v/>
          </cell>
          <cell r="AS719" t="str">
            <v/>
          </cell>
          <cell r="AT719" t="str">
            <v/>
          </cell>
          <cell r="AU719">
            <v>41214</v>
          </cell>
        </row>
        <row r="720">
          <cell r="A720" t="str">
            <v>S16-0717</v>
          </cell>
          <cell r="B720" t="str">
            <v>飯塚病院_0717 (2)</v>
          </cell>
          <cell r="C720" t="str">
            <v>SR#4244457</v>
          </cell>
          <cell r="D720" t="str">
            <v>2016/10/13-04</v>
          </cell>
          <cell r="E720" t="str">
            <v>無償</v>
          </cell>
          <cell r="F720">
            <v>42662</v>
          </cell>
          <cell r="G720">
            <v>0</v>
          </cell>
          <cell r="H720">
            <v>42690</v>
          </cell>
          <cell r="I720">
            <v>41269</v>
          </cell>
          <cell r="K720" t="str">
            <v>高橋</v>
          </cell>
          <cell r="L720">
            <v>3</v>
          </cell>
          <cell r="M720" t="str">
            <v>M-Turbo</v>
          </cell>
          <cell r="N720" t="str">
            <v>WK18Q1</v>
          </cell>
          <cell r="O720" t="str">
            <v>P09141-25</v>
          </cell>
          <cell r="P720" t="str">
            <v>株式会社アステム　筑豊支店</v>
          </cell>
          <cell r="Q720" t="str">
            <v>田代様</v>
          </cell>
          <cell r="R720" t="str">
            <v>〒820-0101　福岡県飯塚市綱分761-19</v>
          </cell>
          <cell r="S720" t="str">
            <v>0948-82-2021</v>
          </cell>
          <cell r="T720" t="str">
            <v>0948-82-2543</v>
          </cell>
          <cell r="U720" t="str">
            <v>飯塚病院 ME</v>
          </cell>
          <cell r="V720" t="str">
            <v>技士 藤元様</v>
          </cell>
          <cell r="W720" t="str">
            <v>ME</v>
          </cell>
          <cell r="X720" t="str">
            <v>0948-22-3800</v>
          </cell>
          <cell r="Y720" t="str">
            <v>〒820-8505　福岡県飯塚市芳雄町3-83</v>
          </cell>
          <cell r="AA720" t="str">
            <v>P19060-02</v>
          </cell>
          <cell r="AB720" t="str">
            <v>P08850-02</v>
          </cell>
          <cell r="AC720" t="str">
            <v>P08659-03</v>
          </cell>
          <cell r="AD720" t="str">
            <v/>
          </cell>
          <cell r="AE720" t="str">
            <v/>
          </cell>
          <cell r="AF720" t="str">
            <v/>
          </cell>
          <cell r="AG720" t="str">
            <v/>
          </cell>
          <cell r="AH720" t="str">
            <v/>
          </cell>
          <cell r="AI720" t="str">
            <v/>
          </cell>
          <cell r="AJ720" t="str">
            <v/>
          </cell>
          <cell r="AK720" t="str">
            <v>MAIN PCBA, M-Turbo</v>
          </cell>
          <cell r="AL720" t="str">
            <v>SERVICE ASSEMBLY, POWER SUPPLY, M/S TURBO, EDGE</v>
          </cell>
          <cell r="AM720" t="str">
            <v>SERVICE ASSEMBLY, LCD DISPLAY, M-TURBO</v>
          </cell>
          <cell r="AN720" t="str">
            <v/>
          </cell>
          <cell r="AO720" t="str">
            <v/>
          </cell>
          <cell r="AP720" t="str">
            <v/>
          </cell>
          <cell r="AQ720" t="str">
            <v/>
          </cell>
          <cell r="AR720" t="str">
            <v/>
          </cell>
          <cell r="AS720" t="str">
            <v/>
          </cell>
          <cell r="AT720" t="str">
            <v/>
          </cell>
          <cell r="AU720">
            <v>41153</v>
          </cell>
        </row>
        <row r="721">
          <cell r="A721" t="str">
            <v>S16-0718</v>
          </cell>
          <cell r="B721" t="str">
            <v>金沢赤十字病院_0718 (2)</v>
          </cell>
          <cell r="C721" t="str">
            <v>SR#</v>
          </cell>
          <cell r="D721" t="str">
            <v>2016/10/13-07</v>
          </cell>
          <cell r="E721" t="str">
            <v>有償</v>
          </cell>
          <cell r="F721">
            <v>42662</v>
          </cell>
          <cell r="G721">
            <v>0</v>
          </cell>
          <cell r="H721">
            <v>42684</v>
          </cell>
          <cell r="I721" t="str">
            <v>不明</v>
          </cell>
          <cell r="K721" t="str">
            <v>高橋</v>
          </cell>
          <cell r="L721">
            <v>3</v>
          </cell>
          <cell r="M721" t="str">
            <v>M-Turbo</v>
          </cell>
          <cell r="N721" t="str">
            <v>03L0NG</v>
          </cell>
          <cell r="O721" t="str">
            <v>P09141-20</v>
          </cell>
          <cell r="P721" t="str">
            <v>冨木医療器株式会社　金沢支店</v>
          </cell>
          <cell r="Q721" t="str">
            <v>辻様</v>
          </cell>
          <cell r="R721" t="str">
            <v>〒920-8539　石川県金沢市問屋町2-46</v>
          </cell>
          <cell r="S721" t="str">
            <v>076-237-5557</v>
          </cell>
          <cell r="T721" t="str">
            <v>076-237-9381</v>
          </cell>
          <cell r="U721" t="str">
            <v>金沢赤十字病院 手術室</v>
          </cell>
          <cell r="V721" t="str">
            <v>-</v>
          </cell>
          <cell r="W721" t="str">
            <v>手術室</v>
          </cell>
          <cell r="X721" t="str">
            <v>076-242-8131</v>
          </cell>
          <cell r="Y721" t="str">
            <v>〒921-8162　石川県金沢市三馬2-251</v>
          </cell>
          <cell r="AA721" t="str">
            <v>P06973-01</v>
          </cell>
          <cell r="AB721" t="str">
            <v/>
          </cell>
          <cell r="AC721" t="str">
            <v/>
          </cell>
          <cell r="AD721" t="str">
            <v/>
          </cell>
          <cell r="AE721" t="str">
            <v/>
          </cell>
          <cell r="AF721" t="str">
            <v/>
          </cell>
          <cell r="AG721" t="str">
            <v/>
          </cell>
          <cell r="AH721" t="str">
            <v/>
          </cell>
          <cell r="AI721" t="str">
            <v/>
          </cell>
          <cell r="AJ721" t="str">
            <v/>
          </cell>
          <cell r="AK721" t="str">
            <v>WIRE HARNESS, LCD, LVDS, 8"</v>
          </cell>
          <cell r="AL721" t="str">
            <v/>
          </cell>
          <cell r="AM721" t="str">
            <v/>
          </cell>
          <cell r="AN721" t="str">
            <v/>
          </cell>
          <cell r="AO721" t="str">
            <v/>
          </cell>
          <cell r="AP721" t="str">
            <v/>
          </cell>
          <cell r="AQ721" t="str">
            <v/>
          </cell>
          <cell r="AR721" t="str">
            <v/>
          </cell>
          <cell r="AS721" t="str">
            <v/>
          </cell>
          <cell r="AT721" t="str">
            <v/>
          </cell>
          <cell r="AU721">
            <v>40575</v>
          </cell>
        </row>
        <row r="722">
          <cell r="A722" t="str">
            <v>S16-0719</v>
          </cell>
          <cell r="B722" t="str">
            <v>中濃厚生病院_0719</v>
          </cell>
          <cell r="C722" t="e">
            <v>#REF!</v>
          </cell>
          <cell r="D722" t="e">
            <v>#REF!</v>
          </cell>
          <cell r="E722" t="e">
            <v>#REF!</v>
          </cell>
          <cell r="F722" t="e">
            <v>#REF!</v>
          </cell>
          <cell r="G722" t="e">
            <v>#REF!</v>
          </cell>
          <cell r="H722" t="e">
            <v>#REF!</v>
          </cell>
          <cell r="I722" t="e">
            <v>#REF!</v>
          </cell>
          <cell r="K722" t="e">
            <v>#REF!</v>
          </cell>
          <cell r="M722" t="e">
            <v>#REF!</v>
          </cell>
          <cell r="N722" t="e">
            <v>#REF!</v>
          </cell>
          <cell r="O722" t="e">
            <v>#REF!</v>
          </cell>
          <cell r="P722" t="e">
            <v>#REF!</v>
          </cell>
          <cell r="Q722" t="e">
            <v>#REF!</v>
          </cell>
          <cell r="S722" t="e">
            <v>#REF!</v>
          </cell>
          <cell r="T722" t="e">
            <v>#REF!</v>
          </cell>
          <cell r="U722" t="e">
            <v>#REF!</v>
          </cell>
          <cell r="AA722" t="e">
            <v>#REF!</v>
          </cell>
          <cell r="AB722" t="e">
            <v>#REF!</v>
          </cell>
          <cell r="AC722" t="e">
            <v>#REF!</v>
          </cell>
          <cell r="AD722" t="e">
            <v>#REF!</v>
          </cell>
          <cell r="AE722" t="e">
            <v>#REF!</v>
          </cell>
          <cell r="AF722" t="e">
            <v>#REF!</v>
          </cell>
          <cell r="AG722" t="e">
            <v>#REF!</v>
          </cell>
          <cell r="AH722" t="e">
            <v>#REF!</v>
          </cell>
          <cell r="AI722" t="e">
            <v>#REF!</v>
          </cell>
          <cell r="AJ722" t="e">
            <v>#REF!</v>
          </cell>
          <cell r="AK722" t="e">
            <v>#REF!</v>
          </cell>
          <cell r="AL722" t="e">
            <v>#REF!</v>
          </cell>
          <cell r="AM722" t="e">
            <v>#REF!</v>
          </cell>
          <cell r="AN722" t="e">
            <v>#REF!</v>
          </cell>
          <cell r="AO722" t="e">
            <v>#REF!</v>
          </cell>
          <cell r="AP722" t="e">
            <v>#REF!</v>
          </cell>
          <cell r="AQ722" t="e">
            <v>#REF!</v>
          </cell>
          <cell r="AR722" t="e">
            <v>#REF!</v>
          </cell>
          <cell r="AS722" t="e">
            <v>#REF!</v>
          </cell>
          <cell r="AT722" t="e">
            <v>#REF!</v>
          </cell>
          <cell r="AU722" t="e">
            <v>#REF!</v>
          </cell>
        </row>
        <row r="723">
          <cell r="A723" t="str">
            <v>S16-0720</v>
          </cell>
          <cell r="B723" t="str">
            <v>高槻赤十字病院_0720</v>
          </cell>
          <cell r="C723" t="e">
            <v>#REF!</v>
          </cell>
          <cell r="D723" t="e">
            <v>#REF!</v>
          </cell>
          <cell r="E723" t="e">
            <v>#REF!</v>
          </cell>
          <cell r="F723" t="e">
            <v>#REF!</v>
          </cell>
          <cell r="G723" t="e">
            <v>#REF!</v>
          </cell>
          <cell r="H723" t="e">
            <v>#REF!</v>
          </cell>
          <cell r="I723" t="e">
            <v>#REF!</v>
          </cell>
          <cell r="K723" t="e">
            <v>#REF!</v>
          </cell>
          <cell r="M723" t="e">
            <v>#REF!</v>
          </cell>
          <cell r="N723" t="e">
            <v>#REF!</v>
          </cell>
          <cell r="O723" t="e">
            <v>#REF!</v>
          </cell>
          <cell r="P723" t="e">
            <v>#REF!</v>
          </cell>
          <cell r="Q723" t="e">
            <v>#REF!</v>
          </cell>
          <cell r="S723" t="e">
            <v>#REF!</v>
          </cell>
          <cell r="T723" t="e">
            <v>#REF!</v>
          </cell>
          <cell r="U723" t="e">
            <v>#REF!</v>
          </cell>
          <cell r="AA723" t="e">
            <v>#REF!</v>
          </cell>
          <cell r="AB723" t="e">
            <v>#REF!</v>
          </cell>
          <cell r="AC723" t="e">
            <v>#REF!</v>
          </cell>
          <cell r="AD723" t="e">
            <v>#REF!</v>
          </cell>
          <cell r="AE723" t="e">
            <v>#REF!</v>
          </cell>
          <cell r="AF723" t="e">
            <v>#REF!</v>
          </cell>
          <cell r="AG723" t="e">
            <v>#REF!</v>
          </cell>
          <cell r="AH723" t="e">
            <v>#REF!</v>
          </cell>
          <cell r="AI723" t="e">
            <v>#REF!</v>
          </cell>
          <cell r="AJ723" t="e">
            <v>#REF!</v>
          </cell>
          <cell r="AK723" t="e">
            <v>#REF!</v>
          </cell>
          <cell r="AL723" t="e">
            <v>#REF!</v>
          </cell>
          <cell r="AM723" t="e">
            <v>#REF!</v>
          </cell>
          <cell r="AN723" t="e">
            <v>#REF!</v>
          </cell>
          <cell r="AO723" t="e">
            <v>#REF!</v>
          </cell>
          <cell r="AP723" t="e">
            <v>#REF!</v>
          </cell>
          <cell r="AQ723" t="e">
            <v>#REF!</v>
          </cell>
          <cell r="AR723" t="e">
            <v>#REF!</v>
          </cell>
          <cell r="AS723" t="e">
            <v>#REF!</v>
          </cell>
          <cell r="AT723" t="e">
            <v>#REF!</v>
          </cell>
          <cell r="AU723" t="e">
            <v>#REF!</v>
          </cell>
        </row>
        <row r="724">
          <cell r="A724" t="str">
            <v>S16-0721</v>
          </cell>
          <cell r="B724" t="str">
            <v>代替機NIM101_0721</v>
          </cell>
          <cell r="C724" t="e">
            <v>#REF!</v>
          </cell>
          <cell r="D724" t="e">
            <v>#REF!</v>
          </cell>
          <cell r="E724" t="e">
            <v>#REF!</v>
          </cell>
          <cell r="F724" t="e">
            <v>#REF!</v>
          </cell>
          <cell r="G724" t="e">
            <v>#REF!</v>
          </cell>
          <cell r="H724" t="e">
            <v>#REF!</v>
          </cell>
          <cell r="I724" t="e">
            <v>#REF!</v>
          </cell>
          <cell r="K724" t="e">
            <v>#REF!</v>
          </cell>
          <cell r="M724" t="e">
            <v>#REF!</v>
          </cell>
          <cell r="N724" t="e">
            <v>#REF!</v>
          </cell>
          <cell r="O724" t="e">
            <v>#REF!</v>
          </cell>
          <cell r="P724" t="e">
            <v>#REF!</v>
          </cell>
          <cell r="Q724" t="e">
            <v>#REF!</v>
          </cell>
          <cell r="S724" t="e">
            <v>#REF!</v>
          </cell>
          <cell r="T724" t="e">
            <v>#REF!</v>
          </cell>
          <cell r="U724" t="e">
            <v>#REF!</v>
          </cell>
          <cell r="AA724" t="e">
            <v>#REF!</v>
          </cell>
          <cell r="AB724" t="e">
            <v>#REF!</v>
          </cell>
          <cell r="AC724" t="e">
            <v>#REF!</v>
          </cell>
          <cell r="AD724" t="e">
            <v>#REF!</v>
          </cell>
          <cell r="AE724" t="e">
            <v>#REF!</v>
          </cell>
          <cell r="AF724" t="e">
            <v>#REF!</v>
          </cell>
          <cell r="AG724" t="e">
            <v>#REF!</v>
          </cell>
          <cell r="AH724" t="e">
            <v>#REF!</v>
          </cell>
          <cell r="AI724" t="e">
            <v>#REF!</v>
          </cell>
          <cell r="AJ724" t="e">
            <v>#REF!</v>
          </cell>
          <cell r="AK724" t="e">
            <v>#REF!</v>
          </cell>
          <cell r="AL724" t="e">
            <v>#REF!</v>
          </cell>
          <cell r="AM724" t="e">
            <v>#REF!</v>
          </cell>
          <cell r="AN724" t="e">
            <v>#REF!</v>
          </cell>
          <cell r="AO724" t="e">
            <v>#REF!</v>
          </cell>
          <cell r="AP724" t="e">
            <v>#REF!</v>
          </cell>
          <cell r="AQ724" t="e">
            <v>#REF!</v>
          </cell>
          <cell r="AR724" t="e">
            <v>#REF!</v>
          </cell>
          <cell r="AS724" t="e">
            <v>#REF!</v>
          </cell>
          <cell r="AT724" t="e">
            <v>#REF!</v>
          </cell>
          <cell r="AU724" t="e">
            <v>#REF!</v>
          </cell>
        </row>
        <row r="725">
          <cell r="A725" t="str">
            <v>S16-0722</v>
          </cell>
          <cell r="B725" t="str">
            <v>富山大学附属病院_0722</v>
          </cell>
          <cell r="C725" t="e">
            <v>#REF!</v>
          </cell>
          <cell r="D725" t="e">
            <v>#REF!</v>
          </cell>
          <cell r="E725" t="e">
            <v>#REF!</v>
          </cell>
          <cell r="F725" t="e">
            <v>#REF!</v>
          </cell>
          <cell r="G725" t="e">
            <v>#REF!</v>
          </cell>
          <cell r="H725" t="e">
            <v>#REF!</v>
          </cell>
          <cell r="I725" t="e">
            <v>#REF!</v>
          </cell>
          <cell r="K725" t="e">
            <v>#REF!</v>
          </cell>
          <cell r="M725" t="e">
            <v>#REF!</v>
          </cell>
          <cell r="N725" t="e">
            <v>#REF!</v>
          </cell>
          <cell r="O725" t="e">
            <v>#REF!</v>
          </cell>
          <cell r="P725" t="e">
            <v>#REF!</v>
          </cell>
          <cell r="Q725" t="e">
            <v>#REF!</v>
          </cell>
          <cell r="S725" t="e">
            <v>#REF!</v>
          </cell>
          <cell r="T725" t="e">
            <v>#REF!</v>
          </cell>
          <cell r="U725" t="e">
            <v>#REF!</v>
          </cell>
          <cell r="AA725" t="e">
            <v>#REF!</v>
          </cell>
          <cell r="AB725" t="e">
            <v>#REF!</v>
          </cell>
          <cell r="AC725" t="e">
            <v>#REF!</v>
          </cell>
          <cell r="AD725" t="e">
            <v>#REF!</v>
          </cell>
          <cell r="AE725" t="e">
            <v>#REF!</v>
          </cell>
          <cell r="AF725" t="e">
            <v>#REF!</v>
          </cell>
          <cell r="AG725" t="e">
            <v>#REF!</v>
          </cell>
          <cell r="AH725" t="e">
            <v>#REF!</v>
          </cell>
          <cell r="AI725" t="e">
            <v>#REF!</v>
          </cell>
          <cell r="AJ725" t="e">
            <v>#REF!</v>
          </cell>
          <cell r="AK725" t="e">
            <v>#REF!</v>
          </cell>
          <cell r="AL725" t="e">
            <v>#REF!</v>
          </cell>
          <cell r="AM725" t="e">
            <v>#REF!</v>
          </cell>
          <cell r="AN725" t="e">
            <v>#REF!</v>
          </cell>
          <cell r="AO725" t="e">
            <v>#REF!</v>
          </cell>
          <cell r="AP725" t="e">
            <v>#REF!</v>
          </cell>
          <cell r="AQ725" t="e">
            <v>#REF!</v>
          </cell>
          <cell r="AR725" t="e">
            <v>#REF!</v>
          </cell>
          <cell r="AS725" t="e">
            <v>#REF!</v>
          </cell>
          <cell r="AT725" t="e">
            <v>#REF!</v>
          </cell>
          <cell r="AU725" t="e">
            <v>#REF!</v>
          </cell>
        </row>
        <row r="726">
          <cell r="A726" t="str">
            <v>S16-0723</v>
          </cell>
          <cell r="B726" t="str">
            <v>久留米大学病院_0723 (2)</v>
          </cell>
          <cell r="C726" t="str">
            <v>SR#4244467</v>
          </cell>
          <cell r="D726" t="str">
            <v>2016/08/31-01</v>
          </cell>
          <cell r="E726" t="str">
            <v>無償</v>
          </cell>
          <cell r="F726">
            <v>42664</v>
          </cell>
          <cell r="G726">
            <v>0</v>
          </cell>
          <cell r="H726">
            <v>42678</v>
          </cell>
          <cell r="I726" t="str">
            <v>不明</v>
          </cell>
          <cell r="K726" t="str">
            <v>高橋</v>
          </cell>
          <cell r="L726">
            <v>3</v>
          </cell>
          <cell r="M726" t="str">
            <v>MicroMaxx</v>
          </cell>
          <cell r="N726" t="str">
            <v>WK1H80</v>
          </cell>
          <cell r="O726" t="str">
            <v>P14179-03</v>
          </cell>
          <cell r="P726" t="str">
            <v>株式会社 渡辺商会　ﾃｸﾉﾒﾃﾞｨｶﾙ事業部</v>
          </cell>
          <cell r="Q726" t="str">
            <v>才所様</v>
          </cell>
          <cell r="R726" t="str">
            <v>〒830-0047　福岡県久留米市津福本町2348</v>
          </cell>
          <cell r="S726" t="str">
            <v>0942-31-8822</v>
          </cell>
          <cell r="T726" t="str">
            <v>0942-31-8825</v>
          </cell>
          <cell r="U726" t="str">
            <v>久留米大学病院</v>
          </cell>
          <cell r="V726" t="str">
            <v>-</v>
          </cell>
          <cell r="W726" t="str">
            <v>-</v>
          </cell>
          <cell r="X726" t="str">
            <v>0942-35-3311</v>
          </cell>
          <cell r="Y726" t="str">
            <v>〒830-0011 福岡県久留米市旭町67番地</v>
          </cell>
          <cell r="AA726" t="str">
            <v>P18035-01</v>
          </cell>
          <cell r="AB726" t="str">
            <v>P19080-01</v>
          </cell>
          <cell r="AC726" t="str">
            <v/>
          </cell>
          <cell r="AD726" t="str">
            <v/>
          </cell>
          <cell r="AE726" t="str">
            <v/>
          </cell>
          <cell r="AF726" t="str">
            <v/>
          </cell>
          <cell r="AG726" t="str">
            <v/>
          </cell>
          <cell r="AH726" t="str">
            <v/>
          </cell>
          <cell r="AI726" t="str">
            <v/>
          </cell>
          <cell r="AJ726" t="str">
            <v/>
          </cell>
          <cell r="AK726" t="str">
            <v>CONN,RCPT,5 PIN CIRCULAR DIN,SN CONTACTS,SHIELDED,LOW PROFILE,ROHS</v>
          </cell>
          <cell r="AL726" t="str">
            <v xml:space="preserve">BRACKET,DIN CONNECTOR </v>
          </cell>
          <cell r="AM726" t="str">
            <v/>
          </cell>
          <cell r="AN726" t="str">
            <v/>
          </cell>
          <cell r="AO726" t="str">
            <v/>
          </cell>
          <cell r="AP726" t="str">
            <v/>
          </cell>
          <cell r="AQ726" t="str">
            <v/>
          </cell>
          <cell r="AR726" t="str">
            <v/>
          </cell>
          <cell r="AS726" t="str">
            <v/>
          </cell>
          <cell r="AT726" t="str">
            <v/>
          </cell>
          <cell r="AU726">
            <v>41334</v>
          </cell>
        </row>
        <row r="727">
          <cell r="A727" t="str">
            <v>S16-0724</v>
          </cell>
          <cell r="B727" t="str">
            <v>奈良医科大学附属病院_0724</v>
          </cell>
          <cell r="C727" t="e">
            <v>#REF!</v>
          </cell>
          <cell r="D727" t="e">
            <v>#REF!</v>
          </cell>
          <cell r="E727" t="e">
            <v>#REF!</v>
          </cell>
          <cell r="F727" t="e">
            <v>#REF!</v>
          </cell>
          <cell r="G727" t="e">
            <v>#REF!</v>
          </cell>
          <cell r="H727" t="e">
            <v>#REF!</v>
          </cell>
          <cell r="I727" t="e">
            <v>#REF!</v>
          </cell>
          <cell r="K727" t="e">
            <v>#REF!</v>
          </cell>
          <cell r="M727" t="e">
            <v>#REF!</v>
          </cell>
          <cell r="N727" t="e">
            <v>#REF!</v>
          </cell>
          <cell r="O727" t="e">
            <v>#REF!</v>
          </cell>
          <cell r="P727" t="e">
            <v>#REF!</v>
          </cell>
          <cell r="Q727" t="e">
            <v>#REF!</v>
          </cell>
          <cell r="S727" t="e">
            <v>#REF!</v>
          </cell>
          <cell r="T727" t="e">
            <v>#REF!</v>
          </cell>
          <cell r="U727" t="e">
            <v>#REF!</v>
          </cell>
          <cell r="AA727" t="e">
            <v>#REF!</v>
          </cell>
          <cell r="AB727" t="e">
            <v>#REF!</v>
          </cell>
          <cell r="AC727" t="e">
            <v>#REF!</v>
          </cell>
          <cell r="AD727" t="e">
            <v>#REF!</v>
          </cell>
          <cell r="AE727" t="e">
            <v>#REF!</v>
          </cell>
          <cell r="AF727" t="e">
            <v>#REF!</v>
          </cell>
          <cell r="AG727" t="e">
            <v>#REF!</v>
          </cell>
          <cell r="AH727" t="e">
            <v>#REF!</v>
          </cell>
          <cell r="AI727" t="e">
            <v>#REF!</v>
          </cell>
          <cell r="AJ727" t="e">
            <v>#REF!</v>
          </cell>
          <cell r="AK727" t="e">
            <v>#REF!</v>
          </cell>
          <cell r="AL727" t="e">
            <v>#REF!</v>
          </cell>
          <cell r="AM727" t="e">
            <v>#REF!</v>
          </cell>
          <cell r="AN727" t="e">
            <v>#REF!</v>
          </cell>
          <cell r="AO727" t="e">
            <v>#REF!</v>
          </cell>
          <cell r="AP727" t="e">
            <v>#REF!</v>
          </cell>
          <cell r="AQ727" t="e">
            <v>#REF!</v>
          </cell>
          <cell r="AR727" t="e">
            <v>#REF!</v>
          </cell>
          <cell r="AS727" t="e">
            <v>#REF!</v>
          </cell>
          <cell r="AT727" t="e">
            <v>#REF!</v>
          </cell>
          <cell r="AU727" t="e">
            <v>#REF!</v>
          </cell>
        </row>
        <row r="728">
          <cell r="A728" t="str">
            <v>S16-0725</v>
          </cell>
          <cell r="B728" t="str">
            <v>元町形成外科_0725 (2)</v>
          </cell>
          <cell r="C728" t="str">
            <v>SR#4247441</v>
          </cell>
          <cell r="D728" t="str">
            <v>2016/10/18-03</v>
          </cell>
          <cell r="E728" t="str">
            <v>無償</v>
          </cell>
          <cell r="F728">
            <v>42667</v>
          </cell>
          <cell r="G728">
            <v>0</v>
          </cell>
          <cell r="H728">
            <v>42699</v>
          </cell>
          <cell r="I728" t="str">
            <v>不明</v>
          </cell>
          <cell r="K728" t="str">
            <v>高橋</v>
          </cell>
          <cell r="L728">
            <v>3</v>
          </cell>
          <cell r="M728" t="str">
            <v>S-Nerve</v>
          </cell>
          <cell r="N728" t="str">
            <v>03TB43</v>
          </cell>
          <cell r="O728" t="str">
            <v>P12060-10</v>
          </cell>
          <cell r="P728" t="str">
            <v>源川医科器械株式会社　秋田支店</v>
          </cell>
          <cell r="Q728" t="str">
            <v>嵯峨様</v>
          </cell>
          <cell r="R728" t="str">
            <v>〒011-0901　秋田県秋田市寺内字三千刈343-1</v>
          </cell>
          <cell r="S728" t="str">
            <v>018-862-1866</v>
          </cell>
          <cell r="T728" t="str">
            <v>018-865-3788</v>
          </cell>
          <cell r="U728" t="str">
            <v>元町形成外科</v>
          </cell>
          <cell r="V728" t="str">
            <v>橋田院長</v>
          </cell>
          <cell r="W728" t="str">
            <v>-</v>
          </cell>
          <cell r="X728" t="str">
            <v>0188-29-3003</v>
          </cell>
          <cell r="Y728" t="str">
            <v>〒010-1414　秋田県秋田市御所野元町5丁目12-1</v>
          </cell>
          <cell r="AA728" t="str">
            <v>P09135-03</v>
          </cell>
          <cell r="AB728" t="str">
            <v/>
          </cell>
          <cell r="AC728" t="str">
            <v/>
          </cell>
          <cell r="AD728" t="str">
            <v/>
          </cell>
          <cell r="AE728" t="str">
            <v/>
          </cell>
          <cell r="AF728" t="str">
            <v/>
          </cell>
          <cell r="AG728" t="str">
            <v/>
          </cell>
          <cell r="AH728" t="str">
            <v/>
          </cell>
          <cell r="AI728" t="str">
            <v/>
          </cell>
          <cell r="AJ728" t="str">
            <v/>
          </cell>
          <cell r="AK728" t="str">
            <v>SERVICE ASSEMBLY MAIN PCBA, S-SERIES</v>
          </cell>
          <cell r="AL728" t="str">
            <v/>
          </cell>
          <cell r="AM728" t="str">
            <v/>
          </cell>
          <cell r="AN728" t="str">
            <v/>
          </cell>
          <cell r="AO728" t="str">
            <v/>
          </cell>
          <cell r="AP728" t="str">
            <v/>
          </cell>
          <cell r="AQ728" t="str">
            <v/>
          </cell>
          <cell r="AR728" t="str">
            <v/>
          </cell>
          <cell r="AS728" t="str">
            <v/>
          </cell>
          <cell r="AT728" t="str">
            <v/>
          </cell>
          <cell r="AU728">
            <v>41244</v>
          </cell>
        </row>
        <row r="729">
          <cell r="A729" t="str">
            <v>S16-0726</v>
          </cell>
          <cell r="B729" t="str">
            <v>友仁山崎病院_0726</v>
          </cell>
          <cell r="C729" t="e">
            <v>#REF!</v>
          </cell>
          <cell r="D729" t="e">
            <v>#REF!</v>
          </cell>
          <cell r="E729" t="e">
            <v>#REF!</v>
          </cell>
          <cell r="F729" t="e">
            <v>#REF!</v>
          </cell>
          <cell r="G729" t="e">
            <v>#REF!</v>
          </cell>
          <cell r="H729" t="e">
            <v>#REF!</v>
          </cell>
          <cell r="I729" t="e">
            <v>#REF!</v>
          </cell>
          <cell r="K729" t="e">
            <v>#REF!</v>
          </cell>
          <cell r="M729" t="e">
            <v>#REF!</v>
          </cell>
          <cell r="N729" t="e">
            <v>#REF!</v>
          </cell>
          <cell r="O729" t="e">
            <v>#REF!</v>
          </cell>
          <cell r="P729" t="e">
            <v>#REF!</v>
          </cell>
          <cell r="Q729" t="e">
            <v>#REF!</v>
          </cell>
          <cell r="S729" t="e">
            <v>#REF!</v>
          </cell>
          <cell r="T729" t="e">
            <v>#REF!</v>
          </cell>
          <cell r="U729" t="e">
            <v>#REF!</v>
          </cell>
          <cell r="AA729" t="e">
            <v>#REF!</v>
          </cell>
          <cell r="AB729" t="e">
            <v>#REF!</v>
          </cell>
          <cell r="AC729" t="e">
            <v>#REF!</v>
          </cell>
          <cell r="AD729" t="e">
            <v>#REF!</v>
          </cell>
          <cell r="AE729" t="e">
            <v>#REF!</v>
          </cell>
          <cell r="AF729" t="e">
            <v>#REF!</v>
          </cell>
          <cell r="AG729" t="e">
            <v>#REF!</v>
          </cell>
          <cell r="AH729" t="e">
            <v>#REF!</v>
          </cell>
          <cell r="AI729" t="e">
            <v>#REF!</v>
          </cell>
          <cell r="AJ729" t="e">
            <v>#REF!</v>
          </cell>
          <cell r="AK729" t="e">
            <v>#REF!</v>
          </cell>
          <cell r="AL729" t="e">
            <v>#REF!</v>
          </cell>
          <cell r="AM729" t="e">
            <v>#REF!</v>
          </cell>
          <cell r="AN729" t="e">
            <v>#REF!</v>
          </cell>
          <cell r="AO729" t="e">
            <v>#REF!</v>
          </cell>
          <cell r="AP729" t="e">
            <v>#REF!</v>
          </cell>
          <cell r="AQ729" t="e">
            <v>#REF!</v>
          </cell>
          <cell r="AR729" t="e">
            <v>#REF!</v>
          </cell>
          <cell r="AS729" t="e">
            <v>#REF!</v>
          </cell>
          <cell r="AT729" t="e">
            <v>#REF!</v>
          </cell>
          <cell r="AU729" t="e">
            <v>#REF!</v>
          </cell>
        </row>
        <row r="730">
          <cell r="A730" t="str">
            <v>S16-0727</v>
          </cell>
          <cell r="B730" t="str">
            <v>大分大学医学部附属病院_0727</v>
          </cell>
          <cell r="C730" t="e">
            <v>#REF!</v>
          </cell>
          <cell r="D730" t="e">
            <v>#REF!</v>
          </cell>
          <cell r="E730" t="e">
            <v>#REF!</v>
          </cell>
          <cell r="F730" t="e">
            <v>#REF!</v>
          </cell>
          <cell r="G730" t="e">
            <v>#REF!</v>
          </cell>
          <cell r="H730" t="e">
            <v>#REF!</v>
          </cell>
          <cell r="I730" t="e">
            <v>#REF!</v>
          </cell>
          <cell r="K730" t="e">
            <v>#REF!</v>
          </cell>
          <cell r="M730" t="e">
            <v>#REF!</v>
          </cell>
          <cell r="N730" t="e">
            <v>#REF!</v>
          </cell>
          <cell r="O730" t="e">
            <v>#REF!</v>
          </cell>
          <cell r="P730" t="e">
            <v>#REF!</v>
          </cell>
          <cell r="Q730" t="e">
            <v>#REF!</v>
          </cell>
          <cell r="S730" t="e">
            <v>#REF!</v>
          </cell>
          <cell r="T730" t="e">
            <v>#REF!</v>
          </cell>
          <cell r="U730" t="e">
            <v>#REF!</v>
          </cell>
          <cell r="AA730" t="e">
            <v>#REF!</v>
          </cell>
          <cell r="AB730" t="e">
            <v>#REF!</v>
          </cell>
          <cell r="AC730" t="e">
            <v>#REF!</v>
          </cell>
          <cell r="AD730" t="e">
            <v>#REF!</v>
          </cell>
          <cell r="AE730" t="e">
            <v>#REF!</v>
          </cell>
          <cell r="AF730" t="e">
            <v>#REF!</v>
          </cell>
          <cell r="AG730" t="e">
            <v>#REF!</v>
          </cell>
          <cell r="AH730" t="e">
            <v>#REF!</v>
          </cell>
          <cell r="AI730" t="e">
            <v>#REF!</v>
          </cell>
          <cell r="AJ730" t="e">
            <v>#REF!</v>
          </cell>
          <cell r="AK730" t="e">
            <v>#REF!</v>
          </cell>
          <cell r="AL730" t="e">
            <v>#REF!</v>
          </cell>
          <cell r="AM730" t="e">
            <v>#REF!</v>
          </cell>
          <cell r="AN730" t="e">
            <v>#REF!</v>
          </cell>
          <cell r="AO730" t="e">
            <v>#REF!</v>
          </cell>
          <cell r="AP730" t="e">
            <v>#REF!</v>
          </cell>
          <cell r="AQ730" t="e">
            <v>#REF!</v>
          </cell>
          <cell r="AR730" t="e">
            <v>#REF!</v>
          </cell>
          <cell r="AS730" t="e">
            <v>#REF!</v>
          </cell>
          <cell r="AT730" t="e">
            <v>#REF!</v>
          </cell>
          <cell r="AU730" t="e">
            <v>#REF!</v>
          </cell>
        </row>
        <row r="731">
          <cell r="A731" t="str">
            <v>S16-0728</v>
          </cell>
          <cell r="B731" t="str">
            <v>後藤麻酔科クリニック_0728</v>
          </cell>
          <cell r="C731" t="e">
            <v>#REF!</v>
          </cell>
          <cell r="D731" t="e">
            <v>#REF!</v>
          </cell>
          <cell r="E731" t="e">
            <v>#REF!</v>
          </cell>
          <cell r="F731" t="e">
            <v>#REF!</v>
          </cell>
          <cell r="G731" t="e">
            <v>#REF!</v>
          </cell>
          <cell r="H731" t="e">
            <v>#REF!</v>
          </cell>
          <cell r="I731" t="e">
            <v>#REF!</v>
          </cell>
          <cell r="K731" t="e">
            <v>#REF!</v>
          </cell>
          <cell r="M731" t="e">
            <v>#REF!</v>
          </cell>
          <cell r="N731" t="e">
            <v>#REF!</v>
          </cell>
          <cell r="O731" t="e">
            <v>#REF!</v>
          </cell>
          <cell r="P731" t="e">
            <v>#REF!</v>
          </cell>
          <cell r="Q731" t="e">
            <v>#REF!</v>
          </cell>
          <cell r="S731" t="e">
            <v>#REF!</v>
          </cell>
          <cell r="T731" t="e">
            <v>#REF!</v>
          </cell>
          <cell r="U731" t="e">
            <v>#REF!</v>
          </cell>
          <cell r="AA731" t="e">
            <v>#REF!</v>
          </cell>
          <cell r="AB731" t="e">
            <v>#REF!</v>
          </cell>
          <cell r="AC731" t="e">
            <v>#REF!</v>
          </cell>
          <cell r="AD731" t="e">
            <v>#REF!</v>
          </cell>
          <cell r="AE731" t="e">
            <v>#REF!</v>
          </cell>
          <cell r="AF731" t="e">
            <v>#REF!</v>
          </cell>
          <cell r="AG731" t="e">
            <v>#REF!</v>
          </cell>
          <cell r="AH731" t="e">
            <v>#REF!</v>
          </cell>
          <cell r="AI731" t="e">
            <v>#REF!</v>
          </cell>
          <cell r="AJ731" t="e">
            <v>#REF!</v>
          </cell>
          <cell r="AK731" t="e">
            <v>#REF!</v>
          </cell>
          <cell r="AL731" t="e">
            <v>#REF!</v>
          </cell>
          <cell r="AM731" t="e">
            <v>#REF!</v>
          </cell>
          <cell r="AN731" t="e">
            <v>#REF!</v>
          </cell>
          <cell r="AO731" t="e">
            <v>#REF!</v>
          </cell>
          <cell r="AP731" t="e">
            <v>#REF!</v>
          </cell>
          <cell r="AQ731" t="e">
            <v>#REF!</v>
          </cell>
          <cell r="AR731" t="e">
            <v>#REF!</v>
          </cell>
          <cell r="AS731" t="e">
            <v>#REF!</v>
          </cell>
          <cell r="AT731" t="e">
            <v>#REF!</v>
          </cell>
          <cell r="AU731" t="e">
            <v>#REF!</v>
          </cell>
        </row>
        <row r="732">
          <cell r="A732" t="str">
            <v>S16-0729</v>
          </cell>
          <cell r="B732" t="str">
            <v>南町クリニック_0729</v>
          </cell>
          <cell r="C732" t="e">
            <v>#REF!</v>
          </cell>
          <cell r="D732" t="e">
            <v>#REF!</v>
          </cell>
          <cell r="E732" t="e">
            <v>#REF!</v>
          </cell>
          <cell r="F732" t="e">
            <v>#REF!</v>
          </cell>
          <cell r="G732" t="e">
            <v>#REF!</v>
          </cell>
          <cell r="H732" t="e">
            <v>#REF!</v>
          </cell>
          <cell r="I732" t="e">
            <v>#REF!</v>
          </cell>
          <cell r="K732" t="e">
            <v>#REF!</v>
          </cell>
          <cell r="M732" t="e">
            <v>#REF!</v>
          </cell>
          <cell r="N732" t="e">
            <v>#REF!</v>
          </cell>
          <cell r="O732" t="e">
            <v>#REF!</v>
          </cell>
          <cell r="P732" t="e">
            <v>#REF!</v>
          </cell>
          <cell r="Q732" t="e">
            <v>#REF!</v>
          </cell>
          <cell r="R732" t="str">
            <v>〒108-0075  東京都港区港南一丁目2番70号　品川シーズンテラス　22F</v>
          </cell>
          <cell r="S732" t="e">
            <v>#REF!</v>
          </cell>
          <cell r="T732" t="e">
            <v>#REF!</v>
          </cell>
          <cell r="U732" t="e">
            <v>#REF!</v>
          </cell>
          <cell r="AA732" t="e">
            <v>#REF!</v>
          </cell>
          <cell r="AB732" t="e">
            <v>#REF!</v>
          </cell>
          <cell r="AC732" t="e">
            <v>#REF!</v>
          </cell>
          <cell r="AD732" t="e">
            <v>#REF!</v>
          </cell>
          <cell r="AE732" t="e">
            <v>#REF!</v>
          </cell>
          <cell r="AF732" t="e">
            <v>#REF!</v>
          </cell>
          <cell r="AG732" t="e">
            <v>#REF!</v>
          </cell>
          <cell r="AH732" t="e">
            <v>#REF!</v>
          </cell>
          <cell r="AI732" t="e">
            <v>#REF!</v>
          </cell>
          <cell r="AJ732" t="e">
            <v>#REF!</v>
          </cell>
          <cell r="AK732" t="e">
            <v>#REF!</v>
          </cell>
          <cell r="AL732" t="e">
            <v>#REF!</v>
          </cell>
          <cell r="AM732" t="e">
            <v>#REF!</v>
          </cell>
          <cell r="AN732" t="e">
            <v>#REF!</v>
          </cell>
          <cell r="AO732" t="e">
            <v>#REF!</v>
          </cell>
          <cell r="AP732" t="e">
            <v>#REF!</v>
          </cell>
          <cell r="AQ732" t="e">
            <v>#REF!</v>
          </cell>
          <cell r="AR732" t="e">
            <v>#REF!</v>
          </cell>
          <cell r="AS732" t="e">
            <v>#REF!</v>
          </cell>
          <cell r="AT732" t="e">
            <v>#REF!</v>
          </cell>
          <cell r="AU732" t="e">
            <v>#REF!</v>
          </cell>
        </row>
        <row r="733">
          <cell r="A733" t="str">
            <v>S16-0730</v>
          </cell>
          <cell r="B733" t="str">
            <v>安房地域医療センター_0730</v>
          </cell>
          <cell r="C733" t="e">
            <v>#REF!</v>
          </cell>
          <cell r="D733" t="e">
            <v>#REF!</v>
          </cell>
          <cell r="E733" t="e">
            <v>#REF!</v>
          </cell>
          <cell r="F733" t="e">
            <v>#REF!</v>
          </cell>
          <cell r="G733" t="e">
            <v>#REF!</v>
          </cell>
          <cell r="H733" t="e">
            <v>#REF!</v>
          </cell>
          <cell r="I733" t="e">
            <v>#REF!</v>
          </cell>
          <cell r="K733" t="e">
            <v>#REF!</v>
          </cell>
          <cell r="M733" t="e">
            <v>#REF!</v>
          </cell>
          <cell r="N733" t="e">
            <v>#REF!</v>
          </cell>
          <cell r="O733" t="e">
            <v>#REF!</v>
          </cell>
          <cell r="P733" t="e">
            <v>#REF!</v>
          </cell>
          <cell r="Q733" t="e">
            <v>#REF!</v>
          </cell>
          <cell r="S733" t="e">
            <v>#REF!</v>
          </cell>
          <cell r="T733" t="e">
            <v>#REF!</v>
          </cell>
          <cell r="U733" t="e">
            <v>#REF!</v>
          </cell>
          <cell r="AA733" t="e">
            <v>#REF!</v>
          </cell>
          <cell r="AB733" t="e">
            <v>#REF!</v>
          </cell>
          <cell r="AC733" t="e">
            <v>#REF!</v>
          </cell>
          <cell r="AD733" t="e">
            <v>#REF!</v>
          </cell>
          <cell r="AE733" t="e">
            <v>#REF!</v>
          </cell>
          <cell r="AF733" t="e">
            <v>#REF!</v>
          </cell>
          <cell r="AG733" t="e">
            <v>#REF!</v>
          </cell>
          <cell r="AH733" t="e">
            <v>#REF!</v>
          </cell>
          <cell r="AI733" t="e">
            <v>#REF!</v>
          </cell>
          <cell r="AJ733" t="e">
            <v>#REF!</v>
          </cell>
          <cell r="AK733" t="e">
            <v>#REF!</v>
          </cell>
          <cell r="AL733" t="e">
            <v>#REF!</v>
          </cell>
          <cell r="AM733" t="e">
            <v>#REF!</v>
          </cell>
          <cell r="AN733" t="e">
            <v>#REF!</v>
          </cell>
          <cell r="AO733" t="e">
            <v>#REF!</v>
          </cell>
          <cell r="AP733" t="e">
            <v>#REF!</v>
          </cell>
          <cell r="AQ733" t="e">
            <v>#REF!</v>
          </cell>
          <cell r="AR733" t="e">
            <v>#REF!</v>
          </cell>
          <cell r="AS733" t="e">
            <v>#REF!</v>
          </cell>
          <cell r="AT733" t="e">
            <v>#REF!</v>
          </cell>
          <cell r="AU733" t="e">
            <v>#REF!</v>
          </cell>
        </row>
        <row r="734">
          <cell r="A734" t="str">
            <v>S16-0731</v>
          </cell>
          <cell r="B734" t="str">
            <v>多摩総合医療センター_0731 (2)</v>
          </cell>
          <cell r="C734" t="str">
            <v>SR#不要</v>
          </cell>
          <cell r="D734" t="str">
            <v>-</v>
          </cell>
          <cell r="E734" t="str">
            <v xml:space="preserve"> </v>
          </cell>
          <cell r="F734">
            <v>42669</v>
          </cell>
          <cell r="G734">
            <v>0</v>
          </cell>
          <cell r="H734">
            <v>42683</v>
          </cell>
          <cell r="I734" t="str">
            <v>不明</v>
          </cell>
          <cell r="K734" t="str">
            <v>-</v>
          </cell>
          <cell r="L734" t="str">
            <v>-</v>
          </cell>
          <cell r="M734" t="str">
            <v>iLook25</v>
          </cell>
          <cell r="N734" t="str">
            <v>03359F</v>
          </cell>
          <cell r="O734" t="str">
            <v>P04303-01</v>
          </cell>
          <cell r="P734" t="str">
            <v>日本コヴィディエン株式会社　東京第二営業所</v>
          </cell>
          <cell r="Q734" t="str">
            <v>野間様</v>
          </cell>
          <cell r="R734" t="str">
            <v>〒108-0075  東京都港区港南一丁目2番70号　品川シーズンテラス　22F</v>
          </cell>
          <cell r="S734" t="str">
            <v>03-6774-4629</v>
          </cell>
          <cell r="T734" t="str">
            <v>03-6774-4740</v>
          </cell>
          <cell r="U734" t="str">
            <v>東京都立多摩総合医療センター</v>
          </cell>
          <cell r="V734" t="str">
            <v>-</v>
          </cell>
          <cell r="W734" t="str">
            <v>-</v>
          </cell>
          <cell r="X734" t="str">
            <v>042-323-5111</v>
          </cell>
          <cell r="Y734" t="str">
            <v>〒183－8524 東京都府中市武蔵台2-8-29</v>
          </cell>
          <cell r="AA734" t="str">
            <v/>
          </cell>
          <cell r="AB734" t="str">
            <v/>
          </cell>
          <cell r="AC734" t="str">
            <v/>
          </cell>
          <cell r="AD734" t="str">
            <v/>
          </cell>
          <cell r="AE734" t="str">
            <v/>
          </cell>
          <cell r="AF734" t="str">
            <v/>
          </cell>
          <cell r="AG734" t="str">
            <v/>
          </cell>
          <cell r="AH734" t="str">
            <v/>
          </cell>
          <cell r="AI734" t="str">
            <v/>
          </cell>
          <cell r="AJ734" t="str">
            <v/>
          </cell>
          <cell r="AK734" t="str">
            <v/>
          </cell>
          <cell r="AL734" t="str">
            <v/>
          </cell>
          <cell r="AM734" t="str">
            <v/>
          </cell>
          <cell r="AN734" t="str">
            <v/>
          </cell>
          <cell r="AO734" t="str">
            <v/>
          </cell>
          <cell r="AP734" t="str">
            <v/>
          </cell>
          <cell r="AQ734" t="str">
            <v/>
          </cell>
          <cell r="AR734" t="str">
            <v/>
          </cell>
          <cell r="AS734" t="str">
            <v/>
          </cell>
          <cell r="AT734" t="str">
            <v/>
          </cell>
          <cell r="AU734">
            <v>38292</v>
          </cell>
        </row>
        <row r="735">
          <cell r="A735" t="str">
            <v>S16-0732</v>
          </cell>
          <cell r="B735" t="str">
            <v>にへいなかよしクリニック_0732</v>
          </cell>
          <cell r="C735" t="e">
            <v>#REF!</v>
          </cell>
          <cell r="D735" t="e">
            <v>#REF!</v>
          </cell>
          <cell r="E735" t="e">
            <v>#REF!</v>
          </cell>
          <cell r="F735" t="e">
            <v>#REF!</v>
          </cell>
          <cell r="G735" t="e">
            <v>#REF!</v>
          </cell>
          <cell r="H735" t="e">
            <v>#REF!</v>
          </cell>
          <cell r="I735" t="e">
            <v>#REF!</v>
          </cell>
          <cell r="K735" t="e">
            <v>#REF!</v>
          </cell>
          <cell r="M735" t="e">
            <v>#REF!</v>
          </cell>
          <cell r="N735" t="e">
            <v>#REF!</v>
          </cell>
          <cell r="O735" t="e">
            <v>#REF!</v>
          </cell>
          <cell r="P735" t="e">
            <v>#REF!</v>
          </cell>
          <cell r="Q735" t="e">
            <v>#REF!</v>
          </cell>
          <cell r="R735" t="str">
            <v>〒108-0075  東京都港区港南一丁目2番70号　品川シーズンテラス　22F</v>
          </cell>
          <cell r="S735" t="e">
            <v>#REF!</v>
          </cell>
          <cell r="T735" t="e">
            <v>#REF!</v>
          </cell>
          <cell r="U735" t="e">
            <v>#REF!</v>
          </cell>
          <cell r="AA735" t="e">
            <v>#REF!</v>
          </cell>
          <cell r="AB735" t="e">
            <v>#REF!</v>
          </cell>
          <cell r="AC735" t="e">
            <v>#REF!</v>
          </cell>
          <cell r="AD735" t="e">
            <v>#REF!</v>
          </cell>
          <cell r="AE735" t="e">
            <v>#REF!</v>
          </cell>
          <cell r="AF735" t="e">
            <v>#REF!</v>
          </cell>
          <cell r="AG735" t="e">
            <v>#REF!</v>
          </cell>
          <cell r="AH735" t="e">
            <v>#REF!</v>
          </cell>
          <cell r="AI735" t="e">
            <v>#REF!</v>
          </cell>
          <cell r="AJ735" t="e">
            <v>#REF!</v>
          </cell>
          <cell r="AK735" t="e">
            <v>#REF!</v>
          </cell>
          <cell r="AL735" t="e">
            <v>#REF!</v>
          </cell>
          <cell r="AM735" t="e">
            <v>#REF!</v>
          </cell>
          <cell r="AN735" t="e">
            <v>#REF!</v>
          </cell>
          <cell r="AO735" t="e">
            <v>#REF!</v>
          </cell>
          <cell r="AP735" t="e">
            <v>#REF!</v>
          </cell>
          <cell r="AQ735" t="e">
            <v>#REF!</v>
          </cell>
          <cell r="AR735" t="e">
            <v>#REF!</v>
          </cell>
          <cell r="AS735" t="e">
            <v>#REF!</v>
          </cell>
          <cell r="AT735" t="e">
            <v>#REF!</v>
          </cell>
          <cell r="AU735" t="e">
            <v>#REF!</v>
          </cell>
        </row>
        <row r="736">
          <cell r="A736" t="str">
            <v>S16-0733</v>
          </cell>
          <cell r="B736" t="str">
            <v>島根大学医学部附属病院_0733 (2)</v>
          </cell>
          <cell r="C736" t="str">
            <v>SR#不要</v>
          </cell>
          <cell r="D736" t="str">
            <v>2016/10/18-11</v>
          </cell>
          <cell r="E736" t="str">
            <v>有償</v>
          </cell>
          <cell r="F736">
            <v>42669</v>
          </cell>
          <cell r="G736">
            <v>0</v>
          </cell>
          <cell r="H736">
            <v>42684</v>
          </cell>
          <cell r="I736" t="str">
            <v>不明</v>
          </cell>
          <cell r="K736" t="str">
            <v>高橋</v>
          </cell>
          <cell r="L736" t="str">
            <v>-</v>
          </cell>
          <cell r="M736" t="str">
            <v>C60x/5-2</v>
          </cell>
          <cell r="N736" t="str">
            <v>03DMD9</v>
          </cell>
          <cell r="O736" t="str">
            <v>P09149-04</v>
          </cell>
          <cell r="P736" t="str">
            <v>ティーエスアルフレッサ株式会社 出雲支店</v>
          </cell>
          <cell r="Q736" t="str">
            <v>赤塚様</v>
          </cell>
          <cell r="R736" t="str">
            <v>〒693-0054 島根県出雲市浜町218番地1</v>
          </cell>
          <cell r="S736" t="str">
            <v>0853-22-7700</v>
          </cell>
          <cell r="T736" t="str">
            <v>0853-22-0234</v>
          </cell>
          <cell r="U736" t="str">
            <v>島根大学医学部附属病院 手術部</v>
          </cell>
          <cell r="V736" t="str">
            <v>-</v>
          </cell>
          <cell r="W736" t="str">
            <v>手術室</v>
          </cell>
          <cell r="X736" t="str">
            <v>0853-23-2111</v>
          </cell>
          <cell r="Y736" t="str">
            <v>〒693-8501 島根県出雲市塩冶町89-1</v>
          </cell>
          <cell r="AA736" t="str">
            <v/>
          </cell>
          <cell r="AB736" t="str">
            <v/>
          </cell>
          <cell r="AC736" t="str">
            <v/>
          </cell>
          <cell r="AD736" t="str">
            <v/>
          </cell>
          <cell r="AE736" t="str">
            <v/>
          </cell>
          <cell r="AF736" t="str">
            <v/>
          </cell>
          <cell r="AG736" t="str">
            <v/>
          </cell>
          <cell r="AH736" t="str">
            <v/>
          </cell>
          <cell r="AI736" t="str">
            <v/>
          </cell>
          <cell r="AJ736" t="str">
            <v/>
          </cell>
          <cell r="AK736" t="str">
            <v/>
          </cell>
          <cell r="AL736" t="str">
            <v/>
          </cell>
          <cell r="AM736" t="str">
            <v/>
          </cell>
          <cell r="AN736" t="str">
            <v/>
          </cell>
          <cell r="AO736" t="str">
            <v/>
          </cell>
          <cell r="AP736" t="str">
            <v/>
          </cell>
          <cell r="AQ736" t="str">
            <v/>
          </cell>
          <cell r="AR736" t="str">
            <v/>
          </cell>
          <cell r="AS736" t="str">
            <v/>
          </cell>
          <cell r="AT736" t="str">
            <v/>
          </cell>
          <cell r="AU736">
            <v>39753</v>
          </cell>
        </row>
        <row r="737">
          <cell r="A737" t="str">
            <v>S16-0734</v>
          </cell>
          <cell r="B737" t="str">
            <v>倉敷中央病院_0734 (2)</v>
          </cell>
          <cell r="C737" t="str">
            <v>SR#不要</v>
          </cell>
          <cell r="D737" t="str">
            <v>2016/10/11-03</v>
          </cell>
          <cell r="E737" t="str">
            <v>有償</v>
          </cell>
          <cell r="F737">
            <v>42669</v>
          </cell>
          <cell r="G737">
            <v>0</v>
          </cell>
          <cell r="H737">
            <v>42702</v>
          </cell>
          <cell r="I737" t="str">
            <v>不明</v>
          </cell>
          <cell r="K737" t="str">
            <v>高橋</v>
          </cell>
          <cell r="L737">
            <v>3</v>
          </cell>
          <cell r="M737" t="str">
            <v>UP-897MD</v>
          </cell>
          <cell r="N737" t="str">
            <v>34158</v>
          </cell>
          <cell r="O737" t="str">
            <v>-</v>
          </cell>
          <cell r="P737" t="str">
            <v>株式会社カワニシ 倉敷サービスセンター</v>
          </cell>
          <cell r="Q737" t="str">
            <v>岩見様</v>
          </cell>
          <cell r="R737" t="str">
            <v>〒710-0047　岡山県倉敷市大島501-1</v>
          </cell>
          <cell r="S737" t="str">
            <v>086-423-6101</v>
          </cell>
          <cell r="T737" t="str">
            <v>086-423-6103</v>
          </cell>
          <cell r="U737" t="str">
            <v>倉敷中央病院 臨床工学部</v>
          </cell>
          <cell r="V737" t="str">
            <v>CE 岡様</v>
          </cell>
          <cell r="W737" t="str">
            <v>臨床工学部</v>
          </cell>
          <cell r="X737" t="str">
            <v xml:space="preserve">086-422-0210  </v>
          </cell>
          <cell r="Y737" t="str">
            <v>〒710-8602　岡山県倉敷市美和1-1-1</v>
          </cell>
          <cell r="AA737" t="str">
            <v>147435011</v>
          </cell>
          <cell r="AB737" t="str">
            <v>385776202</v>
          </cell>
          <cell r="AC737" t="str">
            <v/>
          </cell>
          <cell r="AD737" t="str">
            <v/>
          </cell>
          <cell r="AE737" t="str">
            <v/>
          </cell>
          <cell r="AF737" t="str">
            <v/>
          </cell>
          <cell r="AG737" t="str">
            <v/>
          </cell>
          <cell r="AH737" t="str">
            <v/>
          </cell>
          <cell r="AI737" t="str">
            <v/>
          </cell>
          <cell r="AJ737" t="str">
            <v/>
          </cell>
          <cell r="AK737" t="str">
            <v>スイッチングれグレーﾀｰ</v>
          </cell>
          <cell r="AL737" t="str">
            <v>プラテンローラー</v>
          </cell>
          <cell r="AM737" t="str">
            <v/>
          </cell>
          <cell r="AN737" t="str">
            <v/>
          </cell>
          <cell r="AO737" t="str">
            <v/>
          </cell>
          <cell r="AP737" t="str">
            <v/>
          </cell>
          <cell r="AQ737" t="str">
            <v/>
          </cell>
          <cell r="AR737" t="str">
            <v/>
          </cell>
          <cell r="AS737" t="str">
            <v/>
          </cell>
          <cell r="AT737" t="str">
            <v/>
          </cell>
          <cell r="AU737" t="str">
            <v>-</v>
          </cell>
        </row>
        <row r="738">
          <cell r="A738" t="str">
            <v>S16-0735</v>
          </cell>
          <cell r="B738" t="str">
            <v>福山市民病院_0735 (2)</v>
          </cell>
          <cell r="C738" t="str">
            <v>SR#4245117</v>
          </cell>
          <cell r="D738" t="str">
            <v>2016/10/17-07</v>
          </cell>
          <cell r="E738" t="str">
            <v>無償</v>
          </cell>
          <cell r="F738">
            <v>42669</v>
          </cell>
          <cell r="G738">
            <v>0</v>
          </cell>
          <cell r="H738">
            <v>42704</v>
          </cell>
          <cell r="I738" t="str">
            <v>不明</v>
          </cell>
          <cell r="K738">
            <v>0</v>
          </cell>
          <cell r="M738" t="str">
            <v>M-Turbo</v>
          </cell>
          <cell r="N738" t="str">
            <v>WK2CWR</v>
          </cell>
          <cell r="O738" t="str">
            <v>P09141-28</v>
          </cell>
          <cell r="P738" t="str">
            <v>共和医理器株式会社　福山支店</v>
          </cell>
          <cell r="Q738" t="str">
            <v>伊藤様</v>
          </cell>
          <cell r="S738" t="str">
            <v>084-924-3108</v>
          </cell>
          <cell r="T738" t="str">
            <v>084-924-3749</v>
          </cell>
          <cell r="U738" t="str">
            <v>福山市民病院</v>
          </cell>
          <cell r="AA738" t="str">
            <v>P19910-01N</v>
          </cell>
          <cell r="AB738" t="str">
            <v/>
          </cell>
          <cell r="AC738" t="str">
            <v/>
          </cell>
          <cell r="AD738" t="str">
            <v/>
          </cell>
          <cell r="AE738" t="str">
            <v/>
          </cell>
          <cell r="AF738" t="str">
            <v/>
          </cell>
          <cell r="AG738" t="str">
            <v/>
          </cell>
          <cell r="AH738" t="str">
            <v/>
          </cell>
          <cell r="AI738" t="str">
            <v/>
          </cell>
          <cell r="AJ738" t="str">
            <v/>
          </cell>
          <cell r="AK738" t="str">
            <v>MAIN PCBA, M-Turbo</v>
          </cell>
          <cell r="AL738" t="str">
            <v/>
          </cell>
          <cell r="AM738" t="str">
            <v/>
          </cell>
          <cell r="AN738" t="str">
            <v/>
          </cell>
          <cell r="AO738" t="str">
            <v/>
          </cell>
          <cell r="AP738" t="str">
            <v/>
          </cell>
          <cell r="AQ738" t="str">
            <v/>
          </cell>
          <cell r="AR738" t="str">
            <v/>
          </cell>
          <cell r="AS738" t="str">
            <v/>
          </cell>
          <cell r="AT738" t="str">
            <v/>
          </cell>
          <cell r="AU738">
            <v>41791</v>
          </cell>
        </row>
        <row r="739">
          <cell r="A739" t="str">
            <v>S16-0736</v>
          </cell>
          <cell r="B739" t="str">
            <v>市立島田市民病院_0736 (2)</v>
          </cell>
          <cell r="C739" t="str">
            <v>SR#4247447</v>
          </cell>
          <cell r="D739" t="str">
            <v>2016/10/26-02</v>
          </cell>
          <cell r="E739" t="str">
            <v xml:space="preserve"> </v>
          </cell>
          <cell r="F739">
            <v>42670</v>
          </cell>
          <cell r="G739">
            <v>0</v>
          </cell>
          <cell r="H739">
            <v>42696</v>
          </cell>
          <cell r="I739" t="str">
            <v>2016年3月31日納品</v>
          </cell>
          <cell r="K739" t="str">
            <v>高橋</v>
          </cell>
          <cell r="L739">
            <v>3</v>
          </cell>
          <cell r="M739" t="str">
            <v>X-Porte</v>
          </cell>
          <cell r="N739" t="str">
            <v>043L67</v>
          </cell>
          <cell r="O739" t="str">
            <v>P19320-51</v>
          </cell>
          <cell r="P739" t="str">
            <v>富士フイルムメディカル株式会社</v>
          </cell>
          <cell r="Q739" t="str">
            <v>風間様</v>
          </cell>
          <cell r="R739" t="str">
            <v>〒420-0804　静岡県静岡市葵区竜南1-17-17</v>
          </cell>
          <cell r="S739" t="str">
            <v>054-247-7251</v>
          </cell>
          <cell r="T739" t="str">
            <v>054-247-5957</v>
          </cell>
          <cell r="U739" t="str">
            <v xml:space="preserve">市立島田市民病院 </v>
          </cell>
          <cell r="V739" t="str">
            <v>-</v>
          </cell>
          <cell r="W739" t="str">
            <v>-</v>
          </cell>
          <cell r="X739" t="str">
            <v>0547-35－2111</v>
          </cell>
          <cell r="Y739" t="str">
            <v>〒427-8502 静岡県島田市野田1200番地の5</v>
          </cell>
          <cell r="AA739" t="str">
            <v>P14027-01N</v>
          </cell>
          <cell r="AB739" t="str">
            <v/>
          </cell>
          <cell r="AC739" t="str">
            <v/>
          </cell>
          <cell r="AD739" t="str">
            <v/>
          </cell>
          <cell r="AE739" t="str">
            <v/>
          </cell>
          <cell r="AF739" t="str">
            <v/>
          </cell>
          <cell r="AG739" t="str">
            <v/>
          </cell>
          <cell r="AH739" t="str">
            <v/>
          </cell>
          <cell r="AI739" t="str">
            <v/>
          </cell>
          <cell r="AJ739" t="str">
            <v/>
          </cell>
          <cell r="AK739" t="str">
            <v>CONTROL PANEL, X-PORTE</v>
          </cell>
          <cell r="AL739" t="str">
            <v/>
          </cell>
          <cell r="AM739" t="str">
            <v/>
          </cell>
          <cell r="AN739" t="str">
            <v/>
          </cell>
          <cell r="AO739" t="str">
            <v/>
          </cell>
          <cell r="AP739" t="str">
            <v/>
          </cell>
          <cell r="AQ739" t="str">
            <v/>
          </cell>
          <cell r="AR739" t="str">
            <v/>
          </cell>
          <cell r="AS739" t="str">
            <v/>
          </cell>
          <cell r="AT739" t="str">
            <v/>
          </cell>
          <cell r="AU739">
            <v>42430</v>
          </cell>
        </row>
        <row r="740">
          <cell r="A740" t="str">
            <v>S16-0737</v>
          </cell>
          <cell r="B740" t="str">
            <v>市立札幌病院_0737</v>
          </cell>
          <cell r="C740" t="e">
            <v>#REF!</v>
          </cell>
          <cell r="D740" t="e">
            <v>#REF!</v>
          </cell>
          <cell r="E740" t="e">
            <v>#REF!</v>
          </cell>
          <cell r="F740" t="e">
            <v>#REF!</v>
          </cell>
          <cell r="G740" t="e">
            <v>#REF!</v>
          </cell>
          <cell r="H740" t="e">
            <v>#REF!</v>
          </cell>
          <cell r="I740" t="e">
            <v>#REF!</v>
          </cell>
          <cell r="K740" t="e">
            <v>#REF!</v>
          </cell>
          <cell r="M740" t="e">
            <v>#REF!</v>
          </cell>
          <cell r="N740" t="e">
            <v>#REF!</v>
          </cell>
          <cell r="O740" t="e">
            <v>#REF!</v>
          </cell>
          <cell r="P740" t="e">
            <v>#REF!</v>
          </cell>
          <cell r="Q740" t="e">
            <v>#REF!</v>
          </cell>
          <cell r="S740" t="e">
            <v>#REF!</v>
          </cell>
          <cell r="T740" t="e">
            <v>#REF!</v>
          </cell>
          <cell r="U740" t="e">
            <v>#REF!</v>
          </cell>
          <cell r="AA740" t="e">
            <v>#REF!</v>
          </cell>
          <cell r="AB740" t="e">
            <v>#REF!</v>
          </cell>
          <cell r="AC740" t="e">
            <v>#REF!</v>
          </cell>
          <cell r="AD740" t="e">
            <v>#REF!</v>
          </cell>
          <cell r="AE740" t="e">
            <v>#REF!</v>
          </cell>
          <cell r="AF740" t="e">
            <v>#REF!</v>
          </cell>
          <cell r="AG740" t="e">
            <v>#REF!</v>
          </cell>
          <cell r="AH740" t="e">
            <v>#REF!</v>
          </cell>
          <cell r="AI740" t="e">
            <v>#REF!</v>
          </cell>
          <cell r="AJ740" t="e">
            <v>#REF!</v>
          </cell>
          <cell r="AK740" t="e">
            <v>#REF!</v>
          </cell>
          <cell r="AL740" t="e">
            <v>#REF!</v>
          </cell>
          <cell r="AM740" t="e">
            <v>#REF!</v>
          </cell>
          <cell r="AN740" t="e">
            <v>#REF!</v>
          </cell>
          <cell r="AO740" t="e">
            <v>#REF!</v>
          </cell>
          <cell r="AP740" t="e">
            <v>#REF!</v>
          </cell>
          <cell r="AQ740" t="e">
            <v>#REF!</v>
          </cell>
          <cell r="AR740" t="e">
            <v>#REF!</v>
          </cell>
          <cell r="AS740" t="e">
            <v>#REF!</v>
          </cell>
          <cell r="AT740" t="e">
            <v>#REF!</v>
          </cell>
          <cell r="AU740" t="e">
            <v>#REF!</v>
          </cell>
        </row>
        <row r="741">
          <cell r="A741" t="str">
            <v>S16-0738</v>
          </cell>
          <cell r="B741" t="str">
            <v>母子保険総合医療センター_0738 (2)</v>
          </cell>
          <cell r="C741" t="str">
            <v>SR#</v>
          </cell>
          <cell r="D741" t="str">
            <v>2016/10/14-05</v>
          </cell>
          <cell r="E741" t="str">
            <v>有償</v>
          </cell>
          <cell r="F741">
            <v>42670</v>
          </cell>
          <cell r="G741">
            <v>0</v>
          </cell>
          <cell r="H741">
            <v>42695</v>
          </cell>
          <cell r="I741" t="str">
            <v>不明</v>
          </cell>
          <cell r="K741" t="str">
            <v>高橋</v>
          </cell>
          <cell r="L741">
            <v>3</v>
          </cell>
          <cell r="M741" t="str">
            <v>Triple Transducer Connect</v>
          </cell>
          <cell r="N741" t="str">
            <v>WK1GL3</v>
          </cell>
          <cell r="O741" t="str">
            <v>P16588-01</v>
          </cell>
          <cell r="P741" t="str">
            <v>小西医療器株式会社</v>
          </cell>
          <cell r="Q741" t="str">
            <v>東野様</v>
          </cell>
          <cell r="R741" t="str">
            <v>〒540-0038 大阪府大阪市中央区内淡路町2丁目1番5号</v>
          </cell>
          <cell r="S741" t="str">
            <v>06-6941-1363</v>
          </cell>
          <cell r="T741" t="str">
            <v>06-6944-0198</v>
          </cell>
          <cell r="U741" t="str">
            <v>大阪府立母子保健総合医療センター　ICU</v>
          </cell>
          <cell r="V741" t="str">
            <v>清水様</v>
          </cell>
          <cell r="W741" t="str">
            <v>ICU</v>
          </cell>
          <cell r="X741" t="str">
            <v>0725-56-1220</v>
          </cell>
          <cell r="Y741" t="str">
            <v>〒594-1101 大阪府和泉市室堂町840</v>
          </cell>
          <cell r="AA741" t="str">
            <v>P03902-10</v>
          </cell>
          <cell r="AB741" t="str">
            <v/>
          </cell>
          <cell r="AC741" t="str">
            <v/>
          </cell>
          <cell r="AD741" t="str">
            <v/>
          </cell>
          <cell r="AE741" t="str">
            <v/>
          </cell>
          <cell r="AF741" t="str">
            <v/>
          </cell>
          <cell r="AG741" t="str">
            <v/>
          </cell>
          <cell r="AH741" t="str">
            <v/>
          </cell>
          <cell r="AI741" t="str">
            <v/>
          </cell>
          <cell r="AJ741" t="str">
            <v/>
          </cell>
          <cell r="AK741" t="str">
            <v>ASSEMBLY, TOP ENCLOSURE, TRANSDUCER SELECT MODULE</v>
          </cell>
          <cell r="AL741" t="str">
            <v/>
          </cell>
          <cell r="AM741" t="str">
            <v/>
          </cell>
          <cell r="AN741" t="str">
            <v/>
          </cell>
          <cell r="AO741" t="str">
            <v/>
          </cell>
          <cell r="AP741" t="str">
            <v/>
          </cell>
          <cell r="AQ741" t="str">
            <v/>
          </cell>
          <cell r="AR741" t="str">
            <v/>
          </cell>
          <cell r="AS741" t="str">
            <v/>
          </cell>
          <cell r="AT741" t="str">
            <v/>
          </cell>
          <cell r="AU741">
            <v>41214</v>
          </cell>
        </row>
        <row r="742">
          <cell r="A742" t="str">
            <v>S16-0739</v>
          </cell>
          <cell r="B742" t="str">
            <v>手稲渓仁会病院_0739 (2)</v>
          </cell>
          <cell r="C742" t="str">
            <v>SR#不要</v>
          </cell>
          <cell r="D742" t="str">
            <v>2016/10/24-03</v>
          </cell>
          <cell r="E742" t="str">
            <v xml:space="preserve"> </v>
          </cell>
          <cell r="F742">
            <v>42670</v>
          </cell>
          <cell r="G742">
            <v>0</v>
          </cell>
          <cell r="H742">
            <v>42688</v>
          </cell>
          <cell r="I742" t="str">
            <v>不明</v>
          </cell>
          <cell r="K742" t="str">
            <v>高橋</v>
          </cell>
          <cell r="L742" t="str">
            <v>-</v>
          </cell>
          <cell r="M742" t="str">
            <v>iLook15</v>
          </cell>
          <cell r="N742" t="str">
            <v>033Y5Y</v>
          </cell>
          <cell r="O742" t="str">
            <v>P04628-02</v>
          </cell>
          <cell r="P742" t="str">
            <v>株式会社マック　手稲支店</v>
          </cell>
          <cell r="Q742" t="str">
            <v>吉村様</v>
          </cell>
          <cell r="R742" t="str">
            <v>〒006-0811 北海道札幌市手稲区前田1条12丁目1番22号 西通BLD201</v>
          </cell>
          <cell r="S742" t="str">
            <v>011-699-7210</v>
          </cell>
          <cell r="T742" t="str">
            <v>011-699-7211</v>
          </cell>
          <cell r="U742" t="str">
            <v>手稲渓仁会病院</v>
          </cell>
          <cell r="V742" t="str">
            <v>-</v>
          </cell>
          <cell r="W742" t="str">
            <v>-</v>
          </cell>
          <cell r="X742" t="str">
            <v>011-681-8111</v>
          </cell>
          <cell r="Y742" t="str">
            <v>〒006-8555 札幌市手稲区前田1条12丁目1-40</v>
          </cell>
          <cell r="AA742" t="str">
            <v/>
          </cell>
          <cell r="AB742" t="str">
            <v/>
          </cell>
          <cell r="AC742" t="str">
            <v/>
          </cell>
          <cell r="AD742" t="str">
            <v/>
          </cell>
          <cell r="AE742" t="str">
            <v/>
          </cell>
          <cell r="AF742" t="str">
            <v/>
          </cell>
          <cell r="AG742" t="str">
            <v/>
          </cell>
          <cell r="AH742" t="str">
            <v/>
          </cell>
          <cell r="AI742" t="str">
            <v/>
          </cell>
          <cell r="AJ742" t="str">
            <v/>
          </cell>
          <cell r="AK742" t="str">
            <v/>
          </cell>
          <cell r="AL742" t="str">
            <v/>
          </cell>
          <cell r="AM742" t="str">
            <v/>
          </cell>
          <cell r="AN742" t="str">
            <v/>
          </cell>
          <cell r="AO742" t="str">
            <v/>
          </cell>
          <cell r="AP742" t="str">
            <v/>
          </cell>
          <cell r="AQ742" t="str">
            <v/>
          </cell>
          <cell r="AR742" t="str">
            <v/>
          </cell>
          <cell r="AS742" t="str">
            <v/>
          </cell>
          <cell r="AT742" t="str">
            <v/>
          </cell>
          <cell r="AU742">
            <v>38384</v>
          </cell>
        </row>
        <row r="743">
          <cell r="A743" t="str">
            <v>S16-0740</v>
          </cell>
          <cell r="B743" t="str">
            <v>大野内科_0740</v>
          </cell>
          <cell r="C743" t="e">
            <v>#REF!</v>
          </cell>
          <cell r="D743" t="e">
            <v>#REF!</v>
          </cell>
          <cell r="E743" t="e">
            <v>#REF!</v>
          </cell>
          <cell r="F743" t="e">
            <v>#REF!</v>
          </cell>
          <cell r="G743" t="e">
            <v>#REF!</v>
          </cell>
          <cell r="H743" t="e">
            <v>#REF!</v>
          </cell>
          <cell r="I743" t="e">
            <v>#REF!</v>
          </cell>
          <cell r="K743" t="str">
            <v>高橋</v>
          </cell>
          <cell r="L743">
            <v>3</v>
          </cell>
          <cell r="M743" t="e">
            <v>#REF!</v>
          </cell>
          <cell r="N743" t="e">
            <v>#REF!</v>
          </cell>
          <cell r="O743" t="e">
            <v>#REF!</v>
          </cell>
          <cell r="P743" t="e">
            <v>#REF!</v>
          </cell>
          <cell r="Q743" t="e">
            <v>#REF!</v>
          </cell>
          <cell r="R743" t="str">
            <v>〒798-0068　愛媛県宇和島市明倫町2-2-31</v>
          </cell>
          <cell r="S743" t="e">
            <v>#REF!</v>
          </cell>
          <cell r="T743" t="e">
            <v>#REF!</v>
          </cell>
          <cell r="U743" t="e">
            <v>#REF!</v>
          </cell>
          <cell r="V743" t="str">
            <v>院長</v>
          </cell>
          <cell r="W743" t="str">
            <v>-</v>
          </cell>
          <cell r="X743" t="str">
            <v>0895-45-0141</v>
          </cell>
          <cell r="Y743" t="str">
            <v>〒798-1344　愛媛県北宇和郡鬼北町近永618</v>
          </cell>
          <cell r="AA743" t="e">
            <v>#REF!</v>
          </cell>
          <cell r="AB743" t="e">
            <v>#REF!</v>
          </cell>
          <cell r="AC743" t="e">
            <v>#REF!</v>
          </cell>
          <cell r="AD743" t="e">
            <v>#REF!</v>
          </cell>
          <cell r="AE743" t="e">
            <v>#REF!</v>
          </cell>
          <cell r="AF743" t="e">
            <v>#REF!</v>
          </cell>
          <cell r="AG743" t="e">
            <v>#REF!</v>
          </cell>
          <cell r="AH743" t="e">
            <v>#REF!</v>
          </cell>
          <cell r="AI743" t="e">
            <v>#REF!</v>
          </cell>
          <cell r="AJ743" t="e">
            <v>#REF!</v>
          </cell>
          <cell r="AK743" t="e">
            <v>#REF!</v>
          </cell>
          <cell r="AL743" t="e">
            <v>#REF!</v>
          </cell>
          <cell r="AM743" t="e">
            <v>#REF!</v>
          </cell>
          <cell r="AN743" t="e">
            <v>#REF!</v>
          </cell>
          <cell r="AO743" t="e">
            <v>#REF!</v>
          </cell>
          <cell r="AP743" t="e">
            <v>#REF!</v>
          </cell>
          <cell r="AQ743" t="e">
            <v>#REF!</v>
          </cell>
          <cell r="AR743" t="e">
            <v>#REF!</v>
          </cell>
          <cell r="AS743" t="e">
            <v>#REF!</v>
          </cell>
          <cell r="AT743" t="e">
            <v>#REF!</v>
          </cell>
          <cell r="AU743" t="e">
            <v>#REF!</v>
          </cell>
        </row>
        <row r="744">
          <cell r="A744" t="str">
            <v>S16-0741</v>
          </cell>
          <cell r="B744" t="str">
            <v>大分県立病院_0741 (2)</v>
          </cell>
          <cell r="C744" t="str">
            <v>SR#不要</v>
          </cell>
          <cell r="D744" t="str">
            <v>2016/10/25-02</v>
          </cell>
          <cell r="E744" t="str">
            <v>有償</v>
          </cell>
          <cell r="F744">
            <v>42670</v>
          </cell>
          <cell r="G744">
            <v>0</v>
          </cell>
          <cell r="H744">
            <v>42691</v>
          </cell>
          <cell r="I744" t="str">
            <v>不明</v>
          </cell>
          <cell r="K744" t="str">
            <v>-</v>
          </cell>
          <cell r="L744" t="str">
            <v>-</v>
          </cell>
          <cell r="M744" t="str">
            <v>180Plus</v>
          </cell>
          <cell r="N744" t="str">
            <v>03DX5V</v>
          </cell>
          <cell r="O744" t="str">
            <v>P04326-05</v>
          </cell>
          <cell r="P744" t="str">
            <v>富士フイルムメディカル株式会社　大分営業所</v>
          </cell>
          <cell r="Q744" t="str">
            <v>小林様</v>
          </cell>
          <cell r="R744" t="str">
            <v>〒870-0848　大分県大分市賀来北2-16-1</v>
          </cell>
          <cell r="S744" t="str">
            <v>097-549-5166</v>
          </cell>
          <cell r="T744" t="str">
            <v>097-549-3444</v>
          </cell>
          <cell r="U744" t="str">
            <v>大分県立病院</v>
          </cell>
          <cell r="V744" t="str">
            <v>佐藤様</v>
          </cell>
          <cell r="W744" t="str">
            <v>MEセンター</v>
          </cell>
          <cell r="X744" t="str">
            <v>097-546-7111</v>
          </cell>
          <cell r="Y744" t="str">
            <v>〒870-8511　大分県大分市豊饒476</v>
          </cell>
          <cell r="AA744" t="str">
            <v/>
          </cell>
          <cell r="AB744" t="str">
            <v/>
          </cell>
          <cell r="AC744" t="str">
            <v/>
          </cell>
          <cell r="AD744" t="str">
            <v/>
          </cell>
          <cell r="AE744" t="str">
            <v/>
          </cell>
          <cell r="AF744" t="str">
            <v/>
          </cell>
          <cell r="AG744" t="str">
            <v/>
          </cell>
          <cell r="AH744" t="str">
            <v/>
          </cell>
          <cell r="AI744" t="str">
            <v/>
          </cell>
          <cell r="AJ744" t="str">
            <v/>
          </cell>
          <cell r="AK744" t="str">
            <v/>
          </cell>
          <cell r="AL744" t="str">
            <v/>
          </cell>
          <cell r="AM744" t="str">
            <v/>
          </cell>
          <cell r="AN744" t="str">
            <v/>
          </cell>
          <cell r="AO744" t="str">
            <v/>
          </cell>
          <cell r="AP744" t="str">
            <v/>
          </cell>
          <cell r="AQ744" t="str">
            <v/>
          </cell>
          <cell r="AR744" t="str">
            <v/>
          </cell>
          <cell r="AS744" t="str">
            <v/>
          </cell>
          <cell r="AT744" t="str">
            <v/>
          </cell>
          <cell r="AU744">
            <v>39814</v>
          </cell>
        </row>
        <row r="745">
          <cell r="A745" t="str">
            <v>S16-0742</v>
          </cell>
          <cell r="B745" t="str">
            <v>大垣市民病院_0742</v>
          </cell>
          <cell r="C745" t="e">
            <v>#REF!</v>
          </cell>
          <cell r="D745" t="e">
            <v>#REF!</v>
          </cell>
          <cell r="E745" t="e">
            <v>#REF!</v>
          </cell>
          <cell r="F745" t="e">
            <v>#REF!</v>
          </cell>
          <cell r="G745" t="e">
            <v>#REF!</v>
          </cell>
          <cell r="H745" t="e">
            <v>#REF!</v>
          </cell>
          <cell r="I745" t="e">
            <v>#REF!</v>
          </cell>
          <cell r="K745" t="e">
            <v>#REF!</v>
          </cell>
          <cell r="M745" t="e">
            <v>#REF!</v>
          </cell>
          <cell r="N745" t="e">
            <v>#REF!</v>
          </cell>
          <cell r="O745" t="e">
            <v>#REF!</v>
          </cell>
          <cell r="P745" t="e">
            <v>#REF!</v>
          </cell>
          <cell r="Q745" t="e">
            <v>#REF!</v>
          </cell>
          <cell r="S745" t="e">
            <v>#REF!</v>
          </cell>
          <cell r="T745" t="e">
            <v>#REF!</v>
          </cell>
          <cell r="U745" t="e">
            <v>#REF!</v>
          </cell>
          <cell r="AA745" t="e">
            <v>#REF!</v>
          </cell>
          <cell r="AB745" t="e">
            <v>#REF!</v>
          </cell>
          <cell r="AC745" t="e">
            <v>#REF!</v>
          </cell>
          <cell r="AD745" t="e">
            <v>#REF!</v>
          </cell>
          <cell r="AE745" t="e">
            <v>#REF!</v>
          </cell>
          <cell r="AF745" t="e">
            <v>#REF!</v>
          </cell>
          <cell r="AG745" t="e">
            <v>#REF!</v>
          </cell>
          <cell r="AH745" t="e">
            <v>#REF!</v>
          </cell>
          <cell r="AI745" t="e">
            <v>#REF!</v>
          </cell>
          <cell r="AJ745" t="e">
            <v>#REF!</v>
          </cell>
          <cell r="AK745" t="e">
            <v>#REF!</v>
          </cell>
          <cell r="AL745" t="e">
            <v>#REF!</v>
          </cell>
          <cell r="AM745" t="e">
            <v>#REF!</v>
          </cell>
          <cell r="AN745" t="e">
            <v>#REF!</v>
          </cell>
          <cell r="AO745" t="e">
            <v>#REF!</v>
          </cell>
          <cell r="AP745" t="e">
            <v>#REF!</v>
          </cell>
          <cell r="AQ745" t="e">
            <v>#REF!</v>
          </cell>
          <cell r="AR745" t="e">
            <v>#REF!</v>
          </cell>
          <cell r="AS745" t="e">
            <v>#REF!</v>
          </cell>
          <cell r="AT745" t="e">
            <v>#REF!</v>
          </cell>
          <cell r="AU745" t="e">
            <v>#REF!</v>
          </cell>
        </row>
        <row r="746">
          <cell r="A746" t="str">
            <v>S16-0743</v>
          </cell>
          <cell r="B746" t="str">
            <v>東京医科大学八王子医療センター_0743 (2)</v>
          </cell>
          <cell r="C746" t="str">
            <v>SR#不要</v>
          </cell>
          <cell r="D746" t="str">
            <v>2016/10/27-01</v>
          </cell>
          <cell r="E746" t="str">
            <v xml:space="preserve"> </v>
          </cell>
          <cell r="F746">
            <v>42671</v>
          </cell>
          <cell r="G746">
            <v>0</v>
          </cell>
          <cell r="H746">
            <v>42683</v>
          </cell>
          <cell r="I746" t="str">
            <v>不明</v>
          </cell>
          <cell r="K746" t="str">
            <v>-</v>
          </cell>
          <cell r="L746" t="str">
            <v>-</v>
          </cell>
          <cell r="M746" t="str">
            <v>iLook15</v>
          </cell>
          <cell r="N746" t="str">
            <v>03480D</v>
          </cell>
          <cell r="O746" t="str">
            <v>P04628-02</v>
          </cell>
          <cell r="P746" t="str">
            <v>株式会社栗原医療器械店　八王子支店</v>
          </cell>
          <cell r="Q746" t="str">
            <v>大野様</v>
          </cell>
          <cell r="R746" t="str">
            <v>〒193-0831　東京都八王子市並木町36-8</v>
          </cell>
          <cell r="S746" t="str">
            <v>042-686-0521</v>
          </cell>
          <cell r="T746" t="str">
            <v>042-629-1970</v>
          </cell>
          <cell r="U746" t="str">
            <v>東京医科大学八王子医療センター</v>
          </cell>
          <cell r="V746" t="str">
            <v>-</v>
          </cell>
          <cell r="W746" t="str">
            <v>-</v>
          </cell>
          <cell r="X746" t="str">
            <v>042-665-5611</v>
          </cell>
          <cell r="Y746" t="str">
            <v>〒193-0998　東京都八王子市館町1163番地</v>
          </cell>
          <cell r="AA746" t="str">
            <v/>
          </cell>
          <cell r="AB746" t="str">
            <v/>
          </cell>
          <cell r="AC746" t="str">
            <v/>
          </cell>
          <cell r="AD746" t="str">
            <v/>
          </cell>
          <cell r="AE746" t="str">
            <v/>
          </cell>
          <cell r="AF746" t="str">
            <v/>
          </cell>
          <cell r="AG746" t="str">
            <v/>
          </cell>
          <cell r="AH746" t="str">
            <v/>
          </cell>
          <cell r="AI746" t="str">
            <v/>
          </cell>
          <cell r="AJ746" t="str">
            <v/>
          </cell>
          <cell r="AK746" t="str">
            <v/>
          </cell>
          <cell r="AL746" t="str">
            <v/>
          </cell>
          <cell r="AM746" t="str">
            <v/>
          </cell>
          <cell r="AN746" t="str">
            <v/>
          </cell>
          <cell r="AO746" t="str">
            <v/>
          </cell>
          <cell r="AP746" t="str">
            <v/>
          </cell>
          <cell r="AQ746" t="str">
            <v/>
          </cell>
          <cell r="AR746" t="str">
            <v/>
          </cell>
          <cell r="AS746" t="str">
            <v/>
          </cell>
          <cell r="AT746" t="str">
            <v/>
          </cell>
          <cell r="AU746">
            <v>38473</v>
          </cell>
        </row>
        <row r="747">
          <cell r="A747" t="str">
            <v>S16-0744</v>
          </cell>
          <cell r="B747" t="str">
            <v>上山病院_0744</v>
          </cell>
          <cell r="C747" t="e">
            <v>#REF!</v>
          </cell>
          <cell r="D747" t="e">
            <v>#REF!</v>
          </cell>
          <cell r="E747" t="e">
            <v>#REF!</v>
          </cell>
          <cell r="F747" t="e">
            <v>#REF!</v>
          </cell>
          <cell r="G747" t="e">
            <v>#REF!</v>
          </cell>
          <cell r="H747" t="e">
            <v>#REF!</v>
          </cell>
          <cell r="I747" t="e">
            <v>#REF!</v>
          </cell>
          <cell r="K747" t="e">
            <v>#REF!</v>
          </cell>
          <cell r="M747" t="e">
            <v>#REF!</v>
          </cell>
          <cell r="N747" t="e">
            <v>#REF!</v>
          </cell>
          <cell r="O747" t="e">
            <v>#REF!</v>
          </cell>
          <cell r="P747" t="e">
            <v>#REF!</v>
          </cell>
          <cell r="Q747" t="e">
            <v>#REF!</v>
          </cell>
          <cell r="S747" t="e">
            <v>#REF!</v>
          </cell>
          <cell r="T747" t="e">
            <v>#REF!</v>
          </cell>
          <cell r="U747" t="e">
            <v>#REF!</v>
          </cell>
          <cell r="AA747" t="e">
            <v>#REF!</v>
          </cell>
          <cell r="AB747" t="e">
            <v>#REF!</v>
          </cell>
          <cell r="AC747" t="e">
            <v>#REF!</v>
          </cell>
          <cell r="AD747" t="e">
            <v>#REF!</v>
          </cell>
          <cell r="AE747" t="e">
            <v>#REF!</v>
          </cell>
          <cell r="AF747" t="e">
            <v>#REF!</v>
          </cell>
          <cell r="AG747" t="e">
            <v>#REF!</v>
          </cell>
          <cell r="AH747" t="e">
            <v>#REF!</v>
          </cell>
          <cell r="AI747" t="e">
            <v>#REF!</v>
          </cell>
          <cell r="AJ747" t="e">
            <v>#REF!</v>
          </cell>
          <cell r="AK747" t="e">
            <v>#REF!</v>
          </cell>
          <cell r="AL747" t="e">
            <v>#REF!</v>
          </cell>
          <cell r="AM747" t="e">
            <v>#REF!</v>
          </cell>
          <cell r="AN747" t="e">
            <v>#REF!</v>
          </cell>
          <cell r="AO747" t="e">
            <v>#REF!</v>
          </cell>
          <cell r="AP747" t="e">
            <v>#REF!</v>
          </cell>
          <cell r="AQ747" t="e">
            <v>#REF!</v>
          </cell>
          <cell r="AR747" t="e">
            <v>#REF!</v>
          </cell>
          <cell r="AS747" t="e">
            <v>#REF!</v>
          </cell>
          <cell r="AT747" t="e">
            <v>#REF!</v>
          </cell>
          <cell r="AU747" t="e">
            <v>#REF!</v>
          </cell>
        </row>
        <row r="748">
          <cell r="A748" t="str">
            <v>S16-0745</v>
          </cell>
          <cell r="B748" t="str">
            <v>新潟県立がんセンター新潟病院_0745</v>
          </cell>
          <cell r="C748" t="e">
            <v>#REF!</v>
          </cell>
          <cell r="D748" t="e">
            <v>#REF!</v>
          </cell>
          <cell r="E748" t="e">
            <v>#REF!</v>
          </cell>
          <cell r="F748" t="e">
            <v>#REF!</v>
          </cell>
          <cell r="G748" t="e">
            <v>#REF!</v>
          </cell>
          <cell r="H748" t="e">
            <v>#REF!</v>
          </cell>
          <cell r="I748" t="e">
            <v>#REF!</v>
          </cell>
          <cell r="K748" t="e">
            <v>#REF!</v>
          </cell>
          <cell r="M748" t="e">
            <v>#REF!</v>
          </cell>
          <cell r="N748" t="e">
            <v>#REF!</v>
          </cell>
          <cell r="O748" t="e">
            <v>#REF!</v>
          </cell>
          <cell r="P748" t="e">
            <v>#REF!</v>
          </cell>
          <cell r="Q748" t="e">
            <v>#REF!</v>
          </cell>
          <cell r="S748" t="e">
            <v>#REF!</v>
          </cell>
          <cell r="T748" t="e">
            <v>#REF!</v>
          </cell>
          <cell r="U748" t="e">
            <v>#REF!</v>
          </cell>
          <cell r="AA748" t="e">
            <v>#REF!</v>
          </cell>
          <cell r="AB748" t="e">
            <v>#REF!</v>
          </cell>
          <cell r="AC748" t="e">
            <v>#REF!</v>
          </cell>
          <cell r="AD748" t="e">
            <v>#REF!</v>
          </cell>
          <cell r="AE748" t="e">
            <v>#REF!</v>
          </cell>
          <cell r="AF748" t="e">
            <v>#REF!</v>
          </cell>
          <cell r="AG748" t="e">
            <v>#REF!</v>
          </cell>
          <cell r="AH748" t="e">
            <v>#REF!</v>
          </cell>
          <cell r="AI748" t="e">
            <v>#REF!</v>
          </cell>
          <cell r="AJ748" t="e">
            <v>#REF!</v>
          </cell>
          <cell r="AK748" t="e">
            <v>#REF!</v>
          </cell>
          <cell r="AL748" t="e">
            <v>#REF!</v>
          </cell>
          <cell r="AM748" t="e">
            <v>#REF!</v>
          </cell>
          <cell r="AN748" t="e">
            <v>#REF!</v>
          </cell>
          <cell r="AO748" t="e">
            <v>#REF!</v>
          </cell>
          <cell r="AP748" t="e">
            <v>#REF!</v>
          </cell>
          <cell r="AQ748" t="e">
            <v>#REF!</v>
          </cell>
          <cell r="AR748" t="e">
            <v>#REF!</v>
          </cell>
          <cell r="AS748" t="e">
            <v>#REF!</v>
          </cell>
          <cell r="AT748" t="e">
            <v>#REF!</v>
          </cell>
          <cell r="AU748" t="e">
            <v>#REF!</v>
          </cell>
        </row>
        <row r="749">
          <cell r="A749" t="str">
            <v>S16-0746</v>
          </cell>
          <cell r="B749" t="str">
            <v>先端医療センター病院_0746</v>
          </cell>
          <cell r="C749" t="e">
            <v>#REF!</v>
          </cell>
          <cell r="D749" t="e">
            <v>#REF!</v>
          </cell>
          <cell r="E749" t="e">
            <v>#REF!</v>
          </cell>
          <cell r="F749" t="e">
            <v>#REF!</v>
          </cell>
          <cell r="G749" t="e">
            <v>#REF!</v>
          </cell>
          <cell r="H749" t="e">
            <v>#REF!</v>
          </cell>
          <cell r="I749" t="e">
            <v>#REF!</v>
          </cell>
          <cell r="K749" t="str">
            <v>高橋</v>
          </cell>
          <cell r="L749">
            <v>3</v>
          </cell>
          <cell r="M749" t="e">
            <v>#REF!</v>
          </cell>
          <cell r="N749" t="e">
            <v>#REF!</v>
          </cell>
          <cell r="O749" t="e">
            <v>#REF!</v>
          </cell>
          <cell r="P749" t="e">
            <v>#REF!</v>
          </cell>
          <cell r="Q749" t="e">
            <v>#REF!</v>
          </cell>
          <cell r="R749" t="str">
            <v>〒650-0047　兵庫県神戸市中央区港島南町4-6-1</v>
          </cell>
          <cell r="S749" t="e">
            <v>#REF!</v>
          </cell>
          <cell r="T749" t="e">
            <v>#REF!</v>
          </cell>
          <cell r="U749" t="e">
            <v>#REF!</v>
          </cell>
          <cell r="V749" t="str">
            <v>木戸様</v>
          </cell>
          <cell r="W749" t="str">
            <v>病院管理課</v>
          </cell>
          <cell r="X749" t="str">
            <v>078-306-0826</v>
          </cell>
          <cell r="Y749" t="str">
            <v>〒650-0047　兵庫県中央区港島南町2-2</v>
          </cell>
          <cell r="AA749" t="e">
            <v>#REF!</v>
          </cell>
          <cell r="AB749" t="e">
            <v>#REF!</v>
          </cell>
          <cell r="AC749" t="e">
            <v>#REF!</v>
          </cell>
          <cell r="AD749" t="e">
            <v>#REF!</v>
          </cell>
          <cell r="AE749" t="e">
            <v>#REF!</v>
          </cell>
          <cell r="AF749" t="e">
            <v>#REF!</v>
          </cell>
          <cell r="AG749" t="e">
            <v>#REF!</v>
          </cell>
          <cell r="AH749" t="e">
            <v>#REF!</v>
          </cell>
          <cell r="AI749" t="e">
            <v>#REF!</v>
          </cell>
          <cell r="AJ749" t="e">
            <v>#REF!</v>
          </cell>
          <cell r="AK749" t="e">
            <v>#REF!</v>
          </cell>
          <cell r="AL749" t="e">
            <v>#REF!</v>
          </cell>
          <cell r="AM749" t="e">
            <v>#REF!</v>
          </cell>
          <cell r="AN749" t="e">
            <v>#REF!</v>
          </cell>
          <cell r="AO749" t="e">
            <v>#REF!</v>
          </cell>
          <cell r="AP749" t="e">
            <v>#REF!</v>
          </cell>
          <cell r="AQ749" t="e">
            <v>#REF!</v>
          </cell>
          <cell r="AR749" t="e">
            <v>#REF!</v>
          </cell>
          <cell r="AS749" t="e">
            <v>#REF!</v>
          </cell>
          <cell r="AT749" t="e">
            <v>#REF!</v>
          </cell>
          <cell r="AU749" t="e">
            <v>#REF!</v>
          </cell>
        </row>
        <row r="750">
          <cell r="A750" t="str">
            <v>S16-0747</v>
          </cell>
          <cell r="B750" t="str">
            <v>うしくぼ消化器・内科クリニック_0747 (2)</v>
          </cell>
          <cell r="C750" t="str">
            <v>SR#不要</v>
          </cell>
          <cell r="D750" t="str">
            <v>2016/10/20-01</v>
          </cell>
          <cell r="E750" t="str">
            <v>有償</v>
          </cell>
          <cell r="F750">
            <v>42674</v>
          </cell>
          <cell r="G750">
            <v>0</v>
          </cell>
          <cell r="H750">
            <v>42699</v>
          </cell>
          <cell r="I750" t="str">
            <v>不明</v>
          </cell>
          <cell r="K750" t="str">
            <v>高橋</v>
          </cell>
          <cell r="L750">
            <v>3</v>
          </cell>
          <cell r="M750" t="str">
            <v>UP-895MD</v>
          </cell>
          <cell r="N750" t="str">
            <v>39580</v>
          </cell>
          <cell r="O750" t="str">
            <v>-</v>
          </cell>
          <cell r="P750" t="str">
            <v>施設直接</v>
          </cell>
          <cell r="Q750" t="str">
            <v>牛窪院長</v>
          </cell>
          <cell r="R750" t="str">
            <v>〒231-0028　神奈川県横浜市中区翁町1-4-1-2F</v>
          </cell>
          <cell r="S750" t="str">
            <v>045-820-6251</v>
          </cell>
          <cell r="T750" t="str">
            <v>045-820-6295</v>
          </cell>
          <cell r="U750" t="str">
            <v>うしくぼ消化器・内科クリニック</v>
          </cell>
          <cell r="V750" t="str">
            <v>牛窪利明様</v>
          </cell>
          <cell r="W750" t="str">
            <v>院長</v>
          </cell>
          <cell r="X750" t="str">
            <v>045-222-9533</v>
          </cell>
          <cell r="Y750" t="str">
            <v>〒231-0028　神奈川県横浜市西区翁町1-4-1-2F</v>
          </cell>
          <cell r="AA750" t="str">
            <v>1468455641</v>
          </cell>
          <cell r="AB750" t="str">
            <v>125185515</v>
          </cell>
          <cell r="AC750" t="str">
            <v>362390905</v>
          </cell>
          <cell r="AD750" t="str">
            <v>X36056755</v>
          </cell>
          <cell r="AE750" t="str">
            <v/>
          </cell>
          <cell r="AF750" t="str">
            <v/>
          </cell>
          <cell r="AG750" t="str">
            <v/>
          </cell>
          <cell r="AH750" t="str">
            <v/>
          </cell>
          <cell r="AI750" t="str">
            <v/>
          </cell>
          <cell r="AJ750" t="str">
            <v/>
          </cell>
          <cell r="AK750" t="str">
            <v>スイッチングレグレーター</v>
          </cell>
          <cell r="AL750" t="str">
            <v>サーマルヘッド</v>
          </cell>
          <cell r="AM750" t="str">
            <v>プラテンローラー</v>
          </cell>
          <cell r="AN750" t="str">
            <v>カッターASSY</v>
          </cell>
          <cell r="AO750" t="str">
            <v/>
          </cell>
          <cell r="AP750" t="str">
            <v/>
          </cell>
          <cell r="AQ750" t="str">
            <v/>
          </cell>
          <cell r="AR750" t="str">
            <v/>
          </cell>
          <cell r="AS750" t="str">
            <v/>
          </cell>
          <cell r="AT750" t="str">
            <v/>
          </cell>
          <cell r="AU750" t="str">
            <v>-</v>
          </cell>
        </row>
        <row r="751">
          <cell r="A751" t="str">
            <v>S16-0748</v>
          </cell>
          <cell r="B751" t="str">
            <v>熊本中央病院_0748 (2)</v>
          </cell>
          <cell r="C751" t="str">
            <v>SR#不要</v>
          </cell>
          <cell r="D751" t="str">
            <v>2016/10/25-07</v>
          </cell>
          <cell r="E751" t="str">
            <v>有償</v>
          </cell>
          <cell r="F751">
            <v>42674</v>
          </cell>
          <cell r="G751">
            <v>0</v>
          </cell>
          <cell r="H751">
            <v>42696</v>
          </cell>
          <cell r="I751" t="str">
            <v>不明</v>
          </cell>
          <cell r="K751" t="str">
            <v>高橋</v>
          </cell>
          <cell r="L751" t="str">
            <v>-</v>
          </cell>
          <cell r="M751" t="str">
            <v>180Ⅱ</v>
          </cell>
          <cell r="N751" t="str">
            <v>030B9B</v>
          </cell>
          <cell r="O751" t="str">
            <v>P02997-01</v>
          </cell>
          <cell r="P751" t="str">
            <v>アイティーアイ株式会社　熊本支社</v>
          </cell>
          <cell r="Q751" t="str">
            <v>豊世様</v>
          </cell>
          <cell r="R751" t="str">
            <v>〒860-0826　熊本県熊本市南区平田2-12-18</v>
          </cell>
          <cell r="S751" t="str">
            <v>096-326-7551</v>
          </cell>
          <cell r="T751" t="str">
            <v>096-326-7552</v>
          </cell>
          <cell r="U751" t="str">
            <v>熊本中央病院</v>
          </cell>
          <cell r="V751" t="str">
            <v>-</v>
          </cell>
          <cell r="W751" t="str">
            <v>-</v>
          </cell>
          <cell r="X751" t="str">
            <v>096-370-3111</v>
          </cell>
          <cell r="Y751" t="str">
            <v>〒862-0965 熊本県熊本市南区田井島1-5-1</v>
          </cell>
          <cell r="AA751" t="str">
            <v/>
          </cell>
          <cell r="AB751" t="str">
            <v/>
          </cell>
          <cell r="AC751" t="str">
            <v/>
          </cell>
          <cell r="AD751" t="str">
            <v/>
          </cell>
          <cell r="AE751" t="str">
            <v/>
          </cell>
          <cell r="AF751" t="str">
            <v/>
          </cell>
          <cell r="AG751" t="str">
            <v/>
          </cell>
          <cell r="AH751" t="str">
            <v/>
          </cell>
          <cell r="AI751" t="str">
            <v/>
          </cell>
          <cell r="AJ751" t="str">
            <v/>
          </cell>
          <cell r="AK751" t="str">
            <v/>
          </cell>
          <cell r="AL751" t="str">
            <v/>
          </cell>
          <cell r="AM751" t="str">
            <v/>
          </cell>
          <cell r="AN751" t="str">
            <v/>
          </cell>
          <cell r="AO751" t="str">
            <v/>
          </cell>
          <cell r="AP751" t="str">
            <v/>
          </cell>
          <cell r="AQ751" t="str">
            <v/>
          </cell>
          <cell r="AR751" t="str">
            <v/>
          </cell>
          <cell r="AS751" t="str">
            <v/>
          </cell>
          <cell r="AT751" t="str">
            <v/>
          </cell>
          <cell r="AU751">
            <v>37500</v>
          </cell>
        </row>
        <row r="752">
          <cell r="A752" t="str">
            <v>S16-0749</v>
          </cell>
          <cell r="B752" t="str">
            <v>徳之島徳洲会病院_0749 (2)</v>
          </cell>
          <cell r="C752" t="str">
            <v>SR#不要</v>
          </cell>
          <cell r="D752" t="str">
            <v>2016/10/24-01</v>
          </cell>
          <cell r="E752" t="str">
            <v>有償</v>
          </cell>
          <cell r="F752">
            <v>42674</v>
          </cell>
          <cell r="G752">
            <v>0</v>
          </cell>
          <cell r="H752">
            <v>42695</v>
          </cell>
          <cell r="I752" t="str">
            <v>不明</v>
          </cell>
          <cell r="K752" t="str">
            <v>-</v>
          </cell>
          <cell r="L752" t="str">
            <v>-</v>
          </cell>
          <cell r="M752">
            <v>180</v>
          </cell>
          <cell r="N752" t="str">
            <v>01J41B</v>
          </cell>
          <cell r="O752" t="str">
            <v>P01102-01</v>
          </cell>
          <cell r="P752" t="str">
            <v>施設直接依頼</v>
          </cell>
          <cell r="Q752" t="str">
            <v>文元様</v>
          </cell>
          <cell r="R752" t="str">
            <v>〒891-7101　鹿児島県大島郡徳之島町亀津7588</v>
          </cell>
          <cell r="S752" t="str">
            <v>0997-83-1100</v>
          </cell>
          <cell r="T752" t="str">
            <v>0997-83-3756</v>
          </cell>
          <cell r="U752" t="str">
            <v>徳之島徳洲会病院　総務（資材）</v>
          </cell>
          <cell r="V752" t="str">
            <v>文元様</v>
          </cell>
          <cell r="W752" t="str">
            <v>総務（資材）</v>
          </cell>
          <cell r="X752" t="str">
            <v>0997-83-1100</v>
          </cell>
          <cell r="Y752" t="str">
            <v>〒891-7101　鹿児島県大島郡徳之島町亀津7588</v>
          </cell>
          <cell r="AA752" t="str">
            <v/>
          </cell>
          <cell r="AB752" t="str">
            <v/>
          </cell>
          <cell r="AC752" t="str">
            <v/>
          </cell>
          <cell r="AD752" t="str">
            <v/>
          </cell>
          <cell r="AE752" t="str">
            <v/>
          </cell>
          <cell r="AF752" t="str">
            <v/>
          </cell>
          <cell r="AG752" t="str">
            <v/>
          </cell>
          <cell r="AH752" t="str">
            <v/>
          </cell>
          <cell r="AI752" t="str">
            <v/>
          </cell>
          <cell r="AJ752" t="str">
            <v/>
          </cell>
          <cell r="AK752" t="str">
            <v/>
          </cell>
          <cell r="AL752" t="str">
            <v/>
          </cell>
          <cell r="AM752" t="str">
            <v/>
          </cell>
          <cell r="AN752" t="str">
            <v/>
          </cell>
          <cell r="AO752" t="str">
            <v/>
          </cell>
          <cell r="AP752" t="str">
            <v/>
          </cell>
          <cell r="AQ752" t="str">
            <v/>
          </cell>
          <cell r="AR752" t="str">
            <v/>
          </cell>
          <cell r="AS752" t="str">
            <v/>
          </cell>
          <cell r="AT752" t="str">
            <v/>
          </cell>
          <cell r="AU752">
            <v>36739</v>
          </cell>
        </row>
        <row r="753">
          <cell r="A753" t="str">
            <v>S16-0750</v>
          </cell>
          <cell r="B753" t="str">
            <v>湯布院病院_0750 (2)</v>
          </cell>
          <cell r="C753" t="str">
            <v>SR#4246593</v>
          </cell>
          <cell r="D753" t="str">
            <v>2016/10/18-10</v>
          </cell>
          <cell r="E753" t="str">
            <v>無償</v>
          </cell>
          <cell r="F753">
            <v>42674</v>
          </cell>
          <cell r="G753">
            <v>0</v>
          </cell>
          <cell r="H753">
            <v>42704</v>
          </cell>
          <cell r="I753" t="str">
            <v>不明</v>
          </cell>
          <cell r="K753" t="str">
            <v>高橋</v>
          </cell>
          <cell r="L753">
            <v>3</v>
          </cell>
          <cell r="M753" t="str">
            <v>M-Turbo</v>
          </cell>
          <cell r="N753" t="str">
            <v>WK1YVN</v>
          </cell>
          <cell r="O753" t="str">
            <v>P09141-26</v>
          </cell>
          <cell r="P753" t="str">
            <v>フクダ電子西部南販売株式会社　大分営業所</v>
          </cell>
          <cell r="Q753" t="str">
            <v>後藤様</v>
          </cell>
          <cell r="S753" t="str">
            <v>097-549-5066</v>
          </cell>
          <cell r="T753" t="str">
            <v>097-549-5139</v>
          </cell>
          <cell r="U753" t="str">
            <v>湯布院病院</v>
          </cell>
          <cell r="AA753" t="str">
            <v>P19087-02</v>
          </cell>
          <cell r="AB753" t="str">
            <v/>
          </cell>
          <cell r="AC753" t="str">
            <v/>
          </cell>
          <cell r="AD753" t="str">
            <v/>
          </cell>
          <cell r="AE753" t="str">
            <v/>
          </cell>
          <cell r="AF753" t="str">
            <v/>
          </cell>
          <cell r="AG753" t="str">
            <v/>
          </cell>
          <cell r="AH753" t="str">
            <v/>
          </cell>
          <cell r="AI753" t="str">
            <v/>
          </cell>
          <cell r="AJ753" t="str">
            <v/>
          </cell>
          <cell r="AK753" t="str">
            <v>MAIN PCBA, M-Turbo</v>
          </cell>
          <cell r="AL753" t="str">
            <v/>
          </cell>
          <cell r="AM753" t="str">
            <v/>
          </cell>
          <cell r="AN753" t="str">
            <v/>
          </cell>
          <cell r="AO753" t="str">
            <v/>
          </cell>
          <cell r="AP753" t="str">
            <v/>
          </cell>
          <cell r="AQ753" t="str">
            <v/>
          </cell>
          <cell r="AR753" t="str">
            <v/>
          </cell>
          <cell r="AS753" t="str">
            <v/>
          </cell>
          <cell r="AT753" t="str">
            <v/>
          </cell>
          <cell r="AU753">
            <v>41487</v>
          </cell>
        </row>
        <row r="754">
          <cell r="A754" t="str">
            <v>S16-0751</v>
          </cell>
          <cell r="B754" t="str">
            <v>相澤病院１_0751</v>
          </cell>
          <cell r="C754" t="e">
            <v>#REF!</v>
          </cell>
          <cell r="D754" t="e">
            <v>#REF!</v>
          </cell>
          <cell r="E754" t="e">
            <v>#REF!</v>
          </cell>
          <cell r="F754" t="e">
            <v>#REF!</v>
          </cell>
          <cell r="G754" t="e">
            <v>#REF!</v>
          </cell>
          <cell r="H754" t="e">
            <v>#REF!</v>
          </cell>
          <cell r="I754" t="e">
            <v>#REF!</v>
          </cell>
          <cell r="K754" t="e">
            <v>#REF!</v>
          </cell>
          <cell r="M754" t="e">
            <v>#REF!</v>
          </cell>
          <cell r="N754" t="e">
            <v>#REF!</v>
          </cell>
          <cell r="O754" t="e">
            <v>#REF!</v>
          </cell>
          <cell r="P754" t="e">
            <v>#REF!</v>
          </cell>
          <cell r="Q754" t="e">
            <v>#REF!</v>
          </cell>
          <cell r="S754" t="e">
            <v>#REF!</v>
          </cell>
          <cell r="T754" t="e">
            <v>#REF!</v>
          </cell>
          <cell r="U754" t="e">
            <v>#REF!</v>
          </cell>
          <cell r="AA754" t="e">
            <v>#REF!</v>
          </cell>
          <cell r="AB754" t="e">
            <v>#REF!</v>
          </cell>
          <cell r="AC754" t="e">
            <v>#REF!</v>
          </cell>
          <cell r="AD754" t="e">
            <v>#REF!</v>
          </cell>
          <cell r="AE754" t="e">
            <v>#REF!</v>
          </cell>
          <cell r="AF754" t="e">
            <v>#REF!</v>
          </cell>
          <cell r="AG754" t="e">
            <v>#REF!</v>
          </cell>
          <cell r="AH754" t="e">
            <v>#REF!</v>
          </cell>
          <cell r="AI754" t="e">
            <v>#REF!</v>
          </cell>
          <cell r="AJ754" t="e">
            <v>#REF!</v>
          </cell>
          <cell r="AK754" t="e">
            <v>#REF!</v>
          </cell>
          <cell r="AL754" t="e">
            <v>#REF!</v>
          </cell>
          <cell r="AM754" t="e">
            <v>#REF!</v>
          </cell>
          <cell r="AN754" t="e">
            <v>#REF!</v>
          </cell>
          <cell r="AO754" t="e">
            <v>#REF!</v>
          </cell>
          <cell r="AP754" t="e">
            <v>#REF!</v>
          </cell>
          <cell r="AQ754" t="e">
            <v>#REF!</v>
          </cell>
          <cell r="AR754" t="e">
            <v>#REF!</v>
          </cell>
          <cell r="AS754" t="e">
            <v>#REF!</v>
          </cell>
          <cell r="AT754" t="e">
            <v>#REF!</v>
          </cell>
          <cell r="AU754" t="e">
            <v>#REF!</v>
          </cell>
        </row>
        <row r="755">
          <cell r="A755" t="str">
            <v>S16-0752</v>
          </cell>
          <cell r="B755" t="str">
            <v>相澤病院２_0752</v>
          </cell>
          <cell r="C755" t="e">
            <v>#REF!</v>
          </cell>
          <cell r="D755" t="e">
            <v>#REF!</v>
          </cell>
          <cell r="E755" t="e">
            <v>#REF!</v>
          </cell>
          <cell r="F755" t="e">
            <v>#REF!</v>
          </cell>
          <cell r="G755" t="e">
            <v>#REF!</v>
          </cell>
          <cell r="H755" t="e">
            <v>#REF!</v>
          </cell>
          <cell r="I755" t="e">
            <v>#REF!</v>
          </cell>
          <cell r="K755" t="e">
            <v>#REF!</v>
          </cell>
          <cell r="M755" t="e">
            <v>#REF!</v>
          </cell>
          <cell r="N755" t="e">
            <v>#REF!</v>
          </cell>
          <cell r="O755" t="e">
            <v>#REF!</v>
          </cell>
          <cell r="P755" t="e">
            <v>#REF!</v>
          </cell>
          <cell r="Q755" t="e">
            <v>#REF!</v>
          </cell>
          <cell r="S755" t="e">
            <v>#REF!</v>
          </cell>
          <cell r="T755" t="e">
            <v>#REF!</v>
          </cell>
          <cell r="U755" t="e">
            <v>#REF!</v>
          </cell>
          <cell r="AA755" t="e">
            <v>#REF!</v>
          </cell>
          <cell r="AB755" t="e">
            <v>#REF!</v>
          </cell>
          <cell r="AC755" t="e">
            <v>#REF!</v>
          </cell>
          <cell r="AD755" t="e">
            <v>#REF!</v>
          </cell>
          <cell r="AE755" t="e">
            <v>#REF!</v>
          </cell>
          <cell r="AF755" t="e">
            <v>#REF!</v>
          </cell>
          <cell r="AG755" t="e">
            <v>#REF!</v>
          </cell>
          <cell r="AH755" t="e">
            <v>#REF!</v>
          </cell>
          <cell r="AI755" t="e">
            <v>#REF!</v>
          </cell>
          <cell r="AJ755" t="e">
            <v>#REF!</v>
          </cell>
          <cell r="AK755" t="e">
            <v>#REF!</v>
          </cell>
          <cell r="AL755" t="e">
            <v>#REF!</v>
          </cell>
          <cell r="AM755" t="e">
            <v>#REF!</v>
          </cell>
          <cell r="AN755" t="e">
            <v>#REF!</v>
          </cell>
          <cell r="AO755" t="e">
            <v>#REF!</v>
          </cell>
          <cell r="AP755" t="e">
            <v>#REF!</v>
          </cell>
          <cell r="AQ755" t="e">
            <v>#REF!</v>
          </cell>
          <cell r="AR755" t="e">
            <v>#REF!</v>
          </cell>
          <cell r="AS755" t="e">
            <v>#REF!</v>
          </cell>
          <cell r="AT755" t="e">
            <v>#REF!</v>
          </cell>
          <cell r="AU755" t="e">
            <v>#REF!</v>
          </cell>
        </row>
        <row r="756">
          <cell r="A756" t="str">
            <v>S16-0753</v>
          </cell>
          <cell r="B756" t="str">
            <v>近江八幡市立総合医療センター_0753</v>
          </cell>
          <cell r="C756" t="e">
            <v>#REF!</v>
          </cell>
          <cell r="D756" t="e">
            <v>#REF!</v>
          </cell>
          <cell r="E756" t="e">
            <v>#REF!</v>
          </cell>
          <cell r="F756" t="e">
            <v>#REF!</v>
          </cell>
          <cell r="G756" t="e">
            <v>#REF!</v>
          </cell>
          <cell r="H756" t="e">
            <v>#REF!</v>
          </cell>
          <cell r="I756" t="e">
            <v>#REF!</v>
          </cell>
          <cell r="K756" t="e">
            <v>#REF!</v>
          </cell>
          <cell r="M756" t="e">
            <v>#REF!</v>
          </cell>
          <cell r="N756" t="e">
            <v>#REF!</v>
          </cell>
          <cell r="O756" t="e">
            <v>#REF!</v>
          </cell>
          <cell r="P756" t="e">
            <v>#REF!</v>
          </cell>
          <cell r="Q756" t="e">
            <v>#REF!</v>
          </cell>
          <cell r="S756" t="e">
            <v>#REF!</v>
          </cell>
          <cell r="T756" t="e">
            <v>#REF!</v>
          </cell>
          <cell r="U756" t="e">
            <v>#REF!</v>
          </cell>
          <cell r="AA756" t="e">
            <v>#REF!</v>
          </cell>
          <cell r="AB756" t="e">
            <v>#REF!</v>
          </cell>
          <cell r="AC756" t="e">
            <v>#REF!</v>
          </cell>
          <cell r="AD756" t="e">
            <v>#REF!</v>
          </cell>
          <cell r="AE756" t="e">
            <v>#REF!</v>
          </cell>
          <cell r="AF756" t="e">
            <v>#REF!</v>
          </cell>
          <cell r="AG756" t="e">
            <v>#REF!</v>
          </cell>
          <cell r="AH756" t="e">
            <v>#REF!</v>
          </cell>
          <cell r="AI756" t="e">
            <v>#REF!</v>
          </cell>
          <cell r="AJ756" t="e">
            <v>#REF!</v>
          </cell>
          <cell r="AK756" t="e">
            <v>#REF!</v>
          </cell>
          <cell r="AL756" t="e">
            <v>#REF!</v>
          </cell>
          <cell r="AM756" t="e">
            <v>#REF!</v>
          </cell>
          <cell r="AN756" t="e">
            <v>#REF!</v>
          </cell>
          <cell r="AO756" t="e">
            <v>#REF!</v>
          </cell>
          <cell r="AP756" t="e">
            <v>#REF!</v>
          </cell>
          <cell r="AQ756" t="e">
            <v>#REF!</v>
          </cell>
          <cell r="AR756" t="e">
            <v>#REF!</v>
          </cell>
          <cell r="AS756" t="e">
            <v>#REF!</v>
          </cell>
          <cell r="AT756" t="e">
            <v>#REF!</v>
          </cell>
          <cell r="AU756" t="e">
            <v>#REF!</v>
          </cell>
        </row>
        <row r="757">
          <cell r="A757" t="str">
            <v>S16-0754</v>
          </cell>
          <cell r="B757" t="str">
            <v>済生会宇都宮病院_0754</v>
          </cell>
          <cell r="C757" t="e">
            <v>#REF!</v>
          </cell>
          <cell r="D757" t="e">
            <v>#REF!</v>
          </cell>
          <cell r="E757" t="e">
            <v>#REF!</v>
          </cell>
          <cell r="F757" t="e">
            <v>#REF!</v>
          </cell>
          <cell r="G757" t="e">
            <v>#REF!</v>
          </cell>
          <cell r="H757" t="e">
            <v>#REF!</v>
          </cell>
          <cell r="I757" t="e">
            <v>#REF!</v>
          </cell>
          <cell r="K757" t="e">
            <v>#REF!</v>
          </cell>
          <cell r="M757" t="e">
            <v>#REF!</v>
          </cell>
          <cell r="N757" t="e">
            <v>#REF!</v>
          </cell>
          <cell r="O757" t="e">
            <v>#REF!</v>
          </cell>
          <cell r="P757" t="e">
            <v>#REF!</v>
          </cell>
          <cell r="Q757" t="e">
            <v>#REF!</v>
          </cell>
          <cell r="R757" t="str">
            <v>〒108-0075  東京都港区港南一丁目2番70号　品川シーズンテラス　22F</v>
          </cell>
          <cell r="S757" t="e">
            <v>#REF!</v>
          </cell>
          <cell r="T757" t="e">
            <v>#REF!</v>
          </cell>
          <cell r="U757" t="e">
            <v>#REF!</v>
          </cell>
          <cell r="AA757" t="e">
            <v>#REF!</v>
          </cell>
          <cell r="AB757" t="e">
            <v>#REF!</v>
          </cell>
          <cell r="AC757" t="e">
            <v>#REF!</v>
          </cell>
          <cell r="AD757" t="e">
            <v>#REF!</v>
          </cell>
          <cell r="AE757" t="e">
            <v>#REF!</v>
          </cell>
          <cell r="AF757" t="e">
            <v>#REF!</v>
          </cell>
          <cell r="AG757" t="e">
            <v>#REF!</v>
          </cell>
          <cell r="AH757" t="e">
            <v>#REF!</v>
          </cell>
          <cell r="AI757" t="e">
            <v>#REF!</v>
          </cell>
          <cell r="AJ757" t="e">
            <v>#REF!</v>
          </cell>
          <cell r="AK757" t="e">
            <v>#REF!</v>
          </cell>
          <cell r="AL757" t="e">
            <v>#REF!</v>
          </cell>
          <cell r="AM757" t="e">
            <v>#REF!</v>
          </cell>
          <cell r="AN757" t="e">
            <v>#REF!</v>
          </cell>
          <cell r="AO757" t="e">
            <v>#REF!</v>
          </cell>
          <cell r="AP757" t="e">
            <v>#REF!</v>
          </cell>
          <cell r="AQ757" t="e">
            <v>#REF!</v>
          </cell>
          <cell r="AR757" t="e">
            <v>#REF!</v>
          </cell>
          <cell r="AS757" t="e">
            <v>#REF!</v>
          </cell>
          <cell r="AT757" t="e">
            <v>#REF!</v>
          </cell>
          <cell r="AU757" t="e">
            <v>#REF!</v>
          </cell>
        </row>
        <row r="758">
          <cell r="A758" t="str">
            <v>S16-0755</v>
          </cell>
          <cell r="B758" t="str">
            <v>岸和田徳洲会病院_0755 (2)</v>
          </cell>
          <cell r="C758" t="str">
            <v>SR#4246595</v>
          </cell>
          <cell r="D758" t="str">
            <v>2016/10/26-01</v>
          </cell>
          <cell r="E758" t="str">
            <v>無償</v>
          </cell>
          <cell r="F758">
            <v>42675</v>
          </cell>
          <cell r="G758">
            <v>0</v>
          </cell>
          <cell r="H758">
            <v>42696</v>
          </cell>
          <cell r="I758" t="str">
            <v>不明</v>
          </cell>
          <cell r="K758" t="str">
            <v>高橋</v>
          </cell>
          <cell r="L758">
            <v>3</v>
          </cell>
          <cell r="M758" t="str">
            <v>M-Turbo</v>
          </cell>
          <cell r="N758" t="str">
            <v>WK2JTP</v>
          </cell>
          <cell r="O758" t="str">
            <v>P09141-28</v>
          </cell>
          <cell r="P758" t="str">
            <v>富士フイルムメディカル株式会社　大阪支店</v>
          </cell>
          <cell r="Q758" t="str">
            <v>遠藤様</v>
          </cell>
          <cell r="S758" t="str">
            <v>03-6418-7190</v>
          </cell>
          <cell r="T758" t="str">
            <v>03-6418-7162</v>
          </cell>
          <cell r="U758" t="str">
            <v>岸和田徳洲会病院</v>
          </cell>
          <cell r="AA758" t="str">
            <v>P06973-01</v>
          </cell>
          <cell r="AB758" t="str">
            <v>P02172-03</v>
          </cell>
          <cell r="AC758" t="str">
            <v>P00364-02</v>
          </cell>
          <cell r="AD758" t="str">
            <v/>
          </cell>
          <cell r="AE758" t="str">
            <v/>
          </cell>
          <cell r="AF758" t="str">
            <v/>
          </cell>
          <cell r="AG758" t="str">
            <v/>
          </cell>
          <cell r="AH758" t="str">
            <v/>
          </cell>
          <cell r="AI758" t="str">
            <v/>
          </cell>
          <cell r="AJ758" t="str">
            <v/>
          </cell>
          <cell r="AK758" t="str">
            <v>WIRE HARNESS, LCD, LVDS, 8"</v>
          </cell>
          <cell r="AL758" t="str">
            <v>WIRE HARNESS, INVERTER, C2</v>
          </cell>
          <cell r="AM758" t="str">
            <v>CONNECTOR, INTERPOSER</v>
          </cell>
          <cell r="AN758" t="str">
            <v/>
          </cell>
          <cell r="AO758" t="str">
            <v/>
          </cell>
          <cell r="AP758" t="str">
            <v/>
          </cell>
          <cell r="AQ758" t="str">
            <v/>
          </cell>
          <cell r="AR758" t="str">
            <v/>
          </cell>
          <cell r="AS758" t="str">
            <v/>
          </cell>
          <cell r="AT758" t="str">
            <v/>
          </cell>
          <cell r="AU758">
            <v>41852</v>
          </cell>
        </row>
        <row r="759">
          <cell r="A759" t="str">
            <v>S16-0756</v>
          </cell>
          <cell r="B759" t="str">
            <v>富山協立病院_0756 (2)</v>
          </cell>
          <cell r="C759" t="str">
            <v>SR#4247433</v>
          </cell>
          <cell r="D759" t="str">
            <v>2016/10/27-04</v>
          </cell>
          <cell r="E759" t="str">
            <v>無償</v>
          </cell>
          <cell r="F759">
            <v>42675</v>
          </cell>
          <cell r="G759">
            <v>0</v>
          </cell>
          <cell r="H759">
            <v>42704</v>
          </cell>
          <cell r="I759" t="str">
            <v>不明</v>
          </cell>
          <cell r="K759" t="str">
            <v>高橋</v>
          </cell>
          <cell r="L759">
            <v>3</v>
          </cell>
          <cell r="M759" t="str">
            <v>M-Turbo</v>
          </cell>
          <cell r="N759" t="str">
            <v>WK3B83</v>
          </cell>
          <cell r="O759" t="str">
            <v>P16693-62</v>
          </cell>
          <cell r="P759" t="str">
            <v>株式会社半田　富山営業所</v>
          </cell>
          <cell r="Q759" t="str">
            <v>原様</v>
          </cell>
          <cell r="R759" t="str">
            <v>〒930-0173　富山県富山市野口391</v>
          </cell>
          <cell r="S759" t="str">
            <v>076-471-6511</v>
          </cell>
          <cell r="T759" t="str">
            <v>076-471-6522</v>
          </cell>
          <cell r="U759" t="str">
            <v>富山協立病院　生理検査室</v>
          </cell>
          <cell r="V759" t="str">
            <v>-</v>
          </cell>
          <cell r="W759" t="str">
            <v>生理検査室</v>
          </cell>
          <cell r="X759" t="str">
            <v>076-433-1077</v>
          </cell>
          <cell r="Y759" t="str">
            <v>〒931-8501　富山県富山市豊田町1丁目1-8</v>
          </cell>
          <cell r="AA759" t="str">
            <v>P19910-01N</v>
          </cell>
          <cell r="AB759" t="str">
            <v/>
          </cell>
          <cell r="AC759" t="str">
            <v/>
          </cell>
          <cell r="AD759" t="str">
            <v/>
          </cell>
          <cell r="AE759" t="str">
            <v/>
          </cell>
          <cell r="AF759" t="str">
            <v/>
          </cell>
          <cell r="AG759" t="str">
            <v/>
          </cell>
          <cell r="AH759" t="str">
            <v/>
          </cell>
          <cell r="AI759" t="str">
            <v/>
          </cell>
          <cell r="AJ759" t="str">
            <v/>
          </cell>
          <cell r="AK759" t="str">
            <v>MAIN PCBA, M-Turbo、ROHS</v>
          </cell>
          <cell r="AL759" t="str">
            <v/>
          </cell>
          <cell r="AM759" t="str">
            <v/>
          </cell>
          <cell r="AN759" t="str">
            <v/>
          </cell>
          <cell r="AO759" t="str">
            <v/>
          </cell>
          <cell r="AP759" t="str">
            <v/>
          </cell>
          <cell r="AQ759" t="str">
            <v/>
          </cell>
          <cell r="AR759" t="str">
            <v/>
          </cell>
          <cell r="AS759" t="str">
            <v/>
          </cell>
          <cell r="AT759" t="str">
            <v/>
          </cell>
          <cell r="AU759">
            <v>42401</v>
          </cell>
        </row>
        <row r="760">
          <cell r="A760" t="str">
            <v>S16-0757</v>
          </cell>
          <cell r="B760" t="str">
            <v>守谷慶友病院_0757</v>
          </cell>
          <cell r="C760" t="e">
            <v>#REF!</v>
          </cell>
          <cell r="D760" t="e">
            <v>#REF!</v>
          </cell>
          <cell r="E760" t="e">
            <v>#REF!</v>
          </cell>
          <cell r="F760" t="e">
            <v>#REF!</v>
          </cell>
          <cell r="G760" t="e">
            <v>#REF!</v>
          </cell>
          <cell r="H760" t="e">
            <v>#REF!</v>
          </cell>
          <cell r="I760" t="e">
            <v>#REF!</v>
          </cell>
          <cell r="K760" t="e">
            <v>#REF!</v>
          </cell>
          <cell r="M760" t="e">
            <v>#REF!</v>
          </cell>
          <cell r="N760" t="e">
            <v>#REF!</v>
          </cell>
          <cell r="O760" t="e">
            <v>#REF!</v>
          </cell>
          <cell r="P760" t="e">
            <v>#REF!</v>
          </cell>
          <cell r="Q760" t="e">
            <v>#REF!</v>
          </cell>
          <cell r="R760" t="str">
            <v>〒108-0075  東京都港区港南一丁目2番70号　品川シーズンテラス　22F</v>
          </cell>
          <cell r="S760" t="e">
            <v>#REF!</v>
          </cell>
          <cell r="T760" t="e">
            <v>#REF!</v>
          </cell>
          <cell r="U760" t="e">
            <v>#REF!</v>
          </cell>
          <cell r="AA760" t="e">
            <v>#REF!</v>
          </cell>
          <cell r="AB760" t="e">
            <v>#REF!</v>
          </cell>
          <cell r="AC760" t="e">
            <v>#REF!</v>
          </cell>
          <cell r="AD760" t="e">
            <v>#REF!</v>
          </cell>
          <cell r="AE760" t="e">
            <v>#REF!</v>
          </cell>
          <cell r="AF760" t="e">
            <v>#REF!</v>
          </cell>
          <cell r="AG760" t="e">
            <v>#REF!</v>
          </cell>
          <cell r="AH760" t="e">
            <v>#REF!</v>
          </cell>
          <cell r="AI760" t="e">
            <v>#REF!</v>
          </cell>
          <cell r="AJ760" t="e">
            <v>#REF!</v>
          </cell>
          <cell r="AK760" t="e">
            <v>#REF!</v>
          </cell>
          <cell r="AL760" t="e">
            <v>#REF!</v>
          </cell>
          <cell r="AM760" t="e">
            <v>#REF!</v>
          </cell>
          <cell r="AN760" t="e">
            <v>#REF!</v>
          </cell>
          <cell r="AO760" t="e">
            <v>#REF!</v>
          </cell>
          <cell r="AP760" t="e">
            <v>#REF!</v>
          </cell>
          <cell r="AQ760" t="e">
            <v>#REF!</v>
          </cell>
          <cell r="AR760" t="e">
            <v>#REF!</v>
          </cell>
          <cell r="AS760" t="e">
            <v>#REF!</v>
          </cell>
          <cell r="AT760" t="e">
            <v>#REF!</v>
          </cell>
          <cell r="AU760" t="e">
            <v>#REF!</v>
          </cell>
        </row>
        <row r="761">
          <cell r="A761" t="str">
            <v>S16-0758</v>
          </cell>
          <cell r="B761" t="str">
            <v>四街道徳洲会病院_0758 (2)</v>
          </cell>
          <cell r="C761" t="str">
            <v>SR#</v>
          </cell>
          <cell r="D761" t="str">
            <v>-</v>
          </cell>
          <cell r="E761" t="str">
            <v xml:space="preserve"> </v>
          </cell>
          <cell r="F761">
            <v>42676</v>
          </cell>
          <cell r="G761">
            <v>0</v>
          </cell>
          <cell r="H761">
            <v>42691</v>
          </cell>
          <cell r="I761">
            <v>39716</v>
          </cell>
          <cell r="K761" t="str">
            <v>高橋</v>
          </cell>
          <cell r="L761">
            <v>3</v>
          </cell>
          <cell r="M761" t="str">
            <v>iLook25</v>
          </cell>
          <cell r="N761" t="str">
            <v>038LLR</v>
          </cell>
          <cell r="O761" t="str">
            <v>P04303-02</v>
          </cell>
          <cell r="P761" t="str">
            <v>日本コヴィディエン株式会社　営業企画室</v>
          </cell>
          <cell r="Q761" t="str">
            <v>柴原様</v>
          </cell>
          <cell r="R761" t="str">
            <v>〒108-0075  東京都港区港南一丁目2番70号　品川シーズンテラス　22F</v>
          </cell>
          <cell r="S761" t="str">
            <v>03-6774-4629</v>
          </cell>
          <cell r="T761" t="str">
            <v>03-6774-4740</v>
          </cell>
          <cell r="U761" t="str">
            <v>四街道徳洲会病院　沖縄徳洲会</v>
          </cell>
          <cell r="X761" t="str">
            <v>043-214-0111</v>
          </cell>
          <cell r="Y761" t="str">
            <v>〒284-0032　千葉県四街道市吉岡1830-1</v>
          </cell>
          <cell r="AA761" t="str">
            <v>P01139-07</v>
          </cell>
          <cell r="AB761" t="str">
            <v>P00855-01</v>
          </cell>
          <cell r="AC761" t="str">
            <v/>
          </cell>
          <cell r="AD761" t="str">
            <v/>
          </cell>
          <cell r="AE761" t="str">
            <v/>
          </cell>
          <cell r="AF761" t="str">
            <v/>
          </cell>
          <cell r="AG761" t="str">
            <v/>
          </cell>
          <cell r="AH761" t="str">
            <v/>
          </cell>
          <cell r="AI761" t="str">
            <v/>
          </cell>
          <cell r="AJ761" t="str">
            <v/>
          </cell>
          <cell r="AK761" t="str">
            <v>POWER SUPPLY / BATTERY CHARGER, ILOOK, TITAN, MMX</v>
          </cell>
          <cell r="AL761" t="str">
            <v>CORDSET, 15 AMP ,C13 CONNECTOR,JAPANESE</v>
          </cell>
          <cell r="AM761" t="str">
            <v/>
          </cell>
          <cell r="AN761" t="str">
            <v/>
          </cell>
          <cell r="AO761" t="str">
            <v/>
          </cell>
          <cell r="AP761" t="str">
            <v/>
          </cell>
          <cell r="AQ761" t="str">
            <v/>
          </cell>
          <cell r="AR761" t="str">
            <v/>
          </cell>
          <cell r="AS761" t="str">
            <v/>
          </cell>
          <cell r="AT761" t="str">
            <v/>
          </cell>
          <cell r="AU761">
            <v>39630</v>
          </cell>
        </row>
        <row r="762">
          <cell r="A762" t="str">
            <v>S16-0759</v>
          </cell>
          <cell r="B762" t="str">
            <v>名古屋医療センター_0759 (2)</v>
          </cell>
          <cell r="C762" t="str">
            <v>SR#不要</v>
          </cell>
          <cell r="D762" t="str">
            <v>-</v>
          </cell>
          <cell r="E762" t="str">
            <v xml:space="preserve"> </v>
          </cell>
          <cell r="F762">
            <v>42676</v>
          </cell>
          <cell r="G762">
            <v>0</v>
          </cell>
          <cell r="H762">
            <v>42709</v>
          </cell>
          <cell r="I762">
            <v>39477</v>
          </cell>
          <cell r="K762" t="str">
            <v>高橋</v>
          </cell>
          <cell r="L762">
            <v>3</v>
          </cell>
          <cell r="M762" t="str">
            <v>iLook25</v>
          </cell>
          <cell r="N762" t="str">
            <v>03854Q</v>
          </cell>
          <cell r="O762" t="str">
            <v>P04303-02</v>
          </cell>
          <cell r="P762" t="str">
            <v>日本コヴィディエン株式会社　愛知岐阜営業所</v>
          </cell>
          <cell r="Q762" t="str">
            <v>松下様</v>
          </cell>
          <cell r="R762" t="str">
            <v>〒108-0075  東京都港区港南一丁目2番70号　品川シーズンテラス　22F</v>
          </cell>
          <cell r="S762" t="str">
            <v>03-6774-4629</v>
          </cell>
          <cell r="T762" t="str">
            <v>03-6774-4740</v>
          </cell>
          <cell r="U762" t="str">
            <v>名古屋医療センター　国立病院機構</v>
          </cell>
          <cell r="V762" t="str">
            <v>-</v>
          </cell>
          <cell r="W762" t="str">
            <v>-</v>
          </cell>
          <cell r="X762" t="str">
            <v>052-951-1111</v>
          </cell>
          <cell r="Y762" t="str">
            <v xml:space="preserve">〒460-0001　愛知県名古屋市中区三の丸4-1-1 </v>
          </cell>
          <cell r="AA762" t="str">
            <v>P06527-01</v>
          </cell>
          <cell r="AB762" t="str">
            <v>P03029-02</v>
          </cell>
          <cell r="AC762" t="str">
            <v/>
          </cell>
          <cell r="AD762" t="str">
            <v/>
          </cell>
          <cell r="AE762" t="str">
            <v/>
          </cell>
          <cell r="AF762" t="str">
            <v/>
          </cell>
          <cell r="AG762" t="str">
            <v/>
          </cell>
          <cell r="AH762" t="str">
            <v/>
          </cell>
          <cell r="AI762" t="str">
            <v/>
          </cell>
          <cell r="AJ762" t="str">
            <v/>
          </cell>
          <cell r="AK762" t="str">
            <v>ASSEMBLY, PCB, ILOOK CONTROL PANEL</v>
          </cell>
          <cell r="AL762" t="str">
            <v>ASSEMBLY, PCB, iLOOK,STAND</v>
          </cell>
          <cell r="AM762" t="str">
            <v/>
          </cell>
          <cell r="AN762" t="str">
            <v/>
          </cell>
          <cell r="AO762" t="str">
            <v/>
          </cell>
          <cell r="AP762" t="str">
            <v/>
          </cell>
          <cell r="AQ762" t="str">
            <v/>
          </cell>
          <cell r="AR762" t="str">
            <v/>
          </cell>
          <cell r="AS762" t="str">
            <v/>
          </cell>
          <cell r="AT762" t="str">
            <v/>
          </cell>
          <cell r="AU762">
            <v>39114</v>
          </cell>
        </row>
        <row r="763">
          <cell r="A763" t="str">
            <v>S16-0760</v>
          </cell>
          <cell r="B763" t="str">
            <v>大分医療センター_0760</v>
          </cell>
          <cell r="C763" t="e">
            <v>#REF!</v>
          </cell>
          <cell r="D763" t="e">
            <v>#REF!</v>
          </cell>
          <cell r="E763" t="e">
            <v>#REF!</v>
          </cell>
          <cell r="F763" t="e">
            <v>#REF!</v>
          </cell>
          <cell r="G763" t="e">
            <v>#REF!</v>
          </cell>
          <cell r="H763" t="e">
            <v>#REF!</v>
          </cell>
          <cell r="I763" t="e">
            <v>#REF!</v>
          </cell>
          <cell r="K763" t="e">
            <v>#REF!</v>
          </cell>
          <cell r="M763" t="e">
            <v>#REF!</v>
          </cell>
          <cell r="N763" t="e">
            <v>#REF!</v>
          </cell>
          <cell r="O763" t="e">
            <v>#REF!</v>
          </cell>
          <cell r="P763" t="e">
            <v>#REF!</v>
          </cell>
          <cell r="Q763" t="e">
            <v>#REF!</v>
          </cell>
          <cell r="S763" t="e">
            <v>#REF!</v>
          </cell>
          <cell r="T763" t="e">
            <v>#REF!</v>
          </cell>
          <cell r="U763" t="e">
            <v>#REF!</v>
          </cell>
          <cell r="AA763" t="e">
            <v>#REF!</v>
          </cell>
          <cell r="AB763" t="e">
            <v>#REF!</v>
          </cell>
          <cell r="AC763" t="e">
            <v>#REF!</v>
          </cell>
          <cell r="AD763" t="e">
            <v>#REF!</v>
          </cell>
          <cell r="AE763" t="e">
            <v>#REF!</v>
          </cell>
          <cell r="AF763" t="e">
            <v>#REF!</v>
          </cell>
          <cell r="AG763" t="e">
            <v>#REF!</v>
          </cell>
          <cell r="AH763" t="e">
            <v>#REF!</v>
          </cell>
          <cell r="AI763" t="e">
            <v>#REF!</v>
          </cell>
          <cell r="AJ763" t="e">
            <v>#REF!</v>
          </cell>
          <cell r="AK763" t="e">
            <v>#REF!</v>
          </cell>
          <cell r="AL763" t="e">
            <v>#REF!</v>
          </cell>
          <cell r="AM763" t="e">
            <v>#REF!</v>
          </cell>
          <cell r="AN763" t="e">
            <v>#REF!</v>
          </cell>
          <cell r="AO763" t="e">
            <v>#REF!</v>
          </cell>
          <cell r="AP763" t="e">
            <v>#REF!</v>
          </cell>
          <cell r="AQ763" t="e">
            <v>#REF!</v>
          </cell>
          <cell r="AR763" t="e">
            <v>#REF!</v>
          </cell>
          <cell r="AS763" t="e">
            <v>#REF!</v>
          </cell>
          <cell r="AT763" t="e">
            <v>#REF!</v>
          </cell>
          <cell r="AU763" t="e">
            <v>#REF!</v>
          </cell>
        </row>
        <row r="764">
          <cell r="A764" t="str">
            <v>S16-0761</v>
          </cell>
          <cell r="B764" t="str">
            <v>福岡徳洲会病院_0761（2）</v>
          </cell>
          <cell r="C764" t="str">
            <v>SR#不要</v>
          </cell>
          <cell r="D764" t="str">
            <v>2016/10/13-06</v>
          </cell>
          <cell r="E764" t="str">
            <v>有償</v>
          </cell>
          <cell r="F764">
            <v>42678</v>
          </cell>
          <cell r="G764">
            <v>0</v>
          </cell>
          <cell r="H764">
            <v>42685</v>
          </cell>
          <cell r="I764" t="str">
            <v>不明</v>
          </cell>
          <cell r="K764" t="str">
            <v>-</v>
          </cell>
          <cell r="L764" t="str">
            <v>-</v>
          </cell>
          <cell r="M764" t="str">
            <v>C60/5-2</v>
          </cell>
          <cell r="N764" t="str">
            <v>01J3BZ</v>
          </cell>
          <cell r="O764" t="str">
            <v>P01150-01</v>
          </cell>
          <cell r="P764" t="str">
            <v>株式会社キシヤ　本社</v>
          </cell>
          <cell r="Q764" t="str">
            <v>牧島様</v>
          </cell>
          <cell r="R764" t="str">
            <v>〒812-0062 福岡市東区松島1丁目41番21号</v>
          </cell>
          <cell r="S764" t="str">
            <v>092-622-8000</v>
          </cell>
          <cell r="T764" t="str">
            <v>092-623-1313</v>
          </cell>
          <cell r="U764" t="str">
            <v>福岡徳洲会病院　腹部エコー室</v>
          </cell>
          <cell r="V764" t="str">
            <v>-</v>
          </cell>
          <cell r="W764" t="str">
            <v>腹部エコー室</v>
          </cell>
          <cell r="X764" t="str">
            <v>092-573-6622</v>
          </cell>
          <cell r="Y764" t="str">
            <v>〒816-0864 福岡県春日市須玖北4丁目5番地</v>
          </cell>
          <cell r="AA764" t="str">
            <v/>
          </cell>
          <cell r="AB764" t="str">
            <v/>
          </cell>
          <cell r="AC764" t="str">
            <v/>
          </cell>
          <cell r="AD764" t="str">
            <v/>
          </cell>
          <cell r="AE764" t="str">
            <v/>
          </cell>
          <cell r="AF764" t="str">
            <v/>
          </cell>
          <cell r="AG764" t="str">
            <v/>
          </cell>
          <cell r="AH764" t="str">
            <v/>
          </cell>
          <cell r="AI764" t="str">
            <v/>
          </cell>
          <cell r="AJ764" t="str">
            <v/>
          </cell>
          <cell r="AK764" t="str">
            <v/>
          </cell>
          <cell r="AL764" t="str">
            <v/>
          </cell>
          <cell r="AM764" t="str">
            <v/>
          </cell>
          <cell r="AN764" t="str">
            <v/>
          </cell>
          <cell r="AO764" t="str">
            <v/>
          </cell>
          <cell r="AP764" t="str">
            <v/>
          </cell>
          <cell r="AQ764" t="str">
            <v/>
          </cell>
          <cell r="AR764" t="str">
            <v/>
          </cell>
          <cell r="AS764" t="str">
            <v/>
          </cell>
          <cell r="AT764" t="str">
            <v/>
          </cell>
          <cell r="AU764">
            <v>36557</v>
          </cell>
        </row>
        <row r="765">
          <cell r="A765" t="str">
            <v>S16-0762</v>
          </cell>
          <cell r="B765" t="str">
            <v>市立札幌病院_0762</v>
          </cell>
          <cell r="C765" t="e">
            <v>#REF!</v>
          </cell>
          <cell r="D765" t="e">
            <v>#REF!</v>
          </cell>
          <cell r="E765" t="e">
            <v>#REF!</v>
          </cell>
          <cell r="F765" t="e">
            <v>#REF!</v>
          </cell>
          <cell r="G765" t="e">
            <v>#REF!</v>
          </cell>
          <cell r="H765" t="e">
            <v>#REF!</v>
          </cell>
          <cell r="I765" t="e">
            <v>#REF!</v>
          </cell>
          <cell r="K765" t="e">
            <v>#REF!</v>
          </cell>
          <cell r="M765" t="e">
            <v>#REF!</v>
          </cell>
          <cell r="N765" t="e">
            <v>#REF!</v>
          </cell>
          <cell r="O765" t="e">
            <v>#REF!</v>
          </cell>
          <cell r="P765" t="e">
            <v>#REF!</v>
          </cell>
          <cell r="Q765" t="e">
            <v>#REF!</v>
          </cell>
          <cell r="S765" t="e">
            <v>#REF!</v>
          </cell>
          <cell r="T765" t="e">
            <v>#REF!</v>
          </cell>
          <cell r="U765" t="e">
            <v>#REF!</v>
          </cell>
          <cell r="AA765" t="e">
            <v>#REF!</v>
          </cell>
          <cell r="AB765" t="e">
            <v>#REF!</v>
          </cell>
          <cell r="AC765" t="e">
            <v>#REF!</v>
          </cell>
          <cell r="AD765" t="e">
            <v>#REF!</v>
          </cell>
          <cell r="AE765" t="e">
            <v>#REF!</v>
          </cell>
          <cell r="AF765" t="e">
            <v>#REF!</v>
          </cell>
          <cell r="AG765" t="e">
            <v>#REF!</v>
          </cell>
          <cell r="AH765" t="e">
            <v>#REF!</v>
          </cell>
          <cell r="AI765" t="e">
            <v>#REF!</v>
          </cell>
          <cell r="AJ765" t="e">
            <v>#REF!</v>
          </cell>
          <cell r="AK765" t="e">
            <v>#REF!</v>
          </cell>
          <cell r="AL765" t="e">
            <v>#REF!</v>
          </cell>
          <cell r="AM765" t="e">
            <v>#REF!</v>
          </cell>
          <cell r="AN765" t="e">
            <v>#REF!</v>
          </cell>
          <cell r="AO765" t="e">
            <v>#REF!</v>
          </cell>
          <cell r="AP765" t="e">
            <v>#REF!</v>
          </cell>
          <cell r="AQ765" t="e">
            <v>#REF!</v>
          </cell>
          <cell r="AR765" t="e">
            <v>#REF!</v>
          </cell>
          <cell r="AS765" t="e">
            <v>#REF!</v>
          </cell>
          <cell r="AT765" t="e">
            <v>#REF!</v>
          </cell>
          <cell r="AU765" t="e">
            <v>#REF!</v>
          </cell>
        </row>
        <row r="766">
          <cell r="A766" t="str">
            <v>S16-0763</v>
          </cell>
          <cell r="B766" t="str">
            <v>日立おおみか病院_0763</v>
          </cell>
          <cell r="C766" t="e">
            <v>#REF!</v>
          </cell>
          <cell r="D766" t="e">
            <v>#REF!</v>
          </cell>
          <cell r="E766" t="e">
            <v>#REF!</v>
          </cell>
          <cell r="F766" t="e">
            <v>#REF!</v>
          </cell>
          <cell r="G766" t="e">
            <v>#REF!</v>
          </cell>
          <cell r="H766" t="e">
            <v>#REF!</v>
          </cell>
          <cell r="I766" t="e">
            <v>#REF!</v>
          </cell>
          <cell r="K766" t="e">
            <v>#REF!</v>
          </cell>
          <cell r="M766" t="e">
            <v>#REF!</v>
          </cell>
          <cell r="N766" t="e">
            <v>#REF!</v>
          </cell>
          <cell r="O766" t="e">
            <v>#REF!</v>
          </cell>
          <cell r="P766" t="e">
            <v>#REF!</v>
          </cell>
          <cell r="Q766" t="e">
            <v>#REF!</v>
          </cell>
          <cell r="S766" t="e">
            <v>#REF!</v>
          </cell>
          <cell r="T766" t="e">
            <v>#REF!</v>
          </cell>
          <cell r="U766" t="e">
            <v>#REF!</v>
          </cell>
          <cell r="AA766" t="e">
            <v>#REF!</v>
          </cell>
          <cell r="AB766" t="e">
            <v>#REF!</v>
          </cell>
          <cell r="AC766" t="e">
            <v>#REF!</v>
          </cell>
          <cell r="AD766" t="e">
            <v>#REF!</v>
          </cell>
          <cell r="AE766" t="e">
            <v>#REF!</v>
          </cell>
          <cell r="AF766" t="e">
            <v>#REF!</v>
          </cell>
          <cell r="AG766" t="e">
            <v>#REF!</v>
          </cell>
          <cell r="AH766" t="e">
            <v>#REF!</v>
          </cell>
          <cell r="AI766" t="e">
            <v>#REF!</v>
          </cell>
          <cell r="AJ766" t="e">
            <v>#REF!</v>
          </cell>
          <cell r="AK766" t="e">
            <v>#REF!</v>
          </cell>
          <cell r="AL766" t="e">
            <v>#REF!</v>
          </cell>
          <cell r="AM766" t="e">
            <v>#REF!</v>
          </cell>
          <cell r="AN766" t="e">
            <v>#REF!</v>
          </cell>
          <cell r="AO766" t="e">
            <v>#REF!</v>
          </cell>
          <cell r="AP766" t="e">
            <v>#REF!</v>
          </cell>
          <cell r="AQ766" t="e">
            <v>#REF!</v>
          </cell>
          <cell r="AR766" t="e">
            <v>#REF!</v>
          </cell>
          <cell r="AS766" t="e">
            <v>#REF!</v>
          </cell>
          <cell r="AT766" t="e">
            <v>#REF!</v>
          </cell>
          <cell r="AU766" t="e">
            <v>#REF!</v>
          </cell>
        </row>
        <row r="767">
          <cell r="A767" t="str">
            <v>S16-0764</v>
          </cell>
          <cell r="B767" t="str">
            <v>日立総合病院_0764 (2)</v>
          </cell>
          <cell r="C767" t="str">
            <v>SR#不要</v>
          </cell>
          <cell r="D767" t="str">
            <v>2016/10/18-01</v>
          </cell>
          <cell r="E767" t="str">
            <v>有償</v>
          </cell>
          <cell r="F767">
            <v>42681</v>
          </cell>
          <cell r="G767">
            <v>0</v>
          </cell>
          <cell r="H767">
            <v>42710</v>
          </cell>
          <cell r="I767" t="str">
            <v>不明</v>
          </cell>
          <cell r="K767" t="str">
            <v>高橋</v>
          </cell>
          <cell r="L767">
            <v>3</v>
          </cell>
          <cell r="M767" t="str">
            <v>UP-897MD</v>
          </cell>
          <cell r="N767" t="str">
            <v>38122</v>
          </cell>
          <cell r="O767" t="str">
            <v>-</v>
          </cell>
          <cell r="P767" t="str">
            <v>株式会社 栗原医療器械店 水戸支店</v>
          </cell>
          <cell r="Q767" t="str">
            <v>皆川様</v>
          </cell>
          <cell r="R767" t="str">
            <v>〒309-1703　茨城県水戸市石川2-4090-1</v>
          </cell>
          <cell r="S767" t="str">
            <v>029-251-2161</v>
          </cell>
          <cell r="T767" t="str">
            <v>029-251-2130</v>
          </cell>
          <cell r="U767" t="str">
            <v>日立総合病院</v>
          </cell>
          <cell r="V767" t="str">
            <v>-</v>
          </cell>
          <cell r="W767" t="str">
            <v>-</v>
          </cell>
          <cell r="X767" t="str">
            <v>0294-23-1111</v>
          </cell>
          <cell r="Y767" t="str">
            <v>〒317-0077　茨城県日立市城南町2-1-1</v>
          </cell>
          <cell r="AA767" t="str">
            <v>169143111</v>
          </cell>
          <cell r="AB767" t="str">
            <v>385776202</v>
          </cell>
          <cell r="AC767" t="str">
            <v/>
          </cell>
          <cell r="AD767" t="str">
            <v/>
          </cell>
          <cell r="AE767" t="str">
            <v/>
          </cell>
          <cell r="AF767" t="str">
            <v/>
          </cell>
          <cell r="AG767" t="str">
            <v/>
          </cell>
          <cell r="AH767" t="str">
            <v/>
          </cell>
          <cell r="AI767" t="str">
            <v/>
          </cell>
          <cell r="AJ767" t="str">
            <v/>
          </cell>
          <cell r="AK767" t="str">
            <v>ＢＮＣコネクタ</v>
          </cell>
          <cell r="AL767" t="str">
            <v>プラテンローラー</v>
          </cell>
          <cell r="AM767" t="str">
            <v/>
          </cell>
          <cell r="AN767" t="str">
            <v/>
          </cell>
          <cell r="AO767" t="str">
            <v/>
          </cell>
          <cell r="AP767" t="str">
            <v/>
          </cell>
          <cell r="AQ767" t="str">
            <v/>
          </cell>
          <cell r="AR767" t="str">
            <v/>
          </cell>
          <cell r="AS767" t="str">
            <v/>
          </cell>
          <cell r="AT767" t="str">
            <v/>
          </cell>
          <cell r="AU767" t="str">
            <v>-</v>
          </cell>
        </row>
        <row r="768">
          <cell r="A768" t="str">
            <v>S16-0765</v>
          </cell>
          <cell r="B768" t="str">
            <v>健和会大手町病院_0765 (2)</v>
          </cell>
          <cell r="C768" t="str">
            <v>SR#不要</v>
          </cell>
          <cell r="D768" t="str">
            <v>2016/10/31-03</v>
          </cell>
          <cell r="E768" t="str">
            <v>有償</v>
          </cell>
          <cell r="F768">
            <v>42681</v>
          </cell>
          <cell r="G768">
            <v>0</v>
          </cell>
          <cell r="H768">
            <v>42692</v>
          </cell>
          <cell r="I768">
            <v>40830</v>
          </cell>
          <cell r="K768" t="str">
            <v>-</v>
          </cell>
          <cell r="L768" t="str">
            <v>-</v>
          </cell>
          <cell r="M768" t="str">
            <v>HFL38x/13-6</v>
          </cell>
          <cell r="N768" t="str">
            <v>03M46B</v>
          </cell>
          <cell r="O768" t="str">
            <v>P09168-04</v>
          </cell>
          <cell r="P768" t="str">
            <v>ジーエムメディカル株式会社</v>
          </cell>
          <cell r="Q768" t="str">
            <v>毛利様</v>
          </cell>
          <cell r="R768" t="str">
            <v xml:space="preserve">〒810-0071　福岡県福岡市中央区那の津4丁目8-25 </v>
          </cell>
          <cell r="S768" t="str">
            <v>092-722-1536</v>
          </cell>
          <cell r="T768" t="str">
            <v>092-722-1537</v>
          </cell>
          <cell r="U768" t="str">
            <v>健和会大手町病院　麻酔科</v>
          </cell>
          <cell r="V768" t="str">
            <v>ME高橋様</v>
          </cell>
          <cell r="W768" t="str">
            <v>麻酔科</v>
          </cell>
          <cell r="X768" t="str">
            <v>093-592-5511</v>
          </cell>
          <cell r="Y768" t="str">
            <v>〒803-8543　福岡県北九州市小倉北区大手町15-1</v>
          </cell>
          <cell r="AA768" t="str">
            <v/>
          </cell>
          <cell r="AB768" t="str">
            <v/>
          </cell>
          <cell r="AC768" t="str">
            <v/>
          </cell>
          <cell r="AD768" t="str">
            <v/>
          </cell>
          <cell r="AE768" t="str">
            <v/>
          </cell>
          <cell r="AF768" t="str">
            <v/>
          </cell>
          <cell r="AG768" t="str">
            <v/>
          </cell>
          <cell r="AH768" t="str">
            <v/>
          </cell>
          <cell r="AI768" t="str">
            <v/>
          </cell>
          <cell r="AJ768" t="str">
            <v/>
          </cell>
          <cell r="AK768" t="str">
            <v/>
          </cell>
          <cell r="AL768" t="str">
            <v/>
          </cell>
          <cell r="AM768" t="str">
            <v/>
          </cell>
          <cell r="AN768" t="str">
            <v/>
          </cell>
          <cell r="AO768" t="str">
            <v/>
          </cell>
          <cell r="AP768" t="str">
            <v/>
          </cell>
          <cell r="AQ768" t="str">
            <v/>
          </cell>
          <cell r="AR768" t="str">
            <v/>
          </cell>
          <cell r="AS768" t="str">
            <v/>
          </cell>
          <cell r="AT768" t="str">
            <v/>
          </cell>
          <cell r="AU768">
            <v>40725</v>
          </cell>
        </row>
        <row r="769">
          <cell r="A769" t="str">
            <v>S16-0766</v>
          </cell>
          <cell r="B769" t="str">
            <v>磐城協立病院_0766</v>
          </cell>
          <cell r="C769" t="e">
            <v>#REF!</v>
          </cell>
          <cell r="D769" t="e">
            <v>#REF!</v>
          </cell>
          <cell r="E769" t="e">
            <v>#REF!</v>
          </cell>
          <cell r="F769" t="e">
            <v>#REF!</v>
          </cell>
          <cell r="G769" t="e">
            <v>#REF!</v>
          </cell>
          <cell r="H769" t="e">
            <v>#REF!</v>
          </cell>
          <cell r="I769" t="e">
            <v>#REF!</v>
          </cell>
          <cell r="K769" t="e">
            <v>#REF!</v>
          </cell>
          <cell r="M769" t="e">
            <v>#REF!</v>
          </cell>
          <cell r="N769" t="e">
            <v>#REF!</v>
          </cell>
          <cell r="O769" t="e">
            <v>#REF!</v>
          </cell>
          <cell r="P769" t="e">
            <v>#REF!</v>
          </cell>
          <cell r="Q769" t="e">
            <v>#REF!</v>
          </cell>
          <cell r="S769" t="e">
            <v>#REF!</v>
          </cell>
          <cell r="T769" t="e">
            <v>#REF!</v>
          </cell>
          <cell r="U769" t="e">
            <v>#REF!</v>
          </cell>
          <cell r="AA769" t="e">
            <v>#REF!</v>
          </cell>
          <cell r="AB769" t="e">
            <v>#REF!</v>
          </cell>
          <cell r="AC769" t="e">
            <v>#REF!</v>
          </cell>
          <cell r="AD769" t="e">
            <v>#REF!</v>
          </cell>
          <cell r="AE769" t="e">
            <v>#REF!</v>
          </cell>
          <cell r="AF769" t="e">
            <v>#REF!</v>
          </cell>
          <cell r="AG769" t="e">
            <v>#REF!</v>
          </cell>
          <cell r="AH769" t="e">
            <v>#REF!</v>
          </cell>
          <cell r="AI769" t="e">
            <v>#REF!</v>
          </cell>
          <cell r="AJ769" t="e">
            <v>#REF!</v>
          </cell>
          <cell r="AK769" t="e">
            <v>#REF!</v>
          </cell>
          <cell r="AL769" t="e">
            <v>#REF!</v>
          </cell>
          <cell r="AM769" t="e">
            <v>#REF!</v>
          </cell>
          <cell r="AN769" t="e">
            <v>#REF!</v>
          </cell>
          <cell r="AO769" t="e">
            <v>#REF!</v>
          </cell>
          <cell r="AP769" t="e">
            <v>#REF!</v>
          </cell>
          <cell r="AQ769" t="e">
            <v>#REF!</v>
          </cell>
          <cell r="AR769" t="e">
            <v>#REF!</v>
          </cell>
          <cell r="AS769" t="e">
            <v>#REF!</v>
          </cell>
          <cell r="AT769" t="e">
            <v>#REF!</v>
          </cell>
          <cell r="AU769" t="e">
            <v>#REF!</v>
          </cell>
        </row>
        <row r="770">
          <cell r="A770" t="str">
            <v>S16-0767</v>
          </cell>
          <cell r="B770" t="str">
            <v>のぞみ鍼灸整骨院_0767 (2)</v>
          </cell>
          <cell r="C770" t="str">
            <v>SR#</v>
          </cell>
          <cell r="D770" t="str">
            <v>2016/10/21-01</v>
          </cell>
          <cell r="E770" t="str">
            <v>有償</v>
          </cell>
          <cell r="F770">
            <v>42682</v>
          </cell>
          <cell r="G770">
            <v>0</v>
          </cell>
          <cell r="H770">
            <v>42710</v>
          </cell>
          <cell r="I770" t="str">
            <v>不明</v>
          </cell>
          <cell r="K770" t="str">
            <v>高橋</v>
          </cell>
          <cell r="L770">
            <v>3</v>
          </cell>
          <cell r="M770" t="str">
            <v>MicroMaxx</v>
          </cell>
          <cell r="N770" t="str">
            <v>WK05QN</v>
          </cell>
          <cell r="O770" t="str">
            <v>P08063-05</v>
          </cell>
          <cell r="P770" t="str">
            <v>株式会社エス・エス・ピー</v>
          </cell>
          <cell r="Q770" t="str">
            <v>中村様</v>
          </cell>
          <cell r="R770" t="str">
            <v>〒305-0853　茨城県つくば市榎戸748-2　榎戸倉庫6スパン</v>
          </cell>
          <cell r="S770" t="str">
            <v>029-839-0349</v>
          </cell>
          <cell r="T770" t="str">
            <v>029-838-0896</v>
          </cell>
          <cell r="U770" t="str">
            <v>のぞみ鍼灸整骨院</v>
          </cell>
          <cell r="V770" t="str">
            <v>-</v>
          </cell>
          <cell r="W770" t="str">
            <v>-</v>
          </cell>
          <cell r="X770" t="str">
            <v>053-545-3383</v>
          </cell>
          <cell r="Y770" t="str">
            <v>〒434-0026　静岡県浜松市浜北区東美薗76</v>
          </cell>
          <cell r="AA770" t="str">
            <v>P05463-01</v>
          </cell>
          <cell r="AB770" t="str">
            <v/>
          </cell>
          <cell r="AC770" t="str">
            <v/>
          </cell>
          <cell r="AD770" t="str">
            <v/>
          </cell>
          <cell r="AE770" t="str">
            <v/>
          </cell>
          <cell r="AF770" t="str">
            <v/>
          </cell>
          <cell r="AG770" t="str">
            <v/>
          </cell>
          <cell r="AH770" t="str">
            <v/>
          </cell>
          <cell r="AI770" t="str">
            <v/>
          </cell>
          <cell r="AJ770" t="str">
            <v/>
          </cell>
          <cell r="AK770" t="str">
            <v>SERVICE ASSEMBLY DISPLAY, MICROMAXX</v>
          </cell>
          <cell r="AL770" t="str">
            <v/>
          </cell>
          <cell r="AM770" t="str">
            <v/>
          </cell>
          <cell r="AN770" t="str">
            <v/>
          </cell>
          <cell r="AO770" t="str">
            <v/>
          </cell>
          <cell r="AP770" t="str">
            <v/>
          </cell>
          <cell r="AQ770" t="str">
            <v/>
          </cell>
          <cell r="AR770" t="str">
            <v/>
          </cell>
          <cell r="AS770" t="str">
            <v/>
          </cell>
          <cell r="AT770" t="str">
            <v/>
          </cell>
          <cell r="AU770">
            <v>40452</v>
          </cell>
        </row>
        <row r="771">
          <cell r="A771" t="str">
            <v>S16-0768</v>
          </cell>
          <cell r="B771" t="str">
            <v>高槻病院_0768 (2)</v>
          </cell>
          <cell r="C771" t="str">
            <v>SR#不要</v>
          </cell>
          <cell r="D771" t="str">
            <v>-</v>
          </cell>
          <cell r="E771" t="str">
            <v>無償</v>
          </cell>
          <cell r="F771">
            <v>42682</v>
          </cell>
          <cell r="G771">
            <v>0</v>
          </cell>
          <cell r="H771">
            <v>42704</v>
          </cell>
          <cell r="I771">
            <v>41372</v>
          </cell>
          <cell r="K771">
            <v>0</v>
          </cell>
          <cell r="M771" t="str">
            <v>NanoMaxx</v>
          </cell>
          <cell r="N771" t="str">
            <v>03T9KD</v>
          </cell>
          <cell r="O771" t="str">
            <v>P12700-06</v>
          </cell>
          <cell r="P771" t="str">
            <v>日本コヴィディエン株式会社　大阪営業所</v>
          </cell>
          <cell r="Q771" t="str">
            <v>草野様</v>
          </cell>
          <cell r="R771" t="str">
            <v>〒108-0075  東京都港区港南一丁目2番70号　品川シーズンテラス　22F</v>
          </cell>
          <cell r="S771" t="str">
            <v>03-6774-4629</v>
          </cell>
          <cell r="T771" t="str">
            <v>03-6774-4740</v>
          </cell>
          <cell r="U771" t="str">
            <v>愛仁会　高槻病院　</v>
          </cell>
          <cell r="AA771" t="str">
            <v/>
          </cell>
          <cell r="AB771" t="str">
            <v/>
          </cell>
          <cell r="AC771" t="str">
            <v/>
          </cell>
          <cell r="AD771" t="str">
            <v/>
          </cell>
          <cell r="AE771" t="str">
            <v/>
          </cell>
          <cell r="AF771" t="str">
            <v/>
          </cell>
          <cell r="AG771" t="str">
            <v/>
          </cell>
          <cell r="AH771" t="str">
            <v/>
          </cell>
          <cell r="AI771" t="str">
            <v/>
          </cell>
          <cell r="AJ771" t="str">
            <v/>
          </cell>
          <cell r="AK771" t="str">
            <v/>
          </cell>
          <cell r="AL771" t="str">
            <v/>
          </cell>
          <cell r="AM771" t="str">
            <v/>
          </cell>
          <cell r="AN771" t="str">
            <v/>
          </cell>
          <cell r="AO771" t="str">
            <v/>
          </cell>
          <cell r="AP771" t="str">
            <v/>
          </cell>
          <cell r="AQ771" t="str">
            <v/>
          </cell>
          <cell r="AR771" t="str">
            <v/>
          </cell>
          <cell r="AS771" t="str">
            <v/>
          </cell>
          <cell r="AT771" t="str">
            <v/>
          </cell>
          <cell r="AU771">
            <v>41244</v>
          </cell>
        </row>
        <row r="772">
          <cell r="A772" t="str">
            <v>S16-0769</v>
          </cell>
          <cell r="B772" t="str">
            <v>市立池田病院_0769</v>
          </cell>
          <cell r="C772" t="e">
            <v>#REF!</v>
          </cell>
          <cell r="D772" t="e">
            <v>#REF!</v>
          </cell>
          <cell r="E772" t="e">
            <v>#REF!</v>
          </cell>
          <cell r="F772" t="e">
            <v>#REF!</v>
          </cell>
          <cell r="G772" t="e">
            <v>#REF!</v>
          </cell>
          <cell r="H772" t="e">
            <v>#REF!</v>
          </cell>
          <cell r="I772" t="e">
            <v>#REF!</v>
          </cell>
          <cell r="K772" t="e">
            <v>#REF!</v>
          </cell>
          <cell r="M772" t="e">
            <v>#REF!</v>
          </cell>
          <cell r="N772" t="e">
            <v>#REF!</v>
          </cell>
          <cell r="O772" t="e">
            <v>#REF!</v>
          </cell>
          <cell r="P772" t="e">
            <v>#REF!</v>
          </cell>
          <cell r="Q772" t="e">
            <v>#REF!</v>
          </cell>
          <cell r="S772" t="e">
            <v>#REF!</v>
          </cell>
          <cell r="T772" t="e">
            <v>#REF!</v>
          </cell>
          <cell r="U772" t="e">
            <v>#REF!</v>
          </cell>
          <cell r="AA772" t="e">
            <v>#REF!</v>
          </cell>
          <cell r="AB772" t="e">
            <v>#REF!</v>
          </cell>
          <cell r="AC772" t="e">
            <v>#REF!</v>
          </cell>
          <cell r="AD772" t="e">
            <v>#REF!</v>
          </cell>
          <cell r="AE772" t="e">
            <v>#REF!</v>
          </cell>
          <cell r="AF772" t="e">
            <v>#REF!</v>
          </cell>
          <cell r="AG772" t="e">
            <v>#REF!</v>
          </cell>
          <cell r="AH772" t="e">
            <v>#REF!</v>
          </cell>
          <cell r="AI772" t="e">
            <v>#REF!</v>
          </cell>
          <cell r="AJ772" t="e">
            <v>#REF!</v>
          </cell>
          <cell r="AK772" t="e">
            <v>#REF!</v>
          </cell>
          <cell r="AL772" t="e">
            <v>#REF!</v>
          </cell>
          <cell r="AM772" t="e">
            <v>#REF!</v>
          </cell>
          <cell r="AN772" t="e">
            <v>#REF!</v>
          </cell>
          <cell r="AO772" t="e">
            <v>#REF!</v>
          </cell>
          <cell r="AP772" t="e">
            <v>#REF!</v>
          </cell>
          <cell r="AQ772" t="e">
            <v>#REF!</v>
          </cell>
          <cell r="AR772" t="e">
            <v>#REF!</v>
          </cell>
          <cell r="AS772" t="e">
            <v>#REF!</v>
          </cell>
          <cell r="AT772" t="e">
            <v>#REF!</v>
          </cell>
          <cell r="AU772" t="e">
            <v>#REF!</v>
          </cell>
        </row>
        <row r="773">
          <cell r="A773" t="str">
            <v>S16-0770</v>
          </cell>
          <cell r="B773" t="str">
            <v>デモ機FJY3_770</v>
          </cell>
          <cell r="C773" t="e">
            <v>#REF!</v>
          </cell>
          <cell r="D773" t="e">
            <v>#REF!</v>
          </cell>
          <cell r="E773" t="e">
            <v>#REF!</v>
          </cell>
          <cell r="F773" t="e">
            <v>#REF!</v>
          </cell>
          <cell r="G773" t="e">
            <v>#REF!</v>
          </cell>
          <cell r="H773" t="e">
            <v>#REF!</v>
          </cell>
          <cell r="I773" t="e">
            <v>#REF!</v>
          </cell>
          <cell r="K773" t="e">
            <v>#REF!</v>
          </cell>
          <cell r="M773" t="e">
            <v>#REF!</v>
          </cell>
          <cell r="N773" t="e">
            <v>#REF!</v>
          </cell>
          <cell r="O773" t="e">
            <v>#REF!</v>
          </cell>
          <cell r="P773" t="e">
            <v>#REF!</v>
          </cell>
          <cell r="Q773" t="e">
            <v>#REF!</v>
          </cell>
          <cell r="S773" t="e">
            <v>#REF!</v>
          </cell>
          <cell r="T773" t="e">
            <v>#REF!</v>
          </cell>
          <cell r="U773" t="e">
            <v>#REF!</v>
          </cell>
          <cell r="AA773" t="e">
            <v>#REF!</v>
          </cell>
          <cell r="AB773" t="e">
            <v>#REF!</v>
          </cell>
          <cell r="AC773" t="e">
            <v>#REF!</v>
          </cell>
          <cell r="AD773" t="e">
            <v>#REF!</v>
          </cell>
          <cell r="AE773" t="e">
            <v>#REF!</v>
          </cell>
          <cell r="AF773" t="e">
            <v>#REF!</v>
          </cell>
          <cell r="AG773" t="e">
            <v>#REF!</v>
          </cell>
          <cell r="AH773" t="e">
            <v>#REF!</v>
          </cell>
          <cell r="AI773" t="e">
            <v>#REF!</v>
          </cell>
          <cell r="AJ773" t="e">
            <v>#REF!</v>
          </cell>
          <cell r="AK773" t="e">
            <v>#REF!</v>
          </cell>
          <cell r="AL773" t="e">
            <v>#REF!</v>
          </cell>
          <cell r="AM773" t="e">
            <v>#REF!</v>
          </cell>
          <cell r="AN773" t="e">
            <v>#REF!</v>
          </cell>
          <cell r="AO773" t="e">
            <v>#REF!</v>
          </cell>
          <cell r="AP773" t="e">
            <v>#REF!</v>
          </cell>
          <cell r="AQ773" t="e">
            <v>#REF!</v>
          </cell>
          <cell r="AR773" t="e">
            <v>#REF!</v>
          </cell>
          <cell r="AS773" t="e">
            <v>#REF!</v>
          </cell>
          <cell r="AT773" t="e">
            <v>#REF!</v>
          </cell>
          <cell r="AU773" t="e">
            <v>#REF!</v>
          </cell>
        </row>
        <row r="774">
          <cell r="A774" t="str">
            <v>S16-0771</v>
          </cell>
          <cell r="B774" t="str">
            <v>獨協医科大学越谷病院_0771</v>
          </cell>
          <cell r="C774" t="e">
            <v>#REF!</v>
          </cell>
          <cell r="D774" t="e">
            <v>#REF!</v>
          </cell>
          <cell r="E774" t="e">
            <v>#REF!</v>
          </cell>
          <cell r="F774" t="e">
            <v>#REF!</v>
          </cell>
          <cell r="G774" t="e">
            <v>#REF!</v>
          </cell>
          <cell r="H774" t="e">
            <v>#REF!</v>
          </cell>
          <cell r="I774" t="e">
            <v>#REF!</v>
          </cell>
          <cell r="K774" t="e">
            <v>#REF!</v>
          </cell>
          <cell r="M774" t="e">
            <v>#REF!</v>
          </cell>
          <cell r="N774" t="e">
            <v>#REF!</v>
          </cell>
          <cell r="O774" t="e">
            <v>#REF!</v>
          </cell>
          <cell r="P774" t="e">
            <v>#REF!</v>
          </cell>
          <cell r="Q774" t="e">
            <v>#REF!</v>
          </cell>
          <cell r="S774" t="e">
            <v>#REF!</v>
          </cell>
          <cell r="T774" t="e">
            <v>#REF!</v>
          </cell>
          <cell r="U774" t="e">
            <v>#REF!</v>
          </cell>
          <cell r="AA774" t="e">
            <v>#REF!</v>
          </cell>
          <cell r="AB774" t="e">
            <v>#REF!</v>
          </cell>
          <cell r="AC774" t="e">
            <v>#REF!</v>
          </cell>
          <cell r="AD774" t="e">
            <v>#REF!</v>
          </cell>
          <cell r="AE774" t="e">
            <v>#REF!</v>
          </cell>
          <cell r="AF774" t="e">
            <v>#REF!</v>
          </cell>
          <cell r="AG774" t="e">
            <v>#REF!</v>
          </cell>
          <cell r="AH774" t="e">
            <v>#REF!</v>
          </cell>
          <cell r="AI774" t="e">
            <v>#REF!</v>
          </cell>
          <cell r="AJ774" t="e">
            <v>#REF!</v>
          </cell>
          <cell r="AK774" t="e">
            <v>#REF!</v>
          </cell>
          <cell r="AL774" t="e">
            <v>#REF!</v>
          </cell>
          <cell r="AM774" t="e">
            <v>#REF!</v>
          </cell>
          <cell r="AN774" t="e">
            <v>#REF!</v>
          </cell>
          <cell r="AO774" t="e">
            <v>#REF!</v>
          </cell>
          <cell r="AP774" t="e">
            <v>#REF!</v>
          </cell>
          <cell r="AQ774" t="e">
            <v>#REF!</v>
          </cell>
          <cell r="AR774" t="e">
            <v>#REF!</v>
          </cell>
          <cell r="AS774" t="e">
            <v>#REF!</v>
          </cell>
          <cell r="AT774" t="e">
            <v>#REF!</v>
          </cell>
          <cell r="AU774" t="e">
            <v>#REF!</v>
          </cell>
        </row>
        <row r="775">
          <cell r="A775" t="str">
            <v>S16-0772</v>
          </cell>
          <cell r="B775" t="str">
            <v>和田病院_0772</v>
          </cell>
          <cell r="C775" t="e">
            <v>#REF!</v>
          </cell>
          <cell r="D775" t="e">
            <v>#REF!</v>
          </cell>
          <cell r="E775" t="e">
            <v>#REF!</v>
          </cell>
          <cell r="F775" t="e">
            <v>#REF!</v>
          </cell>
          <cell r="G775" t="e">
            <v>#REF!</v>
          </cell>
          <cell r="H775" t="e">
            <v>#REF!</v>
          </cell>
          <cell r="I775" t="e">
            <v>#REF!</v>
          </cell>
          <cell r="K775" t="e">
            <v>#REF!</v>
          </cell>
          <cell r="M775" t="e">
            <v>#REF!</v>
          </cell>
          <cell r="N775" t="e">
            <v>#REF!</v>
          </cell>
          <cell r="O775" t="e">
            <v>#REF!</v>
          </cell>
          <cell r="P775" t="e">
            <v>#REF!</v>
          </cell>
          <cell r="Q775" t="e">
            <v>#REF!</v>
          </cell>
          <cell r="S775" t="e">
            <v>#REF!</v>
          </cell>
          <cell r="T775" t="e">
            <v>#REF!</v>
          </cell>
          <cell r="U775" t="e">
            <v>#REF!</v>
          </cell>
          <cell r="AA775" t="e">
            <v>#REF!</v>
          </cell>
          <cell r="AB775" t="e">
            <v>#REF!</v>
          </cell>
          <cell r="AC775" t="e">
            <v>#REF!</v>
          </cell>
          <cell r="AD775" t="e">
            <v>#REF!</v>
          </cell>
          <cell r="AE775" t="e">
            <v>#REF!</v>
          </cell>
          <cell r="AF775" t="e">
            <v>#REF!</v>
          </cell>
          <cell r="AG775" t="e">
            <v>#REF!</v>
          </cell>
          <cell r="AH775" t="e">
            <v>#REF!</v>
          </cell>
          <cell r="AI775" t="e">
            <v>#REF!</v>
          </cell>
          <cell r="AJ775" t="e">
            <v>#REF!</v>
          </cell>
          <cell r="AK775" t="e">
            <v>#REF!</v>
          </cell>
          <cell r="AL775" t="e">
            <v>#REF!</v>
          </cell>
          <cell r="AM775" t="e">
            <v>#REF!</v>
          </cell>
          <cell r="AN775" t="e">
            <v>#REF!</v>
          </cell>
          <cell r="AO775" t="e">
            <v>#REF!</v>
          </cell>
          <cell r="AP775" t="e">
            <v>#REF!</v>
          </cell>
          <cell r="AQ775" t="e">
            <v>#REF!</v>
          </cell>
          <cell r="AR775" t="e">
            <v>#REF!</v>
          </cell>
          <cell r="AS775" t="e">
            <v>#REF!</v>
          </cell>
          <cell r="AT775" t="e">
            <v>#REF!</v>
          </cell>
          <cell r="AU775" t="e">
            <v>#REF!</v>
          </cell>
        </row>
        <row r="776">
          <cell r="A776" t="str">
            <v>S16-0773</v>
          </cell>
          <cell r="B776" t="str">
            <v>東北労災病院_0773</v>
          </cell>
          <cell r="C776" t="e">
            <v>#REF!</v>
          </cell>
          <cell r="D776" t="e">
            <v>#REF!</v>
          </cell>
          <cell r="E776" t="e">
            <v>#REF!</v>
          </cell>
          <cell r="F776" t="e">
            <v>#REF!</v>
          </cell>
          <cell r="G776" t="e">
            <v>#REF!</v>
          </cell>
          <cell r="H776" t="e">
            <v>#REF!</v>
          </cell>
          <cell r="I776" t="e">
            <v>#REF!</v>
          </cell>
          <cell r="K776" t="e">
            <v>#REF!</v>
          </cell>
          <cell r="M776" t="e">
            <v>#REF!</v>
          </cell>
          <cell r="N776" t="e">
            <v>#REF!</v>
          </cell>
          <cell r="O776" t="e">
            <v>#REF!</v>
          </cell>
          <cell r="P776" t="e">
            <v>#REF!</v>
          </cell>
          <cell r="Q776" t="e">
            <v>#REF!</v>
          </cell>
          <cell r="S776" t="e">
            <v>#REF!</v>
          </cell>
          <cell r="T776" t="e">
            <v>#REF!</v>
          </cell>
          <cell r="U776" t="e">
            <v>#REF!</v>
          </cell>
          <cell r="AA776" t="e">
            <v>#REF!</v>
          </cell>
          <cell r="AB776" t="e">
            <v>#REF!</v>
          </cell>
          <cell r="AC776" t="e">
            <v>#REF!</v>
          </cell>
          <cell r="AD776" t="e">
            <v>#REF!</v>
          </cell>
          <cell r="AE776" t="e">
            <v>#REF!</v>
          </cell>
          <cell r="AF776" t="e">
            <v>#REF!</v>
          </cell>
          <cell r="AG776" t="e">
            <v>#REF!</v>
          </cell>
          <cell r="AH776" t="e">
            <v>#REF!</v>
          </cell>
          <cell r="AI776" t="e">
            <v>#REF!</v>
          </cell>
          <cell r="AJ776" t="e">
            <v>#REF!</v>
          </cell>
          <cell r="AK776" t="e">
            <v>#REF!</v>
          </cell>
          <cell r="AL776" t="e">
            <v>#REF!</v>
          </cell>
          <cell r="AM776" t="e">
            <v>#REF!</v>
          </cell>
          <cell r="AN776" t="e">
            <v>#REF!</v>
          </cell>
          <cell r="AO776" t="e">
            <v>#REF!</v>
          </cell>
          <cell r="AP776" t="e">
            <v>#REF!</v>
          </cell>
          <cell r="AQ776" t="e">
            <v>#REF!</v>
          </cell>
          <cell r="AR776" t="e">
            <v>#REF!</v>
          </cell>
          <cell r="AS776" t="e">
            <v>#REF!</v>
          </cell>
          <cell r="AT776" t="e">
            <v>#REF!</v>
          </cell>
          <cell r="AU776" t="e">
            <v>#REF!</v>
          </cell>
        </row>
        <row r="777">
          <cell r="A777" t="str">
            <v>S16-0774</v>
          </cell>
          <cell r="B777" t="str">
            <v>大阪市立大学病院_0774</v>
          </cell>
          <cell r="C777" t="e">
            <v>#REF!</v>
          </cell>
          <cell r="D777" t="e">
            <v>#REF!</v>
          </cell>
          <cell r="E777" t="e">
            <v>#REF!</v>
          </cell>
          <cell r="F777" t="e">
            <v>#REF!</v>
          </cell>
          <cell r="G777" t="e">
            <v>#REF!</v>
          </cell>
          <cell r="H777" t="e">
            <v>#REF!</v>
          </cell>
          <cell r="I777" t="e">
            <v>#REF!</v>
          </cell>
          <cell r="K777" t="e">
            <v>#REF!</v>
          </cell>
          <cell r="M777" t="e">
            <v>#REF!</v>
          </cell>
          <cell r="N777" t="e">
            <v>#REF!</v>
          </cell>
          <cell r="O777" t="e">
            <v>#REF!</v>
          </cell>
          <cell r="P777" t="e">
            <v>#REF!</v>
          </cell>
          <cell r="Q777" t="e">
            <v>#REF!</v>
          </cell>
          <cell r="S777" t="e">
            <v>#REF!</v>
          </cell>
          <cell r="T777" t="e">
            <v>#REF!</v>
          </cell>
          <cell r="U777" t="e">
            <v>#REF!</v>
          </cell>
          <cell r="AA777" t="e">
            <v>#REF!</v>
          </cell>
          <cell r="AB777" t="e">
            <v>#REF!</v>
          </cell>
          <cell r="AC777" t="e">
            <v>#REF!</v>
          </cell>
          <cell r="AD777" t="e">
            <v>#REF!</v>
          </cell>
          <cell r="AE777" t="e">
            <v>#REF!</v>
          </cell>
          <cell r="AF777" t="e">
            <v>#REF!</v>
          </cell>
          <cell r="AG777" t="e">
            <v>#REF!</v>
          </cell>
          <cell r="AH777" t="e">
            <v>#REF!</v>
          </cell>
          <cell r="AI777" t="e">
            <v>#REF!</v>
          </cell>
          <cell r="AJ777" t="e">
            <v>#REF!</v>
          </cell>
          <cell r="AK777" t="e">
            <v>#REF!</v>
          </cell>
          <cell r="AL777" t="e">
            <v>#REF!</v>
          </cell>
          <cell r="AM777" t="e">
            <v>#REF!</v>
          </cell>
          <cell r="AN777" t="e">
            <v>#REF!</v>
          </cell>
          <cell r="AO777" t="e">
            <v>#REF!</v>
          </cell>
          <cell r="AP777" t="e">
            <v>#REF!</v>
          </cell>
          <cell r="AQ777" t="e">
            <v>#REF!</v>
          </cell>
          <cell r="AR777" t="e">
            <v>#REF!</v>
          </cell>
          <cell r="AS777" t="e">
            <v>#REF!</v>
          </cell>
          <cell r="AT777" t="e">
            <v>#REF!</v>
          </cell>
          <cell r="AU777" t="e">
            <v>#REF!</v>
          </cell>
        </row>
        <row r="778">
          <cell r="A778" t="str">
            <v>S16-0775</v>
          </cell>
          <cell r="B778" t="str">
            <v>熊本大学医学部附属病院_0775</v>
          </cell>
          <cell r="C778" t="e">
            <v>#REF!</v>
          </cell>
          <cell r="D778" t="e">
            <v>#REF!</v>
          </cell>
          <cell r="E778" t="e">
            <v>#REF!</v>
          </cell>
          <cell r="F778" t="e">
            <v>#REF!</v>
          </cell>
          <cell r="G778" t="e">
            <v>#REF!</v>
          </cell>
          <cell r="H778" t="e">
            <v>#REF!</v>
          </cell>
          <cell r="I778" t="e">
            <v>#REF!</v>
          </cell>
          <cell r="K778" t="e">
            <v>#REF!</v>
          </cell>
          <cell r="M778" t="e">
            <v>#REF!</v>
          </cell>
          <cell r="N778" t="e">
            <v>#REF!</v>
          </cell>
          <cell r="O778" t="e">
            <v>#REF!</v>
          </cell>
          <cell r="P778" t="e">
            <v>#REF!</v>
          </cell>
          <cell r="Q778" t="e">
            <v>#REF!</v>
          </cell>
          <cell r="S778" t="e">
            <v>#REF!</v>
          </cell>
          <cell r="T778" t="e">
            <v>#REF!</v>
          </cell>
          <cell r="U778" t="e">
            <v>#REF!</v>
          </cell>
          <cell r="AA778" t="e">
            <v>#REF!</v>
          </cell>
          <cell r="AB778" t="e">
            <v>#REF!</v>
          </cell>
          <cell r="AC778" t="e">
            <v>#REF!</v>
          </cell>
          <cell r="AD778" t="e">
            <v>#REF!</v>
          </cell>
          <cell r="AE778" t="e">
            <v>#REF!</v>
          </cell>
          <cell r="AF778" t="e">
            <v>#REF!</v>
          </cell>
          <cell r="AG778" t="e">
            <v>#REF!</v>
          </cell>
          <cell r="AH778" t="e">
            <v>#REF!</v>
          </cell>
          <cell r="AI778" t="e">
            <v>#REF!</v>
          </cell>
          <cell r="AJ778" t="e">
            <v>#REF!</v>
          </cell>
          <cell r="AK778" t="e">
            <v>#REF!</v>
          </cell>
          <cell r="AL778" t="e">
            <v>#REF!</v>
          </cell>
          <cell r="AM778" t="e">
            <v>#REF!</v>
          </cell>
          <cell r="AN778" t="e">
            <v>#REF!</v>
          </cell>
          <cell r="AO778" t="e">
            <v>#REF!</v>
          </cell>
          <cell r="AP778" t="e">
            <v>#REF!</v>
          </cell>
          <cell r="AQ778" t="e">
            <v>#REF!</v>
          </cell>
          <cell r="AR778" t="e">
            <v>#REF!</v>
          </cell>
          <cell r="AS778" t="e">
            <v>#REF!</v>
          </cell>
          <cell r="AT778" t="e">
            <v>#REF!</v>
          </cell>
          <cell r="AU778" t="e">
            <v>#REF!</v>
          </cell>
        </row>
        <row r="779">
          <cell r="A779" t="str">
            <v>S16-0776</v>
          </cell>
          <cell r="B779" t="str">
            <v>大分記念病院_0776</v>
          </cell>
          <cell r="C779" t="e">
            <v>#REF!</v>
          </cell>
          <cell r="D779" t="e">
            <v>#REF!</v>
          </cell>
          <cell r="E779" t="e">
            <v>#REF!</v>
          </cell>
          <cell r="F779" t="e">
            <v>#REF!</v>
          </cell>
          <cell r="G779" t="e">
            <v>#REF!</v>
          </cell>
          <cell r="H779" t="e">
            <v>#REF!</v>
          </cell>
          <cell r="I779" t="e">
            <v>#REF!</v>
          </cell>
          <cell r="K779" t="e">
            <v>#REF!</v>
          </cell>
          <cell r="M779" t="e">
            <v>#REF!</v>
          </cell>
          <cell r="N779" t="e">
            <v>#REF!</v>
          </cell>
          <cell r="O779" t="e">
            <v>#REF!</v>
          </cell>
          <cell r="P779" t="e">
            <v>#REF!</v>
          </cell>
          <cell r="Q779" t="e">
            <v>#REF!</v>
          </cell>
          <cell r="S779" t="e">
            <v>#REF!</v>
          </cell>
          <cell r="T779" t="e">
            <v>#REF!</v>
          </cell>
          <cell r="U779" t="e">
            <v>#REF!</v>
          </cell>
          <cell r="AA779" t="e">
            <v>#REF!</v>
          </cell>
          <cell r="AB779" t="e">
            <v>#REF!</v>
          </cell>
          <cell r="AC779" t="e">
            <v>#REF!</v>
          </cell>
          <cell r="AD779" t="e">
            <v>#REF!</v>
          </cell>
          <cell r="AE779" t="e">
            <v>#REF!</v>
          </cell>
          <cell r="AF779" t="e">
            <v>#REF!</v>
          </cell>
          <cell r="AG779" t="e">
            <v>#REF!</v>
          </cell>
          <cell r="AH779" t="e">
            <v>#REF!</v>
          </cell>
          <cell r="AI779" t="e">
            <v>#REF!</v>
          </cell>
          <cell r="AJ779" t="e">
            <v>#REF!</v>
          </cell>
          <cell r="AK779" t="e">
            <v>#REF!</v>
          </cell>
          <cell r="AL779" t="e">
            <v>#REF!</v>
          </cell>
          <cell r="AM779" t="e">
            <v>#REF!</v>
          </cell>
          <cell r="AN779" t="e">
            <v>#REF!</v>
          </cell>
          <cell r="AO779" t="e">
            <v>#REF!</v>
          </cell>
          <cell r="AP779" t="e">
            <v>#REF!</v>
          </cell>
          <cell r="AQ779" t="e">
            <v>#REF!</v>
          </cell>
          <cell r="AR779" t="e">
            <v>#REF!</v>
          </cell>
          <cell r="AS779" t="e">
            <v>#REF!</v>
          </cell>
          <cell r="AT779" t="e">
            <v>#REF!</v>
          </cell>
          <cell r="AU779" t="e">
            <v>#REF!</v>
          </cell>
        </row>
        <row r="780">
          <cell r="A780" t="str">
            <v>S16-0777</v>
          </cell>
          <cell r="B780" t="str">
            <v>日本赤十字社和歌山医療センター_0777</v>
          </cell>
          <cell r="C780" t="e">
            <v>#REF!</v>
          </cell>
          <cell r="D780" t="e">
            <v>#REF!</v>
          </cell>
          <cell r="E780" t="e">
            <v>#REF!</v>
          </cell>
          <cell r="F780" t="e">
            <v>#REF!</v>
          </cell>
          <cell r="G780" t="e">
            <v>#REF!</v>
          </cell>
          <cell r="H780" t="e">
            <v>#REF!</v>
          </cell>
          <cell r="I780" t="e">
            <v>#REF!</v>
          </cell>
          <cell r="K780" t="e">
            <v>#REF!</v>
          </cell>
          <cell r="M780" t="e">
            <v>#REF!</v>
          </cell>
          <cell r="N780" t="e">
            <v>#REF!</v>
          </cell>
          <cell r="O780" t="e">
            <v>#REF!</v>
          </cell>
          <cell r="P780" t="e">
            <v>#REF!</v>
          </cell>
          <cell r="Q780" t="e">
            <v>#REF!</v>
          </cell>
          <cell r="S780" t="e">
            <v>#REF!</v>
          </cell>
          <cell r="T780" t="e">
            <v>#REF!</v>
          </cell>
          <cell r="U780" t="e">
            <v>#REF!</v>
          </cell>
          <cell r="AA780" t="e">
            <v>#REF!</v>
          </cell>
          <cell r="AB780" t="e">
            <v>#REF!</v>
          </cell>
          <cell r="AC780" t="e">
            <v>#REF!</v>
          </cell>
          <cell r="AD780" t="e">
            <v>#REF!</v>
          </cell>
          <cell r="AE780" t="e">
            <v>#REF!</v>
          </cell>
          <cell r="AF780" t="e">
            <v>#REF!</v>
          </cell>
          <cell r="AG780" t="e">
            <v>#REF!</v>
          </cell>
          <cell r="AH780" t="e">
            <v>#REF!</v>
          </cell>
          <cell r="AI780" t="e">
            <v>#REF!</v>
          </cell>
          <cell r="AJ780" t="e">
            <v>#REF!</v>
          </cell>
          <cell r="AK780" t="e">
            <v>#REF!</v>
          </cell>
          <cell r="AL780" t="e">
            <v>#REF!</v>
          </cell>
          <cell r="AM780" t="e">
            <v>#REF!</v>
          </cell>
          <cell r="AN780" t="e">
            <v>#REF!</v>
          </cell>
          <cell r="AO780" t="e">
            <v>#REF!</v>
          </cell>
          <cell r="AP780" t="e">
            <v>#REF!</v>
          </cell>
          <cell r="AQ780" t="e">
            <v>#REF!</v>
          </cell>
          <cell r="AR780" t="e">
            <v>#REF!</v>
          </cell>
          <cell r="AS780" t="e">
            <v>#REF!</v>
          </cell>
          <cell r="AT780" t="e">
            <v>#REF!</v>
          </cell>
          <cell r="AU780" t="e">
            <v>#REF!</v>
          </cell>
        </row>
        <row r="781">
          <cell r="A781" t="str">
            <v>S16-0778</v>
          </cell>
          <cell r="B781" t="str">
            <v>南部徳洲会病院_0778 (2)</v>
          </cell>
          <cell r="C781" t="str">
            <v>SR#不要</v>
          </cell>
          <cell r="D781" t="str">
            <v>2016/11/08-02</v>
          </cell>
          <cell r="E781" t="str">
            <v>無償</v>
          </cell>
          <cell r="F781">
            <v>42684</v>
          </cell>
          <cell r="G781">
            <v>0</v>
          </cell>
          <cell r="H781">
            <v>42691</v>
          </cell>
          <cell r="I781" t="str">
            <v>不明</v>
          </cell>
          <cell r="K781" t="str">
            <v>高橋</v>
          </cell>
          <cell r="L781">
            <v>3</v>
          </cell>
          <cell r="M781" t="str">
            <v>MicroMaxx</v>
          </cell>
          <cell r="N781" t="str">
            <v>WK1TRC</v>
          </cell>
          <cell r="O781" t="str">
            <v>P08063-07</v>
          </cell>
          <cell r="P781" t="str">
            <v>アイティーアイ株式会社　沖縄支店</v>
          </cell>
          <cell r="Q781" t="str">
            <v>佐野様</v>
          </cell>
          <cell r="R781" t="str">
            <v>〒900-0001　沖縄県那覇市港町2-9-5</v>
          </cell>
          <cell r="S781" t="str">
            <v>098-869-2281</v>
          </cell>
          <cell r="T781" t="str">
            <v>098-869-2282</v>
          </cell>
          <cell r="U781" t="str">
            <v>南部徳洲会病院　MEセンター（ER）</v>
          </cell>
          <cell r="V781" t="str">
            <v>宮国様</v>
          </cell>
          <cell r="W781" t="str">
            <v>MEセンター(ER)</v>
          </cell>
          <cell r="X781" t="str">
            <v>098-998-3221</v>
          </cell>
          <cell r="Y781" t="str">
            <v>〒901-0417 沖縄県島尻郡八重瀬町外間171-1</v>
          </cell>
          <cell r="AA781" t="str">
            <v/>
          </cell>
          <cell r="AB781" t="str">
            <v/>
          </cell>
          <cell r="AC781" t="str">
            <v/>
          </cell>
          <cell r="AD781" t="str">
            <v/>
          </cell>
          <cell r="AE781" t="str">
            <v/>
          </cell>
          <cell r="AF781" t="str">
            <v/>
          </cell>
          <cell r="AG781" t="str">
            <v/>
          </cell>
          <cell r="AH781" t="str">
            <v/>
          </cell>
          <cell r="AI781" t="str">
            <v/>
          </cell>
          <cell r="AJ781" t="str">
            <v/>
          </cell>
          <cell r="AK781" t="str">
            <v/>
          </cell>
          <cell r="AL781" t="str">
            <v/>
          </cell>
          <cell r="AM781" t="str">
            <v/>
          </cell>
          <cell r="AN781" t="str">
            <v/>
          </cell>
          <cell r="AO781" t="str">
            <v/>
          </cell>
          <cell r="AP781" t="str">
            <v/>
          </cell>
          <cell r="AQ781" t="str">
            <v/>
          </cell>
          <cell r="AR781" t="str">
            <v/>
          </cell>
          <cell r="AS781" t="str">
            <v/>
          </cell>
          <cell r="AT781" t="str">
            <v/>
          </cell>
          <cell r="AU781">
            <v>41426</v>
          </cell>
        </row>
        <row r="782">
          <cell r="A782" t="str">
            <v>S16-0779</v>
          </cell>
          <cell r="B782" t="str">
            <v>北里大学病院_0779</v>
          </cell>
          <cell r="C782" t="e">
            <v>#REF!</v>
          </cell>
          <cell r="D782" t="e">
            <v>#REF!</v>
          </cell>
          <cell r="E782" t="e">
            <v>#REF!</v>
          </cell>
          <cell r="F782" t="e">
            <v>#REF!</v>
          </cell>
          <cell r="G782" t="e">
            <v>#REF!</v>
          </cell>
          <cell r="H782" t="e">
            <v>#REF!</v>
          </cell>
          <cell r="I782" t="e">
            <v>#REF!</v>
          </cell>
          <cell r="K782" t="e">
            <v>#REF!</v>
          </cell>
          <cell r="M782" t="e">
            <v>#REF!</v>
          </cell>
          <cell r="N782" t="e">
            <v>#REF!</v>
          </cell>
          <cell r="O782" t="e">
            <v>#REF!</v>
          </cell>
          <cell r="P782" t="e">
            <v>#REF!</v>
          </cell>
          <cell r="Q782" t="e">
            <v>#REF!</v>
          </cell>
          <cell r="S782" t="e">
            <v>#REF!</v>
          </cell>
          <cell r="T782" t="e">
            <v>#REF!</v>
          </cell>
          <cell r="U782" t="e">
            <v>#REF!</v>
          </cell>
          <cell r="AA782" t="e">
            <v>#REF!</v>
          </cell>
          <cell r="AB782" t="e">
            <v>#REF!</v>
          </cell>
          <cell r="AC782" t="e">
            <v>#REF!</v>
          </cell>
          <cell r="AD782" t="e">
            <v>#REF!</v>
          </cell>
          <cell r="AE782" t="e">
            <v>#REF!</v>
          </cell>
          <cell r="AF782" t="e">
            <v>#REF!</v>
          </cell>
          <cell r="AG782" t="e">
            <v>#REF!</v>
          </cell>
          <cell r="AH782" t="e">
            <v>#REF!</v>
          </cell>
          <cell r="AI782" t="e">
            <v>#REF!</v>
          </cell>
          <cell r="AJ782" t="e">
            <v>#REF!</v>
          </cell>
          <cell r="AK782" t="e">
            <v>#REF!</v>
          </cell>
          <cell r="AL782" t="e">
            <v>#REF!</v>
          </cell>
          <cell r="AM782" t="e">
            <v>#REF!</v>
          </cell>
          <cell r="AN782" t="e">
            <v>#REF!</v>
          </cell>
          <cell r="AO782" t="e">
            <v>#REF!</v>
          </cell>
          <cell r="AP782" t="e">
            <v>#REF!</v>
          </cell>
          <cell r="AQ782" t="e">
            <v>#REF!</v>
          </cell>
          <cell r="AR782" t="e">
            <v>#REF!</v>
          </cell>
          <cell r="AS782" t="e">
            <v>#REF!</v>
          </cell>
          <cell r="AT782" t="e">
            <v>#REF!</v>
          </cell>
          <cell r="AU782" t="e">
            <v>#REF!</v>
          </cell>
        </row>
        <row r="783">
          <cell r="A783" t="str">
            <v>S16-0780</v>
          </cell>
          <cell r="B783" t="str">
            <v>はるこま皮膚科形成外科_0780 (2)</v>
          </cell>
          <cell r="C783" t="str">
            <v>SR#</v>
          </cell>
          <cell r="D783" t="str">
            <v>2016/10/28-06</v>
          </cell>
          <cell r="E783" t="str">
            <v>有償</v>
          </cell>
          <cell r="F783">
            <v>42685</v>
          </cell>
          <cell r="G783">
            <v>0</v>
          </cell>
          <cell r="H783">
            <v>42703</v>
          </cell>
          <cell r="I783">
            <v>39687</v>
          </cell>
          <cell r="K783" t="str">
            <v>高橋</v>
          </cell>
          <cell r="L783">
            <v>3</v>
          </cell>
          <cell r="M783" t="str">
            <v>180Ⅱ</v>
          </cell>
          <cell r="N783" t="str">
            <v>0206ZQ</v>
          </cell>
          <cell r="O783" t="str">
            <v>P02456-02</v>
          </cell>
          <cell r="P783" t="str">
            <v>施設直接依頼分</v>
          </cell>
          <cell r="Q783" t="str">
            <v>院長 巖様</v>
          </cell>
          <cell r="R783" t="str">
            <v>〒080-0028　北海道帯広市西18条4丁目16-3　緑西ビル1Ｆ</v>
          </cell>
          <cell r="S783" t="str">
            <v>0155-38-5678</v>
          </cell>
          <cell r="T783" t="str">
            <v>01555-38-5680</v>
          </cell>
          <cell r="U783" t="str">
            <v>はるこま皮膚科形成外科</v>
          </cell>
          <cell r="V783" t="str">
            <v>巖先生</v>
          </cell>
          <cell r="W783" t="str">
            <v>-</v>
          </cell>
          <cell r="X783" t="str">
            <v>0155-38-5678</v>
          </cell>
          <cell r="Y783" t="str">
            <v>〒080-0028　北海道帯広市西18条4丁目16-3　緑西ビル1Ｆ</v>
          </cell>
          <cell r="AA783" t="str">
            <v>P01213-01</v>
          </cell>
          <cell r="AB783" t="str">
            <v>P00104-02</v>
          </cell>
          <cell r="AC783" t="str">
            <v>P00343-01</v>
          </cell>
          <cell r="AD783" t="str">
            <v/>
          </cell>
          <cell r="AE783" t="str">
            <v/>
          </cell>
          <cell r="AF783" t="str">
            <v/>
          </cell>
          <cell r="AG783" t="str">
            <v/>
          </cell>
          <cell r="AH783" t="str">
            <v/>
          </cell>
          <cell r="AI783" t="str">
            <v/>
          </cell>
          <cell r="AJ783" t="str">
            <v/>
          </cell>
          <cell r="AK783" t="str">
            <v>FLEX CIRCUIT, FAB, C1 DISPLAY</v>
          </cell>
          <cell r="AL783" t="str">
            <v>KEY, ON/OFF</v>
          </cell>
          <cell r="AM783" t="str">
            <v>HINGE, DISPLAY</v>
          </cell>
          <cell r="AN783" t="str">
            <v/>
          </cell>
          <cell r="AO783" t="str">
            <v/>
          </cell>
          <cell r="AP783" t="str">
            <v/>
          </cell>
          <cell r="AQ783" t="str">
            <v/>
          </cell>
          <cell r="AR783" t="str">
            <v/>
          </cell>
          <cell r="AS783" t="str">
            <v/>
          </cell>
          <cell r="AT783" t="str">
            <v/>
          </cell>
          <cell r="AU783">
            <v>37226</v>
          </cell>
        </row>
        <row r="784">
          <cell r="A784" t="str">
            <v>S16-0781</v>
          </cell>
          <cell r="B784" t="str">
            <v>新東京病院_0781 (2)</v>
          </cell>
          <cell r="C784" t="str">
            <v>SR#4249551</v>
          </cell>
          <cell r="D784" t="str">
            <v>2016/11/02-02</v>
          </cell>
          <cell r="E784" t="str">
            <v>無償</v>
          </cell>
          <cell r="F784">
            <v>42685</v>
          </cell>
          <cell r="G784">
            <v>0</v>
          </cell>
          <cell r="H784">
            <v>42696</v>
          </cell>
          <cell r="I784" t="str">
            <v>不明</v>
          </cell>
          <cell r="K784" t="str">
            <v>高橋</v>
          </cell>
          <cell r="L784">
            <v>3</v>
          </cell>
          <cell r="M784" t="str">
            <v>EDGE</v>
          </cell>
          <cell r="N784" t="str">
            <v>03YRFY</v>
          </cell>
          <cell r="O784" t="str">
            <v>P16360-60</v>
          </cell>
          <cell r="P784" t="str">
            <v>富士フイルムメディカル株式会社　茨城営業所</v>
          </cell>
          <cell r="Q784" t="str">
            <v>望月様</v>
          </cell>
          <cell r="R784" t="str">
            <v>〒300-0034　茨城県土浦市港町1-10-7</v>
          </cell>
          <cell r="S784" t="str">
            <v>03-6418-7190</v>
          </cell>
          <cell r="T784" t="str">
            <v>03-6418-7162</v>
          </cell>
          <cell r="U784" t="str">
            <v>新東京病院</v>
          </cell>
          <cell r="V784" t="str">
            <v>小川様</v>
          </cell>
          <cell r="W784" t="str">
            <v>検査</v>
          </cell>
          <cell r="X784" t="str">
            <v>047-711-8700</v>
          </cell>
          <cell r="Y784" t="str">
            <v>〒270-2232　千葉県松戸市和名ヶ谷1271</v>
          </cell>
          <cell r="AA784" t="str">
            <v>P00163-01</v>
          </cell>
          <cell r="AB784" t="str">
            <v/>
          </cell>
          <cell r="AC784" t="str">
            <v/>
          </cell>
          <cell r="AD784" t="str">
            <v/>
          </cell>
          <cell r="AE784" t="str">
            <v/>
          </cell>
          <cell r="AF784" t="str">
            <v/>
          </cell>
          <cell r="AG784" t="str">
            <v/>
          </cell>
          <cell r="AH784" t="str">
            <v/>
          </cell>
          <cell r="AI784" t="str">
            <v/>
          </cell>
          <cell r="AJ784" t="str">
            <v/>
          </cell>
          <cell r="AK784" t="str">
            <v>BAT,3V,7MAH,BUTTON,LITH,RECHARG,PCB,ROHS</v>
          </cell>
          <cell r="AL784" t="str">
            <v/>
          </cell>
          <cell r="AM784" t="str">
            <v/>
          </cell>
          <cell r="AN784" t="str">
            <v/>
          </cell>
          <cell r="AO784" t="str">
            <v/>
          </cell>
          <cell r="AP784" t="str">
            <v/>
          </cell>
          <cell r="AQ784" t="str">
            <v/>
          </cell>
          <cell r="AR784" t="str">
            <v/>
          </cell>
          <cell r="AS784" t="str">
            <v/>
          </cell>
          <cell r="AT784" t="str">
            <v/>
          </cell>
          <cell r="AU784">
            <v>41852</v>
          </cell>
        </row>
        <row r="785">
          <cell r="A785" t="str">
            <v>S16-0782</v>
          </cell>
          <cell r="B785" t="str">
            <v>野崎徳洲会病院_0782 (2)</v>
          </cell>
          <cell r="C785" t="str">
            <v>SR#不要</v>
          </cell>
          <cell r="D785" t="str">
            <v>-</v>
          </cell>
          <cell r="E785" t="str">
            <v xml:space="preserve"> </v>
          </cell>
          <cell r="F785">
            <v>42685</v>
          </cell>
          <cell r="G785">
            <v>0</v>
          </cell>
          <cell r="H785">
            <v>42696</v>
          </cell>
          <cell r="I785">
            <v>39562</v>
          </cell>
          <cell r="K785" t="str">
            <v>-</v>
          </cell>
          <cell r="L785" t="str">
            <v>-</v>
          </cell>
          <cell r="M785" t="str">
            <v>iLook25</v>
          </cell>
          <cell r="N785" t="str">
            <v>039CYQ</v>
          </cell>
          <cell r="O785" t="str">
            <v>P04303-02</v>
          </cell>
          <cell r="P785" t="str">
            <v>日本コヴィディエン株式会社 大阪営業所</v>
          </cell>
          <cell r="Q785" t="str">
            <v>草野様</v>
          </cell>
          <cell r="R785" t="str">
            <v>〒108-0075  東京都港区港南一丁目2番70号　品川シーズンテラス　22F</v>
          </cell>
          <cell r="S785" t="str">
            <v>03-6774-4629</v>
          </cell>
          <cell r="T785" t="str">
            <v>03-6774-4740</v>
          </cell>
          <cell r="U785" t="str">
            <v>野崎徳洲会病院</v>
          </cell>
          <cell r="V785" t="str">
            <v>-</v>
          </cell>
          <cell r="W785" t="str">
            <v>-</v>
          </cell>
          <cell r="X785" t="str">
            <v>072-874-1641</v>
          </cell>
          <cell r="Y785" t="str">
            <v>〒574-0074　大阪府大東市谷川2丁目10番50号</v>
          </cell>
          <cell r="AA785" t="str">
            <v/>
          </cell>
          <cell r="AB785" t="str">
            <v/>
          </cell>
          <cell r="AC785" t="str">
            <v/>
          </cell>
          <cell r="AD785" t="str">
            <v/>
          </cell>
          <cell r="AE785" t="str">
            <v/>
          </cell>
          <cell r="AF785" t="str">
            <v/>
          </cell>
          <cell r="AG785" t="str">
            <v/>
          </cell>
          <cell r="AH785" t="str">
            <v/>
          </cell>
          <cell r="AI785" t="str">
            <v/>
          </cell>
          <cell r="AJ785" t="str">
            <v/>
          </cell>
          <cell r="AK785" t="str">
            <v/>
          </cell>
          <cell r="AL785" t="str">
            <v/>
          </cell>
          <cell r="AM785" t="str">
            <v/>
          </cell>
          <cell r="AN785" t="str">
            <v/>
          </cell>
          <cell r="AO785" t="str">
            <v/>
          </cell>
          <cell r="AP785" t="str">
            <v/>
          </cell>
          <cell r="AQ785" t="str">
            <v/>
          </cell>
          <cell r="AR785" t="str">
            <v/>
          </cell>
          <cell r="AS785" t="str">
            <v/>
          </cell>
          <cell r="AT785" t="str">
            <v/>
          </cell>
          <cell r="AU785">
            <v>39356</v>
          </cell>
        </row>
        <row r="786">
          <cell r="A786" t="str">
            <v>S16-0783</v>
          </cell>
          <cell r="B786" t="str">
            <v>はな鍼灸整骨院_0783 (2)</v>
          </cell>
          <cell r="C786" t="str">
            <v>SR#4249553</v>
          </cell>
          <cell r="D786" t="str">
            <v>-</v>
          </cell>
          <cell r="E786" t="str">
            <v>無償</v>
          </cell>
          <cell r="F786">
            <v>42688</v>
          </cell>
          <cell r="G786">
            <v>0</v>
          </cell>
          <cell r="H786">
            <v>42704</v>
          </cell>
          <cell r="I786" t="str">
            <v>不明</v>
          </cell>
          <cell r="K786" t="str">
            <v>高橋</v>
          </cell>
          <cell r="L786">
            <v>3</v>
          </cell>
          <cell r="M786" t="str">
            <v>M-Turbo</v>
          </cell>
          <cell r="N786" t="str">
            <v>WK3BKF</v>
          </cell>
          <cell r="O786" t="str">
            <v>P16693-62</v>
          </cell>
          <cell r="P786" t="str">
            <v>富士フイルムメディカル株式会社　大阪支店</v>
          </cell>
          <cell r="Q786" t="str">
            <v>中原様</v>
          </cell>
          <cell r="S786" t="str">
            <v>03-6418-7190</v>
          </cell>
          <cell r="T786" t="str">
            <v>03-6418-7162</v>
          </cell>
          <cell r="U786" t="str">
            <v>はな鍼灸整骨院</v>
          </cell>
          <cell r="AA786" t="str">
            <v>P19910-01N</v>
          </cell>
          <cell r="AB786" t="str">
            <v/>
          </cell>
          <cell r="AC786" t="str">
            <v/>
          </cell>
          <cell r="AD786" t="str">
            <v/>
          </cell>
          <cell r="AE786" t="str">
            <v/>
          </cell>
          <cell r="AF786" t="str">
            <v/>
          </cell>
          <cell r="AG786" t="str">
            <v/>
          </cell>
          <cell r="AH786" t="str">
            <v/>
          </cell>
          <cell r="AI786" t="str">
            <v/>
          </cell>
          <cell r="AJ786" t="str">
            <v/>
          </cell>
          <cell r="AK786" t="str">
            <v>MAIN PCBA, M-Turbo</v>
          </cell>
          <cell r="AL786" t="str">
            <v/>
          </cell>
          <cell r="AM786" t="str">
            <v/>
          </cell>
          <cell r="AN786" t="str">
            <v/>
          </cell>
          <cell r="AO786" t="str">
            <v/>
          </cell>
          <cell r="AP786" t="str">
            <v/>
          </cell>
          <cell r="AQ786" t="str">
            <v/>
          </cell>
          <cell r="AR786" t="str">
            <v/>
          </cell>
          <cell r="AS786" t="str">
            <v/>
          </cell>
          <cell r="AT786" t="str">
            <v/>
          </cell>
          <cell r="AU786">
            <v>42430</v>
          </cell>
        </row>
        <row r="787">
          <cell r="A787" t="str">
            <v>S16-0784</v>
          </cell>
          <cell r="B787" t="str">
            <v>名古屋大学医学部附属病院_0784</v>
          </cell>
          <cell r="C787" t="e">
            <v>#REF!</v>
          </cell>
          <cell r="D787" t="e">
            <v>#REF!</v>
          </cell>
          <cell r="E787" t="e">
            <v>#REF!</v>
          </cell>
          <cell r="F787" t="e">
            <v>#REF!</v>
          </cell>
          <cell r="G787" t="e">
            <v>#REF!</v>
          </cell>
          <cell r="H787" t="e">
            <v>#REF!</v>
          </cell>
          <cell r="I787" t="e">
            <v>#REF!</v>
          </cell>
          <cell r="K787" t="e">
            <v>#REF!</v>
          </cell>
          <cell r="M787" t="e">
            <v>#REF!</v>
          </cell>
          <cell r="N787" t="e">
            <v>#REF!</v>
          </cell>
          <cell r="O787" t="e">
            <v>#REF!</v>
          </cell>
          <cell r="P787" t="e">
            <v>#REF!</v>
          </cell>
          <cell r="Q787" t="e">
            <v>#REF!</v>
          </cell>
          <cell r="R787" t="str">
            <v>〒108-0075  東京都港区港南一丁目2番70号　品川シーズンテラス　22F</v>
          </cell>
          <cell r="S787" t="e">
            <v>#REF!</v>
          </cell>
          <cell r="T787" t="e">
            <v>#REF!</v>
          </cell>
          <cell r="U787" t="e">
            <v>#REF!</v>
          </cell>
          <cell r="AA787" t="e">
            <v>#REF!</v>
          </cell>
          <cell r="AB787" t="e">
            <v>#REF!</v>
          </cell>
          <cell r="AC787" t="e">
            <v>#REF!</v>
          </cell>
          <cell r="AD787" t="e">
            <v>#REF!</v>
          </cell>
          <cell r="AE787" t="e">
            <v>#REF!</v>
          </cell>
          <cell r="AF787" t="e">
            <v>#REF!</v>
          </cell>
          <cell r="AG787" t="e">
            <v>#REF!</v>
          </cell>
          <cell r="AH787" t="e">
            <v>#REF!</v>
          </cell>
          <cell r="AI787" t="e">
            <v>#REF!</v>
          </cell>
          <cell r="AJ787" t="e">
            <v>#REF!</v>
          </cell>
          <cell r="AK787" t="e">
            <v>#REF!</v>
          </cell>
          <cell r="AL787" t="e">
            <v>#REF!</v>
          </cell>
          <cell r="AM787" t="e">
            <v>#REF!</v>
          </cell>
          <cell r="AN787" t="e">
            <v>#REF!</v>
          </cell>
          <cell r="AO787" t="e">
            <v>#REF!</v>
          </cell>
          <cell r="AP787" t="e">
            <v>#REF!</v>
          </cell>
          <cell r="AQ787" t="e">
            <v>#REF!</v>
          </cell>
          <cell r="AR787" t="e">
            <v>#REF!</v>
          </cell>
          <cell r="AS787" t="e">
            <v>#REF!</v>
          </cell>
          <cell r="AT787" t="e">
            <v>#REF!</v>
          </cell>
          <cell r="AU787" t="e">
            <v>#REF!</v>
          </cell>
        </row>
        <row r="788">
          <cell r="A788" t="str">
            <v>S16-0785</v>
          </cell>
          <cell r="B788" t="str">
            <v>江ノ島水族館_0785 (2)</v>
          </cell>
          <cell r="C788" t="str">
            <v>SR#4249555</v>
          </cell>
          <cell r="D788" t="str">
            <v>-</v>
          </cell>
          <cell r="E788" t="str">
            <v>無償</v>
          </cell>
          <cell r="F788">
            <v>42689</v>
          </cell>
          <cell r="G788">
            <v>0</v>
          </cell>
          <cell r="H788">
            <v>42696</v>
          </cell>
          <cell r="I788" t="str">
            <v>不明</v>
          </cell>
          <cell r="K788" t="str">
            <v>馬屋原</v>
          </cell>
          <cell r="L788">
            <v>5</v>
          </cell>
          <cell r="M788" t="str">
            <v>MicroMaxx</v>
          </cell>
          <cell r="N788" t="str">
            <v>WK0T86</v>
          </cell>
          <cell r="O788" t="str">
            <v>P14179-03</v>
          </cell>
          <cell r="P788" t="str">
            <v>施設直接依頼</v>
          </cell>
          <cell r="Q788" t="str">
            <v>寺沢様</v>
          </cell>
          <cell r="R788" t="str">
            <v>〒251-0035　神奈川県藤沢市片瀬海岸2-19-１</v>
          </cell>
          <cell r="S788" t="str">
            <v>0466-29-9960</v>
          </cell>
          <cell r="T788" t="str">
            <v>-</v>
          </cell>
          <cell r="U788" t="str">
            <v>江ノ島水族館</v>
          </cell>
          <cell r="AA788" t="str">
            <v>P05463-01</v>
          </cell>
          <cell r="AB788" t="str">
            <v/>
          </cell>
          <cell r="AC788" t="str">
            <v/>
          </cell>
          <cell r="AD788" t="str">
            <v/>
          </cell>
          <cell r="AE788" t="str">
            <v/>
          </cell>
          <cell r="AF788" t="str">
            <v/>
          </cell>
          <cell r="AG788" t="str">
            <v/>
          </cell>
          <cell r="AH788" t="str">
            <v/>
          </cell>
          <cell r="AI788" t="str">
            <v/>
          </cell>
          <cell r="AJ788" t="str">
            <v/>
          </cell>
          <cell r="AK788" t="str">
            <v>SERVICE ASSEMBLY DISPLAY, MICROMAXX</v>
          </cell>
          <cell r="AL788" t="str">
            <v/>
          </cell>
          <cell r="AM788" t="str">
            <v/>
          </cell>
          <cell r="AN788" t="str">
            <v/>
          </cell>
          <cell r="AO788" t="str">
            <v/>
          </cell>
          <cell r="AP788" t="str">
            <v/>
          </cell>
          <cell r="AQ788" t="str">
            <v/>
          </cell>
          <cell r="AR788" t="str">
            <v/>
          </cell>
          <cell r="AS788" t="str">
            <v/>
          </cell>
          <cell r="AT788" t="str">
            <v/>
          </cell>
          <cell r="AU788">
            <v>40940</v>
          </cell>
        </row>
        <row r="789">
          <cell r="A789" t="str">
            <v>S16-0786</v>
          </cell>
          <cell r="B789" t="str">
            <v>多摩北部医療センター_0786 (2)</v>
          </cell>
          <cell r="C789" t="str">
            <v>SR#4249549</v>
          </cell>
          <cell r="D789" t="str">
            <v>2016/11/04-03</v>
          </cell>
          <cell r="E789" t="str">
            <v>無償</v>
          </cell>
          <cell r="F789">
            <v>42689</v>
          </cell>
          <cell r="G789">
            <v>0</v>
          </cell>
          <cell r="H789">
            <v>42704</v>
          </cell>
          <cell r="I789" t="str">
            <v>不明</v>
          </cell>
          <cell r="K789" t="str">
            <v>高橋</v>
          </cell>
          <cell r="L789">
            <v>3</v>
          </cell>
          <cell r="M789" t="str">
            <v>M-Turbo</v>
          </cell>
          <cell r="N789" t="str">
            <v>WK16M2</v>
          </cell>
          <cell r="O789" t="str">
            <v>P09141-24</v>
          </cell>
          <cell r="P789" t="str">
            <v>株式会社イノメディックス　国立営業所</v>
          </cell>
          <cell r="Q789" t="str">
            <v>谷本様</v>
          </cell>
          <cell r="S789" t="str">
            <v>042-577-1088</v>
          </cell>
          <cell r="T789" t="str">
            <v>042-577-9990</v>
          </cell>
          <cell r="U789" t="str">
            <v>多摩北部医療センター</v>
          </cell>
          <cell r="AA789" t="str">
            <v>P19060-02</v>
          </cell>
          <cell r="AB789" t="str">
            <v>P08850-02</v>
          </cell>
          <cell r="AC789" t="str">
            <v/>
          </cell>
          <cell r="AD789" t="str">
            <v/>
          </cell>
          <cell r="AE789" t="str">
            <v/>
          </cell>
          <cell r="AF789" t="str">
            <v/>
          </cell>
          <cell r="AG789" t="str">
            <v/>
          </cell>
          <cell r="AH789" t="str">
            <v/>
          </cell>
          <cell r="AI789" t="str">
            <v/>
          </cell>
          <cell r="AJ789" t="str">
            <v/>
          </cell>
          <cell r="AK789" t="str">
            <v>MAIN PCBA, M-Turbo</v>
          </cell>
          <cell r="AL789" t="str">
            <v>SERVICE ASSEMBLY, POWER SUPPLY, M/S TURBO, EDGE</v>
          </cell>
          <cell r="AM789" t="str">
            <v/>
          </cell>
          <cell r="AN789" t="str">
            <v/>
          </cell>
          <cell r="AO789" t="str">
            <v/>
          </cell>
          <cell r="AP789" t="str">
            <v/>
          </cell>
          <cell r="AQ789" t="str">
            <v/>
          </cell>
          <cell r="AR789" t="str">
            <v/>
          </cell>
          <cell r="AS789" t="str">
            <v/>
          </cell>
          <cell r="AT789" t="str">
            <v/>
          </cell>
          <cell r="AU789">
            <v>41122</v>
          </cell>
        </row>
        <row r="790">
          <cell r="A790" t="str">
            <v>S16-0787</v>
          </cell>
          <cell r="B790" t="str">
            <v>湘南鎌倉総合病院_0787</v>
          </cell>
          <cell r="C790" t="e">
            <v>#REF!</v>
          </cell>
          <cell r="D790" t="e">
            <v>#REF!</v>
          </cell>
          <cell r="E790" t="e">
            <v>#REF!</v>
          </cell>
          <cell r="F790" t="e">
            <v>#REF!</v>
          </cell>
          <cell r="G790" t="e">
            <v>#REF!</v>
          </cell>
          <cell r="H790" t="e">
            <v>#REF!</v>
          </cell>
          <cell r="I790" t="e">
            <v>#REF!</v>
          </cell>
          <cell r="K790" t="e">
            <v>#REF!</v>
          </cell>
          <cell r="M790" t="e">
            <v>#REF!</v>
          </cell>
          <cell r="N790" t="e">
            <v>#REF!</v>
          </cell>
          <cell r="O790" t="e">
            <v>#REF!</v>
          </cell>
          <cell r="P790" t="e">
            <v>#REF!</v>
          </cell>
          <cell r="Q790" t="e">
            <v>#REF!</v>
          </cell>
          <cell r="S790" t="e">
            <v>#REF!</v>
          </cell>
          <cell r="T790" t="e">
            <v>#REF!</v>
          </cell>
          <cell r="U790" t="e">
            <v>#REF!</v>
          </cell>
          <cell r="AA790" t="e">
            <v>#REF!</v>
          </cell>
          <cell r="AB790" t="e">
            <v>#REF!</v>
          </cell>
          <cell r="AC790" t="e">
            <v>#REF!</v>
          </cell>
          <cell r="AD790" t="e">
            <v>#REF!</v>
          </cell>
          <cell r="AE790" t="e">
            <v>#REF!</v>
          </cell>
          <cell r="AF790" t="e">
            <v>#REF!</v>
          </cell>
          <cell r="AG790" t="e">
            <v>#REF!</v>
          </cell>
          <cell r="AH790" t="e">
            <v>#REF!</v>
          </cell>
          <cell r="AI790" t="e">
            <v>#REF!</v>
          </cell>
          <cell r="AJ790" t="e">
            <v>#REF!</v>
          </cell>
          <cell r="AK790" t="e">
            <v>#REF!</v>
          </cell>
          <cell r="AL790" t="e">
            <v>#REF!</v>
          </cell>
          <cell r="AM790" t="e">
            <v>#REF!</v>
          </cell>
          <cell r="AN790" t="e">
            <v>#REF!</v>
          </cell>
          <cell r="AO790" t="e">
            <v>#REF!</v>
          </cell>
          <cell r="AP790" t="e">
            <v>#REF!</v>
          </cell>
          <cell r="AQ790" t="e">
            <v>#REF!</v>
          </cell>
          <cell r="AR790" t="e">
            <v>#REF!</v>
          </cell>
          <cell r="AS790" t="e">
            <v>#REF!</v>
          </cell>
          <cell r="AT790" t="e">
            <v>#REF!</v>
          </cell>
          <cell r="AU790" t="e">
            <v>#REF!</v>
          </cell>
        </row>
        <row r="791">
          <cell r="A791" t="str">
            <v>S16-0788</v>
          </cell>
          <cell r="B791" t="str">
            <v>みやぎ県南中核病院_0788</v>
          </cell>
          <cell r="C791" t="e">
            <v>#REF!</v>
          </cell>
          <cell r="D791" t="e">
            <v>#REF!</v>
          </cell>
          <cell r="E791" t="e">
            <v>#REF!</v>
          </cell>
          <cell r="F791" t="e">
            <v>#REF!</v>
          </cell>
          <cell r="G791" t="e">
            <v>#REF!</v>
          </cell>
          <cell r="H791" t="e">
            <v>#REF!</v>
          </cell>
          <cell r="I791" t="e">
            <v>#REF!</v>
          </cell>
          <cell r="K791" t="e">
            <v>#REF!</v>
          </cell>
          <cell r="M791" t="e">
            <v>#REF!</v>
          </cell>
          <cell r="N791" t="e">
            <v>#REF!</v>
          </cell>
          <cell r="O791" t="e">
            <v>#REF!</v>
          </cell>
          <cell r="P791" t="e">
            <v>#REF!</v>
          </cell>
          <cell r="Q791" t="e">
            <v>#REF!</v>
          </cell>
          <cell r="R791" t="str">
            <v>〒108-0075  東京都港区港南一丁目2番70号　品川シーズンテラス　22F</v>
          </cell>
          <cell r="S791" t="e">
            <v>#REF!</v>
          </cell>
          <cell r="T791" t="e">
            <v>#REF!</v>
          </cell>
          <cell r="U791" t="e">
            <v>#REF!</v>
          </cell>
          <cell r="AA791" t="e">
            <v>#REF!</v>
          </cell>
          <cell r="AB791" t="e">
            <v>#REF!</v>
          </cell>
          <cell r="AC791" t="e">
            <v>#REF!</v>
          </cell>
          <cell r="AD791" t="e">
            <v>#REF!</v>
          </cell>
          <cell r="AE791" t="e">
            <v>#REF!</v>
          </cell>
          <cell r="AF791" t="e">
            <v>#REF!</v>
          </cell>
          <cell r="AG791" t="e">
            <v>#REF!</v>
          </cell>
          <cell r="AH791" t="e">
            <v>#REF!</v>
          </cell>
          <cell r="AI791" t="e">
            <v>#REF!</v>
          </cell>
          <cell r="AJ791" t="e">
            <v>#REF!</v>
          </cell>
          <cell r="AK791" t="e">
            <v>#REF!</v>
          </cell>
          <cell r="AL791" t="e">
            <v>#REF!</v>
          </cell>
          <cell r="AM791" t="e">
            <v>#REF!</v>
          </cell>
          <cell r="AN791" t="e">
            <v>#REF!</v>
          </cell>
          <cell r="AO791" t="e">
            <v>#REF!</v>
          </cell>
          <cell r="AP791" t="e">
            <v>#REF!</v>
          </cell>
          <cell r="AQ791" t="e">
            <v>#REF!</v>
          </cell>
          <cell r="AR791" t="e">
            <v>#REF!</v>
          </cell>
          <cell r="AS791" t="e">
            <v>#REF!</v>
          </cell>
          <cell r="AT791" t="e">
            <v>#REF!</v>
          </cell>
          <cell r="AU791" t="e">
            <v>#REF!</v>
          </cell>
        </row>
        <row r="792">
          <cell r="A792" t="str">
            <v>S16-0789</v>
          </cell>
          <cell r="B792" t="str">
            <v>市立清水病院_0789</v>
          </cell>
          <cell r="C792" t="e">
            <v>#REF!</v>
          </cell>
          <cell r="D792" t="e">
            <v>#REF!</v>
          </cell>
          <cell r="E792" t="e">
            <v>#REF!</v>
          </cell>
          <cell r="F792" t="e">
            <v>#REF!</v>
          </cell>
          <cell r="G792" t="e">
            <v>#REF!</v>
          </cell>
          <cell r="H792" t="e">
            <v>#REF!</v>
          </cell>
          <cell r="I792" t="e">
            <v>#REF!</v>
          </cell>
          <cell r="K792" t="str">
            <v>高橋</v>
          </cell>
          <cell r="L792">
            <v>3</v>
          </cell>
          <cell r="M792" t="e">
            <v>#REF!</v>
          </cell>
          <cell r="N792" t="e">
            <v>#REF!</v>
          </cell>
          <cell r="O792" t="e">
            <v>#REF!</v>
          </cell>
          <cell r="P792" t="e">
            <v>#REF!</v>
          </cell>
          <cell r="Q792" t="e">
            <v>#REF!</v>
          </cell>
          <cell r="R792" t="str">
            <v>〒422-8005　静岡県静岡市駿河区池田156-2</v>
          </cell>
          <cell r="S792" t="e">
            <v>#REF!</v>
          </cell>
          <cell r="T792" t="e">
            <v>#REF!</v>
          </cell>
          <cell r="U792" t="e">
            <v>#REF!</v>
          </cell>
          <cell r="V792" t="str">
            <v>-</v>
          </cell>
          <cell r="W792" t="str">
            <v>-</v>
          </cell>
          <cell r="X792" t="str">
            <v>054-336-1111</v>
          </cell>
          <cell r="Y792" t="str">
            <v>〒424-8636　静岡県静岡市清水区宮加三1231</v>
          </cell>
          <cell r="AA792" t="e">
            <v>#REF!</v>
          </cell>
          <cell r="AB792" t="e">
            <v>#REF!</v>
          </cell>
          <cell r="AC792" t="e">
            <v>#REF!</v>
          </cell>
          <cell r="AD792" t="e">
            <v>#REF!</v>
          </cell>
          <cell r="AE792" t="e">
            <v>#REF!</v>
          </cell>
          <cell r="AF792" t="e">
            <v>#REF!</v>
          </cell>
          <cell r="AG792" t="e">
            <v>#REF!</v>
          </cell>
          <cell r="AH792" t="e">
            <v>#REF!</v>
          </cell>
          <cell r="AI792" t="e">
            <v>#REF!</v>
          </cell>
          <cell r="AJ792" t="e">
            <v>#REF!</v>
          </cell>
          <cell r="AK792" t="e">
            <v>#REF!</v>
          </cell>
          <cell r="AL792" t="e">
            <v>#REF!</v>
          </cell>
          <cell r="AM792" t="e">
            <v>#REF!</v>
          </cell>
          <cell r="AN792" t="e">
            <v>#REF!</v>
          </cell>
          <cell r="AO792" t="e">
            <v>#REF!</v>
          </cell>
          <cell r="AP792" t="e">
            <v>#REF!</v>
          </cell>
          <cell r="AQ792" t="e">
            <v>#REF!</v>
          </cell>
          <cell r="AR792" t="e">
            <v>#REF!</v>
          </cell>
          <cell r="AS792" t="e">
            <v>#REF!</v>
          </cell>
          <cell r="AT792" t="e">
            <v>#REF!</v>
          </cell>
          <cell r="AU792" t="e">
            <v>#REF!</v>
          </cell>
        </row>
        <row r="793">
          <cell r="A793" t="str">
            <v>S16-0790</v>
          </cell>
          <cell r="B793" t="str">
            <v>がん感染症センター都立駒込病院_0790 (2)</v>
          </cell>
          <cell r="C793" t="str">
            <v>SR#不要</v>
          </cell>
          <cell r="D793" t="str">
            <v>-</v>
          </cell>
          <cell r="E793" t="str">
            <v>有償</v>
          </cell>
          <cell r="F793">
            <v>42690</v>
          </cell>
          <cell r="G793">
            <v>0</v>
          </cell>
          <cell r="H793">
            <v>42702</v>
          </cell>
          <cell r="I793" t="str">
            <v>不明</v>
          </cell>
          <cell r="K793" t="str">
            <v>-</v>
          </cell>
          <cell r="L793" t="str">
            <v>-</v>
          </cell>
          <cell r="M793" t="str">
            <v>L25n/13-6</v>
          </cell>
          <cell r="N793" t="str">
            <v>03K6XL</v>
          </cell>
          <cell r="O793" t="str">
            <v>P13360-01</v>
          </cell>
          <cell r="P793" t="str">
            <v>日本コヴィディエン株式会社 東京第二営業所</v>
          </cell>
          <cell r="Q793" t="str">
            <v>野間様</v>
          </cell>
          <cell r="R793" t="str">
            <v>〒108-0075  東京都港区港南一丁目2番70号　品川シーズンテラス　22F</v>
          </cell>
          <cell r="S793" t="str">
            <v>03-6774-4629</v>
          </cell>
          <cell r="T793" t="str">
            <v>03-6774-4740</v>
          </cell>
          <cell r="U793" t="str">
            <v>がん感染症センター都立駒込病院</v>
          </cell>
          <cell r="AA793" t="str">
            <v/>
          </cell>
          <cell r="AB793" t="str">
            <v/>
          </cell>
          <cell r="AC793" t="str">
            <v/>
          </cell>
          <cell r="AD793" t="str">
            <v/>
          </cell>
          <cell r="AE793" t="str">
            <v/>
          </cell>
          <cell r="AF793" t="str">
            <v/>
          </cell>
          <cell r="AG793" t="str">
            <v/>
          </cell>
          <cell r="AH793" t="str">
            <v/>
          </cell>
          <cell r="AI793" t="str">
            <v/>
          </cell>
          <cell r="AJ793" t="str">
            <v/>
          </cell>
          <cell r="AK793" t="str">
            <v/>
          </cell>
          <cell r="AL793" t="str">
            <v/>
          </cell>
          <cell r="AM793" t="str">
            <v/>
          </cell>
          <cell r="AN793" t="str">
            <v/>
          </cell>
          <cell r="AO793" t="str">
            <v/>
          </cell>
          <cell r="AP793" t="str">
            <v/>
          </cell>
          <cell r="AQ793" t="str">
            <v/>
          </cell>
          <cell r="AR793" t="str">
            <v/>
          </cell>
          <cell r="AS793" t="str">
            <v/>
          </cell>
          <cell r="AT793" t="str">
            <v/>
          </cell>
          <cell r="AU793">
            <v>40483</v>
          </cell>
        </row>
        <row r="794">
          <cell r="A794" t="str">
            <v>S16-0791</v>
          </cell>
          <cell r="B794" t="str">
            <v>市立池田病院_0791</v>
          </cell>
          <cell r="C794" t="e">
            <v>#REF!</v>
          </cell>
          <cell r="D794" t="e">
            <v>#REF!</v>
          </cell>
          <cell r="E794" t="e">
            <v>#REF!</v>
          </cell>
          <cell r="F794" t="e">
            <v>#REF!</v>
          </cell>
          <cell r="G794" t="e">
            <v>#REF!</v>
          </cell>
          <cell r="H794" t="e">
            <v>#REF!</v>
          </cell>
          <cell r="I794" t="e">
            <v>#REF!</v>
          </cell>
          <cell r="K794" t="e">
            <v>#REF!</v>
          </cell>
          <cell r="M794" t="e">
            <v>#REF!</v>
          </cell>
          <cell r="N794" t="e">
            <v>#REF!</v>
          </cell>
          <cell r="O794" t="e">
            <v>#REF!</v>
          </cell>
          <cell r="P794" t="e">
            <v>#REF!</v>
          </cell>
          <cell r="Q794" t="e">
            <v>#REF!</v>
          </cell>
          <cell r="S794" t="e">
            <v>#REF!</v>
          </cell>
          <cell r="T794" t="e">
            <v>#REF!</v>
          </cell>
          <cell r="U794" t="e">
            <v>#REF!</v>
          </cell>
          <cell r="AA794" t="e">
            <v>#REF!</v>
          </cell>
          <cell r="AB794" t="e">
            <v>#REF!</v>
          </cell>
          <cell r="AC794" t="e">
            <v>#REF!</v>
          </cell>
          <cell r="AD794" t="e">
            <v>#REF!</v>
          </cell>
          <cell r="AE794" t="e">
            <v>#REF!</v>
          </cell>
          <cell r="AF794" t="e">
            <v>#REF!</v>
          </cell>
          <cell r="AG794" t="e">
            <v>#REF!</v>
          </cell>
          <cell r="AH794" t="e">
            <v>#REF!</v>
          </cell>
          <cell r="AI794" t="e">
            <v>#REF!</v>
          </cell>
          <cell r="AJ794" t="e">
            <v>#REF!</v>
          </cell>
          <cell r="AK794" t="e">
            <v>#REF!</v>
          </cell>
          <cell r="AL794" t="e">
            <v>#REF!</v>
          </cell>
          <cell r="AM794" t="e">
            <v>#REF!</v>
          </cell>
          <cell r="AN794" t="e">
            <v>#REF!</v>
          </cell>
          <cell r="AO794" t="e">
            <v>#REF!</v>
          </cell>
          <cell r="AP794" t="e">
            <v>#REF!</v>
          </cell>
          <cell r="AQ794" t="e">
            <v>#REF!</v>
          </cell>
          <cell r="AR794" t="e">
            <v>#REF!</v>
          </cell>
          <cell r="AS794" t="e">
            <v>#REF!</v>
          </cell>
          <cell r="AT794" t="e">
            <v>#REF!</v>
          </cell>
          <cell r="AU794" t="e">
            <v>#REF!</v>
          </cell>
        </row>
        <row r="795">
          <cell r="A795" t="str">
            <v>S16-0792</v>
          </cell>
          <cell r="B795" t="str">
            <v>仙台オープン病院_0792</v>
          </cell>
          <cell r="C795" t="e">
            <v>#REF!</v>
          </cell>
          <cell r="D795" t="e">
            <v>#REF!</v>
          </cell>
          <cell r="E795" t="e">
            <v>#REF!</v>
          </cell>
          <cell r="F795" t="e">
            <v>#REF!</v>
          </cell>
          <cell r="G795" t="e">
            <v>#REF!</v>
          </cell>
          <cell r="H795" t="e">
            <v>#REF!</v>
          </cell>
          <cell r="I795" t="e">
            <v>#REF!</v>
          </cell>
          <cell r="K795" t="e">
            <v>#REF!</v>
          </cell>
          <cell r="M795" t="e">
            <v>#REF!</v>
          </cell>
          <cell r="N795" t="e">
            <v>#REF!</v>
          </cell>
          <cell r="O795" t="e">
            <v>#REF!</v>
          </cell>
          <cell r="P795" t="e">
            <v>#REF!</v>
          </cell>
          <cell r="Q795" t="e">
            <v>#REF!</v>
          </cell>
          <cell r="S795" t="e">
            <v>#REF!</v>
          </cell>
          <cell r="T795" t="e">
            <v>#REF!</v>
          </cell>
          <cell r="U795" t="e">
            <v>#REF!</v>
          </cell>
          <cell r="AA795" t="e">
            <v>#REF!</v>
          </cell>
          <cell r="AB795" t="e">
            <v>#REF!</v>
          </cell>
          <cell r="AC795" t="e">
            <v>#REF!</v>
          </cell>
          <cell r="AD795" t="e">
            <v>#REF!</v>
          </cell>
          <cell r="AE795" t="e">
            <v>#REF!</v>
          </cell>
          <cell r="AF795" t="e">
            <v>#REF!</v>
          </cell>
          <cell r="AG795" t="e">
            <v>#REF!</v>
          </cell>
          <cell r="AH795" t="e">
            <v>#REF!</v>
          </cell>
          <cell r="AI795" t="e">
            <v>#REF!</v>
          </cell>
          <cell r="AJ795" t="e">
            <v>#REF!</v>
          </cell>
          <cell r="AK795" t="e">
            <v>#REF!</v>
          </cell>
          <cell r="AL795" t="e">
            <v>#REF!</v>
          </cell>
          <cell r="AM795" t="e">
            <v>#REF!</v>
          </cell>
          <cell r="AN795" t="e">
            <v>#REF!</v>
          </cell>
          <cell r="AO795" t="e">
            <v>#REF!</v>
          </cell>
          <cell r="AP795" t="e">
            <v>#REF!</v>
          </cell>
          <cell r="AQ795" t="e">
            <v>#REF!</v>
          </cell>
          <cell r="AR795" t="e">
            <v>#REF!</v>
          </cell>
          <cell r="AS795" t="e">
            <v>#REF!</v>
          </cell>
          <cell r="AT795" t="e">
            <v>#REF!</v>
          </cell>
          <cell r="AU795" t="e">
            <v>#REF!</v>
          </cell>
        </row>
        <row r="796">
          <cell r="A796" t="str">
            <v>S16-0793</v>
          </cell>
          <cell r="B796" t="str">
            <v>香川労災病院_0793</v>
          </cell>
          <cell r="C796" t="e">
            <v>#REF!</v>
          </cell>
          <cell r="D796" t="e">
            <v>#REF!</v>
          </cell>
          <cell r="E796" t="e">
            <v>#REF!</v>
          </cell>
          <cell r="F796" t="e">
            <v>#REF!</v>
          </cell>
          <cell r="G796" t="e">
            <v>#REF!</v>
          </cell>
          <cell r="H796" t="e">
            <v>#REF!</v>
          </cell>
          <cell r="I796" t="e">
            <v>#REF!</v>
          </cell>
          <cell r="K796" t="e">
            <v>#REF!</v>
          </cell>
          <cell r="M796" t="e">
            <v>#REF!</v>
          </cell>
          <cell r="N796" t="e">
            <v>#REF!</v>
          </cell>
          <cell r="O796" t="e">
            <v>#REF!</v>
          </cell>
          <cell r="P796" t="e">
            <v>#REF!</v>
          </cell>
          <cell r="Q796" t="e">
            <v>#REF!</v>
          </cell>
          <cell r="S796" t="e">
            <v>#REF!</v>
          </cell>
          <cell r="T796" t="e">
            <v>#REF!</v>
          </cell>
          <cell r="U796" t="e">
            <v>#REF!</v>
          </cell>
          <cell r="AA796" t="e">
            <v>#REF!</v>
          </cell>
          <cell r="AB796" t="e">
            <v>#REF!</v>
          </cell>
          <cell r="AC796" t="e">
            <v>#REF!</v>
          </cell>
          <cell r="AD796" t="e">
            <v>#REF!</v>
          </cell>
          <cell r="AE796" t="e">
            <v>#REF!</v>
          </cell>
          <cell r="AF796" t="e">
            <v>#REF!</v>
          </cell>
          <cell r="AG796" t="e">
            <v>#REF!</v>
          </cell>
          <cell r="AH796" t="e">
            <v>#REF!</v>
          </cell>
          <cell r="AI796" t="e">
            <v>#REF!</v>
          </cell>
          <cell r="AJ796" t="e">
            <v>#REF!</v>
          </cell>
          <cell r="AK796" t="e">
            <v>#REF!</v>
          </cell>
          <cell r="AL796" t="e">
            <v>#REF!</v>
          </cell>
          <cell r="AM796" t="e">
            <v>#REF!</v>
          </cell>
          <cell r="AN796" t="e">
            <v>#REF!</v>
          </cell>
          <cell r="AO796" t="e">
            <v>#REF!</v>
          </cell>
          <cell r="AP796" t="e">
            <v>#REF!</v>
          </cell>
          <cell r="AQ796" t="e">
            <v>#REF!</v>
          </cell>
          <cell r="AR796" t="e">
            <v>#REF!</v>
          </cell>
          <cell r="AS796" t="e">
            <v>#REF!</v>
          </cell>
          <cell r="AT796" t="e">
            <v>#REF!</v>
          </cell>
          <cell r="AU796" t="e">
            <v>#REF!</v>
          </cell>
        </row>
        <row r="797">
          <cell r="A797" t="str">
            <v>S16-0794</v>
          </cell>
          <cell r="B797" t="str">
            <v>淡路医療センター_0794 (2)</v>
          </cell>
          <cell r="C797" t="str">
            <v>SR#4249557</v>
          </cell>
          <cell r="D797" t="str">
            <v>-</v>
          </cell>
          <cell r="E797" t="str">
            <v>無償</v>
          </cell>
          <cell r="F797">
            <v>42691</v>
          </cell>
          <cell r="G797">
            <v>0</v>
          </cell>
          <cell r="H797">
            <v>42704</v>
          </cell>
          <cell r="I797" t="str">
            <v>不明</v>
          </cell>
          <cell r="K797" t="str">
            <v>高橋</v>
          </cell>
          <cell r="L797">
            <v>3</v>
          </cell>
          <cell r="M797" t="str">
            <v>MicroMaxx</v>
          </cell>
          <cell r="N797" t="str">
            <v>WK1QJJ</v>
          </cell>
          <cell r="O797" t="str">
            <v>P08063-07</v>
          </cell>
          <cell r="P797" t="str">
            <v>富士フイルムメディカル株式会社 大阪支店</v>
          </cell>
          <cell r="Q797" t="str">
            <v>中原様</v>
          </cell>
          <cell r="S797" t="str">
            <v>03-6418-7190</v>
          </cell>
          <cell r="T797" t="str">
            <v>03-6418-7162</v>
          </cell>
          <cell r="U797" t="str">
            <v>兵庫県立淡路医療センター　救急救命センター</v>
          </cell>
          <cell r="AA797" t="str">
            <v>P07418-02</v>
          </cell>
          <cell r="AB797" t="str">
            <v/>
          </cell>
          <cell r="AC797" t="str">
            <v/>
          </cell>
          <cell r="AD797" t="str">
            <v/>
          </cell>
          <cell r="AE797" t="str">
            <v/>
          </cell>
          <cell r="AF797" t="str">
            <v/>
          </cell>
          <cell r="AG797" t="str">
            <v/>
          </cell>
          <cell r="AH797" t="str">
            <v/>
          </cell>
          <cell r="AI797" t="str">
            <v/>
          </cell>
          <cell r="AJ797" t="str">
            <v/>
          </cell>
          <cell r="AK797" t="str">
            <v>SERVICE ASSEMBLY MAIN PCBA, D2, MICROMAXX</v>
          </cell>
          <cell r="AL797" t="str">
            <v/>
          </cell>
          <cell r="AM797" t="str">
            <v/>
          </cell>
          <cell r="AN797" t="str">
            <v/>
          </cell>
          <cell r="AO797" t="str">
            <v/>
          </cell>
          <cell r="AP797" t="str">
            <v/>
          </cell>
          <cell r="AQ797" t="str">
            <v/>
          </cell>
          <cell r="AR797" t="str">
            <v/>
          </cell>
          <cell r="AS797" t="str">
            <v/>
          </cell>
          <cell r="AT797" t="str">
            <v/>
          </cell>
          <cell r="AU797">
            <v>41426</v>
          </cell>
        </row>
        <row r="798">
          <cell r="A798" t="str">
            <v>S16-0795</v>
          </cell>
          <cell r="B798" t="str">
            <v>北里大学北里研究所病院_0795</v>
          </cell>
          <cell r="C798" t="e">
            <v>#REF!</v>
          </cell>
          <cell r="D798" t="e">
            <v>#REF!</v>
          </cell>
          <cell r="E798" t="e">
            <v>#REF!</v>
          </cell>
          <cell r="F798" t="e">
            <v>#REF!</v>
          </cell>
          <cell r="G798" t="e">
            <v>#REF!</v>
          </cell>
          <cell r="H798" t="e">
            <v>#REF!</v>
          </cell>
          <cell r="I798" t="e">
            <v>#REF!</v>
          </cell>
          <cell r="K798" t="e">
            <v>#REF!</v>
          </cell>
          <cell r="M798" t="e">
            <v>#REF!</v>
          </cell>
          <cell r="N798" t="e">
            <v>#REF!</v>
          </cell>
          <cell r="O798" t="e">
            <v>#REF!</v>
          </cell>
          <cell r="P798" t="e">
            <v>#REF!</v>
          </cell>
          <cell r="Q798" t="e">
            <v>#REF!</v>
          </cell>
          <cell r="S798" t="e">
            <v>#REF!</v>
          </cell>
          <cell r="T798" t="e">
            <v>#REF!</v>
          </cell>
          <cell r="U798" t="e">
            <v>#REF!</v>
          </cell>
          <cell r="AA798" t="e">
            <v>#REF!</v>
          </cell>
          <cell r="AB798" t="e">
            <v>#REF!</v>
          </cell>
          <cell r="AC798" t="e">
            <v>#REF!</v>
          </cell>
          <cell r="AD798" t="e">
            <v>#REF!</v>
          </cell>
          <cell r="AE798" t="e">
            <v>#REF!</v>
          </cell>
          <cell r="AF798" t="e">
            <v>#REF!</v>
          </cell>
          <cell r="AG798" t="e">
            <v>#REF!</v>
          </cell>
          <cell r="AH798" t="e">
            <v>#REF!</v>
          </cell>
          <cell r="AI798" t="e">
            <v>#REF!</v>
          </cell>
          <cell r="AJ798" t="e">
            <v>#REF!</v>
          </cell>
          <cell r="AK798" t="e">
            <v>#REF!</v>
          </cell>
          <cell r="AL798" t="e">
            <v>#REF!</v>
          </cell>
          <cell r="AM798" t="e">
            <v>#REF!</v>
          </cell>
          <cell r="AN798" t="e">
            <v>#REF!</v>
          </cell>
          <cell r="AO798" t="e">
            <v>#REF!</v>
          </cell>
          <cell r="AP798" t="e">
            <v>#REF!</v>
          </cell>
          <cell r="AQ798" t="e">
            <v>#REF!</v>
          </cell>
          <cell r="AR798" t="e">
            <v>#REF!</v>
          </cell>
          <cell r="AS798" t="e">
            <v>#REF!</v>
          </cell>
          <cell r="AT798" t="e">
            <v>#REF!</v>
          </cell>
          <cell r="AU798" t="e">
            <v>#REF!</v>
          </cell>
        </row>
        <row r="799">
          <cell r="A799" t="str">
            <v>S16-0796</v>
          </cell>
          <cell r="B799" t="str">
            <v>しらゆりビューティークリニック_0796</v>
          </cell>
          <cell r="C799" t="e">
            <v>#REF!</v>
          </cell>
          <cell r="D799" t="e">
            <v>#REF!</v>
          </cell>
          <cell r="E799" t="e">
            <v>#REF!</v>
          </cell>
          <cell r="F799" t="e">
            <v>#REF!</v>
          </cell>
          <cell r="G799" t="e">
            <v>#REF!</v>
          </cell>
          <cell r="H799" t="e">
            <v>#REF!</v>
          </cell>
          <cell r="I799" t="e">
            <v>#REF!</v>
          </cell>
          <cell r="K799" t="str">
            <v>高橋</v>
          </cell>
          <cell r="L799">
            <v>3</v>
          </cell>
          <cell r="M799" t="e">
            <v>#REF!</v>
          </cell>
          <cell r="N799" t="e">
            <v>#REF!</v>
          </cell>
          <cell r="O799" t="e">
            <v>#REF!</v>
          </cell>
          <cell r="P799" t="e">
            <v>#REF!</v>
          </cell>
          <cell r="Q799" t="e">
            <v>#REF!</v>
          </cell>
          <cell r="S799" t="e">
            <v>#REF!</v>
          </cell>
          <cell r="T799" t="e">
            <v>#REF!</v>
          </cell>
          <cell r="U799" t="e">
            <v>#REF!</v>
          </cell>
          <cell r="V799" t="str">
            <v>遠藤様</v>
          </cell>
          <cell r="W799" t="str">
            <v>事務局</v>
          </cell>
          <cell r="X799" t="str">
            <v>03-5361-6851</v>
          </cell>
          <cell r="Y799" t="str">
            <v>〒160-0022　東京都新宿区新宿2-11-14 ビル3階　</v>
          </cell>
          <cell r="AA799" t="e">
            <v>#REF!</v>
          </cell>
          <cell r="AB799" t="e">
            <v>#REF!</v>
          </cell>
          <cell r="AC799" t="e">
            <v>#REF!</v>
          </cell>
          <cell r="AD799" t="e">
            <v>#REF!</v>
          </cell>
          <cell r="AE799" t="e">
            <v>#REF!</v>
          </cell>
          <cell r="AF799" t="e">
            <v>#REF!</v>
          </cell>
          <cell r="AG799" t="e">
            <v>#REF!</v>
          </cell>
          <cell r="AH799" t="e">
            <v>#REF!</v>
          </cell>
          <cell r="AI799" t="e">
            <v>#REF!</v>
          </cell>
          <cell r="AJ799" t="e">
            <v>#REF!</v>
          </cell>
          <cell r="AK799" t="e">
            <v>#REF!</v>
          </cell>
          <cell r="AL799" t="e">
            <v>#REF!</v>
          </cell>
          <cell r="AM799" t="e">
            <v>#REF!</v>
          </cell>
          <cell r="AN799" t="e">
            <v>#REF!</v>
          </cell>
          <cell r="AO799" t="e">
            <v>#REF!</v>
          </cell>
          <cell r="AP799" t="e">
            <v>#REF!</v>
          </cell>
          <cell r="AQ799" t="e">
            <v>#REF!</v>
          </cell>
          <cell r="AR799" t="e">
            <v>#REF!</v>
          </cell>
          <cell r="AS799" t="e">
            <v>#REF!</v>
          </cell>
          <cell r="AT799" t="e">
            <v>#REF!</v>
          </cell>
          <cell r="AU799" t="e">
            <v>#REF!</v>
          </cell>
        </row>
        <row r="800">
          <cell r="A800" t="str">
            <v>S16-0797</v>
          </cell>
          <cell r="B800" t="str">
            <v>長岡中央病院_0797</v>
          </cell>
          <cell r="C800" t="e">
            <v>#REF!</v>
          </cell>
          <cell r="D800" t="e">
            <v>#REF!</v>
          </cell>
          <cell r="E800" t="e">
            <v>#REF!</v>
          </cell>
          <cell r="F800" t="e">
            <v>#REF!</v>
          </cell>
          <cell r="G800" t="e">
            <v>#REF!</v>
          </cell>
          <cell r="H800" t="e">
            <v>#REF!</v>
          </cell>
          <cell r="I800" t="e">
            <v>#REF!</v>
          </cell>
          <cell r="K800" t="e">
            <v>#REF!</v>
          </cell>
          <cell r="M800" t="e">
            <v>#REF!</v>
          </cell>
          <cell r="N800" t="e">
            <v>#REF!</v>
          </cell>
          <cell r="O800" t="e">
            <v>#REF!</v>
          </cell>
          <cell r="P800" t="e">
            <v>#REF!</v>
          </cell>
          <cell r="Q800" t="e">
            <v>#REF!</v>
          </cell>
          <cell r="S800" t="e">
            <v>#REF!</v>
          </cell>
          <cell r="T800" t="e">
            <v>#REF!</v>
          </cell>
          <cell r="U800" t="e">
            <v>#REF!</v>
          </cell>
          <cell r="AA800" t="e">
            <v>#REF!</v>
          </cell>
          <cell r="AB800" t="e">
            <v>#REF!</v>
          </cell>
          <cell r="AC800" t="e">
            <v>#REF!</v>
          </cell>
          <cell r="AD800" t="e">
            <v>#REF!</v>
          </cell>
          <cell r="AE800" t="e">
            <v>#REF!</v>
          </cell>
          <cell r="AF800" t="e">
            <v>#REF!</v>
          </cell>
          <cell r="AG800" t="e">
            <v>#REF!</v>
          </cell>
          <cell r="AH800" t="e">
            <v>#REF!</v>
          </cell>
          <cell r="AI800" t="e">
            <v>#REF!</v>
          </cell>
          <cell r="AJ800" t="e">
            <v>#REF!</v>
          </cell>
          <cell r="AK800" t="e">
            <v>#REF!</v>
          </cell>
          <cell r="AL800" t="e">
            <v>#REF!</v>
          </cell>
          <cell r="AM800" t="e">
            <v>#REF!</v>
          </cell>
          <cell r="AN800" t="e">
            <v>#REF!</v>
          </cell>
          <cell r="AO800" t="e">
            <v>#REF!</v>
          </cell>
          <cell r="AP800" t="e">
            <v>#REF!</v>
          </cell>
          <cell r="AQ800" t="e">
            <v>#REF!</v>
          </cell>
          <cell r="AR800" t="e">
            <v>#REF!</v>
          </cell>
          <cell r="AS800" t="e">
            <v>#REF!</v>
          </cell>
          <cell r="AT800" t="e">
            <v>#REF!</v>
          </cell>
          <cell r="AU800" t="e">
            <v>#REF!</v>
          </cell>
        </row>
        <row r="801">
          <cell r="A801" t="str">
            <v>S16-0798</v>
          </cell>
          <cell r="B801" t="str">
            <v>県立多治見病院_0798</v>
          </cell>
          <cell r="C801" t="e">
            <v>#REF!</v>
          </cell>
          <cell r="D801" t="e">
            <v>#REF!</v>
          </cell>
          <cell r="E801" t="e">
            <v>#REF!</v>
          </cell>
          <cell r="F801" t="e">
            <v>#REF!</v>
          </cell>
          <cell r="G801" t="e">
            <v>#REF!</v>
          </cell>
          <cell r="H801" t="e">
            <v>#REF!</v>
          </cell>
          <cell r="I801" t="e">
            <v>#REF!</v>
          </cell>
          <cell r="K801" t="e">
            <v>#REF!</v>
          </cell>
          <cell r="M801" t="e">
            <v>#REF!</v>
          </cell>
          <cell r="N801" t="e">
            <v>#REF!</v>
          </cell>
          <cell r="O801" t="e">
            <v>#REF!</v>
          </cell>
          <cell r="P801" t="e">
            <v>#REF!</v>
          </cell>
          <cell r="Q801" t="e">
            <v>#REF!</v>
          </cell>
          <cell r="S801" t="e">
            <v>#REF!</v>
          </cell>
          <cell r="T801" t="e">
            <v>#REF!</v>
          </cell>
          <cell r="U801" t="e">
            <v>#REF!</v>
          </cell>
          <cell r="AA801" t="e">
            <v>#REF!</v>
          </cell>
          <cell r="AB801" t="e">
            <v>#REF!</v>
          </cell>
          <cell r="AC801" t="e">
            <v>#REF!</v>
          </cell>
          <cell r="AD801" t="e">
            <v>#REF!</v>
          </cell>
          <cell r="AE801" t="e">
            <v>#REF!</v>
          </cell>
          <cell r="AF801" t="e">
            <v>#REF!</v>
          </cell>
          <cell r="AG801" t="e">
            <v>#REF!</v>
          </cell>
          <cell r="AH801" t="e">
            <v>#REF!</v>
          </cell>
          <cell r="AI801" t="e">
            <v>#REF!</v>
          </cell>
          <cell r="AJ801" t="e">
            <v>#REF!</v>
          </cell>
          <cell r="AK801" t="e">
            <v>#REF!</v>
          </cell>
          <cell r="AL801" t="e">
            <v>#REF!</v>
          </cell>
          <cell r="AM801" t="e">
            <v>#REF!</v>
          </cell>
          <cell r="AN801" t="e">
            <v>#REF!</v>
          </cell>
          <cell r="AO801" t="e">
            <v>#REF!</v>
          </cell>
          <cell r="AP801" t="e">
            <v>#REF!</v>
          </cell>
          <cell r="AQ801" t="e">
            <v>#REF!</v>
          </cell>
          <cell r="AR801" t="e">
            <v>#REF!</v>
          </cell>
          <cell r="AS801" t="e">
            <v>#REF!</v>
          </cell>
          <cell r="AT801" t="e">
            <v>#REF!</v>
          </cell>
          <cell r="AU801" t="e">
            <v>#REF!</v>
          </cell>
        </row>
        <row r="802">
          <cell r="A802" t="str">
            <v>S16-0799</v>
          </cell>
          <cell r="B802" t="str">
            <v>気仙沼市立病院_0799</v>
          </cell>
          <cell r="C802" t="e">
            <v>#REF!</v>
          </cell>
          <cell r="D802" t="e">
            <v>#REF!</v>
          </cell>
          <cell r="E802" t="e">
            <v>#REF!</v>
          </cell>
          <cell r="F802" t="e">
            <v>#REF!</v>
          </cell>
          <cell r="G802" t="e">
            <v>#REF!</v>
          </cell>
          <cell r="H802" t="e">
            <v>#REF!</v>
          </cell>
          <cell r="I802" t="e">
            <v>#REF!</v>
          </cell>
          <cell r="K802" t="e">
            <v>#REF!</v>
          </cell>
          <cell r="M802" t="e">
            <v>#REF!</v>
          </cell>
          <cell r="N802" t="e">
            <v>#REF!</v>
          </cell>
          <cell r="O802" t="e">
            <v>#REF!</v>
          </cell>
          <cell r="P802" t="e">
            <v>#REF!</v>
          </cell>
          <cell r="Q802" t="e">
            <v>#REF!</v>
          </cell>
          <cell r="S802" t="e">
            <v>#REF!</v>
          </cell>
          <cell r="T802" t="e">
            <v>#REF!</v>
          </cell>
          <cell r="U802" t="e">
            <v>#REF!</v>
          </cell>
          <cell r="AA802" t="e">
            <v>#REF!</v>
          </cell>
          <cell r="AB802" t="e">
            <v>#REF!</v>
          </cell>
          <cell r="AC802" t="e">
            <v>#REF!</v>
          </cell>
          <cell r="AD802" t="e">
            <v>#REF!</v>
          </cell>
          <cell r="AE802" t="e">
            <v>#REF!</v>
          </cell>
          <cell r="AF802" t="e">
            <v>#REF!</v>
          </cell>
          <cell r="AG802" t="e">
            <v>#REF!</v>
          </cell>
          <cell r="AH802" t="e">
            <v>#REF!</v>
          </cell>
          <cell r="AI802" t="e">
            <v>#REF!</v>
          </cell>
          <cell r="AJ802" t="e">
            <v>#REF!</v>
          </cell>
          <cell r="AK802" t="e">
            <v>#REF!</v>
          </cell>
          <cell r="AL802" t="e">
            <v>#REF!</v>
          </cell>
          <cell r="AM802" t="e">
            <v>#REF!</v>
          </cell>
          <cell r="AN802" t="e">
            <v>#REF!</v>
          </cell>
          <cell r="AO802" t="e">
            <v>#REF!</v>
          </cell>
          <cell r="AP802" t="e">
            <v>#REF!</v>
          </cell>
          <cell r="AQ802" t="e">
            <v>#REF!</v>
          </cell>
          <cell r="AR802" t="e">
            <v>#REF!</v>
          </cell>
          <cell r="AS802" t="e">
            <v>#REF!</v>
          </cell>
          <cell r="AT802" t="e">
            <v>#REF!</v>
          </cell>
          <cell r="AU802" t="e">
            <v>#REF!</v>
          </cell>
        </row>
        <row r="803">
          <cell r="A803" t="str">
            <v>S16-0800</v>
          </cell>
          <cell r="B803" t="str">
            <v>日本赤十字社医療センター_0800</v>
          </cell>
          <cell r="C803" t="e">
            <v>#REF!</v>
          </cell>
          <cell r="D803" t="e">
            <v>#REF!</v>
          </cell>
          <cell r="E803" t="e">
            <v>#REF!</v>
          </cell>
          <cell r="F803" t="e">
            <v>#REF!</v>
          </cell>
          <cell r="G803" t="e">
            <v>#REF!</v>
          </cell>
          <cell r="H803" t="e">
            <v>#REF!</v>
          </cell>
          <cell r="I803" t="e">
            <v>#REF!</v>
          </cell>
          <cell r="K803" t="e">
            <v>#REF!</v>
          </cell>
          <cell r="M803" t="e">
            <v>#REF!</v>
          </cell>
          <cell r="N803" t="e">
            <v>#REF!</v>
          </cell>
          <cell r="O803" t="e">
            <v>#REF!</v>
          </cell>
          <cell r="P803" t="e">
            <v>#REF!</v>
          </cell>
          <cell r="Q803" t="e">
            <v>#REF!</v>
          </cell>
          <cell r="S803" t="e">
            <v>#REF!</v>
          </cell>
          <cell r="T803" t="e">
            <v>#REF!</v>
          </cell>
          <cell r="U803" t="e">
            <v>#REF!</v>
          </cell>
          <cell r="AA803" t="e">
            <v>#REF!</v>
          </cell>
          <cell r="AB803" t="e">
            <v>#REF!</v>
          </cell>
          <cell r="AC803" t="e">
            <v>#REF!</v>
          </cell>
          <cell r="AD803" t="e">
            <v>#REF!</v>
          </cell>
          <cell r="AE803" t="e">
            <v>#REF!</v>
          </cell>
          <cell r="AF803" t="e">
            <v>#REF!</v>
          </cell>
          <cell r="AG803" t="e">
            <v>#REF!</v>
          </cell>
          <cell r="AH803" t="e">
            <v>#REF!</v>
          </cell>
          <cell r="AI803" t="e">
            <v>#REF!</v>
          </cell>
          <cell r="AJ803" t="e">
            <v>#REF!</v>
          </cell>
          <cell r="AK803" t="e">
            <v>#REF!</v>
          </cell>
          <cell r="AL803" t="e">
            <v>#REF!</v>
          </cell>
          <cell r="AM803" t="e">
            <v>#REF!</v>
          </cell>
          <cell r="AN803" t="e">
            <v>#REF!</v>
          </cell>
          <cell r="AO803" t="e">
            <v>#REF!</v>
          </cell>
          <cell r="AP803" t="e">
            <v>#REF!</v>
          </cell>
          <cell r="AQ803" t="e">
            <v>#REF!</v>
          </cell>
          <cell r="AR803" t="e">
            <v>#REF!</v>
          </cell>
          <cell r="AS803" t="e">
            <v>#REF!</v>
          </cell>
          <cell r="AT803" t="e">
            <v>#REF!</v>
          </cell>
          <cell r="AU803" t="e">
            <v>#REF!</v>
          </cell>
        </row>
        <row r="804">
          <cell r="A804" t="str">
            <v>S16-0801</v>
          </cell>
          <cell r="B804" t="str">
            <v>つるたか整骨院_0801</v>
          </cell>
          <cell r="C804" t="e">
            <v>#REF!</v>
          </cell>
          <cell r="D804" t="e">
            <v>#REF!</v>
          </cell>
          <cell r="E804" t="e">
            <v>#REF!</v>
          </cell>
          <cell r="F804" t="e">
            <v>#REF!</v>
          </cell>
          <cell r="G804" t="e">
            <v>#REF!</v>
          </cell>
          <cell r="H804" t="e">
            <v>#REF!</v>
          </cell>
          <cell r="I804" t="e">
            <v>#REF!</v>
          </cell>
          <cell r="K804" t="e">
            <v>#REF!</v>
          </cell>
          <cell r="M804" t="e">
            <v>#REF!</v>
          </cell>
          <cell r="N804" t="e">
            <v>#REF!</v>
          </cell>
          <cell r="O804" t="e">
            <v>#REF!</v>
          </cell>
          <cell r="P804" t="e">
            <v>#REF!</v>
          </cell>
          <cell r="Q804" t="e">
            <v>#REF!</v>
          </cell>
          <cell r="S804" t="e">
            <v>#REF!</v>
          </cell>
          <cell r="T804" t="e">
            <v>#REF!</v>
          </cell>
          <cell r="U804" t="e">
            <v>#REF!</v>
          </cell>
          <cell r="AA804" t="e">
            <v>#REF!</v>
          </cell>
          <cell r="AB804" t="e">
            <v>#REF!</v>
          </cell>
          <cell r="AC804" t="e">
            <v>#REF!</v>
          </cell>
          <cell r="AD804" t="e">
            <v>#REF!</v>
          </cell>
          <cell r="AE804" t="e">
            <v>#REF!</v>
          </cell>
          <cell r="AF804" t="e">
            <v>#REF!</v>
          </cell>
          <cell r="AG804" t="e">
            <v>#REF!</v>
          </cell>
          <cell r="AH804" t="e">
            <v>#REF!</v>
          </cell>
          <cell r="AI804" t="e">
            <v>#REF!</v>
          </cell>
          <cell r="AJ804" t="e">
            <v>#REF!</v>
          </cell>
          <cell r="AK804" t="e">
            <v>#REF!</v>
          </cell>
          <cell r="AL804" t="e">
            <v>#REF!</v>
          </cell>
          <cell r="AM804" t="e">
            <v>#REF!</v>
          </cell>
          <cell r="AN804" t="e">
            <v>#REF!</v>
          </cell>
          <cell r="AO804" t="e">
            <v>#REF!</v>
          </cell>
          <cell r="AP804" t="e">
            <v>#REF!</v>
          </cell>
          <cell r="AQ804" t="e">
            <v>#REF!</v>
          </cell>
          <cell r="AR804" t="e">
            <v>#REF!</v>
          </cell>
          <cell r="AS804" t="e">
            <v>#REF!</v>
          </cell>
          <cell r="AT804" t="e">
            <v>#REF!</v>
          </cell>
          <cell r="AU804" t="e">
            <v>#REF!</v>
          </cell>
        </row>
        <row r="805">
          <cell r="A805" t="str">
            <v>S16-0802</v>
          </cell>
          <cell r="B805" t="str">
            <v>東京山手メディカルセンター_0802 (2)</v>
          </cell>
          <cell r="C805" t="str">
            <v>SR#不要</v>
          </cell>
          <cell r="D805" t="str">
            <v>2016/11/18-02</v>
          </cell>
          <cell r="E805" t="str">
            <v>有償</v>
          </cell>
          <cell r="F805">
            <v>42695</v>
          </cell>
          <cell r="G805" t="str">
            <v>1900/1/0</v>
          </cell>
          <cell r="H805">
            <v>42698</v>
          </cell>
          <cell r="I805" t="str">
            <v>不明</v>
          </cell>
          <cell r="K805" t="str">
            <v>高橋</v>
          </cell>
          <cell r="L805" t="str">
            <v>-</v>
          </cell>
          <cell r="M805" t="str">
            <v>M-Turbo</v>
          </cell>
          <cell r="N805" t="str">
            <v>03B8ZZ</v>
          </cell>
          <cell r="O805" t="str">
            <v>P09141-02</v>
          </cell>
          <cell r="P805" t="str">
            <v>富士フイルムメディカル株式会社</v>
          </cell>
          <cell r="Q805" t="str">
            <v>島崎様</v>
          </cell>
          <cell r="R805" t="str">
            <v>〒106-0031　東京都港区西麻布2-26-30 富士フイルム西麻布ビル</v>
          </cell>
          <cell r="S805" t="str">
            <v>03-6418-7190</v>
          </cell>
          <cell r="T805" t="str">
            <v>03-6418-7162</v>
          </cell>
          <cell r="U805" t="str">
            <v>東京山手メディカルセンター</v>
          </cell>
          <cell r="V805" t="str">
            <v>-</v>
          </cell>
          <cell r="W805" t="str">
            <v>-</v>
          </cell>
          <cell r="X805" t="str">
            <v>03-3364-0251</v>
          </cell>
          <cell r="Y805" t="str">
            <v xml:space="preserve">〒169-0073　東京都新宿区百人町3-22-1 </v>
          </cell>
          <cell r="AA805" t="str">
            <v/>
          </cell>
          <cell r="AB805" t="str">
            <v/>
          </cell>
          <cell r="AC805" t="str">
            <v/>
          </cell>
          <cell r="AD805" t="str">
            <v/>
          </cell>
          <cell r="AE805" t="str">
            <v/>
          </cell>
          <cell r="AF805" t="str">
            <v/>
          </cell>
          <cell r="AG805" t="str">
            <v/>
          </cell>
          <cell r="AH805" t="str">
            <v/>
          </cell>
          <cell r="AI805" t="str">
            <v/>
          </cell>
          <cell r="AJ805" t="str">
            <v/>
          </cell>
          <cell r="AK805" t="str">
            <v/>
          </cell>
          <cell r="AL805" t="str">
            <v/>
          </cell>
          <cell r="AM805" t="str">
            <v/>
          </cell>
          <cell r="AN805" t="str">
            <v/>
          </cell>
          <cell r="AO805" t="str">
            <v/>
          </cell>
          <cell r="AP805" t="str">
            <v/>
          </cell>
          <cell r="AQ805" t="str">
            <v/>
          </cell>
          <cell r="AR805" t="str">
            <v/>
          </cell>
          <cell r="AS805" t="str">
            <v/>
          </cell>
          <cell r="AT805" t="str">
            <v/>
          </cell>
          <cell r="AU805">
            <v>39479</v>
          </cell>
        </row>
        <row r="806">
          <cell r="A806" t="str">
            <v>S16-0803</v>
          </cell>
          <cell r="B806" t="str">
            <v>東京医療センター_0803</v>
          </cell>
          <cell r="C806" t="e">
            <v>#REF!</v>
          </cell>
          <cell r="D806" t="e">
            <v>#REF!</v>
          </cell>
          <cell r="E806" t="e">
            <v>#REF!</v>
          </cell>
          <cell r="F806" t="e">
            <v>#REF!</v>
          </cell>
          <cell r="G806" t="e">
            <v>#REF!</v>
          </cell>
          <cell r="H806" t="e">
            <v>#REF!</v>
          </cell>
          <cell r="I806" t="e">
            <v>#REF!</v>
          </cell>
          <cell r="K806" t="e">
            <v>#REF!</v>
          </cell>
          <cell r="M806" t="e">
            <v>#REF!</v>
          </cell>
          <cell r="N806" t="e">
            <v>#REF!</v>
          </cell>
          <cell r="O806" t="e">
            <v>#REF!</v>
          </cell>
          <cell r="P806" t="e">
            <v>#REF!</v>
          </cell>
          <cell r="Q806" t="e">
            <v>#REF!</v>
          </cell>
          <cell r="S806" t="e">
            <v>#REF!</v>
          </cell>
          <cell r="T806" t="e">
            <v>#REF!</v>
          </cell>
          <cell r="U806" t="e">
            <v>#REF!</v>
          </cell>
          <cell r="AA806" t="e">
            <v>#REF!</v>
          </cell>
          <cell r="AB806" t="e">
            <v>#REF!</v>
          </cell>
          <cell r="AC806" t="e">
            <v>#REF!</v>
          </cell>
          <cell r="AD806" t="e">
            <v>#REF!</v>
          </cell>
          <cell r="AE806" t="e">
            <v>#REF!</v>
          </cell>
          <cell r="AF806" t="e">
            <v>#REF!</v>
          </cell>
          <cell r="AG806" t="e">
            <v>#REF!</v>
          </cell>
          <cell r="AH806" t="e">
            <v>#REF!</v>
          </cell>
          <cell r="AI806" t="e">
            <v>#REF!</v>
          </cell>
          <cell r="AJ806" t="e">
            <v>#REF!</v>
          </cell>
          <cell r="AK806" t="e">
            <v>#REF!</v>
          </cell>
          <cell r="AL806" t="e">
            <v>#REF!</v>
          </cell>
          <cell r="AM806" t="e">
            <v>#REF!</v>
          </cell>
          <cell r="AN806" t="e">
            <v>#REF!</v>
          </cell>
          <cell r="AO806" t="e">
            <v>#REF!</v>
          </cell>
          <cell r="AP806" t="e">
            <v>#REF!</v>
          </cell>
          <cell r="AQ806" t="e">
            <v>#REF!</v>
          </cell>
          <cell r="AR806" t="e">
            <v>#REF!</v>
          </cell>
          <cell r="AS806" t="e">
            <v>#REF!</v>
          </cell>
          <cell r="AT806" t="e">
            <v>#REF!</v>
          </cell>
          <cell r="AU806" t="e">
            <v>#REF!</v>
          </cell>
        </row>
        <row r="807">
          <cell r="A807" t="str">
            <v>S16-0804</v>
          </cell>
          <cell r="B807" t="str">
            <v>後藤麻酔科クリニック_0804</v>
          </cell>
          <cell r="C807" t="e">
            <v>#REF!</v>
          </cell>
          <cell r="D807" t="e">
            <v>#REF!</v>
          </cell>
          <cell r="E807" t="e">
            <v>#REF!</v>
          </cell>
          <cell r="F807" t="e">
            <v>#REF!</v>
          </cell>
          <cell r="G807" t="e">
            <v>#REF!</v>
          </cell>
          <cell r="H807" t="e">
            <v>#REF!</v>
          </cell>
          <cell r="I807" t="e">
            <v>#REF!</v>
          </cell>
          <cell r="K807" t="e">
            <v>#REF!</v>
          </cell>
          <cell r="M807" t="e">
            <v>#REF!</v>
          </cell>
          <cell r="N807" t="e">
            <v>#REF!</v>
          </cell>
          <cell r="O807" t="e">
            <v>#REF!</v>
          </cell>
          <cell r="P807" t="e">
            <v>#REF!</v>
          </cell>
          <cell r="Q807" t="e">
            <v>#REF!</v>
          </cell>
          <cell r="S807" t="e">
            <v>#REF!</v>
          </cell>
          <cell r="T807" t="e">
            <v>#REF!</v>
          </cell>
          <cell r="U807" t="e">
            <v>#REF!</v>
          </cell>
          <cell r="AA807" t="e">
            <v>#REF!</v>
          </cell>
          <cell r="AB807" t="e">
            <v>#REF!</v>
          </cell>
          <cell r="AC807" t="e">
            <v>#REF!</v>
          </cell>
          <cell r="AD807" t="e">
            <v>#REF!</v>
          </cell>
          <cell r="AE807" t="e">
            <v>#REF!</v>
          </cell>
          <cell r="AF807" t="e">
            <v>#REF!</v>
          </cell>
          <cell r="AG807" t="e">
            <v>#REF!</v>
          </cell>
          <cell r="AH807" t="e">
            <v>#REF!</v>
          </cell>
          <cell r="AI807" t="e">
            <v>#REF!</v>
          </cell>
          <cell r="AJ807" t="e">
            <v>#REF!</v>
          </cell>
          <cell r="AK807" t="e">
            <v>#REF!</v>
          </cell>
          <cell r="AL807" t="e">
            <v>#REF!</v>
          </cell>
          <cell r="AM807" t="e">
            <v>#REF!</v>
          </cell>
          <cell r="AN807" t="e">
            <v>#REF!</v>
          </cell>
          <cell r="AO807" t="e">
            <v>#REF!</v>
          </cell>
          <cell r="AP807" t="e">
            <v>#REF!</v>
          </cell>
          <cell r="AQ807" t="e">
            <v>#REF!</v>
          </cell>
          <cell r="AR807" t="e">
            <v>#REF!</v>
          </cell>
          <cell r="AS807" t="e">
            <v>#REF!</v>
          </cell>
          <cell r="AT807" t="e">
            <v>#REF!</v>
          </cell>
          <cell r="AU807" t="e">
            <v>#REF!</v>
          </cell>
        </row>
        <row r="808">
          <cell r="A808" t="str">
            <v>S16-0805</v>
          </cell>
          <cell r="B808" t="str">
            <v>久留米大学病院_0805</v>
          </cell>
          <cell r="C808" t="e">
            <v>#REF!</v>
          </cell>
          <cell r="D808" t="e">
            <v>#REF!</v>
          </cell>
          <cell r="E808" t="e">
            <v>#REF!</v>
          </cell>
          <cell r="F808" t="e">
            <v>#REF!</v>
          </cell>
          <cell r="G808" t="e">
            <v>#REF!</v>
          </cell>
          <cell r="H808" t="e">
            <v>#REF!</v>
          </cell>
          <cell r="I808" t="e">
            <v>#REF!</v>
          </cell>
          <cell r="M808" t="e">
            <v>#REF!</v>
          </cell>
          <cell r="N808" t="e">
            <v>#REF!</v>
          </cell>
          <cell r="O808" t="e">
            <v>#REF!</v>
          </cell>
          <cell r="P808" t="e">
            <v>#REF!</v>
          </cell>
          <cell r="Q808" t="e">
            <v>#REF!</v>
          </cell>
          <cell r="R808" t="str">
            <v>〒839-0801　福岡県久留米市宮ノ陣3-5-15</v>
          </cell>
          <cell r="S808" t="e">
            <v>#REF!</v>
          </cell>
          <cell r="T808" t="e">
            <v>#REF!</v>
          </cell>
          <cell r="U808" t="e">
            <v>#REF!</v>
          </cell>
          <cell r="V808" t="str">
            <v>梅木様</v>
          </cell>
          <cell r="W808" t="str">
            <v>救命センター</v>
          </cell>
          <cell r="X808" t="str">
            <v>0942-35-3311</v>
          </cell>
          <cell r="Y808" t="str">
            <v>〒830-0011 福岡県久留米市旭町67番地</v>
          </cell>
          <cell r="AA808" t="e">
            <v>#REF!</v>
          </cell>
          <cell r="AB808" t="e">
            <v>#REF!</v>
          </cell>
          <cell r="AC808" t="e">
            <v>#REF!</v>
          </cell>
          <cell r="AD808" t="e">
            <v>#REF!</v>
          </cell>
          <cell r="AE808" t="e">
            <v>#REF!</v>
          </cell>
          <cell r="AF808" t="e">
            <v>#REF!</v>
          </cell>
          <cell r="AG808" t="e">
            <v>#REF!</v>
          </cell>
          <cell r="AH808" t="e">
            <v>#REF!</v>
          </cell>
          <cell r="AI808" t="e">
            <v>#REF!</v>
          </cell>
          <cell r="AJ808" t="e">
            <v>#REF!</v>
          </cell>
          <cell r="AK808" t="e">
            <v>#REF!</v>
          </cell>
          <cell r="AL808" t="e">
            <v>#REF!</v>
          </cell>
          <cell r="AM808" t="e">
            <v>#REF!</v>
          </cell>
          <cell r="AN808" t="e">
            <v>#REF!</v>
          </cell>
          <cell r="AO808" t="e">
            <v>#REF!</v>
          </cell>
          <cell r="AP808" t="e">
            <v>#REF!</v>
          </cell>
          <cell r="AQ808" t="e">
            <v>#REF!</v>
          </cell>
          <cell r="AR808" t="e">
            <v>#REF!</v>
          </cell>
          <cell r="AS808" t="e">
            <v>#REF!</v>
          </cell>
          <cell r="AT808" t="e">
            <v>#REF!</v>
          </cell>
          <cell r="AU808" t="e">
            <v>#REF!</v>
          </cell>
        </row>
        <row r="809">
          <cell r="A809" t="str">
            <v>S16-0806</v>
          </cell>
          <cell r="B809" t="str">
            <v>大森赤十字病院_0806</v>
          </cell>
          <cell r="C809" t="e">
            <v>#REF!</v>
          </cell>
          <cell r="D809" t="e">
            <v>#REF!</v>
          </cell>
          <cell r="E809" t="e">
            <v>#REF!</v>
          </cell>
          <cell r="F809" t="e">
            <v>#REF!</v>
          </cell>
          <cell r="G809" t="e">
            <v>#REF!</v>
          </cell>
          <cell r="H809" t="e">
            <v>#REF!</v>
          </cell>
          <cell r="I809" t="e">
            <v>#REF!</v>
          </cell>
          <cell r="K809" t="e">
            <v>#REF!</v>
          </cell>
          <cell r="M809" t="e">
            <v>#REF!</v>
          </cell>
          <cell r="N809" t="e">
            <v>#REF!</v>
          </cell>
          <cell r="O809" t="e">
            <v>#REF!</v>
          </cell>
          <cell r="P809" t="e">
            <v>#REF!</v>
          </cell>
          <cell r="Q809" t="e">
            <v>#REF!</v>
          </cell>
          <cell r="S809" t="e">
            <v>#REF!</v>
          </cell>
          <cell r="T809" t="e">
            <v>#REF!</v>
          </cell>
          <cell r="U809" t="e">
            <v>#REF!</v>
          </cell>
          <cell r="AA809" t="e">
            <v>#REF!</v>
          </cell>
          <cell r="AB809" t="e">
            <v>#REF!</v>
          </cell>
          <cell r="AC809" t="e">
            <v>#REF!</v>
          </cell>
          <cell r="AD809" t="e">
            <v>#REF!</v>
          </cell>
          <cell r="AE809" t="e">
            <v>#REF!</v>
          </cell>
          <cell r="AF809" t="e">
            <v>#REF!</v>
          </cell>
          <cell r="AG809" t="e">
            <v>#REF!</v>
          </cell>
          <cell r="AH809" t="e">
            <v>#REF!</v>
          </cell>
          <cell r="AI809" t="e">
            <v>#REF!</v>
          </cell>
          <cell r="AJ809" t="e">
            <v>#REF!</v>
          </cell>
          <cell r="AK809" t="e">
            <v>#REF!</v>
          </cell>
          <cell r="AL809" t="e">
            <v>#REF!</v>
          </cell>
          <cell r="AM809" t="e">
            <v>#REF!</v>
          </cell>
          <cell r="AN809" t="e">
            <v>#REF!</v>
          </cell>
          <cell r="AO809" t="e">
            <v>#REF!</v>
          </cell>
          <cell r="AP809" t="e">
            <v>#REF!</v>
          </cell>
          <cell r="AQ809" t="e">
            <v>#REF!</v>
          </cell>
          <cell r="AR809" t="e">
            <v>#REF!</v>
          </cell>
          <cell r="AS809" t="e">
            <v>#REF!</v>
          </cell>
          <cell r="AT809" t="e">
            <v>#REF!</v>
          </cell>
          <cell r="AU809" t="e">
            <v>#REF!</v>
          </cell>
        </row>
        <row r="810">
          <cell r="A810" t="str">
            <v>S16-0807</v>
          </cell>
          <cell r="B810" t="str">
            <v>新小文字病院_0807 (2)</v>
          </cell>
          <cell r="C810" t="str">
            <v>SR#</v>
          </cell>
          <cell r="D810" t="str">
            <v>-</v>
          </cell>
          <cell r="E810" t="e">
            <v>#REF!</v>
          </cell>
          <cell r="F810">
            <v>42696</v>
          </cell>
          <cell r="G810" t="str">
            <v>1900/1/0</v>
          </cell>
          <cell r="H810">
            <v>42702</v>
          </cell>
          <cell r="I810" t="str">
            <v>不明</v>
          </cell>
          <cell r="K810" t="str">
            <v>高橋</v>
          </cell>
          <cell r="L810">
            <v>3</v>
          </cell>
          <cell r="M810" t="str">
            <v>NanoMaxx</v>
          </cell>
          <cell r="N810" t="str">
            <v>03MQBG</v>
          </cell>
          <cell r="O810" t="str">
            <v>P12700-05</v>
          </cell>
          <cell r="P810" t="str">
            <v>日本コヴィディエン株式会社　九州第一営業所</v>
          </cell>
          <cell r="Q810" t="str">
            <v>原様</v>
          </cell>
          <cell r="R810" t="str">
            <v>〒108-0075  東京都港区港南一丁目2番70号　品川シーズンテラス　22F</v>
          </cell>
          <cell r="S810" t="str">
            <v>03-6774-4629</v>
          </cell>
          <cell r="T810" t="str">
            <v>03-6774-4740</v>
          </cell>
          <cell r="U810" t="str">
            <v>新小文字病院</v>
          </cell>
          <cell r="V810" t="str">
            <v>-</v>
          </cell>
          <cell r="W810" t="str">
            <v>-</v>
          </cell>
          <cell r="X810" t="str">
            <v>093-391-1001</v>
          </cell>
          <cell r="Y810" t="str">
            <v>〒800-0057　福岡県北九州市門司区大里新町2-5</v>
          </cell>
          <cell r="AU810">
            <v>40848</v>
          </cell>
        </row>
        <row r="811">
          <cell r="A811" t="str">
            <v>S16-0808</v>
          </cell>
          <cell r="B811" t="str">
            <v>草津総合病院_0808</v>
          </cell>
          <cell r="C811" t="e">
            <v>#REF!</v>
          </cell>
          <cell r="D811" t="e">
            <v>#REF!</v>
          </cell>
          <cell r="E811" t="e">
            <v>#REF!</v>
          </cell>
          <cell r="F811" t="e">
            <v>#REF!</v>
          </cell>
          <cell r="G811" t="e">
            <v>#REF!</v>
          </cell>
          <cell r="H811" t="e">
            <v>#REF!</v>
          </cell>
          <cell r="I811" t="e">
            <v>#REF!</v>
          </cell>
          <cell r="K811" t="e">
            <v>#REF!</v>
          </cell>
          <cell r="M811" t="e">
            <v>#REF!</v>
          </cell>
          <cell r="N811" t="e">
            <v>#REF!</v>
          </cell>
          <cell r="O811" t="e">
            <v>#REF!</v>
          </cell>
          <cell r="P811" t="e">
            <v>#REF!</v>
          </cell>
          <cell r="Q811" t="e">
            <v>#REF!</v>
          </cell>
          <cell r="R811" t="str">
            <v>〒108-0075  東京都港区港南一丁目2番70号　品川シーズンテラス　22F</v>
          </cell>
          <cell r="S811" t="e">
            <v>#REF!</v>
          </cell>
          <cell r="T811" t="e">
            <v>#REF!</v>
          </cell>
          <cell r="U811" t="e">
            <v>#REF!</v>
          </cell>
          <cell r="AA811" t="e">
            <v>#REF!</v>
          </cell>
          <cell r="AB811" t="e">
            <v>#REF!</v>
          </cell>
          <cell r="AC811" t="e">
            <v>#REF!</v>
          </cell>
          <cell r="AD811" t="e">
            <v>#REF!</v>
          </cell>
          <cell r="AE811" t="e">
            <v>#REF!</v>
          </cell>
          <cell r="AF811" t="e">
            <v>#REF!</v>
          </cell>
          <cell r="AG811" t="e">
            <v>#REF!</v>
          </cell>
          <cell r="AH811" t="e">
            <v>#REF!</v>
          </cell>
          <cell r="AI811" t="e">
            <v>#REF!</v>
          </cell>
          <cell r="AJ811" t="e">
            <v>#REF!</v>
          </cell>
          <cell r="AK811" t="e">
            <v>#REF!</v>
          </cell>
          <cell r="AL811" t="e">
            <v>#REF!</v>
          </cell>
          <cell r="AM811" t="e">
            <v>#REF!</v>
          </cell>
          <cell r="AN811" t="e">
            <v>#REF!</v>
          </cell>
          <cell r="AO811" t="e">
            <v>#REF!</v>
          </cell>
          <cell r="AP811" t="e">
            <v>#REF!</v>
          </cell>
          <cell r="AQ811" t="e">
            <v>#REF!</v>
          </cell>
          <cell r="AR811" t="e">
            <v>#REF!</v>
          </cell>
          <cell r="AS811" t="e">
            <v>#REF!</v>
          </cell>
          <cell r="AT811" t="e">
            <v>#REF!</v>
          </cell>
          <cell r="AU811" t="e">
            <v>#REF!</v>
          </cell>
        </row>
        <row r="812">
          <cell r="A812" t="str">
            <v>S16-0809</v>
          </cell>
          <cell r="B812" t="str">
            <v>上白根病院_0809</v>
          </cell>
          <cell r="C812" t="e">
            <v>#REF!</v>
          </cell>
          <cell r="D812" t="e">
            <v>#REF!</v>
          </cell>
          <cell r="E812" t="e">
            <v>#REF!</v>
          </cell>
          <cell r="F812" t="e">
            <v>#REF!</v>
          </cell>
          <cell r="G812" t="e">
            <v>#REF!</v>
          </cell>
          <cell r="H812" t="e">
            <v>#REF!</v>
          </cell>
          <cell r="I812" t="e">
            <v>#REF!</v>
          </cell>
          <cell r="K812" t="str">
            <v>高橋</v>
          </cell>
          <cell r="L812" t="str">
            <v>-</v>
          </cell>
          <cell r="M812" t="e">
            <v>#REF!</v>
          </cell>
          <cell r="N812" t="e">
            <v>#REF!</v>
          </cell>
          <cell r="O812" t="e">
            <v>#REF!</v>
          </cell>
          <cell r="P812" t="e">
            <v>#REF!</v>
          </cell>
          <cell r="Q812" t="e">
            <v>#REF!</v>
          </cell>
          <cell r="R812" t="str">
            <v>〒108-0075  東京都港区港南一丁目2番70号　品川シーズンテラス　22F</v>
          </cell>
          <cell r="S812" t="e">
            <v>#REF!</v>
          </cell>
          <cell r="T812" t="e">
            <v>#REF!</v>
          </cell>
          <cell r="U812" t="e">
            <v>#REF!</v>
          </cell>
          <cell r="V812" t="str">
            <v>-</v>
          </cell>
          <cell r="W812" t="str">
            <v>-</v>
          </cell>
          <cell r="X812" t="str">
            <v>045-951-3221</v>
          </cell>
          <cell r="Y812" t="str">
            <v>〒241-0002 神奈川県横浜市旭区上白根2-65-1</v>
          </cell>
          <cell r="AA812" t="e">
            <v>#REF!</v>
          </cell>
          <cell r="AB812" t="e">
            <v>#REF!</v>
          </cell>
          <cell r="AC812" t="e">
            <v>#REF!</v>
          </cell>
          <cell r="AD812" t="e">
            <v>#REF!</v>
          </cell>
          <cell r="AE812" t="e">
            <v>#REF!</v>
          </cell>
          <cell r="AF812" t="e">
            <v>#REF!</v>
          </cell>
          <cell r="AG812" t="e">
            <v>#REF!</v>
          </cell>
          <cell r="AH812" t="e">
            <v>#REF!</v>
          </cell>
          <cell r="AI812" t="e">
            <v>#REF!</v>
          </cell>
          <cell r="AJ812" t="e">
            <v>#REF!</v>
          </cell>
          <cell r="AK812" t="e">
            <v>#REF!</v>
          </cell>
          <cell r="AL812" t="e">
            <v>#REF!</v>
          </cell>
          <cell r="AM812" t="e">
            <v>#REF!</v>
          </cell>
          <cell r="AN812" t="e">
            <v>#REF!</v>
          </cell>
          <cell r="AO812" t="e">
            <v>#REF!</v>
          </cell>
          <cell r="AP812" t="e">
            <v>#REF!</v>
          </cell>
          <cell r="AQ812" t="e">
            <v>#REF!</v>
          </cell>
          <cell r="AR812" t="e">
            <v>#REF!</v>
          </cell>
          <cell r="AS812" t="e">
            <v>#REF!</v>
          </cell>
          <cell r="AT812" t="e">
            <v>#REF!</v>
          </cell>
          <cell r="AU812" t="e">
            <v>#REF!</v>
          </cell>
        </row>
        <row r="813">
          <cell r="A813" t="str">
            <v>S16-0810</v>
          </cell>
          <cell r="B813" t="str">
            <v>近江八幡市立病院_0810</v>
          </cell>
          <cell r="C813" t="e">
            <v>#REF!</v>
          </cell>
          <cell r="D813" t="e">
            <v>#REF!</v>
          </cell>
          <cell r="E813" t="e">
            <v>#REF!</v>
          </cell>
          <cell r="F813" t="e">
            <v>#REF!</v>
          </cell>
          <cell r="G813" t="e">
            <v>#REF!</v>
          </cell>
          <cell r="H813" t="e">
            <v>#REF!</v>
          </cell>
          <cell r="I813" t="e">
            <v>#REF!</v>
          </cell>
          <cell r="K813" t="e">
            <v>#REF!</v>
          </cell>
          <cell r="M813" t="e">
            <v>#REF!</v>
          </cell>
          <cell r="N813" t="e">
            <v>#REF!</v>
          </cell>
          <cell r="O813" t="e">
            <v>#REF!</v>
          </cell>
          <cell r="P813" t="e">
            <v>#REF!</v>
          </cell>
          <cell r="Q813" t="e">
            <v>#REF!</v>
          </cell>
          <cell r="R813" t="str">
            <v>〒108-0075  東京都港区港南一丁目2番70号　品川シーズンテラス　22F</v>
          </cell>
          <cell r="S813" t="e">
            <v>#REF!</v>
          </cell>
          <cell r="T813" t="e">
            <v>#REF!</v>
          </cell>
          <cell r="U813" t="e">
            <v>#REF!</v>
          </cell>
          <cell r="AA813" t="e">
            <v>#REF!</v>
          </cell>
          <cell r="AB813" t="e">
            <v>#REF!</v>
          </cell>
          <cell r="AC813" t="e">
            <v>#REF!</v>
          </cell>
          <cell r="AD813" t="e">
            <v>#REF!</v>
          </cell>
          <cell r="AE813" t="e">
            <v>#REF!</v>
          </cell>
          <cell r="AF813" t="e">
            <v>#REF!</v>
          </cell>
          <cell r="AG813" t="e">
            <v>#REF!</v>
          </cell>
          <cell r="AH813" t="e">
            <v>#REF!</v>
          </cell>
          <cell r="AI813" t="e">
            <v>#REF!</v>
          </cell>
          <cell r="AJ813" t="e">
            <v>#REF!</v>
          </cell>
          <cell r="AK813" t="e">
            <v>#REF!</v>
          </cell>
          <cell r="AL813" t="e">
            <v>#REF!</v>
          </cell>
          <cell r="AM813" t="e">
            <v>#REF!</v>
          </cell>
          <cell r="AN813" t="e">
            <v>#REF!</v>
          </cell>
          <cell r="AO813" t="e">
            <v>#REF!</v>
          </cell>
          <cell r="AP813" t="e">
            <v>#REF!</v>
          </cell>
          <cell r="AQ813" t="e">
            <v>#REF!</v>
          </cell>
          <cell r="AR813" t="e">
            <v>#REF!</v>
          </cell>
          <cell r="AS813" t="e">
            <v>#REF!</v>
          </cell>
          <cell r="AT813" t="e">
            <v>#REF!</v>
          </cell>
          <cell r="AU813" t="e">
            <v>#REF!</v>
          </cell>
        </row>
        <row r="814">
          <cell r="A814" t="str">
            <v>S16-0811</v>
          </cell>
          <cell r="B814" t="str">
            <v>デモ機EST21_0811</v>
          </cell>
          <cell r="C814" t="e">
            <v>#REF!</v>
          </cell>
          <cell r="D814" t="e">
            <v>#REF!</v>
          </cell>
          <cell r="E814" t="e">
            <v>#REF!</v>
          </cell>
          <cell r="F814" t="e">
            <v>#REF!</v>
          </cell>
          <cell r="G814" t="e">
            <v>#REF!</v>
          </cell>
          <cell r="H814" t="e">
            <v>#REF!</v>
          </cell>
          <cell r="I814" t="e">
            <v>#REF!</v>
          </cell>
          <cell r="K814" t="e">
            <v>#REF!</v>
          </cell>
          <cell r="M814" t="e">
            <v>#REF!</v>
          </cell>
          <cell r="N814" t="e">
            <v>#REF!</v>
          </cell>
          <cell r="O814" t="e">
            <v>#REF!</v>
          </cell>
          <cell r="P814" t="e">
            <v>#REF!</v>
          </cell>
          <cell r="Q814" t="e">
            <v>#REF!</v>
          </cell>
          <cell r="S814" t="e">
            <v>#REF!</v>
          </cell>
          <cell r="T814" t="e">
            <v>#REF!</v>
          </cell>
          <cell r="U814" t="e">
            <v>#REF!</v>
          </cell>
          <cell r="AA814" t="e">
            <v>#REF!</v>
          </cell>
          <cell r="AB814" t="e">
            <v>#REF!</v>
          </cell>
          <cell r="AC814" t="e">
            <v>#REF!</v>
          </cell>
          <cell r="AD814" t="e">
            <v>#REF!</v>
          </cell>
          <cell r="AE814" t="e">
            <v>#REF!</v>
          </cell>
          <cell r="AF814" t="e">
            <v>#REF!</v>
          </cell>
          <cell r="AG814" t="e">
            <v>#REF!</v>
          </cell>
          <cell r="AH814" t="e">
            <v>#REF!</v>
          </cell>
          <cell r="AI814" t="e">
            <v>#REF!</v>
          </cell>
          <cell r="AJ814" t="e">
            <v>#REF!</v>
          </cell>
          <cell r="AK814" t="e">
            <v>#REF!</v>
          </cell>
          <cell r="AL814" t="e">
            <v>#REF!</v>
          </cell>
          <cell r="AM814" t="e">
            <v>#REF!</v>
          </cell>
          <cell r="AN814" t="e">
            <v>#REF!</v>
          </cell>
          <cell r="AO814" t="e">
            <v>#REF!</v>
          </cell>
          <cell r="AP814" t="e">
            <v>#REF!</v>
          </cell>
          <cell r="AQ814" t="e">
            <v>#REF!</v>
          </cell>
          <cell r="AR814" t="e">
            <v>#REF!</v>
          </cell>
          <cell r="AS814" t="e">
            <v>#REF!</v>
          </cell>
          <cell r="AT814" t="e">
            <v>#REF!</v>
          </cell>
          <cell r="AU814" t="e">
            <v>#REF!</v>
          </cell>
        </row>
        <row r="815">
          <cell r="A815" t="str">
            <v>S16-0812</v>
          </cell>
          <cell r="B815" t="str">
            <v>すずかけセントラル病院_0812</v>
          </cell>
          <cell r="C815" t="e">
            <v>#REF!</v>
          </cell>
          <cell r="D815" t="e">
            <v>#REF!</v>
          </cell>
          <cell r="E815" t="e">
            <v>#REF!</v>
          </cell>
          <cell r="F815" t="e">
            <v>#REF!</v>
          </cell>
          <cell r="G815" t="e">
            <v>#REF!</v>
          </cell>
          <cell r="H815" t="e">
            <v>#REF!</v>
          </cell>
          <cell r="I815" t="e">
            <v>#REF!</v>
          </cell>
          <cell r="K815" t="str">
            <v>高橋</v>
          </cell>
          <cell r="L815">
            <v>3</v>
          </cell>
          <cell r="M815" t="e">
            <v>#REF!</v>
          </cell>
          <cell r="N815" t="e">
            <v>#REF!</v>
          </cell>
          <cell r="O815" t="e">
            <v>#REF!</v>
          </cell>
          <cell r="P815" t="e">
            <v>#REF!</v>
          </cell>
          <cell r="Q815" t="e">
            <v>#REF!</v>
          </cell>
          <cell r="R815" t="str">
            <v>〒431-3122　静岡県浜松市東区有玉南町2365</v>
          </cell>
          <cell r="S815" t="e">
            <v>#REF!</v>
          </cell>
          <cell r="T815" t="e">
            <v>#REF!</v>
          </cell>
          <cell r="U815" t="e">
            <v>#REF!</v>
          </cell>
          <cell r="V815" t="str">
            <v>久米様</v>
          </cell>
          <cell r="W815" t="str">
            <v>臨床工学科</v>
          </cell>
          <cell r="X815" t="str">
            <v>053-443-0111</v>
          </cell>
          <cell r="Y815" t="str">
            <v>〒432-8054　静岡県浜松市南区田尻町120-1</v>
          </cell>
          <cell r="AA815" t="e">
            <v>#REF!</v>
          </cell>
          <cell r="AB815" t="e">
            <v>#REF!</v>
          </cell>
          <cell r="AC815" t="e">
            <v>#REF!</v>
          </cell>
          <cell r="AD815" t="e">
            <v>#REF!</v>
          </cell>
          <cell r="AE815" t="e">
            <v>#REF!</v>
          </cell>
          <cell r="AF815" t="e">
            <v>#REF!</v>
          </cell>
          <cell r="AG815" t="e">
            <v>#REF!</v>
          </cell>
          <cell r="AH815" t="e">
            <v>#REF!</v>
          </cell>
          <cell r="AI815" t="e">
            <v>#REF!</v>
          </cell>
          <cell r="AJ815" t="e">
            <v>#REF!</v>
          </cell>
          <cell r="AK815" t="e">
            <v>#REF!</v>
          </cell>
          <cell r="AL815" t="e">
            <v>#REF!</v>
          </cell>
          <cell r="AM815" t="e">
            <v>#REF!</v>
          </cell>
          <cell r="AN815" t="e">
            <v>#REF!</v>
          </cell>
          <cell r="AO815" t="e">
            <v>#REF!</v>
          </cell>
          <cell r="AP815" t="e">
            <v>#REF!</v>
          </cell>
          <cell r="AQ815" t="e">
            <v>#REF!</v>
          </cell>
          <cell r="AR815" t="e">
            <v>#REF!</v>
          </cell>
          <cell r="AS815" t="e">
            <v>#REF!</v>
          </cell>
          <cell r="AT815" t="e">
            <v>#REF!</v>
          </cell>
          <cell r="AU815" t="e">
            <v>#REF!</v>
          </cell>
        </row>
        <row r="816">
          <cell r="A816" t="str">
            <v>S16-0813</v>
          </cell>
          <cell r="B816" t="str">
            <v>酒井病院_0813</v>
          </cell>
          <cell r="C816" t="e">
            <v>#REF!</v>
          </cell>
          <cell r="D816" t="e">
            <v>#REF!</v>
          </cell>
          <cell r="E816" t="e">
            <v>#REF!</v>
          </cell>
          <cell r="F816" t="e">
            <v>#REF!</v>
          </cell>
          <cell r="G816" t="e">
            <v>#REF!</v>
          </cell>
          <cell r="H816" t="e">
            <v>#REF!</v>
          </cell>
          <cell r="I816" t="e">
            <v>#REF!</v>
          </cell>
          <cell r="K816" t="e">
            <v>#REF!</v>
          </cell>
          <cell r="M816" t="e">
            <v>#REF!</v>
          </cell>
          <cell r="N816" t="e">
            <v>#REF!</v>
          </cell>
          <cell r="O816" t="e">
            <v>#REF!</v>
          </cell>
          <cell r="P816" t="e">
            <v>#REF!</v>
          </cell>
          <cell r="Q816" t="e">
            <v>#REF!</v>
          </cell>
          <cell r="S816" t="e">
            <v>#REF!</v>
          </cell>
          <cell r="T816" t="e">
            <v>#REF!</v>
          </cell>
          <cell r="U816" t="e">
            <v>#REF!</v>
          </cell>
          <cell r="AA816" t="e">
            <v>#REF!</v>
          </cell>
          <cell r="AB816" t="e">
            <v>#REF!</v>
          </cell>
          <cell r="AC816" t="e">
            <v>#REF!</v>
          </cell>
          <cell r="AD816" t="e">
            <v>#REF!</v>
          </cell>
          <cell r="AE816" t="e">
            <v>#REF!</v>
          </cell>
          <cell r="AF816" t="e">
            <v>#REF!</v>
          </cell>
          <cell r="AG816" t="e">
            <v>#REF!</v>
          </cell>
          <cell r="AH816" t="e">
            <v>#REF!</v>
          </cell>
          <cell r="AI816" t="e">
            <v>#REF!</v>
          </cell>
          <cell r="AJ816" t="e">
            <v>#REF!</v>
          </cell>
          <cell r="AK816" t="e">
            <v>#REF!</v>
          </cell>
          <cell r="AL816" t="e">
            <v>#REF!</v>
          </cell>
          <cell r="AM816" t="e">
            <v>#REF!</v>
          </cell>
          <cell r="AN816" t="e">
            <v>#REF!</v>
          </cell>
          <cell r="AO816" t="e">
            <v>#REF!</v>
          </cell>
          <cell r="AP816" t="e">
            <v>#REF!</v>
          </cell>
          <cell r="AQ816" t="e">
            <v>#REF!</v>
          </cell>
          <cell r="AR816" t="e">
            <v>#REF!</v>
          </cell>
          <cell r="AS816" t="e">
            <v>#REF!</v>
          </cell>
          <cell r="AT816" t="e">
            <v>#REF!</v>
          </cell>
          <cell r="AU816" t="e">
            <v>#REF!</v>
          </cell>
        </row>
        <row r="817">
          <cell r="A817" t="str">
            <v>S16-0814</v>
          </cell>
          <cell r="B817" t="str">
            <v>信州大学医学部附属病院_0814</v>
          </cell>
          <cell r="C817" t="e">
            <v>#REF!</v>
          </cell>
          <cell r="D817" t="e">
            <v>#REF!</v>
          </cell>
          <cell r="E817" t="e">
            <v>#REF!</v>
          </cell>
          <cell r="F817" t="e">
            <v>#REF!</v>
          </cell>
          <cell r="G817" t="e">
            <v>#REF!</v>
          </cell>
          <cell r="H817" t="e">
            <v>#REF!</v>
          </cell>
          <cell r="I817" t="e">
            <v>#REF!</v>
          </cell>
          <cell r="K817" t="e">
            <v>#REF!</v>
          </cell>
          <cell r="M817" t="e">
            <v>#REF!</v>
          </cell>
          <cell r="N817" t="e">
            <v>#REF!</v>
          </cell>
          <cell r="O817" t="e">
            <v>#REF!</v>
          </cell>
          <cell r="P817" t="e">
            <v>#REF!</v>
          </cell>
          <cell r="Q817" t="e">
            <v>#REF!</v>
          </cell>
          <cell r="R817" t="str">
            <v>〒108-0075  東京都港区港南一丁目2番70号　品川シーズンテラス　22F</v>
          </cell>
          <cell r="S817" t="e">
            <v>#REF!</v>
          </cell>
          <cell r="T817" t="e">
            <v>#REF!</v>
          </cell>
          <cell r="U817" t="e">
            <v>#REF!</v>
          </cell>
          <cell r="AA817" t="e">
            <v>#REF!</v>
          </cell>
          <cell r="AB817" t="e">
            <v>#REF!</v>
          </cell>
          <cell r="AC817" t="e">
            <v>#REF!</v>
          </cell>
          <cell r="AD817" t="e">
            <v>#REF!</v>
          </cell>
          <cell r="AE817" t="e">
            <v>#REF!</v>
          </cell>
          <cell r="AF817" t="e">
            <v>#REF!</v>
          </cell>
          <cell r="AG817" t="e">
            <v>#REF!</v>
          </cell>
          <cell r="AH817" t="e">
            <v>#REF!</v>
          </cell>
          <cell r="AI817" t="e">
            <v>#REF!</v>
          </cell>
          <cell r="AJ817" t="e">
            <v>#REF!</v>
          </cell>
          <cell r="AK817" t="e">
            <v>#REF!</v>
          </cell>
          <cell r="AL817" t="e">
            <v>#REF!</v>
          </cell>
          <cell r="AM817" t="e">
            <v>#REF!</v>
          </cell>
          <cell r="AN817" t="e">
            <v>#REF!</v>
          </cell>
          <cell r="AO817" t="e">
            <v>#REF!</v>
          </cell>
          <cell r="AP817" t="e">
            <v>#REF!</v>
          </cell>
          <cell r="AQ817" t="e">
            <v>#REF!</v>
          </cell>
          <cell r="AR817" t="e">
            <v>#REF!</v>
          </cell>
          <cell r="AS817" t="e">
            <v>#REF!</v>
          </cell>
          <cell r="AT817" t="e">
            <v>#REF!</v>
          </cell>
          <cell r="AU817" t="e">
            <v>#REF!</v>
          </cell>
        </row>
        <row r="818">
          <cell r="A818" t="str">
            <v>S16-0815</v>
          </cell>
          <cell r="B818" t="str">
            <v>JA高知病院_0815</v>
          </cell>
          <cell r="C818" t="e">
            <v>#REF!</v>
          </cell>
          <cell r="D818" t="e">
            <v>#REF!</v>
          </cell>
          <cell r="E818" t="e">
            <v>#REF!</v>
          </cell>
          <cell r="F818" t="e">
            <v>#REF!</v>
          </cell>
          <cell r="G818" t="e">
            <v>#REF!</v>
          </cell>
          <cell r="H818" t="e">
            <v>#REF!</v>
          </cell>
          <cell r="I818" t="e">
            <v>#REF!</v>
          </cell>
          <cell r="K818" t="e">
            <v>#REF!</v>
          </cell>
          <cell r="M818" t="e">
            <v>#REF!</v>
          </cell>
          <cell r="N818" t="e">
            <v>#REF!</v>
          </cell>
          <cell r="O818" t="e">
            <v>#REF!</v>
          </cell>
          <cell r="P818" t="e">
            <v>#REF!</v>
          </cell>
          <cell r="Q818" t="e">
            <v>#REF!</v>
          </cell>
          <cell r="S818" t="e">
            <v>#REF!</v>
          </cell>
          <cell r="T818" t="e">
            <v>#REF!</v>
          </cell>
          <cell r="U818" t="e">
            <v>#REF!</v>
          </cell>
          <cell r="AA818" t="e">
            <v>#REF!</v>
          </cell>
          <cell r="AB818" t="e">
            <v>#REF!</v>
          </cell>
          <cell r="AC818" t="e">
            <v>#REF!</v>
          </cell>
          <cell r="AD818" t="e">
            <v>#REF!</v>
          </cell>
          <cell r="AE818" t="e">
            <v>#REF!</v>
          </cell>
          <cell r="AF818" t="e">
            <v>#REF!</v>
          </cell>
          <cell r="AG818" t="e">
            <v>#REF!</v>
          </cell>
          <cell r="AH818" t="e">
            <v>#REF!</v>
          </cell>
          <cell r="AI818" t="e">
            <v>#REF!</v>
          </cell>
          <cell r="AJ818" t="e">
            <v>#REF!</v>
          </cell>
          <cell r="AK818" t="e">
            <v>#REF!</v>
          </cell>
          <cell r="AL818" t="e">
            <v>#REF!</v>
          </cell>
          <cell r="AM818" t="e">
            <v>#REF!</v>
          </cell>
          <cell r="AN818" t="e">
            <v>#REF!</v>
          </cell>
          <cell r="AO818" t="e">
            <v>#REF!</v>
          </cell>
          <cell r="AP818" t="e">
            <v>#REF!</v>
          </cell>
          <cell r="AQ818" t="e">
            <v>#REF!</v>
          </cell>
          <cell r="AR818" t="e">
            <v>#REF!</v>
          </cell>
          <cell r="AS818" t="e">
            <v>#REF!</v>
          </cell>
          <cell r="AT818" t="e">
            <v>#REF!</v>
          </cell>
          <cell r="AU818" t="e">
            <v>#REF!</v>
          </cell>
        </row>
        <row r="819">
          <cell r="A819" t="str">
            <v>S16-0816</v>
          </cell>
          <cell r="B819" t="str">
            <v>宇治徳洲会病院_0816</v>
          </cell>
          <cell r="C819" t="e">
            <v>#REF!</v>
          </cell>
          <cell r="D819" t="e">
            <v>#REF!</v>
          </cell>
          <cell r="E819" t="e">
            <v>#REF!</v>
          </cell>
          <cell r="F819" t="e">
            <v>#REF!</v>
          </cell>
          <cell r="G819" t="e">
            <v>#REF!</v>
          </cell>
          <cell r="H819" t="e">
            <v>#REF!</v>
          </cell>
          <cell r="I819" t="e">
            <v>#REF!</v>
          </cell>
          <cell r="K819" t="e">
            <v>#REF!</v>
          </cell>
          <cell r="M819" t="e">
            <v>#REF!</v>
          </cell>
          <cell r="N819" t="e">
            <v>#REF!</v>
          </cell>
          <cell r="O819" t="e">
            <v>#REF!</v>
          </cell>
          <cell r="P819" t="e">
            <v>#REF!</v>
          </cell>
          <cell r="Q819" t="e">
            <v>#REF!</v>
          </cell>
          <cell r="R819" t="str">
            <v>〒108-0075  東京都港区港南一丁目2番70号　品川シーズンテラス　22F</v>
          </cell>
          <cell r="S819" t="e">
            <v>#REF!</v>
          </cell>
          <cell r="T819" t="e">
            <v>#REF!</v>
          </cell>
          <cell r="U819" t="e">
            <v>#REF!</v>
          </cell>
          <cell r="AA819" t="e">
            <v>#REF!</v>
          </cell>
          <cell r="AB819" t="e">
            <v>#REF!</v>
          </cell>
          <cell r="AC819" t="e">
            <v>#REF!</v>
          </cell>
          <cell r="AD819" t="e">
            <v>#REF!</v>
          </cell>
          <cell r="AE819" t="e">
            <v>#REF!</v>
          </cell>
          <cell r="AF819" t="e">
            <v>#REF!</v>
          </cell>
          <cell r="AG819" t="e">
            <v>#REF!</v>
          </cell>
          <cell r="AH819" t="e">
            <v>#REF!</v>
          </cell>
          <cell r="AI819" t="e">
            <v>#REF!</v>
          </cell>
          <cell r="AJ819" t="e">
            <v>#REF!</v>
          </cell>
          <cell r="AK819" t="e">
            <v>#REF!</v>
          </cell>
          <cell r="AL819" t="e">
            <v>#REF!</v>
          </cell>
          <cell r="AM819" t="e">
            <v>#REF!</v>
          </cell>
          <cell r="AN819" t="e">
            <v>#REF!</v>
          </cell>
          <cell r="AO819" t="e">
            <v>#REF!</v>
          </cell>
          <cell r="AP819" t="e">
            <v>#REF!</v>
          </cell>
          <cell r="AQ819" t="e">
            <v>#REF!</v>
          </cell>
          <cell r="AR819" t="e">
            <v>#REF!</v>
          </cell>
          <cell r="AS819" t="e">
            <v>#REF!</v>
          </cell>
          <cell r="AT819" t="e">
            <v>#REF!</v>
          </cell>
          <cell r="AU819" t="e">
            <v>#REF!</v>
          </cell>
        </row>
        <row r="820">
          <cell r="A820" t="str">
            <v>S16-0817</v>
          </cell>
          <cell r="B820" t="str">
            <v>埼玉医科大学総合医療センター_0817</v>
          </cell>
          <cell r="C820" t="e">
            <v>#REF!</v>
          </cell>
          <cell r="D820" t="e">
            <v>#REF!</v>
          </cell>
          <cell r="E820" t="e">
            <v>#REF!</v>
          </cell>
          <cell r="F820" t="e">
            <v>#REF!</v>
          </cell>
          <cell r="G820" t="e">
            <v>#REF!</v>
          </cell>
          <cell r="H820" t="e">
            <v>#REF!</v>
          </cell>
          <cell r="I820" t="e">
            <v>#REF!</v>
          </cell>
          <cell r="K820" t="e">
            <v>#REF!</v>
          </cell>
          <cell r="M820" t="e">
            <v>#REF!</v>
          </cell>
          <cell r="N820" t="e">
            <v>#REF!</v>
          </cell>
          <cell r="O820" t="e">
            <v>#REF!</v>
          </cell>
          <cell r="P820" t="e">
            <v>#REF!</v>
          </cell>
          <cell r="Q820" t="e">
            <v>#REF!</v>
          </cell>
          <cell r="S820" t="e">
            <v>#REF!</v>
          </cell>
          <cell r="T820" t="e">
            <v>#REF!</v>
          </cell>
          <cell r="U820" t="e">
            <v>#REF!</v>
          </cell>
          <cell r="AA820" t="e">
            <v>#REF!</v>
          </cell>
          <cell r="AB820" t="e">
            <v>#REF!</v>
          </cell>
          <cell r="AC820" t="e">
            <v>#REF!</v>
          </cell>
          <cell r="AD820" t="e">
            <v>#REF!</v>
          </cell>
          <cell r="AE820" t="e">
            <v>#REF!</v>
          </cell>
          <cell r="AF820" t="e">
            <v>#REF!</v>
          </cell>
          <cell r="AG820" t="e">
            <v>#REF!</v>
          </cell>
          <cell r="AH820" t="e">
            <v>#REF!</v>
          </cell>
          <cell r="AI820" t="e">
            <v>#REF!</v>
          </cell>
          <cell r="AJ820" t="e">
            <v>#REF!</v>
          </cell>
          <cell r="AK820" t="e">
            <v>#REF!</v>
          </cell>
          <cell r="AL820" t="e">
            <v>#REF!</v>
          </cell>
          <cell r="AM820" t="e">
            <v>#REF!</v>
          </cell>
          <cell r="AN820" t="e">
            <v>#REF!</v>
          </cell>
          <cell r="AO820" t="e">
            <v>#REF!</v>
          </cell>
          <cell r="AP820" t="e">
            <v>#REF!</v>
          </cell>
          <cell r="AQ820" t="e">
            <v>#REF!</v>
          </cell>
          <cell r="AR820" t="e">
            <v>#REF!</v>
          </cell>
          <cell r="AS820" t="e">
            <v>#REF!</v>
          </cell>
          <cell r="AT820" t="e">
            <v>#REF!</v>
          </cell>
          <cell r="AU820" t="e">
            <v>#REF!</v>
          </cell>
        </row>
        <row r="821">
          <cell r="A821" t="str">
            <v>S16-0818</v>
          </cell>
          <cell r="B821" t="str">
            <v>野中診療所_0818</v>
          </cell>
          <cell r="C821" t="e">
            <v>#REF!</v>
          </cell>
          <cell r="D821" t="e">
            <v>#REF!</v>
          </cell>
          <cell r="E821" t="e">
            <v>#REF!</v>
          </cell>
          <cell r="F821" t="e">
            <v>#REF!</v>
          </cell>
          <cell r="G821" t="e">
            <v>#REF!</v>
          </cell>
          <cell r="H821" t="e">
            <v>#REF!</v>
          </cell>
          <cell r="I821" t="e">
            <v>#REF!</v>
          </cell>
          <cell r="K821" t="e">
            <v>#REF!</v>
          </cell>
          <cell r="M821" t="e">
            <v>#REF!</v>
          </cell>
          <cell r="N821" t="e">
            <v>#REF!</v>
          </cell>
          <cell r="O821" t="e">
            <v>#REF!</v>
          </cell>
          <cell r="P821" t="e">
            <v>#REF!</v>
          </cell>
          <cell r="Q821" t="e">
            <v>#REF!</v>
          </cell>
          <cell r="S821" t="e">
            <v>#REF!</v>
          </cell>
          <cell r="T821" t="e">
            <v>#REF!</v>
          </cell>
          <cell r="U821" t="e">
            <v>#REF!</v>
          </cell>
          <cell r="AA821" t="e">
            <v>#REF!</v>
          </cell>
          <cell r="AB821" t="e">
            <v>#REF!</v>
          </cell>
          <cell r="AC821" t="e">
            <v>#REF!</v>
          </cell>
          <cell r="AD821" t="e">
            <v>#REF!</v>
          </cell>
          <cell r="AE821" t="e">
            <v>#REF!</v>
          </cell>
          <cell r="AF821" t="e">
            <v>#REF!</v>
          </cell>
          <cell r="AG821" t="e">
            <v>#REF!</v>
          </cell>
          <cell r="AH821" t="e">
            <v>#REF!</v>
          </cell>
          <cell r="AI821" t="e">
            <v>#REF!</v>
          </cell>
          <cell r="AJ821" t="e">
            <v>#REF!</v>
          </cell>
          <cell r="AK821" t="e">
            <v>#REF!</v>
          </cell>
          <cell r="AL821" t="e">
            <v>#REF!</v>
          </cell>
          <cell r="AM821" t="e">
            <v>#REF!</v>
          </cell>
          <cell r="AN821" t="e">
            <v>#REF!</v>
          </cell>
          <cell r="AO821" t="e">
            <v>#REF!</v>
          </cell>
          <cell r="AP821" t="e">
            <v>#REF!</v>
          </cell>
          <cell r="AQ821" t="e">
            <v>#REF!</v>
          </cell>
          <cell r="AR821" t="e">
            <v>#REF!</v>
          </cell>
          <cell r="AS821" t="e">
            <v>#REF!</v>
          </cell>
          <cell r="AT821" t="e">
            <v>#REF!</v>
          </cell>
          <cell r="AU821" t="e">
            <v>#REF!</v>
          </cell>
        </row>
        <row r="822">
          <cell r="A822" t="str">
            <v>S16-0819</v>
          </cell>
          <cell r="B822" t="str">
            <v>生田病院_0819</v>
          </cell>
          <cell r="C822" t="e">
            <v>#REF!</v>
          </cell>
          <cell r="D822" t="e">
            <v>#REF!</v>
          </cell>
          <cell r="E822" t="e">
            <v>#REF!</v>
          </cell>
          <cell r="F822" t="e">
            <v>#REF!</v>
          </cell>
          <cell r="G822" t="e">
            <v>#REF!</v>
          </cell>
          <cell r="H822" t="e">
            <v>#REF!</v>
          </cell>
          <cell r="I822" t="e">
            <v>#REF!</v>
          </cell>
          <cell r="K822" t="str">
            <v>高橋</v>
          </cell>
          <cell r="L822">
            <v>5</v>
          </cell>
          <cell r="M822" t="e">
            <v>#REF!</v>
          </cell>
          <cell r="N822" t="e">
            <v>#REF!</v>
          </cell>
          <cell r="O822" t="e">
            <v>#REF!</v>
          </cell>
          <cell r="P822" t="e">
            <v>#REF!</v>
          </cell>
          <cell r="Q822" t="e">
            <v>#REF!</v>
          </cell>
          <cell r="R822" t="str">
            <v>〒214-0038　神奈川県川崎市多摩区西生田5-24-1</v>
          </cell>
          <cell r="S822" t="e">
            <v>#REF!</v>
          </cell>
          <cell r="T822" t="e">
            <v>#REF!</v>
          </cell>
          <cell r="U822" t="e">
            <v>#REF!</v>
          </cell>
          <cell r="X822" t="str">
            <v>044-966-2151</v>
          </cell>
          <cell r="Y822" t="str">
            <v>〒214-0038　神奈川県川崎市多摩区西生田5-24-1</v>
          </cell>
          <cell r="AA822" t="e">
            <v>#REF!</v>
          </cell>
          <cell r="AB822" t="e">
            <v>#REF!</v>
          </cell>
          <cell r="AC822" t="e">
            <v>#REF!</v>
          </cell>
          <cell r="AD822" t="e">
            <v>#REF!</v>
          </cell>
          <cell r="AE822" t="e">
            <v>#REF!</v>
          </cell>
          <cell r="AF822" t="e">
            <v>#REF!</v>
          </cell>
          <cell r="AG822" t="e">
            <v>#REF!</v>
          </cell>
          <cell r="AH822" t="e">
            <v>#REF!</v>
          </cell>
          <cell r="AI822" t="e">
            <v>#REF!</v>
          </cell>
          <cell r="AJ822" t="e">
            <v>#REF!</v>
          </cell>
          <cell r="AK822" t="e">
            <v>#REF!</v>
          </cell>
          <cell r="AL822" t="e">
            <v>#REF!</v>
          </cell>
          <cell r="AM822" t="e">
            <v>#REF!</v>
          </cell>
          <cell r="AN822" t="e">
            <v>#REF!</v>
          </cell>
          <cell r="AO822" t="e">
            <v>#REF!</v>
          </cell>
          <cell r="AP822" t="e">
            <v>#REF!</v>
          </cell>
          <cell r="AQ822" t="e">
            <v>#REF!</v>
          </cell>
          <cell r="AR822" t="e">
            <v>#REF!</v>
          </cell>
          <cell r="AS822" t="e">
            <v>#REF!</v>
          </cell>
          <cell r="AT822" t="e">
            <v>#REF!</v>
          </cell>
          <cell r="AU822" t="e">
            <v>#REF!</v>
          </cell>
        </row>
        <row r="823">
          <cell r="A823" t="str">
            <v>S16-0820</v>
          </cell>
          <cell r="B823" t="str">
            <v>岩見沢市立総合病院_0820</v>
          </cell>
          <cell r="C823" t="e">
            <v>#REF!</v>
          </cell>
          <cell r="D823" t="e">
            <v>#REF!</v>
          </cell>
          <cell r="E823" t="e">
            <v>#REF!</v>
          </cell>
          <cell r="F823" t="e">
            <v>#REF!</v>
          </cell>
          <cell r="G823" t="e">
            <v>#REF!</v>
          </cell>
          <cell r="H823" t="e">
            <v>#REF!</v>
          </cell>
          <cell r="I823" t="e">
            <v>#REF!</v>
          </cell>
          <cell r="K823" t="str">
            <v>高橋</v>
          </cell>
          <cell r="L823">
            <v>3</v>
          </cell>
          <cell r="M823" t="e">
            <v>#REF!</v>
          </cell>
          <cell r="N823" t="e">
            <v>#REF!</v>
          </cell>
          <cell r="O823" t="e">
            <v>#REF!</v>
          </cell>
          <cell r="P823" t="e">
            <v>#REF!</v>
          </cell>
          <cell r="Q823" t="e">
            <v>#REF!</v>
          </cell>
          <cell r="R823" t="str">
            <v>〒068-0833　北海道岩見沢市志文町957-5</v>
          </cell>
          <cell r="S823" t="e">
            <v>#REF!</v>
          </cell>
          <cell r="T823" t="e">
            <v>#REF!</v>
          </cell>
          <cell r="U823" t="e">
            <v>#REF!</v>
          </cell>
          <cell r="V823" t="str">
            <v>-</v>
          </cell>
          <cell r="W823" t="str">
            <v>内科</v>
          </cell>
          <cell r="X823" t="str">
            <v>0126-22-1650</v>
          </cell>
          <cell r="Y823" t="str">
            <v>〒068-8555　北海道岩見沢市9条西7丁目2</v>
          </cell>
          <cell r="AA823" t="e">
            <v>#REF!</v>
          </cell>
          <cell r="AB823" t="e">
            <v>#REF!</v>
          </cell>
          <cell r="AC823" t="e">
            <v>#REF!</v>
          </cell>
          <cell r="AD823" t="e">
            <v>#REF!</v>
          </cell>
          <cell r="AE823" t="e">
            <v>#REF!</v>
          </cell>
          <cell r="AF823" t="e">
            <v>#REF!</v>
          </cell>
          <cell r="AG823" t="e">
            <v>#REF!</v>
          </cell>
          <cell r="AH823" t="e">
            <v>#REF!</v>
          </cell>
          <cell r="AI823" t="e">
            <v>#REF!</v>
          </cell>
          <cell r="AJ823" t="e">
            <v>#REF!</v>
          </cell>
          <cell r="AK823" t="e">
            <v>#REF!</v>
          </cell>
          <cell r="AL823" t="e">
            <v>#REF!</v>
          </cell>
          <cell r="AM823" t="e">
            <v>#REF!</v>
          </cell>
          <cell r="AN823" t="e">
            <v>#REF!</v>
          </cell>
          <cell r="AO823" t="e">
            <v>#REF!</v>
          </cell>
          <cell r="AP823" t="e">
            <v>#REF!</v>
          </cell>
          <cell r="AQ823" t="e">
            <v>#REF!</v>
          </cell>
          <cell r="AR823" t="e">
            <v>#REF!</v>
          </cell>
          <cell r="AS823" t="e">
            <v>#REF!</v>
          </cell>
          <cell r="AT823" t="e">
            <v>#REF!</v>
          </cell>
          <cell r="AU823" t="e">
            <v>#REF!</v>
          </cell>
        </row>
        <row r="824">
          <cell r="A824" t="str">
            <v>S16-0821</v>
          </cell>
          <cell r="B824" t="str">
            <v>ハートライフ病院_0821</v>
          </cell>
          <cell r="C824" t="e">
            <v>#REF!</v>
          </cell>
          <cell r="D824" t="e">
            <v>#REF!</v>
          </cell>
          <cell r="E824" t="e">
            <v>#REF!</v>
          </cell>
          <cell r="F824" t="e">
            <v>#REF!</v>
          </cell>
          <cell r="G824" t="e">
            <v>#REF!</v>
          </cell>
          <cell r="H824" t="e">
            <v>#REF!</v>
          </cell>
          <cell r="I824" t="e">
            <v>#REF!</v>
          </cell>
          <cell r="K824" t="e">
            <v>#REF!</v>
          </cell>
          <cell r="M824" t="e">
            <v>#REF!</v>
          </cell>
          <cell r="N824" t="e">
            <v>#REF!</v>
          </cell>
          <cell r="O824" t="e">
            <v>#REF!</v>
          </cell>
          <cell r="P824" t="e">
            <v>#REF!</v>
          </cell>
          <cell r="Q824" t="e">
            <v>#REF!</v>
          </cell>
          <cell r="S824" t="e">
            <v>#REF!</v>
          </cell>
          <cell r="T824" t="e">
            <v>#REF!</v>
          </cell>
          <cell r="U824" t="e">
            <v>#REF!</v>
          </cell>
          <cell r="AA824" t="e">
            <v>#REF!</v>
          </cell>
          <cell r="AB824" t="e">
            <v>#REF!</v>
          </cell>
          <cell r="AC824" t="e">
            <v>#REF!</v>
          </cell>
          <cell r="AD824" t="e">
            <v>#REF!</v>
          </cell>
          <cell r="AE824" t="e">
            <v>#REF!</v>
          </cell>
          <cell r="AF824" t="e">
            <v>#REF!</v>
          </cell>
          <cell r="AG824" t="e">
            <v>#REF!</v>
          </cell>
          <cell r="AH824" t="e">
            <v>#REF!</v>
          </cell>
          <cell r="AI824" t="e">
            <v>#REF!</v>
          </cell>
          <cell r="AJ824" t="e">
            <v>#REF!</v>
          </cell>
          <cell r="AK824" t="e">
            <v>#REF!</v>
          </cell>
          <cell r="AL824" t="e">
            <v>#REF!</v>
          </cell>
          <cell r="AM824" t="e">
            <v>#REF!</v>
          </cell>
          <cell r="AN824" t="e">
            <v>#REF!</v>
          </cell>
          <cell r="AO824" t="e">
            <v>#REF!</v>
          </cell>
          <cell r="AP824" t="e">
            <v>#REF!</v>
          </cell>
          <cell r="AQ824" t="e">
            <v>#REF!</v>
          </cell>
          <cell r="AR824" t="e">
            <v>#REF!</v>
          </cell>
          <cell r="AS824" t="e">
            <v>#REF!</v>
          </cell>
          <cell r="AT824" t="e">
            <v>#REF!</v>
          </cell>
          <cell r="AU824" t="e">
            <v>#REF!</v>
          </cell>
        </row>
        <row r="825">
          <cell r="A825" t="str">
            <v>S16-0822</v>
          </cell>
          <cell r="B825" t="str">
            <v>市立札幌病院_0822</v>
          </cell>
          <cell r="C825" t="e">
            <v>#REF!</v>
          </cell>
          <cell r="D825" t="e">
            <v>#REF!</v>
          </cell>
          <cell r="E825" t="e">
            <v>#REF!</v>
          </cell>
          <cell r="F825" t="e">
            <v>#REF!</v>
          </cell>
          <cell r="G825" t="e">
            <v>#REF!</v>
          </cell>
          <cell r="H825" t="e">
            <v>#REF!</v>
          </cell>
          <cell r="I825" t="e">
            <v>#REF!</v>
          </cell>
          <cell r="K825" t="e">
            <v>#REF!</v>
          </cell>
          <cell r="M825" t="e">
            <v>#REF!</v>
          </cell>
          <cell r="N825" t="e">
            <v>#REF!</v>
          </cell>
          <cell r="O825" t="e">
            <v>#REF!</v>
          </cell>
          <cell r="P825" t="e">
            <v>#REF!</v>
          </cell>
          <cell r="Q825" t="e">
            <v>#REF!</v>
          </cell>
          <cell r="S825" t="e">
            <v>#REF!</v>
          </cell>
          <cell r="T825" t="e">
            <v>#REF!</v>
          </cell>
          <cell r="U825" t="e">
            <v>#REF!</v>
          </cell>
          <cell r="AA825" t="e">
            <v>#REF!</v>
          </cell>
          <cell r="AB825" t="e">
            <v>#REF!</v>
          </cell>
          <cell r="AC825" t="e">
            <v>#REF!</v>
          </cell>
          <cell r="AD825" t="e">
            <v>#REF!</v>
          </cell>
          <cell r="AE825" t="e">
            <v>#REF!</v>
          </cell>
          <cell r="AF825" t="e">
            <v>#REF!</v>
          </cell>
          <cell r="AG825" t="e">
            <v>#REF!</v>
          </cell>
          <cell r="AH825" t="e">
            <v>#REF!</v>
          </cell>
          <cell r="AI825" t="e">
            <v>#REF!</v>
          </cell>
          <cell r="AJ825" t="e">
            <v>#REF!</v>
          </cell>
          <cell r="AK825" t="e">
            <v>#REF!</v>
          </cell>
          <cell r="AL825" t="e">
            <v>#REF!</v>
          </cell>
          <cell r="AM825" t="e">
            <v>#REF!</v>
          </cell>
          <cell r="AN825" t="e">
            <v>#REF!</v>
          </cell>
          <cell r="AO825" t="e">
            <v>#REF!</v>
          </cell>
          <cell r="AP825" t="e">
            <v>#REF!</v>
          </cell>
          <cell r="AQ825" t="e">
            <v>#REF!</v>
          </cell>
          <cell r="AR825" t="e">
            <v>#REF!</v>
          </cell>
          <cell r="AS825" t="e">
            <v>#REF!</v>
          </cell>
          <cell r="AT825" t="e">
            <v>#REF!</v>
          </cell>
          <cell r="AU825" t="e">
            <v>#REF!</v>
          </cell>
        </row>
        <row r="826">
          <cell r="A826" t="str">
            <v>S16-0823</v>
          </cell>
          <cell r="B826" t="str">
            <v>デモ機OGS24_0823</v>
          </cell>
          <cell r="C826" t="e">
            <v>#REF!</v>
          </cell>
          <cell r="D826" t="e">
            <v>#REF!</v>
          </cell>
          <cell r="E826" t="e">
            <v>#REF!</v>
          </cell>
          <cell r="F826" t="e">
            <v>#REF!</v>
          </cell>
          <cell r="G826" t="e">
            <v>#REF!</v>
          </cell>
          <cell r="H826" t="e">
            <v>#REF!</v>
          </cell>
          <cell r="I826" t="e">
            <v>#REF!</v>
          </cell>
          <cell r="K826" t="e">
            <v>#REF!</v>
          </cell>
          <cell r="M826" t="e">
            <v>#REF!</v>
          </cell>
          <cell r="N826" t="e">
            <v>#REF!</v>
          </cell>
          <cell r="O826" t="e">
            <v>#REF!</v>
          </cell>
          <cell r="P826" t="e">
            <v>#REF!</v>
          </cell>
          <cell r="Q826" t="e">
            <v>#REF!</v>
          </cell>
          <cell r="S826" t="e">
            <v>#REF!</v>
          </cell>
          <cell r="T826" t="e">
            <v>#REF!</v>
          </cell>
          <cell r="U826" t="e">
            <v>#REF!</v>
          </cell>
          <cell r="AA826" t="e">
            <v>#REF!</v>
          </cell>
          <cell r="AB826" t="e">
            <v>#REF!</v>
          </cell>
          <cell r="AC826" t="e">
            <v>#REF!</v>
          </cell>
          <cell r="AD826" t="e">
            <v>#REF!</v>
          </cell>
          <cell r="AE826" t="e">
            <v>#REF!</v>
          </cell>
          <cell r="AF826" t="e">
            <v>#REF!</v>
          </cell>
          <cell r="AG826" t="e">
            <v>#REF!</v>
          </cell>
          <cell r="AH826" t="e">
            <v>#REF!</v>
          </cell>
          <cell r="AI826" t="e">
            <v>#REF!</v>
          </cell>
          <cell r="AJ826" t="e">
            <v>#REF!</v>
          </cell>
          <cell r="AK826" t="e">
            <v>#REF!</v>
          </cell>
          <cell r="AL826" t="e">
            <v>#REF!</v>
          </cell>
          <cell r="AM826" t="e">
            <v>#REF!</v>
          </cell>
          <cell r="AN826" t="e">
            <v>#REF!</v>
          </cell>
          <cell r="AO826" t="e">
            <v>#REF!</v>
          </cell>
          <cell r="AP826" t="e">
            <v>#REF!</v>
          </cell>
          <cell r="AQ826" t="e">
            <v>#REF!</v>
          </cell>
          <cell r="AR826" t="e">
            <v>#REF!</v>
          </cell>
          <cell r="AS826" t="e">
            <v>#REF!</v>
          </cell>
          <cell r="AT826" t="e">
            <v>#REF!</v>
          </cell>
          <cell r="AU826" t="e">
            <v>#REF!</v>
          </cell>
        </row>
        <row r="827">
          <cell r="A827" t="str">
            <v>S16-0824</v>
          </cell>
          <cell r="B827" t="str">
            <v>東京医療センター_0824</v>
          </cell>
          <cell r="C827" t="e">
            <v>#REF!</v>
          </cell>
          <cell r="D827" t="e">
            <v>#REF!</v>
          </cell>
          <cell r="E827" t="e">
            <v>#REF!</v>
          </cell>
          <cell r="F827" t="e">
            <v>#REF!</v>
          </cell>
          <cell r="G827" t="e">
            <v>#REF!</v>
          </cell>
          <cell r="H827" t="e">
            <v>#REF!</v>
          </cell>
          <cell r="I827" t="e">
            <v>#REF!</v>
          </cell>
          <cell r="K827" t="e">
            <v>#REF!</v>
          </cell>
          <cell r="M827" t="e">
            <v>#REF!</v>
          </cell>
          <cell r="N827" t="e">
            <v>#REF!</v>
          </cell>
          <cell r="O827" t="e">
            <v>#REF!</v>
          </cell>
          <cell r="P827" t="e">
            <v>#REF!</v>
          </cell>
          <cell r="Q827" t="e">
            <v>#REF!</v>
          </cell>
          <cell r="S827" t="e">
            <v>#REF!</v>
          </cell>
          <cell r="T827" t="e">
            <v>#REF!</v>
          </cell>
          <cell r="U827" t="e">
            <v>#REF!</v>
          </cell>
          <cell r="AA827" t="e">
            <v>#REF!</v>
          </cell>
          <cell r="AB827" t="e">
            <v>#REF!</v>
          </cell>
          <cell r="AC827" t="e">
            <v>#REF!</v>
          </cell>
          <cell r="AD827" t="e">
            <v>#REF!</v>
          </cell>
          <cell r="AE827" t="e">
            <v>#REF!</v>
          </cell>
          <cell r="AF827" t="e">
            <v>#REF!</v>
          </cell>
          <cell r="AG827" t="e">
            <v>#REF!</v>
          </cell>
          <cell r="AH827" t="e">
            <v>#REF!</v>
          </cell>
          <cell r="AI827" t="e">
            <v>#REF!</v>
          </cell>
          <cell r="AJ827" t="e">
            <v>#REF!</v>
          </cell>
          <cell r="AK827" t="e">
            <v>#REF!</v>
          </cell>
          <cell r="AL827" t="e">
            <v>#REF!</v>
          </cell>
          <cell r="AM827" t="e">
            <v>#REF!</v>
          </cell>
          <cell r="AN827" t="e">
            <v>#REF!</v>
          </cell>
          <cell r="AO827" t="e">
            <v>#REF!</v>
          </cell>
          <cell r="AP827" t="e">
            <v>#REF!</v>
          </cell>
          <cell r="AQ827" t="e">
            <v>#REF!</v>
          </cell>
          <cell r="AR827" t="e">
            <v>#REF!</v>
          </cell>
          <cell r="AS827" t="e">
            <v>#REF!</v>
          </cell>
          <cell r="AT827" t="e">
            <v>#REF!</v>
          </cell>
          <cell r="AU827" t="e">
            <v>#REF!</v>
          </cell>
        </row>
        <row r="828">
          <cell r="A828" t="str">
            <v>S16-0825</v>
          </cell>
          <cell r="B828" t="str">
            <v>近森病院_0825</v>
          </cell>
          <cell r="C828" t="e">
            <v>#REF!</v>
          </cell>
          <cell r="D828" t="e">
            <v>#REF!</v>
          </cell>
          <cell r="E828" t="e">
            <v>#REF!</v>
          </cell>
          <cell r="F828" t="e">
            <v>#REF!</v>
          </cell>
          <cell r="G828" t="e">
            <v>#REF!</v>
          </cell>
          <cell r="H828" t="e">
            <v>#REF!</v>
          </cell>
          <cell r="I828" t="e">
            <v>#REF!</v>
          </cell>
          <cell r="K828" t="e">
            <v>#REF!</v>
          </cell>
          <cell r="M828" t="e">
            <v>#REF!</v>
          </cell>
          <cell r="N828" t="e">
            <v>#REF!</v>
          </cell>
          <cell r="O828" t="e">
            <v>#REF!</v>
          </cell>
          <cell r="P828" t="e">
            <v>#REF!</v>
          </cell>
          <cell r="Q828" t="e">
            <v>#REF!</v>
          </cell>
          <cell r="S828" t="e">
            <v>#REF!</v>
          </cell>
          <cell r="T828" t="e">
            <v>#REF!</v>
          </cell>
          <cell r="U828" t="e">
            <v>#REF!</v>
          </cell>
          <cell r="AA828" t="e">
            <v>#REF!</v>
          </cell>
          <cell r="AB828" t="e">
            <v>#REF!</v>
          </cell>
          <cell r="AC828" t="e">
            <v>#REF!</v>
          </cell>
          <cell r="AD828" t="e">
            <v>#REF!</v>
          </cell>
          <cell r="AE828" t="e">
            <v>#REF!</v>
          </cell>
          <cell r="AF828" t="e">
            <v>#REF!</v>
          </cell>
          <cell r="AG828" t="e">
            <v>#REF!</v>
          </cell>
          <cell r="AH828" t="e">
            <v>#REF!</v>
          </cell>
          <cell r="AI828" t="e">
            <v>#REF!</v>
          </cell>
          <cell r="AJ828" t="e">
            <v>#REF!</v>
          </cell>
          <cell r="AK828" t="e">
            <v>#REF!</v>
          </cell>
          <cell r="AL828" t="e">
            <v>#REF!</v>
          </cell>
          <cell r="AM828" t="e">
            <v>#REF!</v>
          </cell>
          <cell r="AN828" t="e">
            <v>#REF!</v>
          </cell>
          <cell r="AO828" t="e">
            <v>#REF!</v>
          </cell>
          <cell r="AP828" t="e">
            <v>#REF!</v>
          </cell>
          <cell r="AQ828" t="e">
            <v>#REF!</v>
          </cell>
          <cell r="AR828" t="e">
            <v>#REF!</v>
          </cell>
          <cell r="AS828" t="e">
            <v>#REF!</v>
          </cell>
          <cell r="AT828" t="e">
            <v>#REF!</v>
          </cell>
          <cell r="AU828" t="e">
            <v>#REF!</v>
          </cell>
        </row>
        <row r="829">
          <cell r="A829" t="str">
            <v>S16-0826</v>
          </cell>
          <cell r="B829" t="str">
            <v>代替機NIM187_0826</v>
          </cell>
          <cell r="C829" t="e">
            <v>#REF!</v>
          </cell>
          <cell r="D829" t="e">
            <v>#REF!</v>
          </cell>
          <cell r="E829" t="e">
            <v>#REF!</v>
          </cell>
          <cell r="F829" t="e">
            <v>#REF!</v>
          </cell>
          <cell r="G829" t="e">
            <v>#REF!</v>
          </cell>
          <cell r="H829" t="e">
            <v>#REF!</v>
          </cell>
          <cell r="I829" t="e">
            <v>#REF!</v>
          </cell>
          <cell r="K829" t="e">
            <v>#REF!</v>
          </cell>
          <cell r="M829" t="e">
            <v>#REF!</v>
          </cell>
          <cell r="N829" t="e">
            <v>#REF!</v>
          </cell>
          <cell r="O829" t="e">
            <v>#REF!</v>
          </cell>
          <cell r="P829" t="e">
            <v>#REF!</v>
          </cell>
          <cell r="Q829" t="e">
            <v>#REF!</v>
          </cell>
          <cell r="S829" t="e">
            <v>#REF!</v>
          </cell>
          <cell r="T829" t="e">
            <v>#REF!</v>
          </cell>
          <cell r="U829" t="e">
            <v>#REF!</v>
          </cell>
          <cell r="AA829" t="e">
            <v>#REF!</v>
          </cell>
          <cell r="AB829" t="e">
            <v>#REF!</v>
          </cell>
          <cell r="AC829" t="e">
            <v>#REF!</v>
          </cell>
          <cell r="AD829" t="e">
            <v>#REF!</v>
          </cell>
          <cell r="AE829" t="e">
            <v>#REF!</v>
          </cell>
          <cell r="AF829" t="e">
            <v>#REF!</v>
          </cell>
          <cell r="AG829" t="e">
            <v>#REF!</v>
          </cell>
          <cell r="AH829" t="e">
            <v>#REF!</v>
          </cell>
          <cell r="AI829" t="e">
            <v>#REF!</v>
          </cell>
          <cell r="AJ829" t="e">
            <v>#REF!</v>
          </cell>
          <cell r="AK829" t="e">
            <v>#REF!</v>
          </cell>
          <cell r="AL829" t="e">
            <v>#REF!</v>
          </cell>
          <cell r="AM829" t="e">
            <v>#REF!</v>
          </cell>
          <cell r="AN829" t="e">
            <v>#REF!</v>
          </cell>
          <cell r="AO829" t="e">
            <v>#REF!</v>
          </cell>
          <cell r="AP829" t="e">
            <v>#REF!</v>
          </cell>
          <cell r="AQ829" t="e">
            <v>#REF!</v>
          </cell>
          <cell r="AR829" t="e">
            <v>#REF!</v>
          </cell>
          <cell r="AS829" t="e">
            <v>#REF!</v>
          </cell>
          <cell r="AT829" t="e">
            <v>#REF!</v>
          </cell>
          <cell r="AU829" t="e">
            <v>#REF!</v>
          </cell>
        </row>
        <row r="830">
          <cell r="A830" t="str">
            <v>S16-0827</v>
          </cell>
          <cell r="B830" t="str">
            <v>豊岡病院_0827</v>
          </cell>
          <cell r="C830" t="e">
            <v>#REF!</v>
          </cell>
          <cell r="D830" t="e">
            <v>#REF!</v>
          </cell>
          <cell r="E830" t="e">
            <v>#REF!</v>
          </cell>
          <cell r="F830" t="e">
            <v>#REF!</v>
          </cell>
          <cell r="G830" t="e">
            <v>#REF!</v>
          </cell>
          <cell r="H830" t="e">
            <v>#REF!</v>
          </cell>
          <cell r="I830" t="e">
            <v>#REF!</v>
          </cell>
          <cell r="K830" t="e">
            <v>#REF!</v>
          </cell>
          <cell r="M830" t="e">
            <v>#REF!</v>
          </cell>
          <cell r="N830" t="e">
            <v>#REF!</v>
          </cell>
          <cell r="O830" t="e">
            <v>#REF!</v>
          </cell>
          <cell r="P830" t="e">
            <v>#REF!</v>
          </cell>
          <cell r="Q830" t="e">
            <v>#REF!</v>
          </cell>
          <cell r="S830" t="e">
            <v>#REF!</v>
          </cell>
          <cell r="T830" t="e">
            <v>#REF!</v>
          </cell>
          <cell r="U830" t="e">
            <v>#REF!</v>
          </cell>
          <cell r="AA830" t="e">
            <v>#REF!</v>
          </cell>
          <cell r="AB830" t="e">
            <v>#REF!</v>
          </cell>
          <cell r="AC830" t="e">
            <v>#REF!</v>
          </cell>
          <cell r="AD830" t="e">
            <v>#REF!</v>
          </cell>
          <cell r="AE830" t="e">
            <v>#REF!</v>
          </cell>
          <cell r="AF830" t="e">
            <v>#REF!</v>
          </cell>
          <cell r="AG830" t="e">
            <v>#REF!</v>
          </cell>
          <cell r="AH830" t="e">
            <v>#REF!</v>
          </cell>
          <cell r="AI830" t="e">
            <v>#REF!</v>
          </cell>
          <cell r="AJ830" t="e">
            <v>#REF!</v>
          </cell>
          <cell r="AK830" t="e">
            <v>#REF!</v>
          </cell>
          <cell r="AL830" t="e">
            <v>#REF!</v>
          </cell>
          <cell r="AM830" t="e">
            <v>#REF!</v>
          </cell>
          <cell r="AN830" t="e">
            <v>#REF!</v>
          </cell>
          <cell r="AO830" t="e">
            <v>#REF!</v>
          </cell>
          <cell r="AP830" t="e">
            <v>#REF!</v>
          </cell>
          <cell r="AQ830" t="e">
            <v>#REF!</v>
          </cell>
          <cell r="AR830" t="e">
            <v>#REF!</v>
          </cell>
          <cell r="AS830" t="e">
            <v>#REF!</v>
          </cell>
          <cell r="AT830" t="e">
            <v>#REF!</v>
          </cell>
          <cell r="AU830" t="e">
            <v>#REF!</v>
          </cell>
        </row>
        <row r="831">
          <cell r="A831" t="str">
            <v>S16-0828</v>
          </cell>
          <cell r="B831" t="str">
            <v>昭南病院_0828</v>
          </cell>
          <cell r="C831" t="e">
            <v>#REF!</v>
          </cell>
          <cell r="D831" t="e">
            <v>#REF!</v>
          </cell>
          <cell r="E831" t="e">
            <v>#REF!</v>
          </cell>
          <cell r="F831" t="e">
            <v>#REF!</v>
          </cell>
          <cell r="G831" t="e">
            <v>#REF!</v>
          </cell>
          <cell r="H831" t="e">
            <v>#REF!</v>
          </cell>
          <cell r="I831" t="e">
            <v>#REF!</v>
          </cell>
          <cell r="K831" t="e">
            <v>#REF!</v>
          </cell>
          <cell r="M831" t="e">
            <v>#REF!</v>
          </cell>
          <cell r="N831" t="e">
            <v>#REF!</v>
          </cell>
          <cell r="O831" t="e">
            <v>#REF!</v>
          </cell>
          <cell r="P831" t="e">
            <v>#REF!</v>
          </cell>
          <cell r="Q831" t="e">
            <v>#REF!</v>
          </cell>
          <cell r="S831" t="e">
            <v>#REF!</v>
          </cell>
          <cell r="T831" t="e">
            <v>#REF!</v>
          </cell>
          <cell r="U831" t="e">
            <v>#REF!</v>
          </cell>
          <cell r="AA831" t="e">
            <v>#REF!</v>
          </cell>
          <cell r="AB831" t="e">
            <v>#REF!</v>
          </cell>
          <cell r="AC831" t="e">
            <v>#REF!</v>
          </cell>
          <cell r="AD831" t="e">
            <v>#REF!</v>
          </cell>
          <cell r="AE831" t="e">
            <v>#REF!</v>
          </cell>
          <cell r="AF831" t="e">
            <v>#REF!</v>
          </cell>
          <cell r="AG831" t="e">
            <v>#REF!</v>
          </cell>
          <cell r="AH831" t="e">
            <v>#REF!</v>
          </cell>
          <cell r="AI831" t="e">
            <v>#REF!</v>
          </cell>
          <cell r="AJ831" t="e">
            <v>#REF!</v>
          </cell>
          <cell r="AK831" t="e">
            <v>#REF!</v>
          </cell>
          <cell r="AL831" t="e">
            <v>#REF!</v>
          </cell>
          <cell r="AM831" t="e">
            <v>#REF!</v>
          </cell>
          <cell r="AN831" t="e">
            <v>#REF!</v>
          </cell>
          <cell r="AO831" t="e">
            <v>#REF!</v>
          </cell>
          <cell r="AP831" t="e">
            <v>#REF!</v>
          </cell>
          <cell r="AQ831" t="e">
            <v>#REF!</v>
          </cell>
          <cell r="AR831" t="e">
            <v>#REF!</v>
          </cell>
          <cell r="AS831" t="e">
            <v>#REF!</v>
          </cell>
          <cell r="AT831" t="e">
            <v>#REF!</v>
          </cell>
          <cell r="AU831" t="e">
            <v>#REF!</v>
          </cell>
        </row>
        <row r="832">
          <cell r="A832" t="str">
            <v>S16-0829</v>
          </cell>
          <cell r="B832" t="str">
            <v>代替機NIM157_0829</v>
          </cell>
          <cell r="C832" t="e">
            <v>#REF!</v>
          </cell>
          <cell r="D832" t="e">
            <v>#REF!</v>
          </cell>
          <cell r="E832" t="e">
            <v>#REF!</v>
          </cell>
          <cell r="F832" t="e">
            <v>#REF!</v>
          </cell>
          <cell r="G832" t="e">
            <v>#REF!</v>
          </cell>
          <cell r="H832" t="e">
            <v>#REF!</v>
          </cell>
          <cell r="I832" t="e">
            <v>#REF!</v>
          </cell>
          <cell r="K832" t="e">
            <v>#REF!</v>
          </cell>
          <cell r="M832" t="e">
            <v>#REF!</v>
          </cell>
          <cell r="N832" t="e">
            <v>#REF!</v>
          </cell>
          <cell r="O832" t="e">
            <v>#REF!</v>
          </cell>
          <cell r="P832" t="e">
            <v>#REF!</v>
          </cell>
          <cell r="Q832" t="e">
            <v>#REF!</v>
          </cell>
          <cell r="S832" t="e">
            <v>#REF!</v>
          </cell>
          <cell r="T832" t="e">
            <v>#REF!</v>
          </cell>
          <cell r="U832" t="e">
            <v>#REF!</v>
          </cell>
          <cell r="AA832" t="e">
            <v>#REF!</v>
          </cell>
          <cell r="AB832" t="e">
            <v>#REF!</v>
          </cell>
          <cell r="AC832" t="e">
            <v>#REF!</v>
          </cell>
          <cell r="AD832" t="e">
            <v>#REF!</v>
          </cell>
          <cell r="AE832" t="e">
            <v>#REF!</v>
          </cell>
          <cell r="AF832" t="e">
            <v>#REF!</v>
          </cell>
          <cell r="AG832" t="e">
            <v>#REF!</v>
          </cell>
          <cell r="AH832" t="e">
            <v>#REF!</v>
          </cell>
          <cell r="AI832" t="e">
            <v>#REF!</v>
          </cell>
          <cell r="AJ832" t="e">
            <v>#REF!</v>
          </cell>
          <cell r="AK832" t="e">
            <v>#REF!</v>
          </cell>
          <cell r="AL832" t="e">
            <v>#REF!</v>
          </cell>
          <cell r="AM832" t="e">
            <v>#REF!</v>
          </cell>
          <cell r="AN832" t="e">
            <v>#REF!</v>
          </cell>
          <cell r="AO832" t="e">
            <v>#REF!</v>
          </cell>
          <cell r="AP832" t="e">
            <v>#REF!</v>
          </cell>
          <cell r="AQ832" t="e">
            <v>#REF!</v>
          </cell>
          <cell r="AR832" t="e">
            <v>#REF!</v>
          </cell>
          <cell r="AS832" t="e">
            <v>#REF!</v>
          </cell>
          <cell r="AT832" t="e">
            <v>#REF!</v>
          </cell>
          <cell r="AU832" t="e">
            <v>#REF!</v>
          </cell>
        </row>
        <row r="833">
          <cell r="A833" t="str">
            <v>S16-0830</v>
          </cell>
          <cell r="B833" t="str">
            <v>千葉病院_0830</v>
          </cell>
          <cell r="C833" t="e">
            <v>#REF!</v>
          </cell>
          <cell r="D833" t="e">
            <v>#REF!</v>
          </cell>
          <cell r="E833" t="e">
            <v>#REF!</v>
          </cell>
          <cell r="F833" t="e">
            <v>#REF!</v>
          </cell>
          <cell r="G833" t="e">
            <v>#REF!</v>
          </cell>
          <cell r="H833" t="e">
            <v>#REF!</v>
          </cell>
          <cell r="I833" t="e">
            <v>#REF!</v>
          </cell>
          <cell r="K833" t="e">
            <v>#REF!</v>
          </cell>
          <cell r="M833" t="e">
            <v>#REF!</v>
          </cell>
          <cell r="N833" t="e">
            <v>#REF!</v>
          </cell>
          <cell r="O833" t="e">
            <v>#REF!</v>
          </cell>
          <cell r="P833" t="e">
            <v>#REF!</v>
          </cell>
          <cell r="Q833" t="e">
            <v>#REF!</v>
          </cell>
          <cell r="S833" t="e">
            <v>#REF!</v>
          </cell>
          <cell r="T833" t="e">
            <v>#REF!</v>
          </cell>
          <cell r="U833" t="e">
            <v>#REF!</v>
          </cell>
          <cell r="AA833" t="e">
            <v>#REF!</v>
          </cell>
          <cell r="AB833" t="e">
            <v>#REF!</v>
          </cell>
          <cell r="AC833" t="e">
            <v>#REF!</v>
          </cell>
          <cell r="AD833" t="e">
            <v>#REF!</v>
          </cell>
          <cell r="AE833" t="e">
            <v>#REF!</v>
          </cell>
          <cell r="AF833" t="e">
            <v>#REF!</v>
          </cell>
          <cell r="AG833" t="e">
            <v>#REF!</v>
          </cell>
          <cell r="AH833" t="e">
            <v>#REF!</v>
          </cell>
          <cell r="AI833" t="e">
            <v>#REF!</v>
          </cell>
          <cell r="AJ833" t="e">
            <v>#REF!</v>
          </cell>
          <cell r="AK833" t="e">
            <v>#REF!</v>
          </cell>
          <cell r="AL833" t="e">
            <v>#REF!</v>
          </cell>
          <cell r="AM833" t="e">
            <v>#REF!</v>
          </cell>
          <cell r="AN833" t="e">
            <v>#REF!</v>
          </cell>
          <cell r="AO833" t="e">
            <v>#REF!</v>
          </cell>
          <cell r="AP833" t="e">
            <v>#REF!</v>
          </cell>
          <cell r="AQ833" t="e">
            <v>#REF!</v>
          </cell>
          <cell r="AR833" t="e">
            <v>#REF!</v>
          </cell>
          <cell r="AS833" t="e">
            <v>#REF!</v>
          </cell>
          <cell r="AT833" t="e">
            <v>#REF!</v>
          </cell>
          <cell r="AU833" t="e">
            <v>#REF!</v>
          </cell>
        </row>
        <row r="834">
          <cell r="A834" t="str">
            <v>S16-0831</v>
          </cell>
          <cell r="B834" t="str">
            <v>奈良県立医科大学附属病院_0831</v>
          </cell>
          <cell r="C834" t="e">
            <v>#REF!</v>
          </cell>
          <cell r="D834" t="e">
            <v>#REF!</v>
          </cell>
          <cell r="E834" t="e">
            <v>#REF!</v>
          </cell>
          <cell r="F834" t="e">
            <v>#REF!</v>
          </cell>
          <cell r="G834" t="e">
            <v>#REF!</v>
          </cell>
          <cell r="H834" t="e">
            <v>#REF!</v>
          </cell>
          <cell r="I834" t="e">
            <v>#REF!</v>
          </cell>
          <cell r="K834" t="e">
            <v>#REF!</v>
          </cell>
          <cell r="M834" t="e">
            <v>#REF!</v>
          </cell>
          <cell r="N834" t="e">
            <v>#REF!</v>
          </cell>
          <cell r="O834" t="e">
            <v>#REF!</v>
          </cell>
          <cell r="P834" t="e">
            <v>#REF!</v>
          </cell>
          <cell r="Q834" t="e">
            <v>#REF!</v>
          </cell>
          <cell r="S834" t="e">
            <v>#REF!</v>
          </cell>
          <cell r="T834" t="e">
            <v>#REF!</v>
          </cell>
          <cell r="U834" t="e">
            <v>#REF!</v>
          </cell>
          <cell r="AA834" t="e">
            <v>#REF!</v>
          </cell>
          <cell r="AB834" t="e">
            <v>#REF!</v>
          </cell>
          <cell r="AC834" t="e">
            <v>#REF!</v>
          </cell>
          <cell r="AD834" t="e">
            <v>#REF!</v>
          </cell>
          <cell r="AE834" t="e">
            <v>#REF!</v>
          </cell>
          <cell r="AF834" t="e">
            <v>#REF!</v>
          </cell>
          <cell r="AG834" t="e">
            <v>#REF!</v>
          </cell>
          <cell r="AH834" t="e">
            <v>#REF!</v>
          </cell>
          <cell r="AI834" t="e">
            <v>#REF!</v>
          </cell>
          <cell r="AJ834" t="e">
            <v>#REF!</v>
          </cell>
          <cell r="AK834" t="e">
            <v>#REF!</v>
          </cell>
          <cell r="AL834" t="e">
            <v>#REF!</v>
          </cell>
          <cell r="AM834" t="e">
            <v>#REF!</v>
          </cell>
          <cell r="AN834" t="e">
            <v>#REF!</v>
          </cell>
          <cell r="AO834" t="e">
            <v>#REF!</v>
          </cell>
          <cell r="AP834" t="e">
            <v>#REF!</v>
          </cell>
          <cell r="AQ834" t="e">
            <v>#REF!</v>
          </cell>
          <cell r="AR834" t="e">
            <v>#REF!</v>
          </cell>
          <cell r="AS834" t="e">
            <v>#REF!</v>
          </cell>
          <cell r="AT834" t="e">
            <v>#REF!</v>
          </cell>
          <cell r="AU834" t="e">
            <v>#REF!</v>
          </cell>
        </row>
        <row r="835">
          <cell r="A835" t="str">
            <v>S16-0832</v>
          </cell>
          <cell r="B835" t="str">
            <v>済生会川口総合病院_0832</v>
          </cell>
          <cell r="C835" t="e">
            <v>#REF!</v>
          </cell>
          <cell r="D835" t="e">
            <v>#REF!</v>
          </cell>
          <cell r="E835" t="e">
            <v>#REF!</v>
          </cell>
          <cell r="F835" t="e">
            <v>#REF!</v>
          </cell>
          <cell r="G835" t="e">
            <v>#REF!</v>
          </cell>
          <cell r="H835" t="e">
            <v>#REF!</v>
          </cell>
          <cell r="I835" t="e">
            <v>#REF!</v>
          </cell>
          <cell r="K835" t="e">
            <v>#REF!</v>
          </cell>
          <cell r="M835" t="e">
            <v>#REF!</v>
          </cell>
          <cell r="N835" t="e">
            <v>#REF!</v>
          </cell>
          <cell r="O835" t="e">
            <v>#REF!</v>
          </cell>
          <cell r="P835" t="e">
            <v>#REF!</v>
          </cell>
          <cell r="Q835" t="e">
            <v>#REF!</v>
          </cell>
          <cell r="S835" t="e">
            <v>#REF!</v>
          </cell>
          <cell r="T835" t="e">
            <v>#REF!</v>
          </cell>
          <cell r="U835" t="e">
            <v>#REF!</v>
          </cell>
          <cell r="AA835" t="e">
            <v>#REF!</v>
          </cell>
          <cell r="AB835" t="e">
            <v>#REF!</v>
          </cell>
          <cell r="AC835" t="e">
            <v>#REF!</v>
          </cell>
          <cell r="AD835" t="e">
            <v>#REF!</v>
          </cell>
          <cell r="AE835" t="e">
            <v>#REF!</v>
          </cell>
          <cell r="AF835" t="e">
            <v>#REF!</v>
          </cell>
          <cell r="AG835" t="e">
            <v>#REF!</v>
          </cell>
          <cell r="AH835" t="e">
            <v>#REF!</v>
          </cell>
          <cell r="AI835" t="e">
            <v>#REF!</v>
          </cell>
          <cell r="AJ835" t="e">
            <v>#REF!</v>
          </cell>
          <cell r="AK835" t="e">
            <v>#REF!</v>
          </cell>
          <cell r="AL835" t="e">
            <v>#REF!</v>
          </cell>
          <cell r="AM835" t="e">
            <v>#REF!</v>
          </cell>
          <cell r="AN835" t="e">
            <v>#REF!</v>
          </cell>
          <cell r="AO835" t="e">
            <v>#REF!</v>
          </cell>
          <cell r="AP835" t="e">
            <v>#REF!</v>
          </cell>
          <cell r="AQ835" t="e">
            <v>#REF!</v>
          </cell>
          <cell r="AR835" t="e">
            <v>#REF!</v>
          </cell>
          <cell r="AS835" t="e">
            <v>#REF!</v>
          </cell>
          <cell r="AT835" t="e">
            <v>#REF!</v>
          </cell>
          <cell r="AU835" t="e">
            <v>#REF!</v>
          </cell>
        </row>
        <row r="836">
          <cell r="A836" t="str">
            <v>S16-0833</v>
          </cell>
          <cell r="B836" t="str">
            <v>仙台医療センター_0833</v>
          </cell>
          <cell r="C836" t="e">
            <v>#REF!</v>
          </cell>
          <cell r="D836" t="e">
            <v>#REF!</v>
          </cell>
          <cell r="E836" t="e">
            <v>#REF!</v>
          </cell>
          <cell r="F836" t="e">
            <v>#REF!</v>
          </cell>
          <cell r="G836" t="e">
            <v>#REF!</v>
          </cell>
          <cell r="H836" t="e">
            <v>#REF!</v>
          </cell>
          <cell r="I836" t="e">
            <v>#REF!</v>
          </cell>
          <cell r="K836" t="e">
            <v>#REF!</v>
          </cell>
          <cell r="M836" t="e">
            <v>#REF!</v>
          </cell>
          <cell r="N836" t="e">
            <v>#REF!</v>
          </cell>
          <cell r="O836" t="e">
            <v>#REF!</v>
          </cell>
          <cell r="P836" t="e">
            <v>#REF!</v>
          </cell>
          <cell r="Q836" t="e">
            <v>#REF!</v>
          </cell>
          <cell r="S836" t="e">
            <v>#REF!</v>
          </cell>
          <cell r="T836" t="e">
            <v>#REF!</v>
          </cell>
          <cell r="U836" t="e">
            <v>#REF!</v>
          </cell>
          <cell r="AA836" t="e">
            <v>#REF!</v>
          </cell>
          <cell r="AB836" t="e">
            <v>#REF!</v>
          </cell>
          <cell r="AC836" t="e">
            <v>#REF!</v>
          </cell>
          <cell r="AD836" t="e">
            <v>#REF!</v>
          </cell>
          <cell r="AE836" t="e">
            <v>#REF!</v>
          </cell>
          <cell r="AF836" t="e">
            <v>#REF!</v>
          </cell>
          <cell r="AG836" t="e">
            <v>#REF!</v>
          </cell>
          <cell r="AH836" t="e">
            <v>#REF!</v>
          </cell>
          <cell r="AI836" t="e">
            <v>#REF!</v>
          </cell>
          <cell r="AJ836" t="e">
            <v>#REF!</v>
          </cell>
          <cell r="AK836" t="e">
            <v>#REF!</v>
          </cell>
          <cell r="AL836" t="e">
            <v>#REF!</v>
          </cell>
          <cell r="AM836" t="e">
            <v>#REF!</v>
          </cell>
          <cell r="AN836" t="e">
            <v>#REF!</v>
          </cell>
          <cell r="AO836" t="e">
            <v>#REF!</v>
          </cell>
          <cell r="AP836" t="e">
            <v>#REF!</v>
          </cell>
          <cell r="AQ836" t="e">
            <v>#REF!</v>
          </cell>
          <cell r="AR836" t="e">
            <v>#REF!</v>
          </cell>
          <cell r="AS836" t="e">
            <v>#REF!</v>
          </cell>
          <cell r="AT836" t="e">
            <v>#REF!</v>
          </cell>
          <cell r="AU836" t="e">
            <v>#REF!</v>
          </cell>
        </row>
        <row r="837">
          <cell r="A837" t="str">
            <v>S16-0834</v>
          </cell>
          <cell r="B837" t="str">
            <v>みはま病院_0834</v>
          </cell>
          <cell r="C837" t="e">
            <v>#REF!</v>
          </cell>
          <cell r="D837" t="e">
            <v>#REF!</v>
          </cell>
          <cell r="E837" t="e">
            <v>#REF!</v>
          </cell>
          <cell r="F837" t="e">
            <v>#REF!</v>
          </cell>
          <cell r="G837" t="e">
            <v>#REF!</v>
          </cell>
          <cell r="H837" t="e">
            <v>#REF!</v>
          </cell>
          <cell r="I837" t="e">
            <v>#REF!</v>
          </cell>
          <cell r="K837" t="e">
            <v>#REF!</v>
          </cell>
          <cell r="M837" t="e">
            <v>#REF!</v>
          </cell>
          <cell r="N837" t="e">
            <v>#REF!</v>
          </cell>
          <cell r="O837" t="e">
            <v>#REF!</v>
          </cell>
          <cell r="P837" t="e">
            <v>#REF!</v>
          </cell>
          <cell r="Q837" t="e">
            <v>#REF!</v>
          </cell>
          <cell r="S837" t="e">
            <v>#REF!</v>
          </cell>
          <cell r="T837" t="e">
            <v>#REF!</v>
          </cell>
          <cell r="U837" t="e">
            <v>#REF!</v>
          </cell>
          <cell r="AA837" t="e">
            <v>#REF!</v>
          </cell>
          <cell r="AB837" t="e">
            <v>#REF!</v>
          </cell>
          <cell r="AC837" t="e">
            <v>#REF!</v>
          </cell>
          <cell r="AD837" t="e">
            <v>#REF!</v>
          </cell>
          <cell r="AE837" t="e">
            <v>#REF!</v>
          </cell>
          <cell r="AF837" t="e">
            <v>#REF!</v>
          </cell>
          <cell r="AG837" t="e">
            <v>#REF!</v>
          </cell>
          <cell r="AH837" t="e">
            <v>#REF!</v>
          </cell>
          <cell r="AI837" t="e">
            <v>#REF!</v>
          </cell>
          <cell r="AJ837" t="e">
            <v>#REF!</v>
          </cell>
          <cell r="AK837" t="e">
            <v>#REF!</v>
          </cell>
          <cell r="AL837" t="e">
            <v>#REF!</v>
          </cell>
          <cell r="AM837" t="e">
            <v>#REF!</v>
          </cell>
          <cell r="AN837" t="e">
            <v>#REF!</v>
          </cell>
          <cell r="AO837" t="e">
            <v>#REF!</v>
          </cell>
          <cell r="AP837" t="e">
            <v>#REF!</v>
          </cell>
          <cell r="AQ837" t="e">
            <v>#REF!</v>
          </cell>
          <cell r="AR837" t="e">
            <v>#REF!</v>
          </cell>
          <cell r="AS837" t="e">
            <v>#REF!</v>
          </cell>
          <cell r="AT837" t="e">
            <v>#REF!</v>
          </cell>
          <cell r="AU837" t="e">
            <v>#REF!</v>
          </cell>
        </row>
        <row r="838">
          <cell r="A838" t="str">
            <v>S16-0835</v>
          </cell>
          <cell r="B838" t="str">
            <v>大阪市立大学病院_0835</v>
          </cell>
          <cell r="C838" t="e">
            <v>#REF!</v>
          </cell>
          <cell r="D838" t="e">
            <v>#REF!</v>
          </cell>
          <cell r="E838" t="e">
            <v>#REF!</v>
          </cell>
          <cell r="F838" t="e">
            <v>#REF!</v>
          </cell>
          <cell r="G838" t="e">
            <v>#REF!</v>
          </cell>
          <cell r="H838" t="e">
            <v>#REF!</v>
          </cell>
          <cell r="I838" t="e">
            <v>#REF!</v>
          </cell>
          <cell r="K838" t="e">
            <v>#REF!</v>
          </cell>
          <cell r="M838" t="e">
            <v>#REF!</v>
          </cell>
          <cell r="N838" t="e">
            <v>#REF!</v>
          </cell>
          <cell r="O838" t="e">
            <v>#REF!</v>
          </cell>
          <cell r="P838" t="e">
            <v>#REF!</v>
          </cell>
          <cell r="Q838" t="e">
            <v>#REF!</v>
          </cell>
          <cell r="S838" t="e">
            <v>#REF!</v>
          </cell>
          <cell r="T838" t="e">
            <v>#REF!</v>
          </cell>
          <cell r="U838" t="e">
            <v>#REF!</v>
          </cell>
          <cell r="AA838" t="e">
            <v>#REF!</v>
          </cell>
          <cell r="AB838" t="e">
            <v>#REF!</v>
          </cell>
          <cell r="AC838" t="e">
            <v>#REF!</v>
          </cell>
          <cell r="AD838" t="e">
            <v>#REF!</v>
          </cell>
          <cell r="AE838" t="e">
            <v>#REF!</v>
          </cell>
          <cell r="AF838" t="e">
            <v>#REF!</v>
          </cell>
          <cell r="AG838" t="e">
            <v>#REF!</v>
          </cell>
          <cell r="AH838" t="e">
            <v>#REF!</v>
          </cell>
          <cell r="AI838" t="e">
            <v>#REF!</v>
          </cell>
          <cell r="AJ838" t="e">
            <v>#REF!</v>
          </cell>
          <cell r="AK838" t="e">
            <v>#REF!</v>
          </cell>
          <cell r="AL838" t="e">
            <v>#REF!</v>
          </cell>
          <cell r="AM838" t="e">
            <v>#REF!</v>
          </cell>
          <cell r="AN838" t="e">
            <v>#REF!</v>
          </cell>
          <cell r="AO838" t="e">
            <v>#REF!</v>
          </cell>
          <cell r="AP838" t="e">
            <v>#REF!</v>
          </cell>
          <cell r="AQ838" t="e">
            <v>#REF!</v>
          </cell>
          <cell r="AR838" t="e">
            <v>#REF!</v>
          </cell>
          <cell r="AS838" t="e">
            <v>#REF!</v>
          </cell>
          <cell r="AT838" t="e">
            <v>#REF!</v>
          </cell>
          <cell r="AU838" t="e">
            <v>#REF!</v>
          </cell>
        </row>
        <row r="839">
          <cell r="A839" t="str">
            <v>S16-0836</v>
          </cell>
          <cell r="B839" t="str">
            <v>中濃厚生病院_0836</v>
          </cell>
          <cell r="C839" t="e">
            <v>#REF!</v>
          </cell>
          <cell r="D839" t="e">
            <v>#REF!</v>
          </cell>
          <cell r="E839" t="e">
            <v>#REF!</v>
          </cell>
          <cell r="F839" t="e">
            <v>#REF!</v>
          </cell>
          <cell r="G839" t="e">
            <v>#REF!</v>
          </cell>
          <cell r="H839" t="e">
            <v>#REF!</v>
          </cell>
          <cell r="I839" t="e">
            <v>#REF!</v>
          </cell>
          <cell r="K839" t="e">
            <v>#REF!</v>
          </cell>
          <cell r="M839" t="e">
            <v>#REF!</v>
          </cell>
          <cell r="N839" t="e">
            <v>#REF!</v>
          </cell>
          <cell r="O839" t="e">
            <v>#REF!</v>
          </cell>
          <cell r="P839" t="e">
            <v>#REF!</v>
          </cell>
          <cell r="Q839" t="e">
            <v>#REF!</v>
          </cell>
          <cell r="S839" t="e">
            <v>#REF!</v>
          </cell>
          <cell r="T839" t="e">
            <v>#REF!</v>
          </cell>
          <cell r="U839" t="e">
            <v>#REF!</v>
          </cell>
          <cell r="AA839" t="e">
            <v>#REF!</v>
          </cell>
          <cell r="AB839" t="e">
            <v>#REF!</v>
          </cell>
          <cell r="AC839" t="e">
            <v>#REF!</v>
          </cell>
          <cell r="AD839" t="e">
            <v>#REF!</v>
          </cell>
          <cell r="AE839" t="e">
            <v>#REF!</v>
          </cell>
          <cell r="AF839" t="e">
            <v>#REF!</v>
          </cell>
          <cell r="AG839" t="e">
            <v>#REF!</v>
          </cell>
          <cell r="AH839" t="e">
            <v>#REF!</v>
          </cell>
          <cell r="AI839" t="e">
            <v>#REF!</v>
          </cell>
          <cell r="AJ839" t="e">
            <v>#REF!</v>
          </cell>
          <cell r="AK839" t="e">
            <v>#REF!</v>
          </cell>
          <cell r="AL839" t="e">
            <v>#REF!</v>
          </cell>
          <cell r="AM839" t="e">
            <v>#REF!</v>
          </cell>
          <cell r="AN839" t="e">
            <v>#REF!</v>
          </cell>
          <cell r="AO839" t="e">
            <v>#REF!</v>
          </cell>
          <cell r="AP839" t="e">
            <v>#REF!</v>
          </cell>
          <cell r="AQ839" t="e">
            <v>#REF!</v>
          </cell>
          <cell r="AR839" t="e">
            <v>#REF!</v>
          </cell>
          <cell r="AS839" t="e">
            <v>#REF!</v>
          </cell>
          <cell r="AT839" t="e">
            <v>#REF!</v>
          </cell>
          <cell r="AU839" t="e">
            <v>#REF!</v>
          </cell>
        </row>
        <row r="840">
          <cell r="A840" t="str">
            <v>S16-0837</v>
          </cell>
          <cell r="B840" t="str">
            <v>桜橋渡辺病院_0837</v>
          </cell>
          <cell r="C840" t="e">
            <v>#REF!</v>
          </cell>
          <cell r="D840" t="e">
            <v>#REF!</v>
          </cell>
          <cell r="E840" t="e">
            <v>#REF!</v>
          </cell>
          <cell r="F840" t="e">
            <v>#REF!</v>
          </cell>
          <cell r="G840" t="e">
            <v>#REF!</v>
          </cell>
          <cell r="H840" t="e">
            <v>#REF!</v>
          </cell>
          <cell r="I840" t="e">
            <v>#REF!</v>
          </cell>
          <cell r="K840" t="e">
            <v>#REF!</v>
          </cell>
          <cell r="M840" t="e">
            <v>#REF!</v>
          </cell>
          <cell r="N840" t="e">
            <v>#REF!</v>
          </cell>
          <cell r="O840" t="e">
            <v>#REF!</v>
          </cell>
          <cell r="P840" t="e">
            <v>#REF!</v>
          </cell>
          <cell r="Q840" t="e">
            <v>#REF!</v>
          </cell>
          <cell r="S840" t="e">
            <v>#REF!</v>
          </cell>
          <cell r="T840" t="e">
            <v>#REF!</v>
          </cell>
          <cell r="U840" t="e">
            <v>#REF!</v>
          </cell>
          <cell r="AA840" t="e">
            <v>#REF!</v>
          </cell>
          <cell r="AB840" t="e">
            <v>#REF!</v>
          </cell>
          <cell r="AC840" t="e">
            <v>#REF!</v>
          </cell>
          <cell r="AD840" t="e">
            <v>#REF!</v>
          </cell>
          <cell r="AE840" t="e">
            <v>#REF!</v>
          </cell>
          <cell r="AF840" t="e">
            <v>#REF!</v>
          </cell>
          <cell r="AG840" t="e">
            <v>#REF!</v>
          </cell>
          <cell r="AH840" t="e">
            <v>#REF!</v>
          </cell>
          <cell r="AI840" t="e">
            <v>#REF!</v>
          </cell>
          <cell r="AJ840" t="e">
            <v>#REF!</v>
          </cell>
          <cell r="AK840" t="e">
            <v>#REF!</v>
          </cell>
          <cell r="AL840" t="e">
            <v>#REF!</v>
          </cell>
          <cell r="AM840" t="e">
            <v>#REF!</v>
          </cell>
          <cell r="AN840" t="e">
            <v>#REF!</v>
          </cell>
          <cell r="AO840" t="e">
            <v>#REF!</v>
          </cell>
          <cell r="AP840" t="e">
            <v>#REF!</v>
          </cell>
          <cell r="AQ840" t="e">
            <v>#REF!</v>
          </cell>
          <cell r="AR840" t="e">
            <v>#REF!</v>
          </cell>
          <cell r="AS840" t="e">
            <v>#REF!</v>
          </cell>
          <cell r="AT840" t="e">
            <v>#REF!</v>
          </cell>
          <cell r="AU840" t="e">
            <v>#REF!</v>
          </cell>
        </row>
        <row r="841">
          <cell r="A841" t="str">
            <v>S16-0838</v>
          </cell>
          <cell r="B841" t="str">
            <v>足利赤十字病院_0838</v>
          </cell>
          <cell r="C841" t="e">
            <v>#REF!</v>
          </cell>
          <cell r="D841" t="e">
            <v>#REF!</v>
          </cell>
          <cell r="E841" t="e">
            <v>#REF!</v>
          </cell>
          <cell r="F841" t="e">
            <v>#REF!</v>
          </cell>
          <cell r="G841" t="e">
            <v>#REF!</v>
          </cell>
          <cell r="H841" t="e">
            <v>#REF!</v>
          </cell>
          <cell r="I841" t="e">
            <v>#REF!</v>
          </cell>
          <cell r="K841" t="e">
            <v>#REF!</v>
          </cell>
          <cell r="M841" t="e">
            <v>#REF!</v>
          </cell>
          <cell r="N841" t="e">
            <v>#REF!</v>
          </cell>
          <cell r="O841" t="e">
            <v>#REF!</v>
          </cell>
          <cell r="P841" t="e">
            <v>#REF!</v>
          </cell>
          <cell r="Q841" t="e">
            <v>#REF!</v>
          </cell>
          <cell r="S841" t="e">
            <v>#REF!</v>
          </cell>
          <cell r="T841" t="e">
            <v>#REF!</v>
          </cell>
          <cell r="U841" t="e">
            <v>#REF!</v>
          </cell>
          <cell r="AA841" t="e">
            <v>#REF!</v>
          </cell>
          <cell r="AB841" t="e">
            <v>#REF!</v>
          </cell>
          <cell r="AC841" t="e">
            <v>#REF!</v>
          </cell>
          <cell r="AD841" t="e">
            <v>#REF!</v>
          </cell>
          <cell r="AE841" t="e">
            <v>#REF!</v>
          </cell>
          <cell r="AF841" t="e">
            <v>#REF!</v>
          </cell>
          <cell r="AG841" t="e">
            <v>#REF!</v>
          </cell>
          <cell r="AH841" t="e">
            <v>#REF!</v>
          </cell>
          <cell r="AI841" t="e">
            <v>#REF!</v>
          </cell>
          <cell r="AJ841" t="e">
            <v>#REF!</v>
          </cell>
          <cell r="AK841" t="e">
            <v>#REF!</v>
          </cell>
          <cell r="AL841" t="e">
            <v>#REF!</v>
          </cell>
          <cell r="AM841" t="e">
            <v>#REF!</v>
          </cell>
          <cell r="AN841" t="e">
            <v>#REF!</v>
          </cell>
          <cell r="AO841" t="e">
            <v>#REF!</v>
          </cell>
          <cell r="AP841" t="e">
            <v>#REF!</v>
          </cell>
          <cell r="AQ841" t="e">
            <v>#REF!</v>
          </cell>
          <cell r="AR841" t="e">
            <v>#REF!</v>
          </cell>
          <cell r="AS841" t="e">
            <v>#REF!</v>
          </cell>
          <cell r="AT841" t="e">
            <v>#REF!</v>
          </cell>
          <cell r="AU841" t="e">
            <v>#REF!</v>
          </cell>
        </row>
        <row r="842">
          <cell r="A842" t="str">
            <v>S16-0839</v>
          </cell>
          <cell r="B842" t="str">
            <v>群馬大学医学部附属病院_0839</v>
          </cell>
          <cell r="C842" t="e">
            <v>#REF!</v>
          </cell>
          <cell r="D842" t="e">
            <v>#REF!</v>
          </cell>
          <cell r="E842" t="e">
            <v>#REF!</v>
          </cell>
          <cell r="F842" t="e">
            <v>#REF!</v>
          </cell>
          <cell r="G842" t="e">
            <v>#REF!</v>
          </cell>
          <cell r="H842" t="e">
            <v>#REF!</v>
          </cell>
          <cell r="I842" t="e">
            <v>#REF!</v>
          </cell>
          <cell r="K842" t="e">
            <v>#REF!</v>
          </cell>
          <cell r="M842" t="e">
            <v>#REF!</v>
          </cell>
          <cell r="N842" t="e">
            <v>#REF!</v>
          </cell>
          <cell r="O842" t="e">
            <v>#REF!</v>
          </cell>
          <cell r="P842" t="e">
            <v>#REF!</v>
          </cell>
          <cell r="Q842" t="e">
            <v>#REF!</v>
          </cell>
          <cell r="S842" t="e">
            <v>#REF!</v>
          </cell>
          <cell r="T842" t="e">
            <v>#REF!</v>
          </cell>
          <cell r="U842" t="e">
            <v>#REF!</v>
          </cell>
          <cell r="AA842" t="e">
            <v>#REF!</v>
          </cell>
          <cell r="AB842" t="e">
            <v>#REF!</v>
          </cell>
          <cell r="AC842" t="e">
            <v>#REF!</v>
          </cell>
          <cell r="AD842" t="e">
            <v>#REF!</v>
          </cell>
          <cell r="AE842" t="e">
            <v>#REF!</v>
          </cell>
          <cell r="AF842" t="e">
            <v>#REF!</v>
          </cell>
          <cell r="AG842" t="e">
            <v>#REF!</v>
          </cell>
          <cell r="AH842" t="e">
            <v>#REF!</v>
          </cell>
          <cell r="AI842" t="e">
            <v>#REF!</v>
          </cell>
          <cell r="AJ842" t="e">
            <v>#REF!</v>
          </cell>
          <cell r="AK842" t="e">
            <v>#REF!</v>
          </cell>
          <cell r="AL842" t="e">
            <v>#REF!</v>
          </cell>
          <cell r="AM842" t="e">
            <v>#REF!</v>
          </cell>
          <cell r="AN842" t="e">
            <v>#REF!</v>
          </cell>
          <cell r="AO842" t="e">
            <v>#REF!</v>
          </cell>
          <cell r="AP842" t="e">
            <v>#REF!</v>
          </cell>
          <cell r="AQ842" t="e">
            <v>#REF!</v>
          </cell>
          <cell r="AR842" t="e">
            <v>#REF!</v>
          </cell>
          <cell r="AS842" t="e">
            <v>#REF!</v>
          </cell>
          <cell r="AT842" t="e">
            <v>#REF!</v>
          </cell>
          <cell r="AU842" t="e">
            <v>#REF!</v>
          </cell>
        </row>
        <row r="843">
          <cell r="A843" t="str">
            <v>S16-0840</v>
          </cell>
          <cell r="B843" t="str">
            <v>亀有中央病院_0840</v>
          </cell>
          <cell r="C843" t="e">
            <v>#REF!</v>
          </cell>
          <cell r="D843" t="e">
            <v>#REF!</v>
          </cell>
          <cell r="E843" t="e">
            <v>#REF!</v>
          </cell>
          <cell r="F843" t="e">
            <v>#REF!</v>
          </cell>
          <cell r="G843" t="e">
            <v>#REF!</v>
          </cell>
          <cell r="H843" t="e">
            <v>#REF!</v>
          </cell>
          <cell r="I843" t="e">
            <v>#REF!</v>
          </cell>
          <cell r="K843" t="e">
            <v>#REF!</v>
          </cell>
          <cell r="M843" t="e">
            <v>#REF!</v>
          </cell>
          <cell r="N843" t="e">
            <v>#REF!</v>
          </cell>
          <cell r="O843" t="e">
            <v>#REF!</v>
          </cell>
          <cell r="P843" t="e">
            <v>#REF!</v>
          </cell>
          <cell r="Q843" t="e">
            <v>#REF!</v>
          </cell>
          <cell r="S843" t="e">
            <v>#REF!</v>
          </cell>
          <cell r="T843" t="e">
            <v>#REF!</v>
          </cell>
          <cell r="U843" t="e">
            <v>#REF!</v>
          </cell>
          <cell r="AA843" t="e">
            <v>#REF!</v>
          </cell>
          <cell r="AB843" t="e">
            <v>#REF!</v>
          </cell>
          <cell r="AC843" t="e">
            <v>#REF!</v>
          </cell>
          <cell r="AD843" t="e">
            <v>#REF!</v>
          </cell>
          <cell r="AE843" t="e">
            <v>#REF!</v>
          </cell>
          <cell r="AF843" t="e">
            <v>#REF!</v>
          </cell>
          <cell r="AG843" t="e">
            <v>#REF!</v>
          </cell>
          <cell r="AH843" t="e">
            <v>#REF!</v>
          </cell>
          <cell r="AI843" t="e">
            <v>#REF!</v>
          </cell>
          <cell r="AJ843" t="e">
            <v>#REF!</v>
          </cell>
          <cell r="AK843" t="e">
            <v>#REF!</v>
          </cell>
          <cell r="AL843" t="e">
            <v>#REF!</v>
          </cell>
          <cell r="AM843" t="e">
            <v>#REF!</v>
          </cell>
          <cell r="AN843" t="e">
            <v>#REF!</v>
          </cell>
          <cell r="AO843" t="e">
            <v>#REF!</v>
          </cell>
          <cell r="AP843" t="e">
            <v>#REF!</v>
          </cell>
          <cell r="AQ843" t="e">
            <v>#REF!</v>
          </cell>
          <cell r="AR843" t="e">
            <v>#REF!</v>
          </cell>
          <cell r="AS843" t="e">
            <v>#REF!</v>
          </cell>
          <cell r="AT843" t="e">
            <v>#REF!</v>
          </cell>
          <cell r="AU843" t="e">
            <v>#REF!</v>
          </cell>
        </row>
        <row r="844">
          <cell r="A844" t="str">
            <v>S16-0841</v>
          </cell>
          <cell r="B844" t="str">
            <v>大垣市民病院_0841</v>
          </cell>
          <cell r="C844" t="e">
            <v>#REF!</v>
          </cell>
          <cell r="D844" t="e">
            <v>#REF!</v>
          </cell>
          <cell r="E844" t="e">
            <v>#REF!</v>
          </cell>
          <cell r="F844" t="e">
            <v>#REF!</v>
          </cell>
          <cell r="G844" t="e">
            <v>#REF!</v>
          </cell>
          <cell r="H844" t="e">
            <v>#REF!</v>
          </cell>
          <cell r="I844" t="e">
            <v>#REF!</v>
          </cell>
          <cell r="K844" t="e">
            <v>#REF!</v>
          </cell>
          <cell r="M844" t="e">
            <v>#REF!</v>
          </cell>
          <cell r="N844" t="e">
            <v>#REF!</v>
          </cell>
          <cell r="O844" t="e">
            <v>#REF!</v>
          </cell>
          <cell r="P844" t="e">
            <v>#REF!</v>
          </cell>
          <cell r="Q844" t="e">
            <v>#REF!</v>
          </cell>
          <cell r="S844" t="e">
            <v>#REF!</v>
          </cell>
          <cell r="T844" t="e">
            <v>#REF!</v>
          </cell>
          <cell r="U844" t="e">
            <v>#REF!</v>
          </cell>
          <cell r="AA844" t="e">
            <v>#REF!</v>
          </cell>
          <cell r="AB844" t="e">
            <v>#REF!</v>
          </cell>
          <cell r="AC844" t="e">
            <v>#REF!</v>
          </cell>
          <cell r="AD844" t="e">
            <v>#REF!</v>
          </cell>
          <cell r="AE844" t="e">
            <v>#REF!</v>
          </cell>
          <cell r="AF844" t="e">
            <v>#REF!</v>
          </cell>
          <cell r="AG844" t="e">
            <v>#REF!</v>
          </cell>
          <cell r="AH844" t="e">
            <v>#REF!</v>
          </cell>
          <cell r="AI844" t="e">
            <v>#REF!</v>
          </cell>
          <cell r="AJ844" t="e">
            <v>#REF!</v>
          </cell>
          <cell r="AK844" t="e">
            <v>#REF!</v>
          </cell>
          <cell r="AL844" t="e">
            <v>#REF!</v>
          </cell>
          <cell r="AM844" t="e">
            <v>#REF!</v>
          </cell>
          <cell r="AN844" t="e">
            <v>#REF!</v>
          </cell>
          <cell r="AO844" t="e">
            <v>#REF!</v>
          </cell>
          <cell r="AP844" t="e">
            <v>#REF!</v>
          </cell>
          <cell r="AQ844" t="e">
            <v>#REF!</v>
          </cell>
          <cell r="AR844" t="e">
            <v>#REF!</v>
          </cell>
          <cell r="AS844" t="e">
            <v>#REF!</v>
          </cell>
          <cell r="AT844" t="e">
            <v>#REF!</v>
          </cell>
          <cell r="AU844" t="e">
            <v>#REF!</v>
          </cell>
        </row>
        <row r="845">
          <cell r="A845" t="str">
            <v>S16-0842</v>
          </cell>
          <cell r="B845" t="str">
            <v>堺近森病院_0842</v>
          </cell>
          <cell r="C845" t="e">
            <v>#REF!</v>
          </cell>
          <cell r="D845" t="e">
            <v>#REF!</v>
          </cell>
          <cell r="E845" t="e">
            <v>#REF!</v>
          </cell>
          <cell r="F845" t="e">
            <v>#REF!</v>
          </cell>
          <cell r="G845" t="e">
            <v>#REF!</v>
          </cell>
          <cell r="H845" t="e">
            <v>#REF!</v>
          </cell>
          <cell r="I845" t="e">
            <v>#REF!</v>
          </cell>
          <cell r="K845" t="e">
            <v>#REF!</v>
          </cell>
          <cell r="M845" t="e">
            <v>#REF!</v>
          </cell>
          <cell r="N845" t="e">
            <v>#REF!</v>
          </cell>
          <cell r="O845" t="e">
            <v>#REF!</v>
          </cell>
          <cell r="P845" t="e">
            <v>#REF!</v>
          </cell>
          <cell r="Q845" t="e">
            <v>#REF!</v>
          </cell>
          <cell r="S845" t="e">
            <v>#REF!</v>
          </cell>
          <cell r="T845" t="e">
            <v>#REF!</v>
          </cell>
          <cell r="U845" t="e">
            <v>#REF!</v>
          </cell>
          <cell r="AA845" t="e">
            <v>#REF!</v>
          </cell>
          <cell r="AB845" t="e">
            <v>#REF!</v>
          </cell>
          <cell r="AC845" t="e">
            <v>#REF!</v>
          </cell>
          <cell r="AD845" t="e">
            <v>#REF!</v>
          </cell>
          <cell r="AE845" t="e">
            <v>#REF!</v>
          </cell>
          <cell r="AF845" t="e">
            <v>#REF!</v>
          </cell>
          <cell r="AG845" t="e">
            <v>#REF!</v>
          </cell>
          <cell r="AH845" t="e">
            <v>#REF!</v>
          </cell>
          <cell r="AI845" t="e">
            <v>#REF!</v>
          </cell>
          <cell r="AJ845" t="e">
            <v>#REF!</v>
          </cell>
          <cell r="AK845" t="e">
            <v>#REF!</v>
          </cell>
          <cell r="AL845" t="e">
            <v>#REF!</v>
          </cell>
          <cell r="AM845" t="e">
            <v>#REF!</v>
          </cell>
          <cell r="AN845" t="e">
            <v>#REF!</v>
          </cell>
          <cell r="AO845" t="e">
            <v>#REF!</v>
          </cell>
          <cell r="AP845" t="e">
            <v>#REF!</v>
          </cell>
          <cell r="AQ845" t="e">
            <v>#REF!</v>
          </cell>
          <cell r="AR845" t="e">
            <v>#REF!</v>
          </cell>
          <cell r="AS845" t="e">
            <v>#REF!</v>
          </cell>
          <cell r="AT845" t="e">
            <v>#REF!</v>
          </cell>
          <cell r="AU845" t="e">
            <v>#REF!</v>
          </cell>
        </row>
        <row r="846">
          <cell r="A846" t="str">
            <v>S16-0843</v>
          </cell>
          <cell r="B846" t="str">
            <v>中通総合病院_0843</v>
          </cell>
          <cell r="C846" t="e">
            <v>#REF!</v>
          </cell>
          <cell r="D846" t="e">
            <v>#REF!</v>
          </cell>
          <cell r="E846" t="e">
            <v>#REF!</v>
          </cell>
          <cell r="F846" t="e">
            <v>#REF!</v>
          </cell>
          <cell r="G846" t="e">
            <v>#REF!</v>
          </cell>
          <cell r="H846" t="e">
            <v>#REF!</v>
          </cell>
          <cell r="I846" t="e">
            <v>#REF!</v>
          </cell>
          <cell r="K846" t="e">
            <v>#REF!</v>
          </cell>
          <cell r="M846" t="e">
            <v>#REF!</v>
          </cell>
          <cell r="N846" t="e">
            <v>#REF!</v>
          </cell>
          <cell r="O846" t="e">
            <v>#REF!</v>
          </cell>
          <cell r="P846" t="e">
            <v>#REF!</v>
          </cell>
          <cell r="Q846" t="e">
            <v>#REF!</v>
          </cell>
          <cell r="S846" t="e">
            <v>#REF!</v>
          </cell>
          <cell r="T846" t="e">
            <v>#REF!</v>
          </cell>
          <cell r="U846" t="e">
            <v>#REF!</v>
          </cell>
          <cell r="AA846" t="e">
            <v>#REF!</v>
          </cell>
          <cell r="AB846" t="e">
            <v>#REF!</v>
          </cell>
          <cell r="AC846" t="e">
            <v>#REF!</v>
          </cell>
          <cell r="AD846" t="e">
            <v>#REF!</v>
          </cell>
          <cell r="AE846" t="e">
            <v>#REF!</v>
          </cell>
          <cell r="AF846" t="e">
            <v>#REF!</v>
          </cell>
          <cell r="AG846" t="e">
            <v>#REF!</v>
          </cell>
          <cell r="AH846" t="e">
            <v>#REF!</v>
          </cell>
          <cell r="AI846" t="e">
            <v>#REF!</v>
          </cell>
          <cell r="AJ846" t="e">
            <v>#REF!</v>
          </cell>
          <cell r="AK846" t="e">
            <v>#REF!</v>
          </cell>
          <cell r="AL846" t="e">
            <v>#REF!</v>
          </cell>
          <cell r="AM846" t="e">
            <v>#REF!</v>
          </cell>
          <cell r="AN846" t="e">
            <v>#REF!</v>
          </cell>
          <cell r="AO846" t="e">
            <v>#REF!</v>
          </cell>
          <cell r="AP846" t="e">
            <v>#REF!</v>
          </cell>
          <cell r="AQ846" t="e">
            <v>#REF!</v>
          </cell>
          <cell r="AR846" t="e">
            <v>#REF!</v>
          </cell>
          <cell r="AS846" t="e">
            <v>#REF!</v>
          </cell>
          <cell r="AT846" t="e">
            <v>#REF!</v>
          </cell>
          <cell r="AU846" t="e">
            <v>#REF!</v>
          </cell>
        </row>
        <row r="847">
          <cell r="A847" t="str">
            <v>S16-0844</v>
          </cell>
          <cell r="B847" t="str">
            <v>倉敷中央病院_0844</v>
          </cell>
          <cell r="C847" t="e">
            <v>#REF!</v>
          </cell>
          <cell r="D847" t="e">
            <v>#REF!</v>
          </cell>
          <cell r="E847" t="e">
            <v>#REF!</v>
          </cell>
          <cell r="F847" t="e">
            <v>#REF!</v>
          </cell>
          <cell r="G847" t="e">
            <v>#REF!</v>
          </cell>
          <cell r="H847" t="e">
            <v>#REF!</v>
          </cell>
          <cell r="I847" t="e">
            <v>#REF!</v>
          </cell>
          <cell r="K847" t="e">
            <v>#REF!</v>
          </cell>
          <cell r="M847" t="e">
            <v>#REF!</v>
          </cell>
          <cell r="N847" t="e">
            <v>#REF!</v>
          </cell>
          <cell r="O847" t="e">
            <v>#REF!</v>
          </cell>
          <cell r="P847" t="e">
            <v>#REF!</v>
          </cell>
          <cell r="Q847" t="e">
            <v>#REF!</v>
          </cell>
          <cell r="S847" t="e">
            <v>#REF!</v>
          </cell>
          <cell r="T847" t="e">
            <v>#REF!</v>
          </cell>
          <cell r="U847" t="e">
            <v>#REF!</v>
          </cell>
          <cell r="AA847" t="e">
            <v>#REF!</v>
          </cell>
          <cell r="AB847" t="e">
            <v>#REF!</v>
          </cell>
          <cell r="AC847" t="e">
            <v>#REF!</v>
          </cell>
          <cell r="AD847" t="e">
            <v>#REF!</v>
          </cell>
          <cell r="AE847" t="e">
            <v>#REF!</v>
          </cell>
          <cell r="AF847" t="e">
            <v>#REF!</v>
          </cell>
          <cell r="AG847" t="e">
            <v>#REF!</v>
          </cell>
          <cell r="AH847" t="e">
            <v>#REF!</v>
          </cell>
          <cell r="AI847" t="e">
            <v>#REF!</v>
          </cell>
          <cell r="AJ847" t="e">
            <v>#REF!</v>
          </cell>
          <cell r="AK847" t="e">
            <v>#REF!</v>
          </cell>
          <cell r="AL847" t="e">
            <v>#REF!</v>
          </cell>
          <cell r="AM847" t="e">
            <v>#REF!</v>
          </cell>
          <cell r="AN847" t="e">
            <v>#REF!</v>
          </cell>
          <cell r="AO847" t="e">
            <v>#REF!</v>
          </cell>
          <cell r="AP847" t="e">
            <v>#REF!</v>
          </cell>
          <cell r="AQ847" t="e">
            <v>#REF!</v>
          </cell>
          <cell r="AR847" t="e">
            <v>#REF!</v>
          </cell>
          <cell r="AS847" t="e">
            <v>#REF!</v>
          </cell>
          <cell r="AT847" t="e">
            <v>#REF!</v>
          </cell>
          <cell r="AU847" t="e">
            <v>#REF!</v>
          </cell>
        </row>
        <row r="848">
          <cell r="A848" t="str">
            <v>S16-0845</v>
          </cell>
          <cell r="B848" t="str">
            <v>ももたろう痛みのクリニック_0845</v>
          </cell>
          <cell r="C848" t="e">
            <v>#REF!</v>
          </cell>
          <cell r="D848" t="e">
            <v>#REF!</v>
          </cell>
          <cell r="E848" t="e">
            <v>#REF!</v>
          </cell>
          <cell r="F848" t="e">
            <v>#REF!</v>
          </cell>
          <cell r="G848" t="e">
            <v>#REF!</v>
          </cell>
          <cell r="H848" t="e">
            <v>#REF!</v>
          </cell>
          <cell r="I848" t="e">
            <v>#REF!</v>
          </cell>
          <cell r="K848" t="e">
            <v>#REF!</v>
          </cell>
          <cell r="M848" t="e">
            <v>#REF!</v>
          </cell>
          <cell r="N848" t="e">
            <v>#REF!</v>
          </cell>
          <cell r="O848" t="e">
            <v>#REF!</v>
          </cell>
          <cell r="P848" t="e">
            <v>#REF!</v>
          </cell>
          <cell r="Q848" t="e">
            <v>#REF!</v>
          </cell>
          <cell r="S848" t="e">
            <v>#REF!</v>
          </cell>
          <cell r="T848" t="e">
            <v>#REF!</v>
          </cell>
          <cell r="U848" t="e">
            <v>#REF!</v>
          </cell>
          <cell r="AA848" t="e">
            <v>#REF!</v>
          </cell>
          <cell r="AB848" t="e">
            <v>#REF!</v>
          </cell>
          <cell r="AC848" t="e">
            <v>#REF!</v>
          </cell>
          <cell r="AD848" t="e">
            <v>#REF!</v>
          </cell>
          <cell r="AE848" t="e">
            <v>#REF!</v>
          </cell>
          <cell r="AF848" t="e">
            <v>#REF!</v>
          </cell>
          <cell r="AG848" t="e">
            <v>#REF!</v>
          </cell>
          <cell r="AH848" t="e">
            <v>#REF!</v>
          </cell>
          <cell r="AI848" t="e">
            <v>#REF!</v>
          </cell>
          <cell r="AJ848" t="e">
            <v>#REF!</v>
          </cell>
          <cell r="AK848" t="e">
            <v>#REF!</v>
          </cell>
          <cell r="AL848" t="e">
            <v>#REF!</v>
          </cell>
          <cell r="AM848" t="e">
            <v>#REF!</v>
          </cell>
          <cell r="AN848" t="e">
            <v>#REF!</v>
          </cell>
          <cell r="AO848" t="e">
            <v>#REF!</v>
          </cell>
          <cell r="AP848" t="e">
            <v>#REF!</v>
          </cell>
          <cell r="AQ848" t="e">
            <v>#REF!</v>
          </cell>
          <cell r="AR848" t="e">
            <v>#REF!</v>
          </cell>
          <cell r="AS848" t="e">
            <v>#REF!</v>
          </cell>
          <cell r="AT848" t="e">
            <v>#REF!</v>
          </cell>
          <cell r="AU848" t="e">
            <v>#REF!</v>
          </cell>
        </row>
        <row r="849">
          <cell r="A849" t="str">
            <v>S16-0846</v>
          </cell>
          <cell r="B849" t="str">
            <v>名古屋第一赤十字病院_0846</v>
          </cell>
          <cell r="C849" t="e">
            <v>#REF!</v>
          </cell>
          <cell r="D849" t="e">
            <v>#REF!</v>
          </cell>
          <cell r="E849" t="e">
            <v>#REF!</v>
          </cell>
          <cell r="F849" t="e">
            <v>#REF!</v>
          </cell>
          <cell r="G849" t="e">
            <v>#REF!</v>
          </cell>
          <cell r="H849" t="e">
            <v>#REF!</v>
          </cell>
          <cell r="I849" t="e">
            <v>#REF!</v>
          </cell>
          <cell r="K849" t="e">
            <v>#REF!</v>
          </cell>
          <cell r="M849" t="e">
            <v>#REF!</v>
          </cell>
          <cell r="N849" t="e">
            <v>#REF!</v>
          </cell>
          <cell r="O849" t="e">
            <v>#REF!</v>
          </cell>
          <cell r="P849" t="e">
            <v>#REF!</v>
          </cell>
          <cell r="Q849" t="e">
            <v>#REF!</v>
          </cell>
          <cell r="S849" t="e">
            <v>#REF!</v>
          </cell>
          <cell r="T849" t="e">
            <v>#REF!</v>
          </cell>
          <cell r="U849" t="e">
            <v>#REF!</v>
          </cell>
          <cell r="AA849" t="e">
            <v>#REF!</v>
          </cell>
          <cell r="AB849" t="e">
            <v>#REF!</v>
          </cell>
          <cell r="AC849" t="e">
            <v>#REF!</v>
          </cell>
          <cell r="AD849" t="e">
            <v>#REF!</v>
          </cell>
          <cell r="AE849" t="e">
            <v>#REF!</v>
          </cell>
          <cell r="AF849" t="e">
            <v>#REF!</v>
          </cell>
          <cell r="AG849" t="e">
            <v>#REF!</v>
          </cell>
          <cell r="AH849" t="e">
            <v>#REF!</v>
          </cell>
          <cell r="AI849" t="e">
            <v>#REF!</v>
          </cell>
          <cell r="AJ849" t="e">
            <v>#REF!</v>
          </cell>
          <cell r="AK849" t="e">
            <v>#REF!</v>
          </cell>
          <cell r="AL849" t="e">
            <v>#REF!</v>
          </cell>
          <cell r="AM849" t="e">
            <v>#REF!</v>
          </cell>
          <cell r="AN849" t="e">
            <v>#REF!</v>
          </cell>
          <cell r="AO849" t="e">
            <v>#REF!</v>
          </cell>
          <cell r="AP849" t="e">
            <v>#REF!</v>
          </cell>
          <cell r="AQ849" t="e">
            <v>#REF!</v>
          </cell>
          <cell r="AR849" t="e">
            <v>#REF!</v>
          </cell>
          <cell r="AS849" t="e">
            <v>#REF!</v>
          </cell>
          <cell r="AT849" t="e">
            <v>#REF!</v>
          </cell>
          <cell r="AU849" t="e">
            <v>#REF!</v>
          </cell>
        </row>
        <row r="850">
          <cell r="A850" t="str">
            <v>S16-0847</v>
          </cell>
          <cell r="B850" t="str">
            <v>長浜赤十字病院_0847</v>
          </cell>
          <cell r="C850" t="e">
            <v>#REF!</v>
          </cell>
          <cell r="D850" t="e">
            <v>#REF!</v>
          </cell>
          <cell r="E850" t="e">
            <v>#REF!</v>
          </cell>
          <cell r="F850" t="e">
            <v>#REF!</v>
          </cell>
          <cell r="G850" t="e">
            <v>#REF!</v>
          </cell>
          <cell r="H850" t="e">
            <v>#REF!</v>
          </cell>
          <cell r="I850" t="e">
            <v>#REF!</v>
          </cell>
          <cell r="K850" t="e">
            <v>#REF!</v>
          </cell>
          <cell r="M850" t="e">
            <v>#REF!</v>
          </cell>
          <cell r="N850" t="e">
            <v>#REF!</v>
          </cell>
          <cell r="O850" t="e">
            <v>#REF!</v>
          </cell>
          <cell r="P850" t="e">
            <v>#REF!</v>
          </cell>
          <cell r="Q850" t="e">
            <v>#REF!</v>
          </cell>
          <cell r="S850" t="e">
            <v>#REF!</v>
          </cell>
          <cell r="T850" t="e">
            <v>#REF!</v>
          </cell>
          <cell r="U850" t="e">
            <v>#REF!</v>
          </cell>
          <cell r="AA850" t="e">
            <v>#REF!</v>
          </cell>
          <cell r="AB850" t="e">
            <v>#REF!</v>
          </cell>
          <cell r="AC850" t="e">
            <v>#REF!</v>
          </cell>
          <cell r="AD850" t="e">
            <v>#REF!</v>
          </cell>
          <cell r="AE850" t="e">
            <v>#REF!</v>
          </cell>
          <cell r="AF850" t="e">
            <v>#REF!</v>
          </cell>
          <cell r="AG850" t="e">
            <v>#REF!</v>
          </cell>
          <cell r="AH850" t="e">
            <v>#REF!</v>
          </cell>
          <cell r="AI850" t="e">
            <v>#REF!</v>
          </cell>
          <cell r="AJ850" t="e">
            <v>#REF!</v>
          </cell>
          <cell r="AK850" t="e">
            <v>#REF!</v>
          </cell>
          <cell r="AL850" t="e">
            <v>#REF!</v>
          </cell>
          <cell r="AM850" t="e">
            <v>#REF!</v>
          </cell>
          <cell r="AN850" t="e">
            <v>#REF!</v>
          </cell>
          <cell r="AO850" t="e">
            <v>#REF!</v>
          </cell>
          <cell r="AP850" t="e">
            <v>#REF!</v>
          </cell>
          <cell r="AQ850" t="e">
            <v>#REF!</v>
          </cell>
          <cell r="AR850" t="e">
            <v>#REF!</v>
          </cell>
          <cell r="AS850" t="e">
            <v>#REF!</v>
          </cell>
          <cell r="AT850" t="e">
            <v>#REF!</v>
          </cell>
          <cell r="AU850" t="e">
            <v>#REF!</v>
          </cell>
        </row>
        <row r="851">
          <cell r="A851" t="str">
            <v>S16-0848</v>
          </cell>
          <cell r="B851" t="str">
            <v>上天草総合病院_0848</v>
          </cell>
          <cell r="C851" t="e">
            <v>#REF!</v>
          </cell>
          <cell r="D851" t="e">
            <v>#REF!</v>
          </cell>
          <cell r="E851" t="e">
            <v>#REF!</v>
          </cell>
          <cell r="F851" t="e">
            <v>#REF!</v>
          </cell>
          <cell r="G851" t="e">
            <v>#REF!</v>
          </cell>
          <cell r="H851" t="e">
            <v>#REF!</v>
          </cell>
          <cell r="I851" t="e">
            <v>#REF!</v>
          </cell>
          <cell r="K851" t="e">
            <v>#REF!</v>
          </cell>
          <cell r="M851" t="e">
            <v>#REF!</v>
          </cell>
          <cell r="N851" t="e">
            <v>#REF!</v>
          </cell>
          <cell r="O851" t="e">
            <v>#REF!</v>
          </cell>
          <cell r="P851" t="e">
            <v>#REF!</v>
          </cell>
          <cell r="Q851" t="e">
            <v>#REF!</v>
          </cell>
          <cell r="S851" t="e">
            <v>#REF!</v>
          </cell>
          <cell r="T851" t="e">
            <v>#REF!</v>
          </cell>
          <cell r="U851" t="e">
            <v>#REF!</v>
          </cell>
          <cell r="AA851" t="e">
            <v>#REF!</v>
          </cell>
          <cell r="AB851" t="e">
            <v>#REF!</v>
          </cell>
          <cell r="AC851" t="e">
            <v>#REF!</v>
          </cell>
          <cell r="AD851" t="e">
            <v>#REF!</v>
          </cell>
          <cell r="AE851" t="e">
            <v>#REF!</v>
          </cell>
          <cell r="AF851" t="e">
            <v>#REF!</v>
          </cell>
          <cell r="AG851" t="e">
            <v>#REF!</v>
          </cell>
          <cell r="AH851" t="e">
            <v>#REF!</v>
          </cell>
          <cell r="AI851" t="e">
            <v>#REF!</v>
          </cell>
          <cell r="AJ851" t="e">
            <v>#REF!</v>
          </cell>
          <cell r="AK851" t="e">
            <v>#REF!</v>
          </cell>
          <cell r="AL851" t="e">
            <v>#REF!</v>
          </cell>
          <cell r="AM851" t="e">
            <v>#REF!</v>
          </cell>
          <cell r="AN851" t="e">
            <v>#REF!</v>
          </cell>
          <cell r="AO851" t="e">
            <v>#REF!</v>
          </cell>
          <cell r="AP851" t="e">
            <v>#REF!</v>
          </cell>
          <cell r="AQ851" t="e">
            <v>#REF!</v>
          </cell>
          <cell r="AR851" t="e">
            <v>#REF!</v>
          </cell>
          <cell r="AS851" t="e">
            <v>#REF!</v>
          </cell>
          <cell r="AT851" t="e">
            <v>#REF!</v>
          </cell>
          <cell r="AU851" t="e">
            <v>#REF!</v>
          </cell>
        </row>
        <row r="852">
          <cell r="A852" t="str">
            <v>S16-0849</v>
          </cell>
          <cell r="B852" t="str">
            <v>桑名西医療センター_0849</v>
          </cell>
          <cell r="C852" t="e">
            <v>#REF!</v>
          </cell>
          <cell r="D852" t="e">
            <v>#REF!</v>
          </cell>
          <cell r="E852" t="e">
            <v>#REF!</v>
          </cell>
          <cell r="F852" t="e">
            <v>#REF!</v>
          </cell>
          <cell r="G852" t="e">
            <v>#REF!</v>
          </cell>
          <cell r="H852" t="e">
            <v>#REF!</v>
          </cell>
          <cell r="I852" t="e">
            <v>#REF!</v>
          </cell>
          <cell r="K852" t="e">
            <v>#REF!</v>
          </cell>
          <cell r="M852" t="e">
            <v>#REF!</v>
          </cell>
          <cell r="N852" t="e">
            <v>#REF!</v>
          </cell>
          <cell r="O852" t="e">
            <v>#REF!</v>
          </cell>
          <cell r="P852" t="e">
            <v>#REF!</v>
          </cell>
          <cell r="Q852" t="e">
            <v>#REF!</v>
          </cell>
          <cell r="S852" t="e">
            <v>#REF!</v>
          </cell>
          <cell r="T852" t="e">
            <v>#REF!</v>
          </cell>
          <cell r="U852" t="e">
            <v>#REF!</v>
          </cell>
          <cell r="AA852" t="e">
            <v>#REF!</v>
          </cell>
          <cell r="AB852" t="e">
            <v>#REF!</v>
          </cell>
          <cell r="AC852" t="e">
            <v>#REF!</v>
          </cell>
          <cell r="AD852" t="e">
            <v>#REF!</v>
          </cell>
          <cell r="AE852" t="e">
            <v>#REF!</v>
          </cell>
          <cell r="AF852" t="e">
            <v>#REF!</v>
          </cell>
          <cell r="AG852" t="e">
            <v>#REF!</v>
          </cell>
          <cell r="AH852" t="e">
            <v>#REF!</v>
          </cell>
          <cell r="AI852" t="e">
            <v>#REF!</v>
          </cell>
          <cell r="AJ852" t="e">
            <v>#REF!</v>
          </cell>
          <cell r="AK852" t="e">
            <v>#REF!</v>
          </cell>
          <cell r="AL852" t="e">
            <v>#REF!</v>
          </cell>
          <cell r="AM852" t="e">
            <v>#REF!</v>
          </cell>
          <cell r="AN852" t="e">
            <v>#REF!</v>
          </cell>
          <cell r="AO852" t="e">
            <v>#REF!</v>
          </cell>
          <cell r="AP852" t="e">
            <v>#REF!</v>
          </cell>
          <cell r="AQ852" t="e">
            <v>#REF!</v>
          </cell>
          <cell r="AR852" t="e">
            <v>#REF!</v>
          </cell>
          <cell r="AS852" t="e">
            <v>#REF!</v>
          </cell>
          <cell r="AT852" t="e">
            <v>#REF!</v>
          </cell>
          <cell r="AU852" t="e">
            <v>#REF!</v>
          </cell>
        </row>
        <row r="853">
          <cell r="A853" t="str">
            <v>S16-0850</v>
          </cell>
          <cell r="B853" t="str">
            <v>済生会宇都宮病院_0850</v>
          </cell>
          <cell r="C853" t="e">
            <v>#REF!</v>
          </cell>
          <cell r="D853" t="e">
            <v>#REF!</v>
          </cell>
          <cell r="E853" t="e">
            <v>#REF!</v>
          </cell>
          <cell r="F853" t="e">
            <v>#REF!</v>
          </cell>
          <cell r="G853" t="e">
            <v>#REF!</v>
          </cell>
          <cell r="H853" t="e">
            <v>#REF!</v>
          </cell>
          <cell r="I853" t="e">
            <v>#REF!</v>
          </cell>
          <cell r="K853" t="e">
            <v>#REF!</v>
          </cell>
          <cell r="M853" t="e">
            <v>#REF!</v>
          </cell>
          <cell r="N853" t="e">
            <v>#REF!</v>
          </cell>
          <cell r="O853" t="e">
            <v>#REF!</v>
          </cell>
          <cell r="P853" t="e">
            <v>#REF!</v>
          </cell>
          <cell r="Q853" t="e">
            <v>#REF!</v>
          </cell>
          <cell r="S853" t="e">
            <v>#REF!</v>
          </cell>
          <cell r="T853" t="e">
            <v>#REF!</v>
          </cell>
          <cell r="U853" t="e">
            <v>#REF!</v>
          </cell>
          <cell r="AA853" t="e">
            <v>#REF!</v>
          </cell>
          <cell r="AB853" t="e">
            <v>#REF!</v>
          </cell>
          <cell r="AC853" t="e">
            <v>#REF!</v>
          </cell>
          <cell r="AD853" t="e">
            <v>#REF!</v>
          </cell>
          <cell r="AE853" t="e">
            <v>#REF!</v>
          </cell>
          <cell r="AF853" t="e">
            <v>#REF!</v>
          </cell>
          <cell r="AG853" t="e">
            <v>#REF!</v>
          </cell>
          <cell r="AH853" t="e">
            <v>#REF!</v>
          </cell>
          <cell r="AI853" t="e">
            <v>#REF!</v>
          </cell>
          <cell r="AJ853" t="e">
            <v>#REF!</v>
          </cell>
          <cell r="AK853" t="e">
            <v>#REF!</v>
          </cell>
          <cell r="AL853" t="e">
            <v>#REF!</v>
          </cell>
          <cell r="AM853" t="e">
            <v>#REF!</v>
          </cell>
          <cell r="AN853" t="e">
            <v>#REF!</v>
          </cell>
          <cell r="AO853" t="e">
            <v>#REF!</v>
          </cell>
          <cell r="AP853" t="e">
            <v>#REF!</v>
          </cell>
          <cell r="AQ853" t="e">
            <v>#REF!</v>
          </cell>
          <cell r="AR853" t="e">
            <v>#REF!</v>
          </cell>
          <cell r="AS853" t="e">
            <v>#REF!</v>
          </cell>
          <cell r="AT853" t="e">
            <v>#REF!</v>
          </cell>
          <cell r="AU853" t="e">
            <v>#REF!</v>
          </cell>
        </row>
        <row r="854">
          <cell r="A854" t="str">
            <v>S16-0851</v>
          </cell>
          <cell r="C854" t="e">
            <v>#REF!</v>
          </cell>
          <cell r="D854" t="e">
            <v>#REF!</v>
          </cell>
          <cell r="E854" t="e">
            <v>#REF!</v>
          </cell>
          <cell r="F854" t="e">
            <v>#REF!</v>
          </cell>
          <cell r="G854" t="e">
            <v>#REF!</v>
          </cell>
          <cell r="H854" t="e">
            <v>#REF!</v>
          </cell>
          <cell r="I854" t="e">
            <v>#REF!</v>
          </cell>
          <cell r="K854" t="e">
            <v>#REF!</v>
          </cell>
          <cell r="M854" t="e">
            <v>#REF!</v>
          </cell>
          <cell r="N854" t="e">
            <v>#REF!</v>
          </cell>
          <cell r="O854" t="e">
            <v>#REF!</v>
          </cell>
          <cell r="P854" t="e">
            <v>#REF!</v>
          </cell>
          <cell r="Q854" t="e">
            <v>#REF!</v>
          </cell>
          <cell r="S854" t="e">
            <v>#REF!</v>
          </cell>
          <cell r="T854" t="e">
            <v>#REF!</v>
          </cell>
          <cell r="U854" t="e">
            <v>#REF!</v>
          </cell>
          <cell r="AA854" t="e">
            <v>#REF!</v>
          </cell>
          <cell r="AB854" t="e">
            <v>#REF!</v>
          </cell>
          <cell r="AC854" t="e">
            <v>#REF!</v>
          </cell>
          <cell r="AD854" t="e">
            <v>#REF!</v>
          </cell>
          <cell r="AE854" t="e">
            <v>#REF!</v>
          </cell>
          <cell r="AF854" t="e">
            <v>#REF!</v>
          </cell>
          <cell r="AG854" t="e">
            <v>#REF!</v>
          </cell>
          <cell r="AH854" t="e">
            <v>#REF!</v>
          </cell>
          <cell r="AI854" t="e">
            <v>#REF!</v>
          </cell>
          <cell r="AJ854" t="e">
            <v>#REF!</v>
          </cell>
          <cell r="AK854" t="e">
            <v>#REF!</v>
          </cell>
          <cell r="AL854" t="e">
            <v>#REF!</v>
          </cell>
          <cell r="AM854" t="e">
            <v>#REF!</v>
          </cell>
          <cell r="AN854" t="e">
            <v>#REF!</v>
          </cell>
          <cell r="AO854" t="e">
            <v>#REF!</v>
          </cell>
          <cell r="AP854" t="e">
            <v>#REF!</v>
          </cell>
          <cell r="AQ854" t="e">
            <v>#REF!</v>
          </cell>
          <cell r="AR854" t="e">
            <v>#REF!</v>
          </cell>
          <cell r="AS854" t="e">
            <v>#REF!</v>
          </cell>
          <cell r="AT854" t="e">
            <v>#REF!</v>
          </cell>
          <cell r="AU854" t="e">
            <v>#REF!</v>
          </cell>
        </row>
        <row r="855">
          <cell r="A855" t="str">
            <v>S16-0852</v>
          </cell>
          <cell r="C855" t="e">
            <v>#REF!</v>
          </cell>
          <cell r="D855" t="e">
            <v>#REF!</v>
          </cell>
          <cell r="E855" t="e">
            <v>#REF!</v>
          </cell>
          <cell r="F855" t="e">
            <v>#REF!</v>
          </cell>
          <cell r="G855" t="e">
            <v>#REF!</v>
          </cell>
          <cell r="H855" t="e">
            <v>#REF!</v>
          </cell>
          <cell r="I855" t="e">
            <v>#REF!</v>
          </cell>
          <cell r="K855" t="e">
            <v>#REF!</v>
          </cell>
          <cell r="M855" t="e">
            <v>#REF!</v>
          </cell>
          <cell r="N855" t="e">
            <v>#REF!</v>
          </cell>
          <cell r="O855" t="e">
            <v>#REF!</v>
          </cell>
          <cell r="P855" t="e">
            <v>#REF!</v>
          </cell>
          <cell r="Q855" t="e">
            <v>#REF!</v>
          </cell>
          <cell r="S855" t="e">
            <v>#REF!</v>
          </cell>
          <cell r="T855" t="e">
            <v>#REF!</v>
          </cell>
          <cell r="U855" t="e">
            <v>#REF!</v>
          </cell>
          <cell r="AA855" t="e">
            <v>#REF!</v>
          </cell>
          <cell r="AB855" t="e">
            <v>#REF!</v>
          </cell>
          <cell r="AC855" t="e">
            <v>#REF!</v>
          </cell>
          <cell r="AD855" t="e">
            <v>#REF!</v>
          </cell>
          <cell r="AE855" t="e">
            <v>#REF!</v>
          </cell>
          <cell r="AF855" t="e">
            <v>#REF!</v>
          </cell>
          <cell r="AG855" t="e">
            <v>#REF!</v>
          </cell>
          <cell r="AH855" t="e">
            <v>#REF!</v>
          </cell>
          <cell r="AI855" t="e">
            <v>#REF!</v>
          </cell>
          <cell r="AJ855" t="e">
            <v>#REF!</v>
          </cell>
          <cell r="AK855" t="e">
            <v>#REF!</v>
          </cell>
          <cell r="AL855" t="e">
            <v>#REF!</v>
          </cell>
          <cell r="AM855" t="e">
            <v>#REF!</v>
          </cell>
          <cell r="AN855" t="e">
            <v>#REF!</v>
          </cell>
          <cell r="AO855" t="e">
            <v>#REF!</v>
          </cell>
          <cell r="AP855" t="e">
            <v>#REF!</v>
          </cell>
          <cell r="AQ855" t="e">
            <v>#REF!</v>
          </cell>
          <cell r="AR855" t="e">
            <v>#REF!</v>
          </cell>
          <cell r="AS855" t="e">
            <v>#REF!</v>
          </cell>
          <cell r="AT855" t="e">
            <v>#REF!</v>
          </cell>
          <cell r="AU855" t="e">
            <v>#REF!</v>
          </cell>
        </row>
        <row r="856">
          <cell r="A856" t="str">
            <v>S16-0853</v>
          </cell>
          <cell r="C856" t="e">
            <v>#REF!</v>
          </cell>
          <cell r="D856" t="e">
            <v>#REF!</v>
          </cell>
          <cell r="E856" t="e">
            <v>#REF!</v>
          </cell>
          <cell r="F856" t="e">
            <v>#REF!</v>
          </cell>
          <cell r="G856" t="e">
            <v>#REF!</v>
          </cell>
          <cell r="H856" t="e">
            <v>#REF!</v>
          </cell>
          <cell r="I856" t="e">
            <v>#REF!</v>
          </cell>
          <cell r="K856" t="e">
            <v>#REF!</v>
          </cell>
          <cell r="M856" t="e">
            <v>#REF!</v>
          </cell>
          <cell r="N856" t="e">
            <v>#REF!</v>
          </cell>
          <cell r="O856" t="e">
            <v>#REF!</v>
          </cell>
          <cell r="P856" t="e">
            <v>#REF!</v>
          </cell>
          <cell r="Q856" t="e">
            <v>#REF!</v>
          </cell>
          <cell r="S856" t="e">
            <v>#REF!</v>
          </cell>
          <cell r="T856" t="e">
            <v>#REF!</v>
          </cell>
          <cell r="U856" t="e">
            <v>#REF!</v>
          </cell>
          <cell r="AA856" t="e">
            <v>#REF!</v>
          </cell>
          <cell r="AB856" t="e">
            <v>#REF!</v>
          </cell>
          <cell r="AC856" t="e">
            <v>#REF!</v>
          </cell>
          <cell r="AD856" t="e">
            <v>#REF!</v>
          </cell>
          <cell r="AE856" t="e">
            <v>#REF!</v>
          </cell>
          <cell r="AF856" t="e">
            <v>#REF!</v>
          </cell>
          <cell r="AG856" t="e">
            <v>#REF!</v>
          </cell>
          <cell r="AH856" t="e">
            <v>#REF!</v>
          </cell>
          <cell r="AI856" t="e">
            <v>#REF!</v>
          </cell>
          <cell r="AJ856" t="e">
            <v>#REF!</v>
          </cell>
          <cell r="AK856" t="e">
            <v>#REF!</v>
          </cell>
          <cell r="AL856" t="e">
            <v>#REF!</v>
          </cell>
          <cell r="AM856" t="e">
            <v>#REF!</v>
          </cell>
          <cell r="AN856" t="e">
            <v>#REF!</v>
          </cell>
          <cell r="AO856" t="e">
            <v>#REF!</v>
          </cell>
          <cell r="AP856" t="e">
            <v>#REF!</v>
          </cell>
          <cell r="AQ856" t="e">
            <v>#REF!</v>
          </cell>
          <cell r="AR856" t="e">
            <v>#REF!</v>
          </cell>
          <cell r="AS856" t="e">
            <v>#REF!</v>
          </cell>
          <cell r="AT856" t="e">
            <v>#REF!</v>
          </cell>
          <cell r="AU856" t="e">
            <v>#REF!</v>
          </cell>
        </row>
        <row r="857">
          <cell r="A857" t="str">
            <v>S16-0854</v>
          </cell>
          <cell r="C857" t="e">
            <v>#REF!</v>
          </cell>
          <cell r="D857" t="e">
            <v>#REF!</v>
          </cell>
          <cell r="E857" t="e">
            <v>#REF!</v>
          </cell>
          <cell r="F857" t="e">
            <v>#REF!</v>
          </cell>
          <cell r="G857" t="e">
            <v>#REF!</v>
          </cell>
          <cell r="H857" t="e">
            <v>#REF!</v>
          </cell>
          <cell r="I857" t="e">
            <v>#REF!</v>
          </cell>
          <cell r="K857" t="e">
            <v>#REF!</v>
          </cell>
          <cell r="M857" t="e">
            <v>#REF!</v>
          </cell>
          <cell r="N857" t="e">
            <v>#REF!</v>
          </cell>
          <cell r="O857" t="e">
            <v>#REF!</v>
          </cell>
          <cell r="P857" t="e">
            <v>#REF!</v>
          </cell>
          <cell r="Q857" t="e">
            <v>#REF!</v>
          </cell>
          <cell r="S857" t="e">
            <v>#REF!</v>
          </cell>
          <cell r="T857" t="e">
            <v>#REF!</v>
          </cell>
          <cell r="U857" t="e">
            <v>#REF!</v>
          </cell>
          <cell r="AA857" t="e">
            <v>#REF!</v>
          </cell>
          <cell r="AB857" t="e">
            <v>#REF!</v>
          </cell>
          <cell r="AC857" t="e">
            <v>#REF!</v>
          </cell>
          <cell r="AD857" t="e">
            <v>#REF!</v>
          </cell>
          <cell r="AE857" t="e">
            <v>#REF!</v>
          </cell>
          <cell r="AF857" t="e">
            <v>#REF!</v>
          </cell>
          <cell r="AG857" t="e">
            <v>#REF!</v>
          </cell>
          <cell r="AH857" t="e">
            <v>#REF!</v>
          </cell>
          <cell r="AI857" t="e">
            <v>#REF!</v>
          </cell>
          <cell r="AJ857" t="e">
            <v>#REF!</v>
          </cell>
          <cell r="AK857" t="e">
            <v>#REF!</v>
          </cell>
          <cell r="AL857" t="e">
            <v>#REF!</v>
          </cell>
          <cell r="AM857" t="e">
            <v>#REF!</v>
          </cell>
          <cell r="AN857" t="e">
            <v>#REF!</v>
          </cell>
          <cell r="AO857" t="e">
            <v>#REF!</v>
          </cell>
          <cell r="AP857" t="e">
            <v>#REF!</v>
          </cell>
          <cell r="AQ857" t="e">
            <v>#REF!</v>
          </cell>
          <cell r="AR857" t="e">
            <v>#REF!</v>
          </cell>
          <cell r="AS857" t="e">
            <v>#REF!</v>
          </cell>
          <cell r="AT857" t="e">
            <v>#REF!</v>
          </cell>
          <cell r="AU857" t="e">
            <v>#REF!</v>
          </cell>
        </row>
        <row r="858">
          <cell r="A858" t="str">
            <v>S16-0855</v>
          </cell>
          <cell r="C858" t="e">
            <v>#REF!</v>
          </cell>
          <cell r="D858" t="e">
            <v>#REF!</v>
          </cell>
          <cell r="E858" t="e">
            <v>#REF!</v>
          </cell>
          <cell r="F858" t="e">
            <v>#REF!</v>
          </cell>
          <cell r="G858" t="e">
            <v>#REF!</v>
          </cell>
          <cell r="H858" t="e">
            <v>#REF!</v>
          </cell>
          <cell r="I858" t="e">
            <v>#REF!</v>
          </cell>
          <cell r="K858" t="e">
            <v>#REF!</v>
          </cell>
          <cell r="M858" t="e">
            <v>#REF!</v>
          </cell>
          <cell r="N858" t="e">
            <v>#REF!</v>
          </cell>
          <cell r="O858" t="e">
            <v>#REF!</v>
          </cell>
          <cell r="P858" t="e">
            <v>#REF!</v>
          </cell>
          <cell r="Q858" t="e">
            <v>#REF!</v>
          </cell>
          <cell r="S858" t="e">
            <v>#REF!</v>
          </cell>
          <cell r="T858" t="e">
            <v>#REF!</v>
          </cell>
          <cell r="U858" t="e">
            <v>#REF!</v>
          </cell>
          <cell r="AA858" t="e">
            <v>#REF!</v>
          </cell>
          <cell r="AB858" t="e">
            <v>#REF!</v>
          </cell>
          <cell r="AC858" t="e">
            <v>#REF!</v>
          </cell>
          <cell r="AD858" t="e">
            <v>#REF!</v>
          </cell>
          <cell r="AE858" t="e">
            <v>#REF!</v>
          </cell>
          <cell r="AF858" t="e">
            <v>#REF!</v>
          </cell>
          <cell r="AG858" t="e">
            <v>#REF!</v>
          </cell>
          <cell r="AH858" t="e">
            <v>#REF!</v>
          </cell>
          <cell r="AI858" t="e">
            <v>#REF!</v>
          </cell>
          <cell r="AJ858" t="e">
            <v>#REF!</v>
          </cell>
          <cell r="AK858" t="e">
            <v>#REF!</v>
          </cell>
          <cell r="AL858" t="e">
            <v>#REF!</v>
          </cell>
          <cell r="AM858" t="e">
            <v>#REF!</v>
          </cell>
          <cell r="AN858" t="e">
            <v>#REF!</v>
          </cell>
          <cell r="AO858" t="e">
            <v>#REF!</v>
          </cell>
          <cell r="AP858" t="e">
            <v>#REF!</v>
          </cell>
          <cell r="AQ858" t="e">
            <v>#REF!</v>
          </cell>
          <cell r="AR858" t="e">
            <v>#REF!</v>
          </cell>
          <cell r="AS858" t="e">
            <v>#REF!</v>
          </cell>
          <cell r="AT858" t="e">
            <v>#REF!</v>
          </cell>
          <cell r="AU858" t="e">
            <v>#REF!</v>
          </cell>
        </row>
        <row r="859">
          <cell r="A859" t="str">
            <v>S16-0856</v>
          </cell>
          <cell r="C859" t="e">
            <v>#REF!</v>
          </cell>
          <cell r="D859" t="e">
            <v>#REF!</v>
          </cell>
          <cell r="E859" t="e">
            <v>#REF!</v>
          </cell>
          <cell r="F859" t="e">
            <v>#REF!</v>
          </cell>
          <cell r="G859" t="e">
            <v>#REF!</v>
          </cell>
          <cell r="H859" t="e">
            <v>#REF!</v>
          </cell>
          <cell r="I859" t="e">
            <v>#REF!</v>
          </cell>
          <cell r="K859" t="e">
            <v>#REF!</v>
          </cell>
          <cell r="M859" t="e">
            <v>#REF!</v>
          </cell>
          <cell r="N859" t="e">
            <v>#REF!</v>
          </cell>
          <cell r="O859" t="e">
            <v>#REF!</v>
          </cell>
          <cell r="P859" t="e">
            <v>#REF!</v>
          </cell>
          <cell r="Q859" t="e">
            <v>#REF!</v>
          </cell>
          <cell r="S859" t="e">
            <v>#REF!</v>
          </cell>
          <cell r="T859" t="e">
            <v>#REF!</v>
          </cell>
          <cell r="U859" t="e">
            <v>#REF!</v>
          </cell>
          <cell r="AA859" t="e">
            <v>#REF!</v>
          </cell>
          <cell r="AB859" t="e">
            <v>#REF!</v>
          </cell>
          <cell r="AC859" t="e">
            <v>#REF!</v>
          </cell>
          <cell r="AD859" t="e">
            <v>#REF!</v>
          </cell>
          <cell r="AE859" t="e">
            <v>#REF!</v>
          </cell>
          <cell r="AF859" t="e">
            <v>#REF!</v>
          </cell>
          <cell r="AG859" t="e">
            <v>#REF!</v>
          </cell>
          <cell r="AH859" t="e">
            <v>#REF!</v>
          </cell>
          <cell r="AI859" t="e">
            <v>#REF!</v>
          </cell>
          <cell r="AJ859" t="e">
            <v>#REF!</v>
          </cell>
          <cell r="AK859" t="e">
            <v>#REF!</v>
          </cell>
          <cell r="AL859" t="e">
            <v>#REF!</v>
          </cell>
          <cell r="AM859" t="e">
            <v>#REF!</v>
          </cell>
          <cell r="AN859" t="e">
            <v>#REF!</v>
          </cell>
          <cell r="AO859" t="e">
            <v>#REF!</v>
          </cell>
          <cell r="AP859" t="e">
            <v>#REF!</v>
          </cell>
          <cell r="AQ859" t="e">
            <v>#REF!</v>
          </cell>
          <cell r="AR859" t="e">
            <v>#REF!</v>
          </cell>
          <cell r="AS859" t="e">
            <v>#REF!</v>
          </cell>
          <cell r="AT859" t="e">
            <v>#REF!</v>
          </cell>
          <cell r="AU859" t="e">
            <v>#REF!</v>
          </cell>
        </row>
        <row r="860">
          <cell r="A860" t="str">
            <v>S16-0857</v>
          </cell>
          <cell r="C860" t="e">
            <v>#REF!</v>
          </cell>
          <cell r="D860" t="e">
            <v>#REF!</v>
          </cell>
          <cell r="E860" t="e">
            <v>#REF!</v>
          </cell>
          <cell r="F860" t="e">
            <v>#REF!</v>
          </cell>
          <cell r="G860" t="e">
            <v>#REF!</v>
          </cell>
          <cell r="H860" t="e">
            <v>#REF!</v>
          </cell>
          <cell r="I860" t="e">
            <v>#REF!</v>
          </cell>
          <cell r="K860" t="e">
            <v>#REF!</v>
          </cell>
          <cell r="M860" t="e">
            <v>#REF!</v>
          </cell>
          <cell r="N860" t="e">
            <v>#REF!</v>
          </cell>
          <cell r="O860" t="e">
            <v>#REF!</v>
          </cell>
          <cell r="P860" t="e">
            <v>#REF!</v>
          </cell>
          <cell r="Q860" t="e">
            <v>#REF!</v>
          </cell>
          <cell r="S860" t="e">
            <v>#REF!</v>
          </cell>
          <cell r="T860" t="e">
            <v>#REF!</v>
          </cell>
          <cell r="U860" t="e">
            <v>#REF!</v>
          </cell>
          <cell r="AA860" t="e">
            <v>#REF!</v>
          </cell>
          <cell r="AB860" t="e">
            <v>#REF!</v>
          </cell>
          <cell r="AC860" t="e">
            <v>#REF!</v>
          </cell>
          <cell r="AD860" t="e">
            <v>#REF!</v>
          </cell>
          <cell r="AE860" t="e">
            <v>#REF!</v>
          </cell>
          <cell r="AF860" t="e">
            <v>#REF!</v>
          </cell>
          <cell r="AG860" t="e">
            <v>#REF!</v>
          </cell>
          <cell r="AH860" t="e">
            <v>#REF!</v>
          </cell>
          <cell r="AI860" t="e">
            <v>#REF!</v>
          </cell>
          <cell r="AJ860" t="e">
            <v>#REF!</v>
          </cell>
          <cell r="AK860" t="e">
            <v>#REF!</v>
          </cell>
          <cell r="AL860" t="e">
            <v>#REF!</v>
          </cell>
          <cell r="AM860" t="e">
            <v>#REF!</v>
          </cell>
          <cell r="AN860" t="e">
            <v>#REF!</v>
          </cell>
          <cell r="AO860" t="e">
            <v>#REF!</v>
          </cell>
          <cell r="AP860" t="e">
            <v>#REF!</v>
          </cell>
          <cell r="AQ860" t="e">
            <v>#REF!</v>
          </cell>
          <cell r="AR860" t="e">
            <v>#REF!</v>
          </cell>
          <cell r="AS860" t="e">
            <v>#REF!</v>
          </cell>
          <cell r="AT860" t="e">
            <v>#REF!</v>
          </cell>
          <cell r="AU860" t="e">
            <v>#REF!</v>
          </cell>
        </row>
        <row r="861">
          <cell r="A861" t="str">
            <v>S16-0858</v>
          </cell>
          <cell r="C861" t="e">
            <v>#REF!</v>
          </cell>
          <cell r="D861" t="e">
            <v>#REF!</v>
          </cell>
          <cell r="E861" t="e">
            <v>#REF!</v>
          </cell>
          <cell r="F861" t="e">
            <v>#REF!</v>
          </cell>
          <cell r="G861" t="e">
            <v>#REF!</v>
          </cell>
          <cell r="H861" t="e">
            <v>#REF!</v>
          </cell>
          <cell r="I861" t="e">
            <v>#REF!</v>
          </cell>
          <cell r="K861" t="e">
            <v>#REF!</v>
          </cell>
          <cell r="M861" t="e">
            <v>#REF!</v>
          </cell>
          <cell r="N861" t="e">
            <v>#REF!</v>
          </cell>
          <cell r="O861" t="e">
            <v>#REF!</v>
          </cell>
          <cell r="P861" t="e">
            <v>#REF!</v>
          </cell>
          <cell r="Q861" t="e">
            <v>#REF!</v>
          </cell>
          <cell r="S861" t="e">
            <v>#REF!</v>
          </cell>
          <cell r="T861" t="e">
            <v>#REF!</v>
          </cell>
          <cell r="U861" t="e">
            <v>#REF!</v>
          </cell>
          <cell r="AA861" t="e">
            <v>#REF!</v>
          </cell>
          <cell r="AB861" t="e">
            <v>#REF!</v>
          </cell>
          <cell r="AC861" t="e">
            <v>#REF!</v>
          </cell>
          <cell r="AD861" t="e">
            <v>#REF!</v>
          </cell>
          <cell r="AE861" t="e">
            <v>#REF!</v>
          </cell>
          <cell r="AF861" t="e">
            <v>#REF!</v>
          </cell>
          <cell r="AG861" t="e">
            <v>#REF!</v>
          </cell>
          <cell r="AH861" t="e">
            <v>#REF!</v>
          </cell>
          <cell r="AI861" t="e">
            <v>#REF!</v>
          </cell>
          <cell r="AJ861" t="e">
            <v>#REF!</v>
          </cell>
          <cell r="AK861" t="e">
            <v>#REF!</v>
          </cell>
          <cell r="AL861" t="e">
            <v>#REF!</v>
          </cell>
          <cell r="AM861" t="e">
            <v>#REF!</v>
          </cell>
          <cell r="AN861" t="e">
            <v>#REF!</v>
          </cell>
          <cell r="AO861" t="e">
            <v>#REF!</v>
          </cell>
          <cell r="AP861" t="e">
            <v>#REF!</v>
          </cell>
          <cell r="AQ861" t="e">
            <v>#REF!</v>
          </cell>
          <cell r="AR861" t="e">
            <v>#REF!</v>
          </cell>
          <cell r="AS861" t="e">
            <v>#REF!</v>
          </cell>
          <cell r="AT861" t="e">
            <v>#REF!</v>
          </cell>
          <cell r="AU861" t="e">
            <v>#REF!</v>
          </cell>
        </row>
        <row r="862">
          <cell r="A862" t="str">
            <v>S16-0859</v>
          </cell>
          <cell r="C862" t="e">
            <v>#REF!</v>
          </cell>
          <cell r="D862" t="e">
            <v>#REF!</v>
          </cell>
          <cell r="E862" t="e">
            <v>#REF!</v>
          </cell>
          <cell r="F862" t="e">
            <v>#REF!</v>
          </cell>
          <cell r="G862" t="e">
            <v>#REF!</v>
          </cell>
          <cell r="H862" t="e">
            <v>#REF!</v>
          </cell>
          <cell r="I862" t="e">
            <v>#REF!</v>
          </cell>
          <cell r="K862" t="e">
            <v>#REF!</v>
          </cell>
          <cell r="M862" t="e">
            <v>#REF!</v>
          </cell>
          <cell r="N862" t="e">
            <v>#REF!</v>
          </cell>
          <cell r="O862" t="e">
            <v>#REF!</v>
          </cell>
          <cell r="P862" t="e">
            <v>#REF!</v>
          </cell>
          <cell r="Q862" t="e">
            <v>#REF!</v>
          </cell>
          <cell r="S862" t="e">
            <v>#REF!</v>
          </cell>
          <cell r="T862" t="e">
            <v>#REF!</v>
          </cell>
          <cell r="U862" t="e">
            <v>#REF!</v>
          </cell>
          <cell r="AA862" t="e">
            <v>#REF!</v>
          </cell>
          <cell r="AB862" t="e">
            <v>#REF!</v>
          </cell>
          <cell r="AC862" t="e">
            <v>#REF!</v>
          </cell>
          <cell r="AD862" t="e">
            <v>#REF!</v>
          </cell>
          <cell r="AE862" t="e">
            <v>#REF!</v>
          </cell>
          <cell r="AF862" t="e">
            <v>#REF!</v>
          </cell>
          <cell r="AG862" t="e">
            <v>#REF!</v>
          </cell>
          <cell r="AH862" t="e">
            <v>#REF!</v>
          </cell>
          <cell r="AI862" t="e">
            <v>#REF!</v>
          </cell>
          <cell r="AJ862" t="e">
            <v>#REF!</v>
          </cell>
          <cell r="AK862" t="e">
            <v>#REF!</v>
          </cell>
          <cell r="AL862" t="e">
            <v>#REF!</v>
          </cell>
          <cell r="AM862" t="e">
            <v>#REF!</v>
          </cell>
          <cell r="AN862" t="e">
            <v>#REF!</v>
          </cell>
          <cell r="AO862" t="e">
            <v>#REF!</v>
          </cell>
          <cell r="AP862" t="e">
            <v>#REF!</v>
          </cell>
          <cell r="AQ862" t="e">
            <v>#REF!</v>
          </cell>
          <cell r="AR862" t="e">
            <v>#REF!</v>
          </cell>
          <cell r="AS862" t="e">
            <v>#REF!</v>
          </cell>
          <cell r="AT862" t="e">
            <v>#REF!</v>
          </cell>
          <cell r="AU862" t="e">
            <v>#REF!</v>
          </cell>
        </row>
        <row r="863">
          <cell r="A863" t="str">
            <v>S16-0860</v>
          </cell>
          <cell r="C863" t="e">
            <v>#REF!</v>
          </cell>
          <cell r="D863" t="e">
            <v>#REF!</v>
          </cell>
          <cell r="E863" t="e">
            <v>#REF!</v>
          </cell>
          <cell r="F863" t="e">
            <v>#REF!</v>
          </cell>
          <cell r="G863" t="e">
            <v>#REF!</v>
          </cell>
          <cell r="H863" t="e">
            <v>#REF!</v>
          </cell>
          <cell r="I863" t="e">
            <v>#REF!</v>
          </cell>
          <cell r="K863" t="e">
            <v>#REF!</v>
          </cell>
          <cell r="M863" t="e">
            <v>#REF!</v>
          </cell>
          <cell r="N863" t="e">
            <v>#REF!</v>
          </cell>
          <cell r="O863" t="e">
            <v>#REF!</v>
          </cell>
          <cell r="P863" t="e">
            <v>#REF!</v>
          </cell>
          <cell r="Q863" t="e">
            <v>#REF!</v>
          </cell>
          <cell r="S863" t="e">
            <v>#REF!</v>
          </cell>
          <cell r="T863" t="e">
            <v>#REF!</v>
          </cell>
          <cell r="U863" t="e">
            <v>#REF!</v>
          </cell>
          <cell r="AA863" t="e">
            <v>#REF!</v>
          </cell>
          <cell r="AB863" t="e">
            <v>#REF!</v>
          </cell>
          <cell r="AC863" t="e">
            <v>#REF!</v>
          </cell>
          <cell r="AD863" t="e">
            <v>#REF!</v>
          </cell>
          <cell r="AE863" t="e">
            <v>#REF!</v>
          </cell>
          <cell r="AF863" t="e">
            <v>#REF!</v>
          </cell>
          <cell r="AG863" t="e">
            <v>#REF!</v>
          </cell>
          <cell r="AH863" t="e">
            <v>#REF!</v>
          </cell>
          <cell r="AI863" t="e">
            <v>#REF!</v>
          </cell>
          <cell r="AJ863" t="e">
            <v>#REF!</v>
          </cell>
          <cell r="AK863" t="e">
            <v>#REF!</v>
          </cell>
          <cell r="AL863" t="e">
            <v>#REF!</v>
          </cell>
          <cell r="AM863" t="e">
            <v>#REF!</v>
          </cell>
          <cell r="AN863" t="e">
            <v>#REF!</v>
          </cell>
          <cell r="AO863" t="e">
            <v>#REF!</v>
          </cell>
          <cell r="AP863" t="e">
            <v>#REF!</v>
          </cell>
          <cell r="AQ863" t="e">
            <v>#REF!</v>
          </cell>
          <cell r="AR863" t="e">
            <v>#REF!</v>
          </cell>
          <cell r="AS863" t="e">
            <v>#REF!</v>
          </cell>
          <cell r="AT863" t="e">
            <v>#REF!</v>
          </cell>
          <cell r="AU863" t="e">
            <v>#REF!</v>
          </cell>
        </row>
        <row r="864">
          <cell r="A864" t="str">
            <v>S16-0861</v>
          </cell>
          <cell r="C864" t="e">
            <v>#REF!</v>
          </cell>
          <cell r="D864" t="e">
            <v>#REF!</v>
          </cell>
          <cell r="E864" t="e">
            <v>#REF!</v>
          </cell>
          <cell r="F864" t="e">
            <v>#REF!</v>
          </cell>
          <cell r="G864" t="e">
            <v>#REF!</v>
          </cell>
          <cell r="H864" t="e">
            <v>#REF!</v>
          </cell>
          <cell r="I864" t="e">
            <v>#REF!</v>
          </cell>
          <cell r="K864" t="e">
            <v>#REF!</v>
          </cell>
          <cell r="M864" t="e">
            <v>#REF!</v>
          </cell>
          <cell r="N864" t="e">
            <v>#REF!</v>
          </cell>
          <cell r="O864" t="e">
            <v>#REF!</v>
          </cell>
          <cell r="P864" t="e">
            <v>#REF!</v>
          </cell>
          <cell r="Q864" t="e">
            <v>#REF!</v>
          </cell>
          <cell r="S864" t="e">
            <v>#REF!</v>
          </cell>
          <cell r="T864" t="e">
            <v>#REF!</v>
          </cell>
          <cell r="U864" t="e">
            <v>#REF!</v>
          </cell>
          <cell r="AA864" t="e">
            <v>#REF!</v>
          </cell>
          <cell r="AB864" t="e">
            <v>#REF!</v>
          </cell>
          <cell r="AC864" t="e">
            <v>#REF!</v>
          </cell>
          <cell r="AD864" t="e">
            <v>#REF!</v>
          </cell>
          <cell r="AE864" t="e">
            <v>#REF!</v>
          </cell>
          <cell r="AF864" t="e">
            <v>#REF!</v>
          </cell>
          <cell r="AG864" t="e">
            <v>#REF!</v>
          </cell>
          <cell r="AH864" t="e">
            <v>#REF!</v>
          </cell>
          <cell r="AI864" t="e">
            <v>#REF!</v>
          </cell>
          <cell r="AJ864" t="e">
            <v>#REF!</v>
          </cell>
          <cell r="AK864" t="e">
            <v>#REF!</v>
          </cell>
          <cell r="AL864" t="e">
            <v>#REF!</v>
          </cell>
          <cell r="AM864" t="e">
            <v>#REF!</v>
          </cell>
          <cell r="AN864" t="e">
            <v>#REF!</v>
          </cell>
          <cell r="AO864" t="e">
            <v>#REF!</v>
          </cell>
          <cell r="AP864" t="e">
            <v>#REF!</v>
          </cell>
          <cell r="AQ864" t="e">
            <v>#REF!</v>
          </cell>
          <cell r="AR864" t="e">
            <v>#REF!</v>
          </cell>
          <cell r="AS864" t="e">
            <v>#REF!</v>
          </cell>
          <cell r="AT864" t="e">
            <v>#REF!</v>
          </cell>
          <cell r="AU864" t="e">
            <v>#REF!</v>
          </cell>
        </row>
        <row r="865">
          <cell r="A865" t="str">
            <v>S16-0862</v>
          </cell>
          <cell r="C865" t="e">
            <v>#REF!</v>
          </cell>
          <cell r="D865" t="e">
            <v>#REF!</v>
          </cell>
          <cell r="E865" t="e">
            <v>#REF!</v>
          </cell>
          <cell r="F865" t="e">
            <v>#REF!</v>
          </cell>
          <cell r="G865" t="e">
            <v>#REF!</v>
          </cell>
          <cell r="H865" t="e">
            <v>#REF!</v>
          </cell>
          <cell r="I865" t="e">
            <v>#REF!</v>
          </cell>
          <cell r="K865" t="e">
            <v>#REF!</v>
          </cell>
          <cell r="M865" t="e">
            <v>#REF!</v>
          </cell>
          <cell r="N865" t="e">
            <v>#REF!</v>
          </cell>
          <cell r="O865" t="e">
            <v>#REF!</v>
          </cell>
          <cell r="P865" t="e">
            <v>#REF!</v>
          </cell>
          <cell r="Q865" t="e">
            <v>#REF!</v>
          </cell>
          <cell r="S865" t="e">
            <v>#REF!</v>
          </cell>
          <cell r="T865" t="e">
            <v>#REF!</v>
          </cell>
          <cell r="U865" t="e">
            <v>#REF!</v>
          </cell>
          <cell r="AA865" t="e">
            <v>#REF!</v>
          </cell>
          <cell r="AB865" t="e">
            <v>#REF!</v>
          </cell>
          <cell r="AC865" t="e">
            <v>#REF!</v>
          </cell>
          <cell r="AD865" t="e">
            <v>#REF!</v>
          </cell>
          <cell r="AE865" t="e">
            <v>#REF!</v>
          </cell>
          <cell r="AF865" t="e">
            <v>#REF!</v>
          </cell>
          <cell r="AG865" t="e">
            <v>#REF!</v>
          </cell>
          <cell r="AH865" t="e">
            <v>#REF!</v>
          </cell>
          <cell r="AI865" t="e">
            <v>#REF!</v>
          </cell>
          <cell r="AJ865" t="e">
            <v>#REF!</v>
          </cell>
          <cell r="AK865" t="e">
            <v>#REF!</v>
          </cell>
          <cell r="AL865" t="e">
            <v>#REF!</v>
          </cell>
          <cell r="AM865" t="e">
            <v>#REF!</v>
          </cell>
          <cell r="AN865" t="e">
            <v>#REF!</v>
          </cell>
          <cell r="AO865" t="e">
            <v>#REF!</v>
          </cell>
          <cell r="AP865" t="e">
            <v>#REF!</v>
          </cell>
          <cell r="AQ865" t="e">
            <v>#REF!</v>
          </cell>
          <cell r="AR865" t="e">
            <v>#REF!</v>
          </cell>
          <cell r="AS865" t="e">
            <v>#REF!</v>
          </cell>
          <cell r="AT865" t="e">
            <v>#REF!</v>
          </cell>
          <cell r="AU865" t="e">
            <v>#REF!</v>
          </cell>
        </row>
        <row r="866">
          <cell r="A866" t="str">
            <v>S16-0863</v>
          </cell>
          <cell r="C866" t="e">
            <v>#REF!</v>
          </cell>
          <cell r="D866" t="e">
            <v>#REF!</v>
          </cell>
          <cell r="E866" t="e">
            <v>#REF!</v>
          </cell>
          <cell r="F866" t="e">
            <v>#REF!</v>
          </cell>
          <cell r="G866" t="e">
            <v>#REF!</v>
          </cell>
          <cell r="H866" t="e">
            <v>#REF!</v>
          </cell>
          <cell r="I866" t="e">
            <v>#REF!</v>
          </cell>
          <cell r="K866" t="e">
            <v>#REF!</v>
          </cell>
          <cell r="M866" t="e">
            <v>#REF!</v>
          </cell>
          <cell r="N866" t="e">
            <v>#REF!</v>
          </cell>
          <cell r="O866" t="e">
            <v>#REF!</v>
          </cell>
          <cell r="P866" t="e">
            <v>#REF!</v>
          </cell>
          <cell r="Q866" t="e">
            <v>#REF!</v>
          </cell>
          <cell r="S866" t="e">
            <v>#REF!</v>
          </cell>
          <cell r="T866" t="e">
            <v>#REF!</v>
          </cell>
          <cell r="U866" t="e">
            <v>#REF!</v>
          </cell>
          <cell r="AA866" t="e">
            <v>#REF!</v>
          </cell>
          <cell r="AB866" t="e">
            <v>#REF!</v>
          </cell>
          <cell r="AC866" t="e">
            <v>#REF!</v>
          </cell>
          <cell r="AD866" t="e">
            <v>#REF!</v>
          </cell>
          <cell r="AE866" t="e">
            <v>#REF!</v>
          </cell>
          <cell r="AF866" t="e">
            <v>#REF!</v>
          </cell>
          <cell r="AG866" t="e">
            <v>#REF!</v>
          </cell>
          <cell r="AH866" t="e">
            <v>#REF!</v>
          </cell>
          <cell r="AI866" t="e">
            <v>#REF!</v>
          </cell>
          <cell r="AJ866" t="e">
            <v>#REF!</v>
          </cell>
          <cell r="AK866" t="e">
            <v>#REF!</v>
          </cell>
          <cell r="AL866" t="e">
            <v>#REF!</v>
          </cell>
          <cell r="AM866" t="e">
            <v>#REF!</v>
          </cell>
          <cell r="AN866" t="e">
            <v>#REF!</v>
          </cell>
          <cell r="AO866" t="e">
            <v>#REF!</v>
          </cell>
          <cell r="AP866" t="e">
            <v>#REF!</v>
          </cell>
          <cell r="AQ866" t="e">
            <v>#REF!</v>
          </cell>
          <cell r="AR866" t="e">
            <v>#REF!</v>
          </cell>
          <cell r="AS866" t="e">
            <v>#REF!</v>
          </cell>
          <cell r="AT866" t="e">
            <v>#REF!</v>
          </cell>
          <cell r="AU866" t="e">
            <v>#REF!</v>
          </cell>
        </row>
        <row r="867">
          <cell r="A867" t="str">
            <v>S16-0864</v>
          </cell>
          <cell r="C867" t="e">
            <v>#REF!</v>
          </cell>
          <cell r="D867" t="e">
            <v>#REF!</v>
          </cell>
          <cell r="E867" t="e">
            <v>#REF!</v>
          </cell>
          <cell r="F867" t="e">
            <v>#REF!</v>
          </cell>
          <cell r="G867" t="e">
            <v>#REF!</v>
          </cell>
          <cell r="H867" t="e">
            <v>#REF!</v>
          </cell>
          <cell r="I867" t="e">
            <v>#REF!</v>
          </cell>
          <cell r="K867" t="e">
            <v>#REF!</v>
          </cell>
          <cell r="M867" t="e">
            <v>#REF!</v>
          </cell>
          <cell r="N867" t="e">
            <v>#REF!</v>
          </cell>
          <cell r="O867" t="e">
            <v>#REF!</v>
          </cell>
          <cell r="P867" t="e">
            <v>#REF!</v>
          </cell>
          <cell r="Q867" t="e">
            <v>#REF!</v>
          </cell>
          <cell r="S867" t="e">
            <v>#REF!</v>
          </cell>
          <cell r="T867" t="e">
            <v>#REF!</v>
          </cell>
          <cell r="U867" t="e">
            <v>#REF!</v>
          </cell>
          <cell r="AA867" t="e">
            <v>#REF!</v>
          </cell>
          <cell r="AB867" t="e">
            <v>#REF!</v>
          </cell>
          <cell r="AC867" t="e">
            <v>#REF!</v>
          </cell>
          <cell r="AD867" t="e">
            <v>#REF!</v>
          </cell>
          <cell r="AE867" t="e">
            <v>#REF!</v>
          </cell>
          <cell r="AF867" t="e">
            <v>#REF!</v>
          </cell>
          <cell r="AG867" t="e">
            <v>#REF!</v>
          </cell>
          <cell r="AH867" t="e">
            <v>#REF!</v>
          </cell>
          <cell r="AI867" t="e">
            <v>#REF!</v>
          </cell>
          <cell r="AJ867" t="e">
            <v>#REF!</v>
          </cell>
          <cell r="AK867" t="e">
            <v>#REF!</v>
          </cell>
          <cell r="AL867" t="e">
            <v>#REF!</v>
          </cell>
          <cell r="AM867" t="e">
            <v>#REF!</v>
          </cell>
          <cell r="AN867" t="e">
            <v>#REF!</v>
          </cell>
          <cell r="AO867" t="e">
            <v>#REF!</v>
          </cell>
          <cell r="AP867" t="e">
            <v>#REF!</v>
          </cell>
          <cell r="AQ867" t="e">
            <v>#REF!</v>
          </cell>
          <cell r="AR867" t="e">
            <v>#REF!</v>
          </cell>
          <cell r="AS867" t="e">
            <v>#REF!</v>
          </cell>
          <cell r="AT867" t="e">
            <v>#REF!</v>
          </cell>
          <cell r="AU867" t="e">
            <v>#REF!</v>
          </cell>
        </row>
      </sheetData>
      <sheetData sheetId="1"/>
      <sheetData sheetId="2"/>
      <sheetData sheetId="3"/>
      <sheetData sheetId="4"/>
      <sheetData sheetId="5"/>
      <sheetData sheetId="6"/>
      <sheetData sheetId="7"/>
      <sheetData sheetId="8"/>
      <sheetData sheetId="9"/>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vmlDrawing" Target="../drawings/vmlDrawing7.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6:D12"/>
  <sheetViews>
    <sheetView workbookViewId="0">
      <selection activeCell="D20" sqref="D20"/>
    </sheetView>
  </sheetViews>
  <sheetFormatPr defaultRowHeight="13.5" x14ac:dyDescent="0.15"/>
  <sheetData>
    <row r="6" spans="1:4" x14ac:dyDescent="0.15">
      <c r="A6" t="s">
        <v>8</v>
      </c>
      <c r="C6" t="s">
        <v>8060</v>
      </c>
      <c r="D6" t="s">
        <v>8061</v>
      </c>
    </row>
    <row r="7" spans="1:4" x14ac:dyDescent="0.15">
      <c r="A7" t="s">
        <v>10</v>
      </c>
      <c r="C7" t="s">
        <v>8062</v>
      </c>
      <c r="D7" t="s">
        <v>8063</v>
      </c>
    </row>
    <row r="8" spans="1:4" x14ac:dyDescent="0.15">
      <c r="A8" t="s">
        <v>11</v>
      </c>
    </row>
    <row r="9" spans="1:4" x14ac:dyDescent="0.15">
      <c r="A9" t="s">
        <v>13</v>
      </c>
    </row>
    <row r="10" spans="1:4" x14ac:dyDescent="0.15">
      <c r="A10" t="s">
        <v>15</v>
      </c>
    </row>
    <row r="11" spans="1:4" x14ac:dyDescent="0.15">
      <c r="A11" t="s">
        <v>17</v>
      </c>
    </row>
    <row r="12" spans="1:4" x14ac:dyDescent="0.15">
      <c r="A12" t="s">
        <v>18</v>
      </c>
    </row>
  </sheetData>
  <phoneticPr fontId="53"/>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Z875"/>
  <sheetViews>
    <sheetView tabSelected="1" workbookViewId="0">
      <selection activeCell="B3" sqref="B3"/>
    </sheetView>
  </sheetViews>
  <sheetFormatPr defaultRowHeight="16.5" customHeight="1" x14ac:dyDescent="0.15"/>
  <cols>
    <col min="1" max="1" width="9" style="49"/>
    <col min="2" max="2" width="35" style="49" customWidth="1"/>
    <col min="3" max="3" width="11.25" style="50" bestFit="1" customWidth="1"/>
    <col min="4" max="4" width="12" style="50" customWidth="1"/>
    <col min="5" max="5" width="8.25" style="49" customWidth="1"/>
    <col min="6" max="6" width="10" style="52" customWidth="1"/>
    <col min="7" max="7" width="9.875" style="51" customWidth="1"/>
    <col min="8" max="9" width="9.75" style="49" customWidth="1"/>
    <col min="10" max="10" width="9" style="49" customWidth="1"/>
    <col min="11" max="11" width="9" style="51"/>
    <col min="12" max="12" width="5.625" style="51" customWidth="1"/>
    <col min="13" max="13" width="9.25" style="51" customWidth="1"/>
    <col min="14" max="15" width="9" style="50"/>
    <col min="16" max="16" width="38.875" style="50" customWidth="1"/>
    <col min="17" max="17" width="7.75" style="50" customWidth="1"/>
    <col min="18" max="18" width="23.625" style="50" customWidth="1"/>
    <col min="19" max="20" width="11.875" style="50" customWidth="1"/>
    <col min="21" max="21" width="25.875" style="50" customWidth="1"/>
    <col min="22" max="22" width="9.25" style="50" customWidth="1"/>
    <col min="23" max="23" width="9.375" style="50" customWidth="1"/>
    <col min="24" max="24" width="11.5" style="50" customWidth="1"/>
    <col min="25" max="25" width="21.625" style="50" bestFit="1" customWidth="1"/>
    <col min="26" max="26" width="9" style="50"/>
    <col min="27" max="36" width="6.625" style="49" customWidth="1"/>
    <col min="37" max="37" width="9" style="49"/>
    <col min="38" max="38" width="9" style="49" customWidth="1"/>
    <col min="39" max="45" width="9" style="49"/>
    <col min="46" max="46" width="10.125" style="49" customWidth="1"/>
    <col min="47" max="47" width="10.25" style="50" bestFit="1" customWidth="1"/>
    <col min="48" max="48" width="25.375" style="50" customWidth="1"/>
    <col min="49" max="49" width="25.125" style="50" bestFit="1" customWidth="1"/>
    <col min="50" max="51" width="20" style="50" customWidth="1"/>
    <col min="52" max="257" width="9" style="49"/>
    <col min="258" max="258" width="35" style="49" customWidth="1"/>
    <col min="259" max="259" width="11.25" style="49" bestFit="1" customWidth="1"/>
    <col min="260" max="260" width="12" style="49" customWidth="1"/>
    <col min="261" max="261" width="8.25" style="49" customWidth="1"/>
    <col min="262" max="262" width="10" style="49" customWidth="1"/>
    <col min="263" max="263" width="9.875" style="49" customWidth="1"/>
    <col min="264" max="265" width="9.75" style="49" customWidth="1"/>
    <col min="266" max="266" width="9" style="49" customWidth="1"/>
    <col min="267" max="267" width="9" style="49"/>
    <col min="268" max="268" width="5.625" style="49" customWidth="1"/>
    <col min="269" max="269" width="9.25" style="49" customWidth="1"/>
    <col min="270" max="271" width="9" style="49"/>
    <col min="272" max="272" width="38.875" style="49" customWidth="1"/>
    <col min="273" max="273" width="7.75" style="49" customWidth="1"/>
    <col min="274" max="274" width="23.625" style="49" customWidth="1"/>
    <col min="275" max="276" width="11.875" style="49" customWidth="1"/>
    <col min="277" max="277" width="25.875" style="49" customWidth="1"/>
    <col min="278" max="278" width="9.25" style="49" customWidth="1"/>
    <col min="279" max="279" width="9.375" style="49" customWidth="1"/>
    <col min="280" max="280" width="11.5" style="49" customWidth="1"/>
    <col min="281" max="281" width="21.625" style="49" bestFit="1" customWidth="1"/>
    <col min="282" max="282" width="9" style="49"/>
    <col min="283" max="292" width="6.625" style="49" customWidth="1"/>
    <col min="293" max="293" width="9" style="49"/>
    <col min="294" max="294" width="9" style="49" customWidth="1"/>
    <col min="295" max="301" width="9" style="49"/>
    <col min="302" max="302" width="10.125" style="49" customWidth="1"/>
    <col min="303" max="303" width="10.25" style="49" bestFit="1" customWidth="1"/>
    <col min="304" max="304" width="25.375" style="49" customWidth="1"/>
    <col min="305" max="305" width="25.125" style="49" bestFit="1" customWidth="1"/>
    <col min="306" max="307" width="20" style="49" customWidth="1"/>
    <col min="308" max="513" width="9" style="49"/>
    <col min="514" max="514" width="35" style="49" customWidth="1"/>
    <col min="515" max="515" width="11.25" style="49" bestFit="1" customWidth="1"/>
    <col min="516" max="516" width="12" style="49" customWidth="1"/>
    <col min="517" max="517" width="8.25" style="49" customWidth="1"/>
    <col min="518" max="518" width="10" style="49" customWidth="1"/>
    <col min="519" max="519" width="9.875" style="49" customWidth="1"/>
    <col min="520" max="521" width="9.75" style="49" customWidth="1"/>
    <col min="522" max="522" width="9" style="49" customWidth="1"/>
    <col min="523" max="523" width="9" style="49"/>
    <col min="524" max="524" width="5.625" style="49" customWidth="1"/>
    <col min="525" max="525" width="9.25" style="49" customWidth="1"/>
    <col min="526" max="527" width="9" style="49"/>
    <col min="528" max="528" width="38.875" style="49" customWidth="1"/>
    <col min="529" max="529" width="7.75" style="49" customWidth="1"/>
    <col min="530" max="530" width="23.625" style="49" customWidth="1"/>
    <col min="531" max="532" width="11.875" style="49" customWidth="1"/>
    <col min="533" max="533" width="25.875" style="49" customWidth="1"/>
    <col min="534" max="534" width="9.25" style="49" customWidth="1"/>
    <col min="535" max="535" width="9.375" style="49" customWidth="1"/>
    <col min="536" max="536" width="11.5" style="49" customWidth="1"/>
    <col min="537" max="537" width="21.625" style="49" bestFit="1" customWidth="1"/>
    <col min="538" max="538" width="9" style="49"/>
    <col min="539" max="548" width="6.625" style="49" customWidth="1"/>
    <col min="549" max="549" width="9" style="49"/>
    <col min="550" max="550" width="9" style="49" customWidth="1"/>
    <col min="551" max="557" width="9" style="49"/>
    <col min="558" max="558" width="10.125" style="49" customWidth="1"/>
    <col min="559" max="559" width="10.25" style="49" bestFit="1" customWidth="1"/>
    <col min="560" max="560" width="25.375" style="49" customWidth="1"/>
    <col min="561" max="561" width="25.125" style="49" bestFit="1" customWidth="1"/>
    <col min="562" max="563" width="20" style="49" customWidth="1"/>
    <col min="564" max="769" width="9" style="49"/>
    <col min="770" max="770" width="35" style="49" customWidth="1"/>
    <col min="771" max="771" width="11.25" style="49" bestFit="1" customWidth="1"/>
    <col min="772" max="772" width="12" style="49" customWidth="1"/>
    <col min="773" max="773" width="8.25" style="49" customWidth="1"/>
    <col min="774" max="774" width="10" style="49" customWidth="1"/>
    <col min="775" max="775" width="9.875" style="49" customWidth="1"/>
    <col min="776" max="777" width="9.75" style="49" customWidth="1"/>
    <col min="778" max="778" width="9" style="49" customWidth="1"/>
    <col min="779" max="779" width="9" style="49"/>
    <col min="780" max="780" width="5.625" style="49" customWidth="1"/>
    <col min="781" max="781" width="9.25" style="49" customWidth="1"/>
    <col min="782" max="783" width="9" style="49"/>
    <col min="784" max="784" width="38.875" style="49" customWidth="1"/>
    <col min="785" max="785" width="7.75" style="49" customWidth="1"/>
    <col min="786" max="786" width="23.625" style="49" customWidth="1"/>
    <col min="787" max="788" width="11.875" style="49" customWidth="1"/>
    <col min="789" max="789" width="25.875" style="49" customWidth="1"/>
    <col min="790" max="790" width="9.25" style="49" customWidth="1"/>
    <col min="791" max="791" width="9.375" style="49" customWidth="1"/>
    <col min="792" max="792" width="11.5" style="49" customWidth="1"/>
    <col min="793" max="793" width="21.625" style="49" bestFit="1" customWidth="1"/>
    <col min="794" max="794" width="9" style="49"/>
    <col min="795" max="804" width="6.625" style="49" customWidth="1"/>
    <col min="805" max="805" width="9" style="49"/>
    <col min="806" max="806" width="9" style="49" customWidth="1"/>
    <col min="807" max="813" width="9" style="49"/>
    <col min="814" max="814" width="10.125" style="49" customWidth="1"/>
    <col min="815" max="815" width="10.25" style="49" bestFit="1" customWidth="1"/>
    <col min="816" max="816" width="25.375" style="49" customWidth="1"/>
    <col min="817" max="817" width="25.125" style="49" bestFit="1" customWidth="1"/>
    <col min="818" max="819" width="20" style="49" customWidth="1"/>
    <col min="820" max="1025" width="9" style="49"/>
    <col min="1026" max="1026" width="35" style="49" customWidth="1"/>
    <col min="1027" max="1027" width="11.25" style="49" bestFit="1" customWidth="1"/>
    <col min="1028" max="1028" width="12" style="49" customWidth="1"/>
    <col min="1029" max="1029" width="8.25" style="49" customWidth="1"/>
    <col min="1030" max="1030" width="10" style="49" customWidth="1"/>
    <col min="1031" max="1031" width="9.875" style="49" customWidth="1"/>
    <col min="1032" max="1033" width="9.75" style="49" customWidth="1"/>
    <col min="1034" max="1034" width="9" style="49" customWidth="1"/>
    <col min="1035" max="1035" width="9" style="49"/>
    <col min="1036" max="1036" width="5.625" style="49" customWidth="1"/>
    <col min="1037" max="1037" width="9.25" style="49" customWidth="1"/>
    <col min="1038" max="1039" width="9" style="49"/>
    <col min="1040" max="1040" width="38.875" style="49" customWidth="1"/>
    <col min="1041" max="1041" width="7.75" style="49" customWidth="1"/>
    <col min="1042" max="1042" width="23.625" style="49" customWidth="1"/>
    <col min="1043" max="1044" width="11.875" style="49" customWidth="1"/>
    <col min="1045" max="1045" width="25.875" style="49" customWidth="1"/>
    <col min="1046" max="1046" width="9.25" style="49" customWidth="1"/>
    <col min="1047" max="1047" width="9.375" style="49" customWidth="1"/>
    <col min="1048" max="1048" width="11.5" style="49" customWidth="1"/>
    <col min="1049" max="1049" width="21.625" style="49" bestFit="1" customWidth="1"/>
    <col min="1050" max="1050" width="9" style="49"/>
    <col min="1051" max="1060" width="6.625" style="49" customWidth="1"/>
    <col min="1061" max="1061" width="9" style="49"/>
    <col min="1062" max="1062" width="9" style="49" customWidth="1"/>
    <col min="1063" max="1069" width="9" style="49"/>
    <col min="1070" max="1070" width="10.125" style="49" customWidth="1"/>
    <col min="1071" max="1071" width="10.25" style="49" bestFit="1" customWidth="1"/>
    <col min="1072" max="1072" width="25.375" style="49" customWidth="1"/>
    <col min="1073" max="1073" width="25.125" style="49" bestFit="1" customWidth="1"/>
    <col min="1074" max="1075" width="20" style="49" customWidth="1"/>
    <col min="1076" max="1281" width="9" style="49"/>
    <col min="1282" max="1282" width="35" style="49" customWidth="1"/>
    <col min="1283" max="1283" width="11.25" style="49" bestFit="1" customWidth="1"/>
    <col min="1284" max="1284" width="12" style="49" customWidth="1"/>
    <col min="1285" max="1285" width="8.25" style="49" customWidth="1"/>
    <col min="1286" max="1286" width="10" style="49" customWidth="1"/>
    <col min="1287" max="1287" width="9.875" style="49" customWidth="1"/>
    <col min="1288" max="1289" width="9.75" style="49" customWidth="1"/>
    <col min="1290" max="1290" width="9" style="49" customWidth="1"/>
    <col min="1291" max="1291" width="9" style="49"/>
    <col min="1292" max="1292" width="5.625" style="49" customWidth="1"/>
    <col min="1293" max="1293" width="9.25" style="49" customWidth="1"/>
    <col min="1294" max="1295" width="9" style="49"/>
    <col min="1296" max="1296" width="38.875" style="49" customWidth="1"/>
    <col min="1297" max="1297" width="7.75" style="49" customWidth="1"/>
    <col min="1298" max="1298" width="23.625" style="49" customWidth="1"/>
    <col min="1299" max="1300" width="11.875" style="49" customWidth="1"/>
    <col min="1301" max="1301" width="25.875" style="49" customWidth="1"/>
    <col min="1302" max="1302" width="9.25" style="49" customWidth="1"/>
    <col min="1303" max="1303" width="9.375" style="49" customWidth="1"/>
    <col min="1304" max="1304" width="11.5" style="49" customWidth="1"/>
    <col min="1305" max="1305" width="21.625" style="49" bestFit="1" customWidth="1"/>
    <col min="1306" max="1306" width="9" style="49"/>
    <col min="1307" max="1316" width="6.625" style="49" customWidth="1"/>
    <col min="1317" max="1317" width="9" style="49"/>
    <col min="1318" max="1318" width="9" style="49" customWidth="1"/>
    <col min="1319" max="1325" width="9" style="49"/>
    <col min="1326" max="1326" width="10.125" style="49" customWidth="1"/>
    <col min="1327" max="1327" width="10.25" style="49" bestFit="1" customWidth="1"/>
    <col min="1328" max="1328" width="25.375" style="49" customWidth="1"/>
    <col min="1329" max="1329" width="25.125" style="49" bestFit="1" customWidth="1"/>
    <col min="1330" max="1331" width="20" style="49" customWidth="1"/>
    <col min="1332" max="1537" width="9" style="49"/>
    <col min="1538" max="1538" width="35" style="49" customWidth="1"/>
    <col min="1539" max="1539" width="11.25" style="49" bestFit="1" customWidth="1"/>
    <col min="1540" max="1540" width="12" style="49" customWidth="1"/>
    <col min="1541" max="1541" width="8.25" style="49" customWidth="1"/>
    <col min="1542" max="1542" width="10" style="49" customWidth="1"/>
    <col min="1543" max="1543" width="9.875" style="49" customWidth="1"/>
    <col min="1544" max="1545" width="9.75" style="49" customWidth="1"/>
    <col min="1546" max="1546" width="9" style="49" customWidth="1"/>
    <col min="1547" max="1547" width="9" style="49"/>
    <col min="1548" max="1548" width="5.625" style="49" customWidth="1"/>
    <col min="1549" max="1549" width="9.25" style="49" customWidth="1"/>
    <col min="1550" max="1551" width="9" style="49"/>
    <col min="1552" max="1552" width="38.875" style="49" customWidth="1"/>
    <col min="1553" max="1553" width="7.75" style="49" customWidth="1"/>
    <col min="1554" max="1554" width="23.625" style="49" customWidth="1"/>
    <col min="1555" max="1556" width="11.875" style="49" customWidth="1"/>
    <col min="1557" max="1557" width="25.875" style="49" customWidth="1"/>
    <col min="1558" max="1558" width="9.25" style="49" customWidth="1"/>
    <col min="1559" max="1559" width="9.375" style="49" customWidth="1"/>
    <col min="1560" max="1560" width="11.5" style="49" customWidth="1"/>
    <col min="1561" max="1561" width="21.625" style="49" bestFit="1" customWidth="1"/>
    <col min="1562" max="1562" width="9" style="49"/>
    <col min="1563" max="1572" width="6.625" style="49" customWidth="1"/>
    <col min="1573" max="1573" width="9" style="49"/>
    <col min="1574" max="1574" width="9" style="49" customWidth="1"/>
    <col min="1575" max="1581" width="9" style="49"/>
    <col min="1582" max="1582" width="10.125" style="49" customWidth="1"/>
    <col min="1583" max="1583" width="10.25" style="49" bestFit="1" customWidth="1"/>
    <col min="1584" max="1584" width="25.375" style="49" customWidth="1"/>
    <col min="1585" max="1585" width="25.125" style="49" bestFit="1" customWidth="1"/>
    <col min="1586" max="1587" width="20" style="49" customWidth="1"/>
    <col min="1588" max="1793" width="9" style="49"/>
    <col min="1794" max="1794" width="35" style="49" customWidth="1"/>
    <col min="1795" max="1795" width="11.25" style="49" bestFit="1" customWidth="1"/>
    <col min="1796" max="1796" width="12" style="49" customWidth="1"/>
    <col min="1797" max="1797" width="8.25" style="49" customWidth="1"/>
    <col min="1798" max="1798" width="10" style="49" customWidth="1"/>
    <col min="1799" max="1799" width="9.875" style="49" customWidth="1"/>
    <col min="1800" max="1801" width="9.75" style="49" customWidth="1"/>
    <col min="1802" max="1802" width="9" style="49" customWidth="1"/>
    <col min="1803" max="1803" width="9" style="49"/>
    <col min="1804" max="1804" width="5.625" style="49" customWidth="1"/>
    <col min="1805" max="1805" width="9.25" style="49" customWidth="1"/>
    <col min="1806" max="1807" width="9" style="49"/>
    <col min="1808" max="1808" width="38.875" style="49" customWidth="1"/>
    <col min="1809" max="1809" width="7.75" style="49" customWidth="1"/>
    <col min="1810" max="1810" width="23.625" style="49" customWidth="1"/>
    <col min="1811" max="1812" width="11.875" style="49" customWidth="1"/>
    <col min="1813" max="1813" width="25.875" style="49" customWidth="1"/>
    <col min="1814" max="1814" width="9.25" style="49" customWidth="1"/>
    <col min="1815" max="1815" width="9.375" style="49" customWidth="1"/>
    <col min="1816" max="1816" width="11.5" style="49" customWidth="1"/>
    <col min="1817" max="1817" width="21.625" style="49" bestFit="1" customWidth="1"/>
    <col min="1818" max="1818" width="9" style="49"/>
    <col min="1819" max="1828" width="6.625" style="49" customWidth="1"/>
    <col min="1829" max="1829" width="9" style="49"/>
    <col min="1830" max="1830" width="9" style="49" customWidth="1"/>
    <col min="1831" max="1837" width="9" style="49"/>
    <col min="1838" max="1838" width="10.125" style="49" customWidth="1"/>
    <col min="1839" max="1839" width="10.25" style="49" bestFit="1" customWidth="1"/>
    <col min="1840" max="1840" width="25.375" style="49" customWidth="1"/>
    <col min="1841" max="1841" width="25.125" style="49" bestFit="1" customWidth="1"/>
    <col min="1842" max="1843" width="20" style="49" customWidth="1"/>
    <col min="1844" max="2049" width="9" style="49"/>
    <col min="2050" max="2050" width="35" style="49" customWidth="1"/>
    <col min="2051" max="2051" width="11.25" style="49" bestFit="1" customWidth="1"/>
    <col min="2052" max="2052" width="12" style="49" customWidth="1"/>
    <col min="2053" max="2053" width="8.25" style="49" customWidth="1"/>
    <col min="2054" max="2054" width="10" style="49" customWidth="1"/>
    <col min="2055" max="2055" width="9.875" style="49" customWidth="1"/>
    <col min="2056" max="2057" width="9.75" style="49" customWidth="1"/>
    <col min="2058" max="2058" width="9" style="49" customWidth="1"/>
    <col min="2059" max="2059" width="9" style="49"/>
    <col min="2060" max="2060" width="5.625" style="49" customWidth="1"/>
    <col min="2061" max="2061" width="9.25" style="49" customWidth="1"/>
    <col min="2062" max="2063" width="9" style="49"/>
    <col min="2064" max="2064" width="38.875" style="49" customWidth="1"/>
    <col min="2065" max="2065" width="7.75" style="49" customWidth="1"/>
    <col min="2066" max="2066" width="23.625" style="49" customWidth="1"/>
    <col min="2067" max="2068" width="11.875" style="49" customWidth="1"/>
    <col min="2069" max="2069" width="25.875" style="49" customWidth="1"/>
    <col min="2070" max="2070" width="9.25" style="49" customWidth="1"/>
    <col min="2071" max="2071" width="9.375" style="49" customWidth="1"/>
    <col min="2072" max="2072" width="11.5" style="49" customWidth="1"/>
    <col min="2073" max="2073" width="21.625" style="49" bestFit="1" customWidth="1"/>
    <col min="2074" max="2074" width="9" style="49"/>
    <col min="2075" max="2084" width="6.625" style="49" customWidth="1"/>
    <col min="2085" max="2085" width="9" style="49"/>
    <col min="2086" max="2086" width="9" style="49" customWidth="1"/>
    <col min="2087" max="2093" width="9" style="49"/>
    <col min="2094" max="2094" width="10.125" style="49" customWidth="1"/>
    <col min="2095" max="2095" width="10.25" style="49" bestFit="1" customWidth="1"/>
    <col min="2096" max="2096" width="25.375" style="49" customWidth="1"/>
    <col min="2097" max="2097" width="25.125" style="49" bestFit="1" customWidth="1"/>
    <col min="2098" max="2099" width="20" style="49" customWidth="1"/>
    <col min="2100" max="2305" width="9" style="49"/>
    <col min="2306" max="2306" width="35" style="49" customWidth="1"/>
    <col min="2307" max="2307" width="11.25" style="49" bestFit="1" customWidth="1"/>
    <col min="2308" max="2308" width="12" style="49" customWidth="1"/>
    <col min="2309" max="2309" width="8.25" style="49" customWidth="1"/>
    <col min="2310" max="2310" width="10" style="49" customWidth="1"/>
    <col min="2311" max="2311" width="9.875" style="49" customWidth="1"/>
    <col min="2312" max="2313" width="9.75" style="49" customWidth="1"/>
    <col min="2314" max="2314" width="9" style="49" customWidth="1"/>
    <col min="2315" max="2315" width="9" style="49"/>
    <col min="2316" max="2316" width="5.625" style="49" customWidth="1"/>
    <col min="2317" max="2317" width="9.25" style="49" customWidth="1"/>
    <col min="2318" max="2319" width="9" style="49"/>
    <col min="2320" max="2320" width="38.875" style="49" customWidth="1"/>
    <col min="2321" max="2321" width="7.75" style="49" customWidth="1"/>
    <col min="2322" max="2322" width="23.625" style="49" customWidth="1"/>
    <col min="2323" max="2324" width="11.875" style="49" customWidth="1"/>
    <col min="2325" max="2325" width="25.875" style="49" customWidth="1"/>
    <col min="2326" max="2326" width="9.25" style="49" customWidth="1"/>
    <col min="2327" max="2327" width="9.375" style="49" customWidth="1"/>
    <col min="2328" max="2328" width="11.5" style="49" customWidth="1"/>
    <col min="2329" max="2329" width="21.625" style="49" bestFit="1" customWidth="1"/>
    <col min="2330" max="2330" width="9" style="49"/>
    <col min="2331" max="2340" width="6.625" style="49" customWidth="1"/>
    <col min="2341" max="2341" width="9" style="49"/>
    <col min="2342" max="2342" width="9" style="49" customWidth="1"/>
    <col min="2343" max="2349" width="9" style="49"/>
    <col min="2350" max="2350" width="10.125" style="49" customWidth="1"/>
    <col min="2351" max="2351" width="10.25" style="49" bestFit="1" customWidth="1"/>
    <col min="2352" max="2352" width="25.375" style="49" customWidth="1"/>
    <col min="2353" max="2353" width="25.125" style="49" bestFit="1" customWidth="1"/>
    <col min="2354" max="2355" width="20" style="49" customWidth="1"/>
    <col min="2356" max="2561" width="9" style="49"/>
    <col min="2562" max="2562" width="35" style="49" customWidth="1"/>
    <col min="2563" max="2563" width="11.25" style="49" bestFit="1" customWidth="1"/>
    <col min="2564" max="2564" width="12" style="49" customWidth="1"/>
    <col min="2565" max="2565" width="8.25" style="49" customWidth="1"/>
    <col min="2566" max="2566" width="10" style="49" customWidth="1"/>
    <col min="2567" max="2567" width="9.875" style="49" customWidth="1"/>
    <col min="2568" max="2569" width="9.75" style="49" customWidth="1"/>
    <col min="2570" max="2570" width="9" style="49" customWidth="1"/>
    <col min="2571" max="2571" width="9" style="49"/>
    <col min="2572" max="2572" width="5.625" style="49" customWidth="1"/>
    <col min="2573" max="2573" width="9.25" style="49" customWidth="1"/>
    <col min="2574" max="2575" width="9" style="49"/>
    <col min="2576" max="2576" width="38.875" style="49" customWidth="1"/>
    <col min="2577" max="2577" width="7.75" style="49" customWidth="1"/>
    <col min="2578" max="2578" width="23.625" style="49" customWidth="1"/>
    <col min="2579" max="2580" width="11.875" style="49" customWidth="1"/>
    <col min="2581" max="2581" width="25.875" style="49" customWidth="1"/>
    <col min="2582" max="2582" width="9.25" style="49" customWidth="1"/>
    <col min="2583" max="2583" width="9.375" style="49" customWidth="1"/>
    <col min="2584" max="2584" width="11.5" style="49" customWidth="1"/>
    <col min="2585" max="2585" width="21.625" style="49" bestFit="1" customWidth="1"/>
    <col min="2586" max="2586" width="9" style="49"/>
    <col min="2587" max="2596" width="6.625" style="49" customWidth="1"/>
    <col min="2597" max="2597" width="9" style="49"/>
    <col min="2598" max="2598" width="9" style="49" customWidth="1"/>
    <col min="2599" max="2605" width="9" style="49"/>
    <col min="2606" max="2606" width="10.125" style="49" customWidth="1"/>
    <col min="2607" max="2607" width="10.25" style="49" bestFit="1" customWidth="1"/>
    <col min="2608" max="2608" width="25.375" style="49" customWidth="1"/>
    <col min="2609" max="2609" width="25.125" style="49" bestFit="1" customWidth="1"/>
    <col min="2610" max="2611" width="20" style="49" customWidth="1"/>
    <col min="2612" max="2817" width="9" style="49"/>
    <col min="2818" max="2818" width="35" style="49" customWidth="1"/>
    <col min="2819" max="2819" width="11.25" style="49" bestFit="1" customWidth="1"/>
    <col min="2820" max="2820" width="12" style="49" customWidth="1"/>
    <col min="2821" max="2821" width="8.25" style="49" customWidth="1"/>
    <col min="2822" max="2822" width="10" style="49" customWidth="1"/>
    <col min="2823" max="2823" width="9.875" style="49" customWidth="1"/>
    <col min="2824" max="2825" width="9.75" style="49" customWidth="1"/>
    <col min="2826" max="2826" width="9" style="49" customWidth="1"/>
    <col min="2827" max="2827" width="9" style="49"/>
    <col min="2828" max="2828" width="5.625" style="49" customWidth="1"/>
    <col min="2829" max="2829" width="9.25" style="49" customWidth="1"/>
    <col min="2830" max="2831" width="9" style="49"/>
    <col min="2832" max="2832" width="38.875" style="49" customWidth="1"/>
    <col min="2833" max="2833" width="7.75" style="49" customWidth="1"/>
    <col min="2834" max="2834" width="23.625" style="49" customWidth="1"/>
    <col min="2835" max="2836" width="11.875" style="49" customWidth="1"/>
    <col min="2837" max="2837" width="25.875" style="49" customWidth="1"/>
    <col min="2838" max="2838" width="9.25" style="49" customWidth="1"/>
    <col min="2839" max="2839" width="9.375" style="49" customWidth="1"/>
    <col min="2840" max="2840" width="11.5" style="49" customWidth="1"/>
    <col min="2841" max="2841" width="21.625" style="49" bestFit="1" customWidth="1"/>
    <col min="2842" max="2842" width="9" style="49"/>
    <col min="2843" max="2852" width="6.625" style="49" customWidth="1"/>
    <col min="2853" max="2853" width="9" style="49"/>
    <col min="2854" max="2854" width="9" style="49" customWidth="1"/>
    <col min="2855" max="2861" width="9" style="49"/>
    <col min="2862" max="2862" width="10.125" style="49" customWidth="1"/>
    <col min="2863" max="2863" width="10.25" style="49" bestFit="1" customWidth="1"/>
    <col min="2864" max="2864" width="25.375" style="49" customWidth="1"/>
    <col min="2865" max="2865" width="25.125" style="49" bestFit="1" customWidth="1"/>
    <col min="2866" max="2867" width="20" style="49" customWidth="1"/>
    <col min="2868" max="3073" width="9" style="49"/>
    <col min="3074" max="3074" width="35" style="49" customWidth="1"/>
    <col min="3075" max="3075" width="11.25" style="49" bestFit="1" customWidth="1"/>
    <col min="3076" max="3076" width="12" style="49" customWidth="1"/>
    <col min="3077" max="3077" width="8.25" style="49" customWidth="1"/>
    <col min="3078" max="3078" width="10" style="49" customWidth="1"/>
    <col min="3079" max="3079" width="9.875" style="49" customWidth="1"/>
    <col min="3080" max="3081" width="9.75" style="49" customWidth="1"/>
    <col min="3082" max="3082" width="9" style="49" customWidth="1"/>
    <col min="3083" max="3083" width="9" style="49"/>
    <col min="3084" max="3084" width="5.625" style="49" customWidth="1"/>
    <col min="3085" max="3085" width="9.25" style="49" customWidth="1"/>
    <col min="3086" max="3087" width="9" style="49"/>
    <col min="3088" max="3088" width="38.875" style="49" customWidth="1"/>
    <col min="3089" max="3089" width="7.75" style="49" customWidth="1"/>
    <col min="3090" max="3090" width="23.625" style="49" customWidth="1"/>
    <col min="3091" max="3092" width="11.875" style="49" customWidth="1"/>
    <col min="3093" max="3093" width="25.875" style="49" customWidth="1"/>
    <col min="3094" max="3094" width="9.25" style="49" customWidth="1"/>
    <col min="3095" max="3095" width="9.375" style="49" customWidth="1"/>
    <col min="3096" max="3096" width="11.5" style="49" customWidth="1"/>
    <col min="3097" max="3097" width="21.625" style="49" bestFit="1" customWidth="1"/>
    <col min="3098" max="3098" width="9" style="49"/>
    <col min="3099" max="3108" width="6.625" style="49" customWidth="1"/>
    <col min="3109" max="3109" width="9" style="49"/>
    <col min="3110" max="3110" width="9" style="49" customWidth="1"/>
    <col min="3111" max="3117" width="9" style="49"/>
    <col min="3118" max="3118" width="10.125" style="49" customWidth="1"/>
    <col min="3119" max="3119" width="10.25" style="49" bestFit="1" customWidth="1"/>
    <col min="3120" max="3120" width="25.375" style="49" customWidth="1"/>
    <col min="3121" max="3121" width="25.125" style="49" bestFit="1" customWidth="1"/>
    <col min="3122" max="3123" width="20" style="49" customWidth="1"/>
    <col min="3124" max="3329" width="9" style="49"/>
    <col min="3330" max="3330" width="35" style="49" customWidth="1"/>
    <col min="3331" max="3331" width="11.25" style="49" bestFit="1" customWidth="1"/>
    <col min="3332" max="3332" width="12" style="49" customWidth="1"/>
    <col min="3333" max="3333" width="8.25" style="49" customWidth="1"/>
    <col min="3334" max="3334" width="10" style="49" customWidth="1"/>
    <col min="3335" max="3335" width="9.875" style="49" customWidth="1"/>
    <col min="3336" max="3337" width="9.75" style="49" customWidth="1"/>
    <col min="3338" max="3338" width="9" style="49" customWidth="1"/>
    <col min="3339" max="3339" width="9" style="49"/>
    <col min="3340" max="3340" width="5.625" style="49" customWidth="1"/>
    <col min="3341" max="3341" width="9.25" style="49" customWidth="1"/>
    <col min="3342" max="3343" width="9" style="49"/>
    <col min="3344" max="3344" width="38.875" style="49" customWidth="1"/>
    <col min="3345" max="3345" width="7.75" style="49" customWidth="1"/>
    <col min="3346" max="3346" width="23.625" style="49" customWidth="1"/>
    <col min="3347" max="3348" width="11.875" style="49" customWidth="1"/>
    <col min="3349" max="3349" width="25.875" style="49" customWidth="1"/>
    <col min="3350" max="3350" width="9.25" style="49" customWidth="1"/>
    <col min="3351" max="3351" width="9.375" style="49" customWidth="1"/>
    <col min="3352" max="3352" width="11.5" style="49" customWidth="1"/>
    <col min="3353" max="3353" width="21.625" style="49" bestFit="1" customWidth="1"/>
    <col min="3354" max="3354" width="9" style="49"/>
    <col min="3355" max="3364" width="6.625" style="49" customWidth="1"/>
    <col min="3365" max="3365" width="9" style="49"/>
    <col min="3366" max="3366" width="9" style="49" customWidth="1"/>
    <col min="3367" max="3373" width="9" style="49"/>
    <col min="3374" max="3374" width="10.125" style="49" customWidth="1"/>
    <col min="3375" max="3375" width="10.25" style="49" bestFit="1" customWidth="1"/>
    <col min="3376" max="3376" width="25.375" style="49" customWidth="1"/>
    <col min="3377" max="3377" width="25.125" style="49" bestFit="1" customWidth="1"/>
    <col min="3378" max="3379" width="20" style="49" customWidth="1"/>
    <col min="3380" max="3585" width="9" style="49"/>
    <col min="3586" max="3586" width="35" style="49" customWidth="1"/>
    <col min="3587" max="3587" width="11.25" style="49" bestFit="1" customWidth="1"/>
    <col min="3588" max="3588" width="12" style="49" customWidth="1"/>
    <col min="3589" max="3589" width="8.25" style="49" customWidth="1"/>
    <col min="3590" max="3590" width="10" style="49" customWidth="1"/>
    <col min="3591" max="3591" width="9.875" style="49" customWidth="1"/>
    <col min="3592" max="3593" width="9.75" style="49" customWidth="1"/>
    <col min="3594" max="3594" width="9" style="49" customWidth="1"/>
    <col min="3595" max="3595" width="9" style="49"/>
    <col min="3596" max="3596" width="5.625" style="49" customWidth="1"/>
    <col min="3597" max="3597" width="9.25" style="49" customWidth="1"/>
    <col min="3598" max="3599" width="9" style="49"/>
    <col min="3600" max="3600" width="38.875" style="49" customWidth="1"/>
    <col min="3601" max="3601" width="7.75" style="49" customWidth="1"/>
    <col min="3602" max="3602" width="23.625" style="49" customWidth="1"/>
    <col min="3603" max="3604" width="11.875" style="49" customWidth="1"/>
    <col min="3605" max="3605" width="25.875" style="49" customWidth="1"/>
    <col min="3606" max="3606" width="9.25" style="49" customWidth="1"/>
    <col min="3607" max="3607" width="9.375" style="49" customWidth="1"/>
    <col min="3608" max="3608" width="11.5" style="49" customWidth="1"/>
    <col min="3609" max="3609" width="21.625" style="49" bestFit="1" customWidth="1"/>
    <col min="3610" max="3610" width="9" style="49"/>
    <col min="3611" max="3620" width="6.625" style="49" customWidth="1"/>
    <col min="3621" max="3621" width="9" style="49"/>
    <col min="3622" max="3622" width="9" style="49" customWidth="1"/>
    <col min="3623" max="3629" width="9" style="49"/>
    <col min="3630" max="3630" width="10.125" style="49" customWidth="1"/>
    <col min="3631" max="3631" width="10.25" style="49" bestFit="1" customWidth="1"/>
    <col min="3632" max="3632" width="25.375" style="49" customWidth="1"/>
    <col min="3633" max="3633" width="25.125" style="49" bestFit="1" customWidth="1"/>
    <col min="3634" max="3635" width="20" style="49" customWidth="1"/>
    <col min="3636" max="3841" width="9" style="49"/>
    <col min="3842" max="3842" width="35" style="49" customWidth="1"/>
    <col min="3843" max="3843" width="11.25" style="49" bestFit="1" customWidth="1"/>
    <col min="3844" max="3844" width="12" style="49" customWidth="1"/>
    <col min="3845" max="3845" width="8.25" style="49" customWidth="1"/>
    <col min="3846" max="3846" width="10" style="49" customWidth="1"/>
    <col min="3847" max="3847" width="9.875" style="49" customWidth="1"/>
    <col min="3848" max="3849" width="9.75" style="49" customWidth="1"/>
    <col min="3850" max="3850" width="9" style="49" customWidth="1"/>
    <col min="3851" max="3851" width="9" style="49"/>
    <col min="3852" max="3852" width="5.625" style="49" customWidth="1"/>
    <col min="3853" max="3853" width="9.25" style="49" customWidth="1"/>
    <col min="3854" max="3855" width="9" style="49"/>
    <col min="3856" max="3856" width="38.875" style="49" customWidth="1"/>
    <col min="3857" max="3857" width="7.75" style="49" customWidth="1"/>
    <col min="3858" max="3858" width="23.625" style="49" customWidth="1"/>
    <col min="3859" max="3860" width="11.875" style="49" customWidth="1"/>
    <col min="3861" max="3861" width="25.875" style="49" customWidth="1"/>
    <col min="3862" max="3862" width="9.25" style="49" customWidth="1"/>
    <col min="3863" max="3863" width="9.375" style="49" customWidth="1"/>
    <col min="3864" max="3864" width="11.5" style="49" customWidth="1"/>
    <col min="3865" max="3865" width="21.625" style="49" bestFit="1" customWidth="1"/>
    <col min="3866" max="3866" width="9" style="49"/>
    <col min="3867" max="3876" width="6.625" style="49" customWidth="1"/>
    <col min="3877" max="3877" width="9" style="49"/>
    <col min="3878" max="3878" width="9" style="49" customWidth="1"/>
    <col min="3879" max="3885" width="9" style="49"/>
    <col min="3886" max="3886" width="10.125" style="49" customWidth="1"/>
    <col min="3887" max="3887" width="10.25" style="49" bestFit="1" customWidth="1"/>
    <col min="3888" max="3888" width="25.375" style="49" customWidth="1"/>
    <col min="3889" max="3889" width="25.125" style="49" bestFit="1" customWidth="1"/>
    <col min="3890" max="3891" width="20" style="49" customWidth="1"/>
    <col min="3892" max="4097" width="9" style="49"/>
    <col min="4098" max="4098" width="35" style="49" customWidth="1"/>
    <col min="4099" max="4099" width="11.25" style="49" bestFit="1" customWidth="1"/>
    <col min="4100" max="4100" width="12" style="49" customWidth="1"/>
    <col min="4101" max="4101" width="8.25" style="49" customWidth="1"/>
    <col min="4102" max="4102" width="10" style="49" customWidth="1"/>
    <col min="4103" max="4103" width="9.875" style="49" customWidth="1"/>
    <col min="4104" max="4105" width="9.75" style="49" customWidth="1"/>
    <col min="4106" max="4106" width="9" style="49" customWidth="1"/>
    <col min="4107" max="4107" width="9" style="49"/>
    <col min="4108" max="4108" width="5.625" style="49" customWidth="1"/>
    <col min="4109" max="4109" width="9.25" style="49" customWidth="1"/>
    <col min="4110" max="4111" width="9" style="49"/>
    <col min="4112" max="4112" width="38.875" style="49" customWidth="1"/>
    <col min="4113" max="4113" width="7.75" style="49" customWidth="1"/>
    <col min="4114" max="4114" width="23.625" style="49" customWidth="1"/>
    <col min="4115" max="4116" width="11.875" style="49" customWidth="1"/>
    <col min="4117" max="4117" width="25.875" style="49" customWidth="1"/>
    <col min="4118" max="4118" width="9.25" style="49" customWidth="1"/>
    <col min="4119" max="4119" width="9.375" style="49" customWidth="1"/>
    <col min="4120" max="4120" width="11.5" style="49" customWidth="1"/>
    <col min="4121" max="4121" width="21.625" style="49" bestFit="1" customWidth="1"/>
    <col min="4122" max="4122" width="9" style="49"/>
    <col min="4123" max="4132" width="6.625" style="49" customWidth="1"/>
    <col min="4133" max="4133" width="9" style="49"/>
    <col min="4134" max="4134" width="9" style="49" customWidth="1"/>
    <col min="4135" max="4141" width="9" style="49"/>
    <col min="4142" max="4142" width="10.125" style="49" customWidth="1"/>
    <col min="4143" max="4143" width="10.25" style="49" bestFit="1" customWidth="1"/>
    <col min="4144" max="4144" width="25.375" style="49" customWidth="1"/>
    <col min="4145" max="4145" width="25.125" style="49" bestFit="1" customWidth="1"/>
    <col min="4146" max="4147" width="20" style="49" customWidth="1"/>
    <col min="4148" max="4353" width="9" style="49"/>
    <col min="4354" max="4354" width="35" style="49" customWidth="1"/>
    <col min="4355" max="4355" width="11.25" style="49" bestFit="1" customWidth="1"/>
    <col min="4356" max="4356" width="12" style="49" customWidth="1"/>
    <col min="4357" max="4357" width="8.25" style="49" customWidth="1"/>
    <col min="4358" max="4358" width="10" style="49" customWidth="1"/>
    <col min="4359" max="4359" width="9.875" style="49" customWidth="1"/>
    <col min="4360" max="4361" width="9.75" style="49" customWidth="1"/>
    <col min="4362" max="4362" width="9" style="49" customWidth="1"/>
    <col min="4363" max="4363" width="9" style="49"/>
    <col min="4364" max="4364" width="5.625" style="49" customWidth="1"/>
    <col min="4365" max="4365" width="9.25" style="49" customWidth="1"/>
    <col min="4366" max="4367" width="9" style="49"/>
    <col min="4368" max="4368" width="38.875" style="49" customWidth="1"/>
    <col min="4369" max="4369" width="7.75" style="49" customWidth="1"/>
    <col min="4370" max="4370" width="23.625" style="49" customWidth="1"/>
    <col min="4371" max="4372" width="11.875" style="49" customWidth="1"/>
    <col min="4373" max="4373" width="25.875" style="49" customWidth="1"/>
    <col min="4374" max="4374" width="9.25" style="49" customWidth="1"/>
    <col min="4375" max="4375" width="9.375" style="49" customWidth="1"/>
    <col min="4376" max="4376" width="11.5" style="49" customWidth="1"/>
    <col min="4377" max="4377" width="21.625" style="49" bestFit="1" customWidth="1"/>
    <col min="4378" max="4378" width="9" style="49"/>
    <col min="4379" max="4388" width="6.625" style="49" customWidth="1"/>
    <col min="4389" max="4389" width="9" style="49"/>
    <col min="4390" max="4390" width="9" style="49" customWidth="1"/>
    <col min="4391" max="4397" width="9" style="49"/>
    <col min="4398" max="4398" width="10.125" style="49" customWidth="1"/>
    <col min="4399" max="4399" width="10.25" style="49" bestFit="1" customWidth="1"/>
    <col min="4400" max="4400" width="25.375" style="49" customWidth="1"/>
    <col min="4401" max="4401" width="25.125" style="49" bestFit="1" customWidth="1"/>
    <col min="4402" max="4403" width="20" style="49" customWidth="1"/>
    <col min="4404" max="4609" width="9" style="49"/>
    <col min="4610" max="4610" width="35" style="49" customWidth="1"/>
    <col min="4611" max="4611" width="11.25" style="49" bestFit="1" customWidth="1"/>
    <col min="4612" max="4612" width="12" style="49" customWidth="1"/>
    <col min="4613" max="4613" width="8.25" style="49" customWidth="1"/>
    <col min="4614" max="4614" width="10" style="49" customWidth="1"/>
    <col min="4615" max="4615" width="9.875" style="49" customWidth="1"/>
    <col min="4616" max="4617" width="9.75" style="49" customWidth="1"/>
    <col min="4618" max="4618" width="9" style="49" customWidth="1"/>
    <col min="4619" max="4619" width="9" style="49"/>
    <col min="4620" max="4620" width="5.625" style="49" customWidth="1"/>
    <col min="4621" max="4621" width="9.25" style="49" customWidth="1"/>
    <col min="4622" max="4623" width="9" style="49"/>
    <col min="4624" max="4624" width="38.875" style="49" customWidth="1"/>
    <col min="4625" max="4625" width="7.75" style="49" customWidth="1"/>
    <col min="4626" max="4626" width="23.625" style="49" customWidth="1"/>
    <col min="4627" max="4628" width="11.875" style="49" customWidth="1"/>
    <col min="4629" max="4629" width="25.875" style="49" customWidth="1"/>
    <col min="4630" max="4630" width="9.25" style="49" customWidth="1"/>
    <col min="4631" max="4631" width="9.375" style="49" customWidth="1"/>
    <col min="4632" max="4632" width="11.5" style="49" customWidth="1"/>
    <col min="4633" max="4633" width="21.625" style="49" bestFit="1" customWidth="1"/>
    <col min="4634" max="4634" width="9" style="49"/>
    <col min="4635" max="4644" width="6.625" style="49" customWidth="1"/>
    <col min="4645" max="4645" width="9" style="49"/>
    <col min="4646" max="4646" width="9" style="49" customWidth="1"/>
    <col min="4647" max="4653" width="9" style="49"/>
    <col min="4654" max="4654" width="10.125" style="49" customWidth="1"/>
    <col min="4655" max="4655" width="10.25" style="49" bestFit="1" customWidth="1"/>
    <col min="4656" max="4656" width="25.375" style="49" customWidth="1"/>
    <col min="4657" max="4657" width="25.125" style="49" bestFit="1" customWidth="1"/>
    <col min="4658" max="4659" width="20" style="49" customWidth="1"/>
    <col min="4660" max="4865" width="9" style="49"/>
    <col min="4866" max="4866" width="35" style="49" customWidth="1"/>
    <col min="4867" max="4867" width="11.25" style="49" bestFit="1" customWidth="1"/>
    <col min="4868" max="4868" width="12" style="49" customWidth="1"/>
    <col min="4869" max="4869" width="8.25" style="49" customWidth="1"/>
    <col min="4870" max="4870" width="10" style="49" customWidth="1"/>
    <col min="4871" max="4871" width="9.875" style="49" customWidth="1"/>
    <col min="4872" max="4873" width="9.75" style="49" customWidth="1"/>
    <col min="4874" max="4874" width="9" style="49" customWidth="1"/>
    <col min="4875" max="4875" width="9" style="49"/>
    <col min="4876" max="4876" width="5.625" style="49" customWidth="1"/>
    <col min="4877" max="4877" width="9.25" style="49" customWidth="1"/>
    <col min="4878" max="4879" width="9" style="49"/>
    <col min="4880" max="4880" width="38.875" style="49" customWidth="1"/>
    <col min="4881" max="4881" width="7.75" style="49" customWidth="1"/>
    <col min="4882" max="4882" width="23.625" style="49" customWidth="1"/>
    <col min="4883" max="4884" width="11.875" style="49" customWidth="1"/>
    <col min="4885" max="4885" width="25.875" style="49" customWidth="1"/>
    <col min="4886" max="4886" width="9.25" style="49" customWidth="1"/>
    <col min="4887" max="4887" width="9.375" style="49" customWidth="1"/>
    <col min="4888" max="4888" width="11.5" style="49" customWidth="1"/>
    <col min="4889" max="4889" width="21.625" style="49" bestFit="1" customWidth="1"/>
    <col min="4890" max="4890" width="9" style="49"/>
    <col min="4891" max="4900" width="6.625" style="49" customWidth="1"/>
    <col min="4901" max="4901" width="9" style="49"/>
    <col min="4902" max="4902" width="9" style="49" customWidth="1"/>
    <col min="4903" max="4909" width="9" style="49"/>
    <col min="4910" max="4910" width="10.125" style="49" customWidth="1"/>
    <col min="4911" max="4911" width="10.25" style="49" bestFit="1" customWidth="1"/>
    <col min="4912" max="4912" width="25.375" style="49" customWidth="1"/>
    <col min="4913" max="4913" width="25.125" style="49" bestFit="1" customWidth="1"/>
    <col min="4914" max="4915" width="20" style="49" customWidth="1"/>
    <col min="4916" max="5121" width="9" style="49"/>
    <col min="5122" max="5122" width="35" style="49" customWidth="1"/>
    <col min="5123" max="5123" width="11.25" style="49" bestFit="1" customWidth="1"/>
    <col min="5124" max="5124" width="12" style="49" customWidth="1"/>
    <col min="5125" max="5125" width="8.25" style="49" customWidth="1"/>
    <col min="5126" max="5126" width="10" style="49" customWidth="1"/>
    <col min="5127" max="5127" width="9.875" style="49" customWidth="1"/>
    <col min="5128" max="5129" width="9.75" style="49" customWidth="1"/>
    <col min="5130" max="5130" width="9" style="49" customWidth="1"/>
    <col min="5131" max="5131" width="9" style="49"/>
    <col min="5132" max="5132" width="5.625" style="49" customWidth="1"/>
    <col min="5133" max="5133" width="9.25" style="49" customWidth="1"/>
    <col min="5134" max="5135" width="9" style="49"/>
    <col min="5136" max="5136" width="38.875" style="49" customWidth="1"/>
    <col min="5137" max="5137" width="7.75" style="49" customWidth="1"/>
    <col min="5138" max="5138" width="23.625" style="49" customWidth="1"/>
    <col min="5139" max="5140" width="11.875" style="49" customWidth="1"/>
    <col min="5141" max="5141" width="25.875" style="49" customWidth="1"/>
    <col min="5142" max="5142" width="9.25" style="49" customWidth="1"/>
    <col min="5143" max="5143" width="9.375" style="49" customWidth="1"/>
    <col min="5144" max="5144" width="11.5" style="49" customWidth="1"/>
    <col min="5145" max="5145" width="21.625" style="49" bestFit="1" customWidth="1"/>
    <col min="5146" max="5146" width="9" style="49"/>
    <col min="5147" max="5156" width="6.625" style="49" customWidth="1"/>
    <col min="5157" max="5157" width="9" style="49"/>
    <col min="5158" max="5158" width="9" style="49" customWidth="1"/>
    <col min="5159" max="5165" width="9" style="49"/>
    <col min="5166" max="5166" width="10.125" style="49" customWidth="1"/>
    <col min="5167" max="5167" width="10.25" style="49" bestFit="1" customWidth="1"/>
    <col min="5168" max="5168" width="25.375" style="49" customWidth="1"/>
    <col min="5169" max="5169" width="25.125" style="49" bestFit="1" customWidth="1"/>
    <col min="5170" max="5171" width="20" style="49" customWidth="1"/>
    <col min="5172" max="5377" width="9" style="49"/>
    <col min="5378" max="5378" width="35" style="49" customWidth="1"/>
    <col min="5379" max="5379" width="11.25" style="49" bestFit="1" customWidth="1"/>
    <col min="5380" max="5380" width="12" style="49" customWidth="1"/>
    <col min="5381" max="5381" width="8.25" style="49" customWidth="1"/>
    <col min="5382" max="5382" width="10" style="49" customWidth="1"/>
    <col min="5383" max="5383" width="9.875" style="49" customWidth="1"/>
    <col min="5384" max="5385" width="9.75" style="49" customWidth="1"/>
    <col min="5386" max="5386" width="9" style="49" customWidth="1"/>
    <col min="5387" max="5387" width="9" style="49"/>
    <col min="5388" max="5388" width="5.625" style="49" customWidth="1"/>
    <col min="5389" max="5389" width="9.25" style="49" customWidth="1"/>
    <col min="5390" max="5391" width="9" style="49"/>
    <col min="5392" max="5392" width="38.875" style="49" customWidth="1"/>
    <col min="5393" max="5393" width="7.75" style="49" customWidth="1"/>
    <col min="5394" max="5394" width="23.625" style="49" customWidth="1"/>
    <col min="5395" max="5396" width="11.875" style="49" customWidth="1"/>
    <col min="5397" max="5397" width="25.875" style="49" customWidth="1"/>
    <col min="5398" max="5398" width="9.25" style="49" customWidth="1"/>
    <col min="5399" max="5399" width="9.375" style="49" customWidth="1"/>
    <col min="5400" max="5400" width="11.5" style="49" customWidth="1"/>
    <col min="5401" max="5401" width="21.625" style="49" bestFit="1" customWidth="1"/>
    <col min="5402" max="5402" width="9" style="49"/>
    <col min="5403" max="5412" width="6.625" style="49" customWidth="1"/>
    <col min="5413" max="5413" width="9" style="49"/>
    <col min="5414" max="5414" width="9" style="49" customWidth="1"/>
    <col min="5415" max="5421" width="9" style="49"/>
    <col min="5422" max="5422" width="10.125" style="49" customWidth="1"/>
    <col min="5423" max="5423" width="10.25" style="49" bestFit="1" customWidth="1"/>
    <col min="5424" max="5424" width="25.375" style="49" customWidth="1"/>
    <col min="5425" max="5425" width="25.125" style="49" bestFit="1" customWidth="1"/>
    <col min="5426" max="5427" width="20" style="49" customWidth="1"/>
    <col min="5428" max="5633" width="9" style="49"/>
    <col min="5634" max="5634" width="35" style="49" customWidth="1"/>
    <col min="5635" max="5635" width="11.25" style="49" bestFit="1" customWidth="1"/>
    <col min="5636" max="5636" width="12" style="49" customWidth="1"/>
    <col min="5637" max="5637" width="8.25" style="49" customWidth="1"/>
    <col min="5638" max="5638" width="10" style="49" customWidth="1"/>
    <col min="5639" max="5639" width="9.875" style="49" customWidth="1"/>
    <col min="5640" max="5641" width="9.75" style="49" customWidth="1"/>
    <col min="5642" max="5642" width="9" style="49" customWidth="1"/>
    <col min="5643" max="5643" width="9" style="49"/>
    <col min="5644" max="5644" width="5.625" style="49" customWidth="1"/>
    <col min="5645" max="5645" width="9.25" style="49" customWidth="1"/>
    <col min="5646" max="5647" width="9" style="49"/>
    <col min="5648" max="5648" width="38.875" style="49" customWidth="1"/>
    <col min="5649" max="5649" width="7.75" style="49" customWidth="1"/>
    <col min="5650" max="5650" width="23.625" style="49" customWidth="1"/>
    <col min="5651" max="5652" width="11.875" style="49" customWidth="1"/>
    <col min="5653" max="5653" width="25.875" style="49" customWidth="1"/>
    <col min="5654" max="5654" width="9.25" style="49" customWidth="1"/>
    <col min="5655" max="5655" width="9.375" style="49" customWidth="1"/>
    <col min="5656" max="5656" width="11.5" style="49" customWidth="1"/>
    <col min="5657" max="5657" width="21.625" style="49" bestFit="1" customWidth="1"/>
    <col min="5658" max="5658" width="9" style="49"/>
    <col min="5659" max="5668" width="6.625" style="49" customWidth="1"/>
    <col min="5669" max="5669" width="9" style="49"/>
    <col min="5670" max="5670" width="9" style="49" customWidth="1"/>
    <col min="5671" max="5677" width="9" style="49"/>
    <col min="5678" max="5678" width="10.125" style="49" customWidth="1"/>
    <col min="5679" max="5679" width="10.25" style="49" bestFit="1" customWidth="1"/>
    <col min="5680" max="5680" width="25.375" style="49" customWidth="1"/>
    <col min="5681" max="5681" width="25.125" style="49" bestFit="1" customWidth="1"/>
    <col min="5682" max="5683" width="20" style="49" customWidth="1"/>
    <col min="5684" max="5889" width="9" style="49"/>
    <col min="5890" max="5890" width="35" style="49" customWidth="1"/>
    <col min="5891" max="5891" width="11.25" style="49" bestFit="1" customWidth="1"/>
    <col min="5892" max="5892" width="12" style="49" customWidth="1"/>
    <col min="5893" max="5893" width="8.25" style="49" customWidth="1"/>
    <col min="5894" max="5894" width="10" style="49" customWidth="1"/>
    <col min="5895" max="5895" width="9.875" style="49" customWidth="1"/>
    <col min="5896" max="5897" width="9.75" style="49" customWidth="1"/>
    <col min="5898" max="5898" width="9" style="49" customWidth="1"/>
    <col min="5899" max="5899" width="9" style="49"/>
    <col min="5900" max="5900" width="5.625" style="49" customWidth="1"/>
    <col min="5901" max="5901" width="9.25" style="49" customWidth="1"/>
    <col min="5902" max="5903" width="9" style="49"/>
    <col min="5904" max="5904" width="38.875" style="49" customWidth="1"/>
    <col min="5905" max="5905" width="7.75" style="49" customWidth="1"/>
    <col min="5906" max="5906" width="23.625" style="49" customWidth="1"/>
    <col min="5907" max="5908" width="11.875" style="49" customWidth="1"/>
    <col min="5909" max="5909" width="25.875" style="49" customWidth="1"/>
    <col min="5910" max="5910" width="9.25" style="49" customWidth="1"/>
    <col min="5911" max="5911" width="9.375" style="49" customWidth="1"/>
    <col min="5912" max="5912" width="11.5" style="49" customWidth="1"/>
    <col min="5913" max="5913" width="21.625" style="49" bestFit="1" customWidth="1"/>
    <col min="5914" max="5914" width="9" style="49"/>
    <col min="5915" max="5924" width="6.625" style="49" customWidth="1"/>
    <col min="5925" max="5925" width="9" style="49"/>
    <col min="5926" max="5926" width="9" style="49" customWidth="1"/>
    <col min="5927" max="5933" width="9" style="49"/>
    <col min="5934" max="5934" width="10.125" style="49" customWidth="1"/>
    <col min="5935" max="5935" width="10.25" style="49" bestFit="1" customWidth="1"/>
    <col min="5936" max="5936" width="25.375" style="49" customWidth="1"/>
    <col min="5937" max="5937" width="25.125" style="49" bestFit="1" customWidth="1"/>
    <col min="5938" max="5939" width="20" style="49" customWidth="1"/>
    <col min="5940" max="6145" width="9" style="49"/>
    <col min="6146" max="6146" width="35" style="49" customWidth="1"/>
    <col min="6147" max="6147" width="11.25" style="49" bestFit="1" customWidth="1"/>
    <col min="6148" max="6148" width="12" style="49" customWidth="1"/>
    <col min="6149" max="6149" width="8.25" style="49" customWidth="1"/>
    <col min="6150" max="6150" width="10" style="49" customWidth="1"/>
    <col min="6151" max="6151" width="9.875" style="49" customWidth="1"/>
    <col min="6152" max="6153" width="9.75" style="49" customWidth="1"/>
    <col min="6154" max="6154" width="9" style="49" customWidth="1"/>
    <col min="6155" max="6155" width="9" style="49"/>
    <col min="6156" max="6156" width="5.625" style="49" customWidth="1"/>
    <col min="6157" max="6157" width="9.25" style="49" customWidth="1"/>
    <col min="6158" max="6159" width="9" style="49"/>
    <col min="6160" max="6160" width="38.875" style="49" customWidth="1"/>
    <col min="6161" max="6161" width="7.75" style="49" customWidth="1"/>
    <col min="6162" max="6162" width="23.625" style="49" customWidth="1"/>
    <col min="6163" max="6164" width="11.875" style="49" customWidth="1"/>
    <col min="6165" max="6165" width="25.875" style="49" customWidth="1"/>
    <col min="6166" max="6166" width="9.25" style="49" customWidth="1"/>
    <col min="6167" max="6167" width="9.375" style="49" customWidth="1"/>
    <col min="6168" max="6168" width="11.5" style="49" customWidth="1"/>
    <col min="6169" max="6169" width="21.625" style="49" bestFit="1" customWidth="1"/>
    <col min="6170" max="6170" width="9" style="49"/>
    <col min="6171" max="6180" width="6.625" style="49" customWidth="1"/>
    <col min="6181" max="6181" width="9" style="49"/>
    <col min="6182" max="6182" width="9" style="49" customWidth="1"/>
    <col min="6183" max="6189" width="9" style="49"/>
    <col min="6190" max="6190" width="10.125" style="49" customWidth="1"/>
    <col min="6191" max="6191" width="10.25" style="49" bestFit="1" customWidth="1"/>
    <col min="6192" max="6192" width="25.375" style="49" customWidth="1"/>
    <col min="6193" max="6193" width="25.125" style="49" bestFit="1" customWidth="1"/>
    <col min="6194" max="6195" width="20" style="49" customWidth="1"/>
    <col min="6196" max="6401" width="9" style="49"/>
    <col min="6402" max="6402" width="35" style="49" customWidth="1"/>
    <col min="6403" max="6403" width="11.25" style="49" bestFit="1" customWidth="1"/>
    <col min="6404" max="6404" width="12" style="49" customWidth="1"/>
    <col min="6405" max="6405" width="8.25" style="49" customWidth="1"/>
    <col min="6406" max="6406" width="10" style="49" customWidth="1"/>
    <col min="6407" max="6407" width="9.875" style="49" customWidth="1"/>
    <col min="6408" max="6409" width="9.75" style="49" customWidth="1"/>
    <col min="6410" max="6410" width="9" style="49" customWidth="1"/>
    <col min="6411" max="6411" width="9" style="49"/>
    <col min="6412" max="6412" width="5.625" style="49" customWidth="1"/>
    <col min="6413" max="6413" width="9.25" style="49" customWidth="1"/>
    <col min="6414" max="6415" width="9" style="49"/>
    <col min="6416" max="6416" width="38.875" style="49" customWidth="1"/>
    <col min="6417" max="6417" width="7.75" style="49" customWidth="1"/>
    <col min="6418" max="6418" width="23.625" style="49" customWidth="1"/>
    <col min="6419" max="6420" width="11.875" style="49" customWidth="1"/>
    <col min="6421" max="6421" width="25.875" style="49" customWidth="1"/>
    <col min="6422" max="6422" width="9.25" style="49" customWidth="1"/>
    <col min="6423" max="6423" width="9.375" style="49" customWidth="1"/>
    <col min="6424" max="6424" width="11.5" style="49" customWidth="1"/>
    <col min="6425" max="6425" width="21.625" style="49" bestFit="1" customWidth="1"/>
    <col min="6426" max="6426" width="9" style="49"/>
    <col min="6427" max="6436" width="6.625" style="49" customWidth="1"/>
    <col min="6437" max="6437" width="9" style="49"/>
    <col min="6438" max="6438" width="9" style="49" customWidth="1"/>
    <col min="6439" max="6445" width="9" style="49"/>
    <col min="6446" max="6446" width="10.125" style="49" customWidth="1"/>
    <col min="6447" max="6447" width="10.25" style="49" bestFit="1" customWidth="1"/>
    <col min="6448" max="6448" width="25.375" style="49" customWidth="1"/>
    <col min="6449" max="6449" width="25.125" style="49" bestFit="1" customWidth="1"/>
    <col min="6450" max="6451" width="20" style="49" customWidth="1"/>
    <col min="6452" max="6657" width="9" style="49"/>
    <col min="6658" max="6658" width="35" style="49" customWidth="1"/>
    <col min="6659" max="6659" width="11.25" style="49" bestFit="1" customWidth="1"/>
    <col min="6660" max="6660" width="12" style="49" customWidth="1"/>
    <col min="6661" max="6661" width="8.25" style="49" customWidth="1"/>
    <col min="6662" max="6662" width="10" style="49" customWidth="1"/>
    <col min="6663" max="6663" width="9.875" style="49" customWidth="1"/>
    <col min="6664" max="6665" width="9.75" style="49" customWidth="1"/>
    <col min="6666" max="6666" width="9" style="49" customWidth="1"/>
    <col min="6667" max="6667" width="9" style="49"/>
    <col min="6668" max="6668" width="5.625" style="49" customWidth="1"/>
    <col min="6669" max="6669" width="9.25" style="49" customWidth="1"/>
    <col min="6670" max="6671" width="9" style="49"/>
    <col min="6672" max="6672" width="38.875" style="49" customWidth="1"/>
    <col min="6673" max="6673" width="7.75" style="49" customWidth="1"/>
    <col min="6674" max="6674" width="23.625" style="49" customWidth="1"/>
    <col min="6675" max="6676" width="11.875" style="49" customWidth="1"/>
    <col min="6677" max="6677" width="25.875" style="49" customWidth="1"/>
    <col min="6678" max="6678" width="9.25" style="49" customWidth="1"/>
    <col min="6679" max="6679" width="9.375" style="49" customWidth="1"/>
    <col min="6680" max="6680" width="11.5" style="49" customWidth="1"/>
    <col min="6681" max="6681" width="21.625" style="49" bestFit="1" customWidth="1"/>
    <col min="6682" max="6682" width="9" style="49"/>
    <col min="6683" max="6692" width="6.625" style="49" customWidth="1"/>
    <col min="6693" max="6693" width="9" style="49"/>
    <col min="6694" max="6694" width="9" style="49" customWidth="1"/>
    <col min="6695" max="6701" width="9" style="49"/>
    <col min="6702" max="6702" width="10.125" style="49" customWidth="1"/>
    <col min="6703" max="6703" width="10.25" style="49" bestFit="1" customWidth="1"/>
    <col min="6704" max="6704" width="25.375" style="49" customWidth="1"/>
    <col min="6705" max="6705" width="25.125" style="49" bestFit="1" customWidth="1"/>
    <col min="6706" max="6707" width="20" style="49" customWidth="1"/>
    <col min="6708" max="6913" width="9" style="49"/>
    <col min="6914" max="6914" width="35" style="49" customWidth="1"/>
    <col min="6915" max="6915" width="11.25" style="49" bestFit="1" customWidth="1"/>
    <col min="6916" max="6916" width="12" style="49" customWidth="1"/>
    <col min="6917" max="6917" width="8.25" style="49" customWidth="1"/>
    <col min="6918" max="6918" width="10" style="49" customWidth="1"/>
    <col min="6919" max="6919" width="9.875" style="49" customWidth="1"/>
    <col min="6920" max="6921" width="9.75" style="49" customWidth="1"/>
    <col min="6922" max="6922" width="9" style="49" customWidth="1"/>
    <col min="6923" max="6923" width="9" style="49"/>
    <col min="6924" max="6924" width="5.625" style="49" customWidth="1"/>
    <col min="6925" max="6925" width="9.25" style="49" customWidth="1"/>
    <col min="6926" max="6927" width="9" style="49"/>
    <col min="6928" max="6928" width="38.875" style="49" customWidth="1"/>
    <col min="6929" max="6929" width="7.75" style="49" customWidth="1"/>
    <col min="6930" max="6930" width="23.625" style="49" customWidth="1"/>
    <col min="6931" max="6932" width="11.875" style="49" customWidth="1"/>
    <col min="6933" max="6933" width="25.875" style="49" customWidth="1"/>
    <col min="6934" max="6934" width="9.25" style="49" customWidth="1"/>
    <col min="6935" max="6935" width="9.375" style="49" customWidth="1"/>
    <col min="6936" max="6936" width="11.5" style="49" customWidth="1"/>
    <col min="6937" max="6937" width="21.625" style="49" bestFit="1" customWidth="1"/>
    <col min="6938" max="6938" width="9" style="49"/>
    <col min="6939" max="6948" width="6.625" style="49" customWidth="1"/>
    <col min="6949" max="6949" width="9" style="49"/>
    <col min="6950" max="6950" width="9" style="49" customWidth="1"/>
    <col min="6951" max="6957" width="9" style="49"/>
    <col min="6958" max="6958" width="10.125" style="49" customWidth="1"/>
    <col min="6959" max="6959" width="10.25" style="49" bestFit="1" customWidth="1"/>
    <col min="6960" max="6960" width="25.375" style="49" customWidth="1"/>
    <col min="6961" max="6961" width="25.125" style="49" bestFit="1" customWidth="1"/>
    <col min="6962" max="6963" width="20" style="49" customWidth="1"/>
    <col min="6964" max="7169" width="9" style="49"/>
    <col min="7170" max="7170" width="35" style="49" customWidth="1"/>
    <col min="7171" max="7171" width="11.25" style="49" bestFit="1" customWidth="1"/>
    <col min="7172" max="7172" width="12" style="49" customWidth="1"/>
    <col min="7173" max="7173" width="8.25" style="49" customWidth="1"/>
    <col min="7174" max="7174" width="10" style="49" customWidth="1"/>
    <col min="7175" max="7175" width="9.875" style="49" customWidth="1"/>
    <col min="7176" max="7177" width="9.75" style="49" customWidth="1"/>
    <col min="7178" max="7178" width="9" style="49" customWidth="1"/>
    <col min="7179" max="7179" width="9" style="49"/>
    <col min="7180" max="7180" width="5.625" style="49" customWidth="1"/>
    <col min="7181" max="7181" width="9.25" style="49" customWidth="1"/>
    <col min="7182" max="7183" width="9" style="49"/>
    <col min="7184" max="7184" width="38.875" style="49" customWidth="1"/>
    <col min="7185" max="7185" width="7.75" style="49" customWidth="1"/>
    <col min="7186" max="7186" width="23.625" style="49" customWidth="1"/>
    <col min="7187" max="7188" width="11.875" style="49" customWidth="1"/>
    <col min="7189" max="7189" width="25.875" style="49" customWidth="1"/>
    <col min="7190" max="7190" width="9.25" style="49" customWidth="1"/>
    <col min="7191" max="7191" width="9.375" style="49" customWidth="1"/>
    <col min="7192" max="7192" width="11.5" style="49" customWidth="1"/>
    <col min="7193" max="7193" width="21.625" style="49" bestFit="1" customWidth="1"/>
    <col min="7194" max="7194" width="9" style="49"/>
    <col min="7195" max="7204" width="6.625" style="49" customWidth="1"/>
    <col min="7205" max="7205" width="9" style="49"/>
    <col min="7206" max="7206" width="9" style="49" customWidth="1"/>
    <col min="7207" max="7213" width="9" style="49"/>
    <col min="7214" max="7214" width="10.125" style="49" customWidth="1"/>
    <col min="7215" max="7215" width="10.25" style="49" bestFit="1" customWidth="1"/>
    <col min="7216" max="7216" width="25.375" style="49" customWidth="1"/>
    <col min="7217" max="7217" width="25.125" style="49" bestFit="1" customWidth="1"/>
    <col min="7218" max="7219" width="20" style="49" customWidth="1"/>
    <col min="7220" max="7425" width="9" style="49"/>
    <col min="7426" max="7426" width="35" style="49" customWidth="1"/>
    <col min="7427" max="7427" width="11.25" style="49" bestFit="1" customWidth="1"/>
    <col min="7428" max="7428" width="12" style="49" customWidth="1"/>
    <col min="7429" max="7429" width="8.25" style="49" customWidth="1"/>
    <col min="7430" max="7430" width="10" style="49" customWidth="1"/>
    <col min="7431" max="7431" width="9.875" style="49" customWidth="1"/>
    <col min="7432" max="7433" width="9.75" style="49" customWidth="1"/>
    <col min="7434" max="7434" width="9" style="49" customWidth="1"/>
    <col min="7435" max="7435" width="9" style="49"/>
    <col min="7436" max="7436" width="5.625" style="49" customWidth="1"/>
    <col min="7437" max="7437" width="9.25" style="49" customWidth="1"/>
    <col min="7438" max="7439" width="9" style="49"/>
    <col min="7440" max="7440" width="38.875" style="49" customWidth="1"/>
    <col min="7441" max="7441" width="7.75" style="49" customWidth="1"/>
    <col min="7442" max="7442" width="23.625" style="49" customWidth="1"/>
    <col min="7443" max="7444" width="11.875" style="49" customWidth="1"/>
    <col min="7445" max="7445" width="25.875" style="49" customWidth="1"/>
    <col min="7446" max="7446" width="9.25" style="49" customWidth="1"/>
    <col min="7447" max="7447" width="9.375" style="49" customWidth="1"/>
    <col min="7448" max="7448" width="11.5" style="49" customWidth="1"/>
    <col min="7449" max="7449" width="21.625" style="49" bestFit="1" customWidth="1"/>
    <col min="7450" max="7450" width="9" style="49"/>
    <col min="7451" max="7460" width="6.625" style="49" customWidth="1"/>
    <col min="7461" max="7461" width="9" style="49"/>
    <col min="7462" max="7462" width="9" style="49" customWidth="1"/>
    <col min="7463" max="7469" width="9" style="49"/>
    <col min="7470" max="7470" width="10.125" style="49" customWidth="1"/>
    <col min="7471" max="7471" width="10.25" style="49" bestFit="1" customWidth="1"/>
    <col min="7472" max="7472" width="25.375" style="49" customWidth="1"/>
    <col min="7473" max="7473" width="25.125" style="49" bestFit="1" customWidth="1"/>
    <col min="7474" max="7475" width="20" style="49" customWidth="1"/>
    <col min="7476" max="7681" width="9" style="49"/>
    <col min="7682" max="7682" width="35" style="49" customWidth="1"/>
    <col min="7683" max="7683" width="11.25" style="49" bestFit="1" customWidth="1"/>
    <col min="7684" max="7684" width="12" style="49" customWidth="1"/>
    <col min="7685" max="7685" width="8.25" style="49" customWidth="1"/>
    <col min="7686" max="7686" width="10" style="49" customWidth="1"/>
    <col min="7687" max="7687" width="9.875" style="49" customWidth="1"/>
    <col min="7688" max="7689" width="9.75" style="49" customWidth="1"/>
    <col min="7690" max="7690" width="9" style="49" customWidth="1"/>
    <col min="7691" max="7691" width="9" style="49"/>
    <col min="7692" max="7692" width="5.625" style="49" customWidth="1"/>
    <col min="7693" max="7693" width="9.25" style="49" customWidth="1"/>
    <col min="7694" max="7695" width="9" style="49"/>
    <col min="7696" max="7696" width="38.875" style="49" customWidth="1"/>
    <col min="7697" max="7697" width="7.75" style="49" customWidth="1"/>
    <col min="7698" max="7698" width="23.625" style="49" customWidth="1"/>
    <col min="7699" max="7700" width="11.875" style="49" customWidth="1"/>
    <col min="7701" max="7701" width="25.875" style="49" customWidth="1"/>
    <col min="7702" max="7702" width="9.25" style="49" customWidth="1"/>
    <col min="7703" max="7703" width="9.375" style="49" customWidth="1"/>
    <col min="7704" max="7704" width="11.5" style="49" customWidth="1"/>
    <col min="7705" max="7705" width="21.625" style="49" bestFit="1" customWidth="1"/>
    <col min="7706" max="7706" width="9" style="49"/>
    <col min="7707" max="7716" width="6.625" style="49" customWidth="1"/>
    <col min="7717" max="7717" width="9" style="49"/>
    <col min="7718" max="7718" width="9" style="49" customWidth="1"/>
    <col min="7719" max="7725" width="9" style="49"/>
    <col min="7726" max="7726" width="10.125" style="49" customWidth="1"/>
    <col min="7727" max="7727" width="10.25" style="49" bestFit="1" customWidth="1"/>
    <col min="7728" max="7728" width="25.375" style="49" customWidth="1"/>
    <col min="7729" max="7729" width="25.125" style="49" bestFit="1" customWidth="1"/>
    <col min="7730" max="7731" width="20" style="49" customWidth="1"/>
    <col min="7732" max="7937" width="9" style="49"/>
    <col min="7938" max="7938" width="35" style="49" customWidth="1"/>
    <col min="7939" max="7939" width="11.25" style="49" bestFit="1" customWidth="1"/>
    <col min="7940" max="7940" width="12" style="49" customWidth="1"/>
    <col min="7941" max="7941" width="8.25" style="49" customWidth="1"/>
    <col min="7942" max="7942" width="10" style="49" customWidth="1"/>
    <col min="7943" max="7943" width="9.875" style="49" customWidth="1"/>
    <col min="7944" max="7945" width="9.75" style="49" customWidth="1"/>
    <col min="7946" max="7946" width="9" style="49" customWidth="1"/>
    <col min="7947" max="7947" width="9" style="49"/>
    <col min="7948" max="7948" width="5.625" style="49" customWidth="1"/>
    <col min="7949" max="7949" width="9.25" style="49" customWidth="1"/>
    <col min="7950" max="7951" width="9" style="49"/>
    <col min="7952" max="7952" width="38.875" style="49" customWidth="1"/>
    <col min="7953" max="7953" width="7.75" style="49" customWidth="1"/>
    <col min="7954" max="7954" width="23.625" style="49" customWidth="1"/>
    <col min="7955" max="7956" width="11.875" style="49" customWidth="1"/>
    <col min="7957" max="7957" width="25.875" style="49" customWidth="1"/>
    <col min="7958" max="7958" width="9.25" style="49" customWidth="1"/>
    <col min="7959" max="7959" width="9.375" style="49" customWidth="1"/>
    <col min="7960" max="7960" width="11.5" style="49" customWidth="1"/>
    <col min="7961" max="7961" width="21.625" style="49" bestFit="1" customWidth="1"/>
    <col min="7962" max="7962" width="9" style="49"/>
    <col min="7963" max="7972" width="6.625" style="49" customWidth="1"/>
    <col min="7973" max="7973" width="9" style="49"/>
    <col min="7974" max="7974" width="9" style="49" customWidth="1"/>
    <col min="7975" max="7981" width="9" style="49"/>
    <col min="7982" max="7982" width="10.125" style="49" customWidth="1"/>
    <col min="7983" max="7983" width="10.25" style="49" bestFit="1" customWidth="1"/>
    <col min="7984" max="7984" width="25.375" style="49" customWidth="1"/>
    <col min="7985" max="7985" width="25.125" style="49" bestFit="1" customWidth="1"/>
    <col min="7986" max="7987" width="20" style="49" customWidth="1"/>
    <col min="7988" max="8193" width="9" style="49"/>
    <col min="8194" max="8194" width="35" style="49" customWidth="1"/>
    <col min="8195" max="8195" width="11.25" style="49" bestFit="1" customWidth="1"/>
    <col min="8196" max="8196" width="12" style="49" customWidth="1"/>
    <col min="8197" max="8197" width="8.25" style="49" customWidth="1"/>
    <col min="8198" max="8198" width="10" style="49" customWidth="1"/>
    <col min="8199" max="8199" width="9.875" style="49" customWidth="1"/>
    <col min="8200" max="8201" width="9.75" style="49" customWidth="1"/>
    <col min="8202" max="8202" width="9" style="49" customWidth="1"/>
    <col min="8203" max="8203" width="9" style="49"/>
    <col min="8204" max="8204" width="5.625" style="49" customWidth="1"/>
    <col min="8205" max="8205" width="9.25" style="49" customWidth="1"/>
    <col min="8206" max="8207" width="9" style="49"/>
    <col min="8208" max="8208" width="38.875" style="49" customWidth="1"/>
    <col min="8209" max="8209" width="7.75" style="49" customWidth="1"/>
    <col min="8210" max="8210" width="23.625" style="49" customWidth="1"/>
    <col min="8211" max="8212" width="11.875" style="49" customWidth="1"/>
    <col min="8213" max="8213" width="25.875" style="49" customWidth="1"/>
    <col min="8214" max="8214" width="9.25" style="49" customWidth="1"/>
    <col min="8215" max="8215" width="9.375" style="49" customWidth="1"/>
    <col min="8216" max="8216" width="11.5" style="49" customWidth="1"/>
    <col min="8217" max="8217" width="21.625" style="49" bestFit="1" customWidth="1"/>
    <col min="8218" max="8218" width="9" style="49"/>
    <col min="8219" max="8228" width="6.625" style="49" customWidth="1"/>
    <col min="8229" max="8229" width="9" style="49"/>
    <col min="8230" max="8230" width="9" style="49" customWidth="1"/>
    <col min="8231" max="8237" width="9" style="49"/>
    <col min="8238" max="8238" width="10.125" style="49" customWidth="1"/>
    <col min="8239" max="8239" width="10.25" style="49" bestFit="1" customWidth="1"/>
    <col min="8240" max="8240" width="25.375" style="49" customWidth="1"/>
    <col min="8241" max="8241" width="25.125" style="49" bestFit="1" customWidth="1"/>
    <col min="8242" max="8243" width="20" style="49" customWidth="1"/>
    <col min="8244" max="8449" width="9" style="49"/>
    <col min="8450" max="8450" width="35" style="49" customWidth="1"/>
    <col min="8451" max="8451" width="11.25" style="49" bestFit="1" customWidth="1"/>
    <col min="8452" max="8452" width="12" style="49" customWidth="1"/>
    <col min="8453" max="8453" width="8.25" style="49" customWidth="1"/>
    <col min="8454" max="8454" width="10" style="49" customWidth="1"/>
    <col min="8455" max="8455" width="9.875" style="49" customWidth="1"/>
    <col min="8456" max="8457" width="9.75" style="49" customWidth="1"/>
    <col min="8458" max="8458" width="9" style="49" customWidth="1"/>
    <col min="8459" max="8459" width="9" style="49"/>
    <col min="8460" max="8460" width="5.625" style="49" customWidth="1"/>
    <col min="8461" max="8461" width="9.25" style="49" customWidth="1"/>
    <col min="8462" max="8463" width="9" style="49"/>
    <col min="8464" max="8464" width="38.875" style="49" customWidth="1"/>
    <col min="8465" max="8465" width="7.75" style="49" customWidth="1"/>
    <col min="8466" max="8466" width="23.625" style="49" customWidth="1"/>
    <col min="8467" max="8468" width="11.875" style="49" customWidth="1"/>
    <col min="8469" max="8469" width="25.875" style="49" customWidth="1"/>
    <col min="8470" max="8470" width="9.25" style="49" customWidth="1"/>
    <col min="8471" max="8471" width="9.375" style="49" customWidth="1"/>
    <col min="8472" max="8472" width="11.5" style="49" customWidth="1"/>
    <col min="8473" max="8473" width="21.625" style="49" bestFit="1" customWidth="1"/>
    <col min="8474" max="8474" width="9" style="49"/>
    <col min="8475" max="8484" width="6.625" style="49" customWidth="1"/>
    <col min="8485" max="8485" width="9" style="49"/>
    <col min="8486" max="8486" width="9" style="49" customWidth="1"/>
    <col min="8487" max="8493" width="9" style="49"/>
    <col min="8494" max="8494" width="10.125" style="49" customWidth="1"/>
    <col min="8495" max="8495" width="10.25" style="49" bestFit="1" customWidth="1"/>
    <col min="8496" max="8496" width="25.375" style="49" customWidth="1"/>
    <col min="8497" max="8497" width="25.125" style="49" bestFit="1" customWidth="1"/>
    <col min="8498" max="8499" width="20" style="49" customWidth="1"/>
    <col min="8500" max="8705" width="9" style="49"/>
    <col min="8706" max="8706" width="35" style="49" customWidth="1"/>
    <col min="8707" max="8707" width="11.25" style="49" bestFit="1" customWidth="1"/>
    <col min="8708" max="8708" width="12" style="49" customWidth="1"/>
    <col min="8709" max="8709" width="8.25" style="49" customWidth="1"/>
    <col min="8710" max="8710" width="10" style="49" customWidth="1"/>
    <col min="8711" max="8711" width="9.875" style="49" customWidth="1"/>
    <col min="8712" max="8713" width="9.75" style="49" customWidth="1"/>
    <col min="8714" max="8714" width="9" style="49" customWidth="1"/>
    <col min="8715" max="8715" width="9" style="49"/>
    <col min="8716" max="8716" width="5.625" style="49" customWidth="1"/>
    <col min="8717" max="8717" width="9.25" style="49" customWidth="1"/>
    <col min="8718" max="8719" width="9" style="49"/>
    <col min="8720" max="8720" width="38.875" style="49" customWidth="1"/>
    <col min="8721" max="8721" width="7.75" style="49" customWidth="1"/>
    <col min="8722" max="8722" width="23.625" style="49" customWidth="1"/>
    <col min="8723" max="8724" width="11.875" style="49" customWidth="1"/>
    <col min="8725" max="8725" width="25.875" style="49" customWidth="1"/>
    <col min="8726" max="8726" width="9.25" style="49" customWidth="1"/>
    <col min="8727" max="8727" width="9.375" style="49" customWidth="1"/>
    <col min="8728" max="8728" width="11.5" style="49" customWidth="1"/>
    <col min="8729" max="8729" width="21.625" style="49" bestFit="1" customWidth="1"/>
    <col min="8730" max="8730" width="9" style="49"/>
    <col min="8731" max="8740" width="6.625" style="49" customWidth="1"/>
    <col min="8741" max="8741" width="9" style="49"/>
    <col min="8742" max="8742" width="9" style="49" customWidth="1"/>
    <col min="8743" max="8749" width="9" style="49"/>
    <col min="8750" max="8750" width="10.125" style="49" customWidth="1"/>
    <col min="8751" max="8751" width="10.25" style="49" bestFit="1" customWidth="1"/>
    <col min="8752" max="8752" width="25.375" style="49" customWidth="1"/>
    <col min="8753" max="8753" width="25.125" style="49" bestFit="1" customWidth="1"/>
    <col min="8754" max="8755" width="20" style="49" customWidth="1"/>
    <col min="8756" max="8961" width="9" style="49"/>
    <col min="8962" max="8962" width="35" style="49" customWidth="1"/>
    <col min="8963" max="8963" width="11.25" style="49" bestFit="1" customWidth="1"/>
    <col min="8964" max="8964" width="12" style="49" customWidth="1"/>
    <col min="8965" max="8965" width="8.25" style="49" customWidth="1"/>
    <col min="8966" max="8966" width="10" style="49" customWidth="1"/>
    <col min="8967" max="8967" width="9.875" style="49" customWidth="1"/>
    <col min="8968" max="8969" width="9.75" style="49" customWidth="1"/>
    <col min="8970" max="8970" width="9" style="49" customWidth="1"/>
    <col min="8971" max="8971" width="9" style="49"/>
    <col min="8972" max="8972" width="5.625" style="49" customWidth="1"/>
    <col min="8973" max="8973" width="9.25" style="49" customWidth="1"/>
    <col min="8974" max="8975" width="9" style="49"/>
    <col min="8976" max="8976" width="38.875" style="49" customWidth="1"/>
    <col min="8977" max="8977" width="7.75" style="49" customWidth="1"/>
    <col min="8978" max="8978" width="23.625" style="49" customWidth="1"/>
    <col min="8979" max="8980" width="11.875" style="49" customWidth="1"/>
    <col min="8981" max="8981" width="25.875" style="49" customWidth="1"/>
    <col min="8982" max="8982" width="9.25" style="49" customWidth="1"/>
    <col min="8983" max="8983" width="9.375" style="49" customWidth="1"/>
    <col min="8984" max="8984" width="11.5" style="49" customWidth="1"/>
    <col min="8985" max="8985" width="21.625" style="49" bestFit="1" customWidth="1"/>
    <col min="8986" max="8986" width="9" style="49"/>
    <col min="8987" max="8996" width="6.625" style="49" customWidth="1"/>
    <col min="8997" max="8997" width="9" style="49"/>
    <col min="8998" max="8998" width="9" style="49" customWidth="1"/>
    <col min="8999" max="9005" width="9" style="49"/>
    <col min="9006" max="9006" width="10.125" style="49" customWidth="1"/>
    <col min="9007" max="9007" width="10.25" style="49" bestFit="1" customWidth="1"/>
    <col min="9008" max="9008" width="25.375" style="49" customWidth="1"/>
    <col min="9009" max="9009" width="25.125" style="49" bestFit="1" customWidth="1"/>
    <col min="9010" max="9011" width="20" style="49" customWidth="1"/>
    <col min="9012" max="9217" width="9" style="49"/>
    <col min="9218" max="9218" width="35" style="49" customWidth="1"/>
    <col min="9219" max="9219" width="11.25" style="49" bestFit="1" customWidth="1"/>
    <col min="9220" max="9220" width="12" style="49" customWidth="1"/>
    <col min="9221" max="9221" width="8.25" style="49" customWidth="1"/>
    <col min="9222" max="9222" width="10" style="49" customWidth="1"/>
    <col min="9223" max="9223" width="9.875" style="49" customWidth="1"/>
    <col min="9224" max="9225" width="9.75" style="49" customWidth="1"/>
    <col min="9226" max="9226" width="9" style="49" customWidth="1"/>
    <col min="9227" max="9227" width="9" style="49"/>
    <col min="9228" max="9228" width="5.625" style="49" customWidth="1"/>
    <col min="9229" max="9229" width="9.25" style="49" customWidth="1"/>
    <col min="9230" max="9231" width="9" style="49"/>
    <col min="9232" max="9232" width="38.875" style="49" customWidth="1"/>
    <col min="9233" max="9233" width="7.75" style="49" customWidth="1"/>
    <col min="9234" max="9234" width="23.625" style="49" customWidth="1"/>
    <col min="9235" max="9236" width="11.875" style="49" customWidth="1"/>
    <col min="9237" max="9237" width="25.875" style="49" customWidth="1"/>
    <col min="9238" max="9238" width="9.25" style="49" customWidth="1"/>
    <col min="9239" max="9239" width="9.375" style="49" customWidth="1"/>
    <col min="9240" max="9240" width="11.5" style="49" customWidth="1"/>
    <col min="9241" max="9241" width="21.625" style="49" bestFit="1" customWidth="1"/>
    <col min="9242" max="9242" width="9" style="49"/>
    <col min="9243" max="9252" width="6.625" style="49" customWidth="1"/>
    <col min="9253" max="9253" width="9" style="49"/>
    <col min="9254" max="9254" width="9" style="49" customWidth="1"/>
    <col min="9255" max="9261" width="9" style="49"/>
    <col min="9262" max="9262" width="10.125" style="49" customWidth="1"/>
    <col min="9263" max="9263" width="10.25" style="49" bestFit="1" customWidth="1"/>
    <col min="9264" max="9264" width="25.375" style="49" customWidth="1"/>
    <col min="9265" max="9265" width="25.125" style="49" bestFit="1" customWidth="1"/>
    <col min="9266" max="9267" width="20" style="49" customWidth="1"/>
    <col min="9268" max="9473" width="9" style="49"/>
    <col min="9474" max="9474" width="35" style="49" customWidth="1"/>
    <col min="9475" max="9475" width="11.25" style="49" bestFit="1" customWidth="1"/>
    <col min="9476" max="9476" width="12" style="49" customWidth="1"/>
    <col min="9477" max="9477" width="8.25" style="49" customWidth="1"/>
    <col min="9478" max="9478" width="10" style="49" customWidth="1"/>
    <col min="9479" max="9479" width="9.875" style="49" customWidth="1"/>
    <col min="9480" max="9481" width="9.75" style="49" customWidth="1"/>
    <col min="9482" max="9482" width="9" style="49" customWidth="1"/>
    <col min="9483" max="9483" width="9" style="49"/>
    <col min="9484" max="9484" width="5.625" style="49" customWidth="1"/>
    <col min="9485" max="9485" width="9.25" style="49" customWidth="1"/>
    <col min="9486" max="9487" width="9" style="49"/>
    <col min="9488" max="9488" width="38.875" style="49" customWidth="1"/>
    <col min="9489" max="9489" width="7.75" style="49" customWidth="1"/>
    <col min="9490" max="9490" width="23.625" style="49" customWidth="1"/>
    <col min="9491" max="9492" width="11.875" style="49" customWidth="1"/>
    <col min="9493" max="9493" width="25.875" style="49" customWidth="1"/>
    <col min="9494" max="9494" width="9.25" style="49" customWidth="1"/>
    <col min="9495" max="9495" width="9.375" style="49" customWidth="1"/>
    <col min="9496" max="9496" width="11.5" style="49" customWidth="1"/>
    <col min="9497" max="9497" width="21.625" style="49" bestFit="1" customWidth="1"/>
    <col min="9498" max="9498" width="9" style="49"/>
    <col min="9499" max="9508" width="6.625" style="49" customWidth="1"/>
    <col min="9509" max="9509" width="9" style="49"/>
    <col min="9510" max="9510" width="9" style="49" customWidth="1"/>
    <col min="9511" max="9517" width="9" style="49"/>
    <col min="9518" max="9518" width="10.125" style="49" customWidth="1"/>
    <col min="9519" max="9519" width="10.25" style="49" bestFit="1" customWidth="1"/>
    <col min="9520" max="9520" width="25.375" style="49" customWidth="1"/>
    <col min="9521" max="9521" width="25.125" style="49" bestFit="1" customWidth="1"/>
    <col min="9522" max="9523" width="20" style="49" customWidth="1"/>
    <col min="9524" max="9729" width="9" style="49"/>
    <col min="9730" max="9730" width="35" style="49" customWidth="1"/>
    <col min="9731" max="9731" width="11.25" style="49" bestFit="1" customWidth="1"/>
    <col min="9732" max="9732" width="12" style="49" customWidth="1"/>
    <col min="9733" max="9733" width="8.25" style="49" customWidth="1"/>
    <col min="9734" max="9734" width="10" style="49" customWidth="1"/>
    <col min="9735" max="9735" width="9.875" style="49" customWidth="1"/>
    <col min="9736" max="9737" width="9.75" style="49" customWidth="1"/>
    <col min="9738" max="9738" width="9" style="49" customWidth="1"/>
    <col min="9739" max="9739" width="9" style="49"/>
    <col min="9740" max="9740" width="5.625" style="49" customWidth="1"/>
    <col min="9741" max="9741" width="9.25" style="49" customWidth="1"/>
    <col min="9742" max="9743" width="9" style="49"/>
    <col min="9744" max="9744" width="38.875" style="49" customWidth="1"/>
    <col min="9745" max="9745" width="7.75" style="49" customWidth="1"/>
    <col min="9746" max="9746" width="23.625" style="49" customWidth="1"/>
    <col min="9747" max="9748" width="11.875" style="49" customWidth="1"/>
    <col min="9749" max="9749" width="25.875" style="49" customWidth="1"/>
    <col min="9750" max="9750" width="9.25" style="49" customWidth="1"/>
    <col min="9751" max="9751" width="9.375" style="49" customWidth="1"/>
    <col min="9752" max="9752" width="11.5" style="49" customWidth="1"/>
    <col min="9753" max="9753" width="21.625" style="49" bestFit="1" customWidth="1"/>
    <col min="9754" max="9754" width="9" style="49"/>
    <col min="9755" max="9764" width="6.625" style="49" customWidth="1"/>
    <col min="9765" max="9765" width="9" style="49"/>
    <col min="9766" max="9766" width="9" style="49" customWidth="1"/>
    <col min="9767" max="9773" width="9" style="49"/>
    <col min="9774" max="9774" width="10.125" style="49" customWidth="1"/>
    <col min="9775" max="9775" width="10.25" style="49" bestFit="1" customWidth="1"/>
    <col min="9776" max="9776" width="25.375" style="49" customWidth="1"/>
    <col min="9777" max="9777" width="25.125" style="49" bestFit="1" customWidth="1"/>
    <col min="9778" max="9779" width="20" style="49" customWidth="1"/>
    <col min="9780" max="9985" width="9" style="49"/>
    <col min="9986" max="9986" width="35" style="49" customWidth="1"/>
    <col min="9987" max="9987" width="11.25" style="49" bestFit="1" customWidth="1"/>
    <col min="9988" max="9988" width="12" style="49" customWidth="1"/>
    <col min="9989" max="9989" width="8.25" style="49" customWidth="1"/>
    <col min="9990" max="9990" width="10" style="49" customWidth="1"/>
    <col min="9991" max="9991" width="9.875" style="49" customWidth="1"/>
    <col min="9992" max="9993" width="9.75" style="49" customWidth="1"/>
    <col min="9994" max="9994" width="9" style="49" customWidth="1"/>
    <col min="9995" max="9995" width="9" style="49"/>
    <col min="9996" max="9996" width="5.625" style="49" customWidth="1"/>
    <col min="9997" max="9997" width="9.25" style="49" customWidth="1"/>
    <col min="9998" max="9999" width="9" style="49"/>
    <col min="10000" max="10000" width="38.875" style="49" customWidth="1"/>
    <col min="10001" max="10001" width="7.75" style="49" customWidth="1"/>
    <col min="10002" max="10002" width="23.625" style="49" customWidth="1"/>
    <col min="10003" max="10004" width="11.875" style="49" customWidth="1"/>
    <col min="10005" max="10005" width="25.875" style="49" customWidth="1"/>
    <col min="10006" max="10006" width="9.25" style="49" customWidth="1"/>
    <col min="10007" max="10007" width="9.375" style="49" customWidth="1"/>
    <col min="10008" max="10008" width="11.5" style="49" customWidth="1"/>
    <col min="10009" max="10009" width="21.625" style="49" bestFit="1" customWidth="1"/>
    <col min="10010" max="10010" width="9" style="49"/>
    <col min="10011" max="10020" width="6.625" style="49" customWidth="1"/>
    <col min="10021" max="10021" width="9" style="49"/>
    <col min="10022" max="10022" width="9" style="49" customWidth="1"/>
    <col min="10023" max="10029" width="9" style="49"/>
    <col min="10030" max="10030" width="10.125" style="49" customWidth="1"/>
    <col min="10031" max="10031" width="10.25" style="49" bestFit="1" customWidth="1"/>
    <col min="10032" max="10032" width="25.375" style="49" customWidth="1"/>
    <col min="10033" max="10033" width="25.125" style="49" bestFit="1" customWidth="1"/>
    <col min="10034" max="10035" width="20" style="49" customWidth="1"/>
    <col min="10036" max="10241" width="9" style="49"/>
    <col min="10242" max="10242" width="35" style="49" customWidth="1"/>
    <col min="10243" max="10243" width="11.25" style="49" bestFit="1" customWidth="1"/>
    <col min="10244" max="10244" width="12" style="49" customWidth="1"/>
    <col min="10245" max="10245" width="8.25" style="49" customWidth="1"/>
    <col min="10246" max="10246" width="10" style="49" customWidth="1"/>
    <col min="10247" max="10247" width="9.875" style="49" customWidth="1"/>
    <col min="10248" max="10249" width="9.75" style="49" customWidth="1"/>
    <col min="10250" max="10250" width="9" style="49" customWidth="1"/>
    <col min="10251" max="10251" width="9" style="49"/>
    <col min="10252" max="10252" width="5.625" style="49" customWidth="1"/>
    <col min="10253" max="10253" width="9.25" style="49" customWidth="1"/>
    <col min="10254" max="10255" width="9" style="49"/>
    <col min="10256" max="10256" width="38.875" style="49" customWidth="1"/>
    <col min="10257" max="10257" width="7.75" style="49" customWidth="1"/>
    <col min="10258" max="10258" width="23.625" style="49" customWidth="1"/>
    <col min="10259" max="10260" width="11.875" style="49" customWidth="1"/>
    <col min="10261" max="10261" width="25.875" style="49" customWidth="1"/>
    <col min="10262" max="10262" width="9.25" style="49" customWidth="1"/>
    <col min="10263" max="10263" width="9.375" style="49" customWidth="1"/>
    <col min="10264" max="10264" width="11.5" style="49" customWidth="1"/>
    <col min="10265" max="10265" width="21.625" style="49" bestFit="1" customWidth="1"/>
    <col min="10266" max="10266" width="9" style="49"/>
    <col min="10267" max="10276" width="6.625" style="49" customWidth="1"/>
    <col min="10277" max="10277" width="9" style="49"/>
    <col min="10278" max="10278" width="9" style="49" customWidth="1"/>
    <col min="10279" max="10285" width="9" style="49"/>
    <col min="10286" max="10286" width="10.125" style="49" customWidth="1"/>
    <col min="10287" max="10287" width="10.25" style="49" bestFit="1" customWidth="1"/>
    <col min="10288" max="10288" width="25.375" style="49" customWidth="1"/>
    <col min="10289" max="10289" width="25.125" style="49" bestFit="1" customWidth="1"/>
    <col min="10290" max="10291" width="20" style="49" customWidth="1"/>
    <col min="10292" max="10497" width="9" style="49"/>
    <col min="10498" max="10498" width="35" style="49" customWidth="1"/>
    <col min="10499" max="10499" width="11.25" style="49" bestFit="1" customWidth="1"/>
    <col min="10500" max="10500" width="12" style="49" customWidth="1"/>
    <col min="10501" max="10501" width="8.25" style="49" customWidth="1"/>
    <col min="10502" max="10502" width="10" style="49" customWidth="1"/>
    <col min="10503" max="10503" width="9.875" style="49" customWidth="1"/>
    <col min="10504" max="10505" width="9.75" style="49" customWidth="1"/>
    <col min="10506" max="10506" width="9" style="49" customWidth="1"/>
    <col min="10507" max="10507" width="9" style="49"/>
    <col min="10508" max="10508" width="5.625" style="49" customWidth="1"/>
    <col min="10509" max="10509" width="9.25" style="49" customWidth="1"/>
    <col min="10510" max="10511" width="9" style="49"/>
    <col min="10512" max="10512" width="38.875" style="49" customWidth="1"/>
    <col min="10513" max="10513" width="7.75" style="49" customWidth="1"/>
    <col min="10514" max="10514" width="23.625" style="49" customWidth="1"/>
    <col min="10515" max="10516" width="11.875" style="49" customWidth="1"/>
    <col min="10517" max="10517" width="25.875" style="49" customWidth="1"/>
    <col min="10518" max="10518" width="9.25" style="49" customWidth="1"/>
    <col min="10519" max="10519" width="9.375" style="49" customWidth="1"/>
    <col min="10520" max="10520" width="11.5" style="49" customWidth="1"/>
    <col min="10521" max="10521" width="21.625" style="49" bestFit="1" customWidth="1"/>
    <col min="10522" max="10522" width="9" style="49"/>
    <col min="10523" max="10532" width="6.625" style="49" customWidth="1"/>
    <col min="10533" max="10533" width="9" style="49"/>
    <col min="10534" max="10534" width="9" style="49" customWidth="1"/>
    <col min="10535" max="10541" width="9" style="49"/>
    <col min="10542" max="10542" width="10.125" style="49" customWidth="1"/>
    <col min="10543" max="10543" width="10.25" style="49" bestFit="1" customWidth="1"/>
    <col min="10544" max="10544" width="25.375" style="49" customWidth="1"/>
    <col min="10545" max="10545" width="25.125" style="49" bestFit="1" customWidth="1"/>
    <col min="10546" max="10547" width="20" style="49" customWidth="1"/>
    <col min="10548" max="10753" width="9" style="49"/>
    <col min="10754" max="10754" width="35" style="49" customWidth="1"/>
    <col min="10755" max="10755" width="11.25" style="49" bestFit="1" customWidth="1"/>
    <col min="10756" max="10756" width="12" style="49" customWidth="1"/>
    <col min="10757" max="10757" width="8.25" style="49" customWidth="1"/>
    <col min="10758" max="10758" width="10" style="49" customWidth="1"/>
    <col min="10759" max="10759" width="9.875" style="49" customWidth="1"/>
    <col min="10760" max="10761" width="9.75" style="49" customWidth="1"/>
    <col min="10762" max="10762" width="9" style="49" customWidth="1"/>
    <col min="10763" max="10763" width="9" style="49"/>
    <col min="10764" max="10764" width="5.625" style="49" customWidth="1"/>
    <col min="10765" max="10765" width="9.25" style="49" customWidth="1"/>
    <col min="10766" max="10767" width="9" style="49"/>
    <col min="10768" max="10768" width="38.875" style="49" customWidth="1"/>
    <col min="10769" max="10769" width="7.75" style="49" customWidth="1"/>
    <col min="10770" max="10770" width="23.625" style="49" customWidth="1"/>
    <col min="10771" max="10772" width="11.875" style="49" customWidth="1"/>
    <col min="10773" max="10773" width="25.875" style="49" customWidth="1"/>
    <col min="10774" max="10774" width="9.25" style="49" customWidth="1"/>
    <col min="10775" max="10775" width="9.375" style="49" customWidth="1"/>
    <col min="10776" max="10776" width="11.5" style="49" customWidth="1"/>
    <col min="10777" max="10777" width="21.625" style="49" bestFit="1" customWidth="1"/>
    <col min="10778" max="10778" width="9" style="49"/>
    <col min="10779" max="10788" width="6.625" style="49" customWidth="1"/>
    <col min="10789" max="10789" width="9" style="49"/>
    <col min="10790" max="10790" width="9" style="49" customWidth="1"/>
    <col min="10791" max="10797" width="9" style="49"/>
    <col min="10798" max="10798" width="10.125" style="49" customWidth="1"/>
    <col min="10799" max="10799" width="10.25" style="49" bestFit="1" customWidth="1"/>
    <col min="10800" max="10800" width="25.375" style="49" customWidth="1"/>
    <col min="10801" max="10801" width="25.125" style="49" bestFit="1" customWidth="1"/>
    <col min="10802" max="10803" width="20" style="49" customWidth="1"/>
    <col min="10804" max="11009" width="9" style="49"/>
    <col min="11010" max="11010" width="35" style="49" customWidth="1"/>
    <col min="11011" max="11011" width="11.25" style="49" bestFit="1" customWidth="1"/>
    <col min="11012" max="11012" width="12" style="49" customWidth="1"/>
    <col min="11013" max="11013" width="8.25" style="49" customWidth="1"/>
    <col min="11014" max="11014" width="10" style="49" customWidth="1"/>
    <col min="11015" max="11015" width="9.875" style="49" customWidth="1"/>
    <col min="11016" max="11017" width="9.75" style="49" customWidth="1"/>
    <col min="11018" max="11018" width="9" style="49" customWidth="1"/>
    <col min="11019" max="11019" width="9" style="49"/>
    <col min="11020" max="11020" width="5.625" style="49" customWidth="1"/>
    <col min="11021" max="11021" width="9.25" style="49" customWidth="1"/>
    <col min="11022" max="11023" width="9" style="49"/>
    <col min="11024" max="11024" width="38.875" style="49" customWidth="1"/>
    <col min="11025" max="11025" width="7.75" style="49" customWidth="1"/>
    <col min="11026" max="11026" width="23.625" style="49" customWidth="1"/>
    <col min="11027" max="11028" width="11.875" style="49" customWidth="1"/>
    <col min="11029" max="11029" width="25.875" style="49" customWidth="1"/>
    <col min="11030" max="11030" width="9.25" style="49" customWidth="1"/>
    <col min="11031" max="11031" width="9.375" style="49" customWidth="1"/>
    <col min="11032" max="11032" width="11.5" style="49" customWidth="1"/>
    <col min="11033" max="11033" width="21.625" style="49" bestFit="1" customWidth="1"/>
    <col min="11034" max="11034" width="9" style="49"/>
    <col min="11035" max="11044" width="6.625" style="49" customWidth="1"/>
    <col min="11045" max="11045" width="9" style="49"/>
    <col min="11046" max="11046" width="9" style="49" customWidth="1"/>
    <col min="11047" max="11053" width="9" style="49"/>
    <col min="11054" max="11054" width="10.125" style="49" customWidth="1"/>
    <col min="11055" max="11055" width="10.25" style="49" bestFit="1" customWidth="1"/>
    <col min="11056" max="11056" width="25.375" style="49" customWidth="1"/>
    <col min="11057" max="11057" width="25.125" style="49" bestFit="1" customWidth="1"/>
    <col min="11058" max="11059" width="20" style="49" customWidth="1"/>
    <col min="11060" max="11265" width="9" style="49"/>
    <col min="11266" max="11266" width="35" style="49" customWidth="1"/>
    <col min="11267" max="11267" width="11.25" style="49" bestFit="1" customWidth="1"/>
    <col min="11268" max="11268" width="12" style="49" customWidth="1"/>
    <col min="11269" max="11269" width="8.25" style="49" customWidth="1"/>
    <col min="11270" max="11270" width="10" style="49" customWidth="1"/>
    <col min="11271" max="11271" width="9.875" style="49" customWidth="1"/>
    <col min="11272" max="11273" width="9.75" style="49" customWidth="1"/>
    <col min="11274" max="11274" width="9" style="49" customWidth="1"/>
    <col min="11275" max="11275" width="9" style="49"/>
    <col min="11276" max="11276" width="5.625" style="49" customWidth="1"/>
    <col min="11277" max="11277" width="9.25" style="49" customWidth="1"/>
    <col min="11278" max="11279" width="9" style="49"/>
    <col min="11280" max="11280" width="38.875" style="49" customWidth="1"/>
    <col min="11281" max="11281" width="7.75" style="49" customWidth="1"/>
    <col min="11282" max="11282" width="23.625" style="49" customWidth="1"/>
    <col min="11283" max="11284" width="11.875" style="49" customWidth="1"/>
    <col min="11285" max="11285" width="25.875" style="49" customWidth="1"/>
    <col min="11286" max="11286" width="9.25" style="49" customWidth="1"/>
    <col min="11287" max="11287" width="9.375" style="49" customWidth="1"/>
    <col min="11288" max="11288" width="11.5" style="49" customWidth="1"/>
    <col min="11289" max="11289" width="21.625" style="49" bestFit="1" customWidth="1"/>
    <col min="11290" max="11290" width="9" style="49"/>
    <col min="11291" max="11300" width="6.625" style="49" customWidth="1"/>
    <col min="11301" max="11301" width="9" style="49"/>
    <col min="11302" max="11302" width="9" style="49" customWidth="1"/>
    <col min="11303" max="11309" width="9" style="49"/>
    <col min="11310" max="11310" width="10.125" style="49" customWidth="1"/>
    <col min="11311" max="11311" width="10.25" style="49" bestFit="1" customWidth="1"/>
    <col min="11312" max="11312" width="25.375" style="49" customWidth="1"/>
    <col min="11313" max="11313" width="25.125" style="49" bestFit="1" customWidth="1"/>
    <col min="11314" max="11315" width="20" style="49" customWidth="1"/>
    <col min="11316" max="11521" width="9" style="49"/>
    <col min="11522" max="11522" width="35" style="49" customWidth="1"/>
    <col min="11523" max="11523" width="11.25" style="49" bestFit="1" customWidth="1"/>
    <col min="11524" max="11524" width="12" style="49" customWidth="1"/>
    <col min="11525" max="11525" width="8.25" style="49" customWidth="1"/>
    <col min="11526" max="11526" width="10" style="49" customWidth="1"/>
    <col min="11527" max="11527" width="9.875" style="49" customWidth="1"/>
    <col min="11528" max="11529" width="9.75" style="49" customWidth="1"/>
    <col min="11530" max="11530" width="9" style="49" customWidth="1"/>
    <col min="11531" max="11531" width="9" style="49"/>
    <col min="11532" max="11532" width="5.625" style="49" customWidth="1"/>
    <col min="11533" max="11533" width="9.25" style="49" customWidth="1"/>
    <col min="11534" max="11535" width="9" style="49"/>
    <col min="11536" max="11536" width="38.875" style="49" customWidth="1"/>
    <col min="11537" max="11537" width="7.75" style="49" customWidth="1"/>
    <col min="11538" max="11538" width="23.625" style="49" customWidth="1"/>
    <col min="11539" max="11540" width="11.875" style="49" customWidth="1"/>
    <col min="11541" max="11541" width="25.875" style="49" customWidth="1"/>
    <col min="11542" max="11542" width="9.25" style="49" customWidth="1"/>
    <col min="11543" max="11543" width="9.375" style="49" customWidth="1"/>
    <col min="11544" max="11544" width="11.5" style="49" customWidth="1"/>
    <col min="11545" max="11545" width="21.625" style="49" bestFit="1" customWidth="1"/>
    <col min="11546" max="11546" width="9" style="49"/>
    <col min="11547" max="11556" width="6.625" style="49" customWidth="1"/>
    <col min="11557" max="11557" width="9" style="49"/>
    <col min="11558" max="11558" width="9" style="49" customWidth="1"/>
    <col min="11559" max="11565" width="9" style="49"/>
    <col min="11566" max="11566" width="10.125" style="49" customWidth="1"/>
    <col min="11567" max="11567" width="10.25" style="49" bestFit="1" customWidth="1"/>
    <col min="11568" max="11568" width="25.375" style="49" customWidth="1"/>
    <col min="11569" max="11569" width="25.125" style="49" bestFit="1" customWidth="1"/>
    <col min="11570" max="11571" width="20" style="49" customWidth="1"/>
    <col min="11572" max="11777" width="9" style="49"/>
    <col min="11778" max="11778" width="35" style="49" customWidth="1"/>
    <col min="11779" max="11779" width="11.25" style="49" bestFit="1" customWidth="1"/>
    <col min="11780" max="11780" width="12" style="49" customWidth="1"/>
    <col min="11781" max="11781" width="8.25" style="49" customWidth="1"/>
    <col min="11782" max="11782" width="10" style="49" customWidth="1"/>
    <col min="11783" max="11783" width="9.875" style="49" customWidth="1"/>
    <col min="11784" max="11785" width="9.75" style="49" customWidth="1"/>
    <col min="11786" max="11786" width="9" style="49" customWidth="1"/>
    <col min="11787" max="11787" width="9" style="49"/>
    <col min="11788" max="11788" width="5.625" style="49" customWidth="1"/>
    <col min="11789" max="11789" width="9.25" style="49" customWidth="1"/>
    <col min="11790" max="11791" width="9" style="49"/>
    <col min="11792" max="11792" width="38.875" style="49" customWidth="1"/>
    <col min="11793" max="11793" width="7.75" style="49" customWidth="1"/>
    <col min="11794" max="11794" width="23.625" style="49" customWidth="1"/>
    <col min="11795" max="11796" width="11.875" style="49" customWidth="1"/>
    <col min="11797" max="11797" width="25.875" style="49" customWidth="1"/>
    <col min="11798" max="11798" width="9.25" style="49" customWidth="1"/>
    <col min="11799" max="11799" width="9.375" style="49" customWidth="1"/>
    <col min="11800" max="11800" width="11.5" style="49" customWidth="1"/>
    <col min="11801" max="11801" width="21.625" style="49" bestFit="1" customWidth="1"/>
    <col min="11802" max="11802" width="9" style="49"/>
    <col min="11803" max="11812" width="6.625" style="49" customWidth="1"/>
    <col min="11813" max="11813" width="9" style="49"/>
    <col min="11814" max="11814" width="9" style="49" customWidth="1"/>
    <col min="11815" max="11821" width="9" style="49"/>
    <col min="11822" max="11822" width="10.125" style="49" customWidth="1"/>
    <col min="11823" max="11823" width="10.25" style="49" bestFit="1" customWidth="1"/>
    <col min="11824" max="11824" width="25.375" style="49" customWidth="1"/>
    <col min="11825" max="11825" width="25.125" style="49" bestFit="1" customWidth="1"/>
    <col min="11826" max="11827" width="20" style="49" customWidth="1"/>
    <col min="11828" max="12033" width="9" style="49"/>
    <col min="12034" max="12034" width="35" style="49" customWidth="1"/>
    <col min="12035" max="12035" width="11.25" style="49" bestFit="1" customWidth="1"/>
    <col min="12036" max="12036" width="12" style="49" customWidth="1"/>
    <col min="12037" max="12037" width="8.25" style="49" customWidth="1"/>
    <col min="12038" max="12038" width="10" style="49" customWidth="1"/>
    <col min="12039" max="12039" width="9.875" style="49" customWidth="1"/>
    <col min="12040" max="12041" width="9.75" style="49" customWidth="1"/>
    <col min="12042" max="12042" width="9" style="49" customWidth="1"/>
    <col min="12043" max="12043" width="9" style="49"/>
    <col min="12044" max="12044" width="5.625" style="49" customWidth="1"/>
    <col min="12045" max="12045" width="9.25" style="49" customWidth="1"/>
    <col min="12046" max="12047" width="9" style="49"/>
    <col min="12048" max="12048" width="38.875" style="49" customWidth="1"/>
    <col min="12049" max="12049" width="7.75" style="49" customWidth="1"/>
    <col min="12050" max="12050" width="23.625" style="49" customWidth="1"/>
    <col min="12051" max="12052" width="11.875" style="49" customWidth="1"/>
    <col min="12053" max="12053" width="25.875" style="49" customWidth="1"/>
    <col min="12054" max="12054" width="9.25" style="49" customWidth="1"/>
    <col min="12055" max="12055" width="9.375" style="49" customWidth="1"/>
    <col min="12056" max="12056" width="11.5" style="49" customWidth="1"/>
    <col min="12057" max="12057" width="21.625" style="49" bestFit="1" customWidth="1"/>
    <col min="12058" max="12058" width="9" style="49"/>
    <col min="12059" max="12068" width="6.625" style="49" customWidth="1"/>
    <col min="12069" max="12069" width="9" style="49"/>
    <col min="12070" max="12070" width="9" style="49" customWidth="1"/>
    <col min="12071" max="12077" width="9" style="49"/>
    <col min="12078" max="12078" width="10.125" style="49" customWidth="1"/>
    <col min="12079" max="12079" width="10.25" style="49" bestFit="1" customWidth="1"/>
    <col min="12080" max="12080" width="25.375" style="49" customWidth="1"/>
    <col min="12081" max="12081" width="25.125" style="49" bestFit="1" customWidth="1"/>
    <col min="12082" max="12083" width="20" style="49" customWidth="1"/>
    <col min="12084" max="12289" width="9" style="49"/>
    <col min="12290" max="12290" width="35" style="49" customWidth="1"/>
    <col min="12291" max="12291" width="11.25" style="49" bestFit="1" customWidth="1"/>
    <col min="12292" max="12292" width="12" style="49" customWidth="1"/>
    <col min="12293" max="12293" width="8.25" style="49" customWidth="1"/>
    <col min="12294" max="12294" width="10" style="49" customWidth="1"/>
    <col min="12295" max="12295" width="9.875" style="49" customWidth="1"/>
    <col min="12296" max="12297" width="9.75" style="49" customWidth="1"/>
    <col min="12298" max="12298" width="9" style="49" customWidth="1"/>
    <col min="12299" max="12299" width="9" style="49"/>
    <col min="12300" max="12300" width="5.625" style="49" customWidth="1"/>
    <col min="12301" max="12301" width="9.25" style="49" customWidth="1"/>
    <col min="12302" max="12303" width="9" style="49"/>
    <col min="12304" max="12304" width="38.875" style="49" customWidth="1"/>
    <col min="12305" max="12305" width="7.75" style="49" customWidth="1"/>
    <col min="12306" max="12306" width="23.625" style="49" customWidth="1"/>
    <col min="12307" max="12308" width="11.875" style="49" customWidth="1"/>
    <col min="12309" max="12309" width="25.875" style="49" customWidth="1"/>
    <col min="12310" max="12310" width="9.25" style="49" customWidth="1"/>
    <col min="12311" max="12311" width="9.375" style="49" customWidth="1"/>
    <col min="12312" max="12312" width="11.5" style="49" customWidth="1"/>
    <col min="12313" max="12313" width="21.625" style="49" bestFit="1" customWidth="1"/>
    <col min="12314" max="12314" width="9" style="49"/>
    <col min="12315" max="12324" width="6.625" style="49" customWidth="1"/>
    <col min="12325" max="12325" width="9" style="49"/>
    <col min="12326" max="12326" width="9" style="49" customWidth="1"/>
    <col min="12327" max="12333" width="9" style="49"/>
    <col min="12334" max="12334" width="10.125" style="49" customWidth="1"/>
    <col min="12335" max="12335" width="10.25" style="49" bestFit="1" customWidth="1"/>
    <col min="12336" max="12336" width="25.375" style="49" customWidth="1"/>
    <col min="12337" max="12337" width="25.125" style="49" bestFit="1" customWidth="1"/>
    <col min="12338" max="12339" width="20" style="49" customWidth="1"/>
    <col min="12340" max="12545" width="9" style="49"/>
    <col min="12546" max="12546" width="35" style="49" customWidth="1"/>
    <col min="12547" max="12547" width="11.25" style="49" bestFit="1" customWidth="1"/>
    <col min="12548" max="12548" width="12" style="49" customWidth="1"/>
    <col min="12549" max="12549" width="8.25" style="49" customWidth="1"/>
    <col min="12550" max="12550" width="10" style="49" customWidth="1"/>
    <col min="12551" max="12551" width="9.875" style="49" customWidth="1"/>
    <col min="12552" max="12553" width="9.75" style="49" customWidth="1"/>
    <col min="12554" max="12554" width="9" style="49" customWidth="1"/>
    <col min="12555" max="12555" width="9" style="49"/>
    <col min="12556" max="12556" width="5.625" style="49" customWidth="1"/>
    <col min="12557" max="12557" width="9.25" style="49" customWidth="1"/>
    <col min="12558" max="12559" width="9" style="49"/>
    <col min="12560" max="12560" width="38.875" style="49" customWidth="1"/>
    <col min="12561" max="12561" width="7.75" style="49" customWidth="1"/>
    <col min="12562" max="12562" width="23.625" style="49" customWidth="1"/>
    <col min="12563" max="12564" width="11.875" style="49" customWidth="1"/>
    <col min="12565" max="12565" width="25.875" style="49" customWidth="1"/>
    <col min="12566" max="12566" width="9.25" style="49" customWidth="1"/>
    <col min="12567" max="12567" width="9.375" style="49" customWidth="1"/>
    <col min="12568" max="12568" width="11.5" style="49" customWidth="1"/>
    <col min="12569" max="12569" width="21.625" style="49" bestFit="1" customWidth="1"/>
    <col min="12570" max="12570" width="9" style="49"/>
    <col min="12571" max="12580" width="6.625" style="49" customWidth="1"/>
    <col min="12581" max="12581" width="9" style="49"/>
    <col min="12582" max="12582" width="9" style="49" customWidth="1"/>
    <col min="12583" max="12589" width="9" style="49"/>
    <col min="12590" max="12590" width="10.125" style="49" customWidth="1"/>
    <col min="12591" max="12591" width="10.25" style="49" bestFit="1" customWidth="1"/>
    <col min="12592" max="12592" width="25.375" style="49" customWidth="1"/>
    <col min="12593" max="12593" width="25.125" style="49" bestFit="1" customWidth="1"/>
    <col min="12594" max="12595" width="20" style="49" customWidth="1"/>
    <col min="12596" max="12801" width="9" style="49"/>
    <col min="12802" max="12802" width="35" style="49" customWidth="1"/>
    <col min="12803" max="12803" width="11.25" style="49" bestFit="1" customWidth="1"/>
    <col min="12804" max="12804" width="12" style="49" customWidth="1"/>
    <col min="12805" max="12805" width="8.25" style="49" customWidth="1"/>
    <col min="12806" max="12806" width="10" style="49" customWidth="1"/>
    <col min="12807" max="12807" width="9.875" style="49" customWidth="1"/>
    <col min="12808" max="12809" width="9.75" style="49" customWidth="1"/>
    <col min="12810" max="12810" width="9" style="49" customWidth="1"/>
    <col min="12811" max="12811" width="9" style="49"/>
    <col min="12812" max="12812" width="5.625" style="49" customWidth="1"/>
    <col min="12813" max="12813" width="9.25" style="49" customWidth="1"/>
    <col min="12814" max="12815" width="9" style="49"/>
    <col min="12816" max="12816" width="38.875" style="49" customWidth="1"/>
    <col min="12817" max="12817" width="7.75" style="49" customWidth="1"/>
    <col min="12818" max="12818" width="23.625" style="49" customWidth="1"/>
    <col min="12819" max="12820" width="11.875" style="49" customWidth="1"/>
    <col min="12821" max="12821" width="25.875" style="49" customWidth="1"/>
    <col min="12822" max="12822" width="9.25" style="49" customWidth="1"/>
    <col min="12823" max="12823" width="9.375" style="49" customWidth="1"/>
    <col min="12824" max="12824" width="11.5" style="49" customWidth="1"/>
    <col min="12825" max="12825" width="21.625" style="49" bestFit="1" customWidth="1"/>
    <col min="12826" max="12826" width="9" style="49"/>
    <col min="12827" max="12836" width="6.625" style="49" customWidth="1"/>
    <col min="12837" max="12837" width="9" style="49"/>
    <col min="12838" max="12838" width="9" style="49" customWidth="1"/>
    <col min="12839" max="12845" width="9" style="49"/>
    <col min="12846" max="12846" width="10.125" style="49" customWidth="1"/>
    <col min="12847" max="12847" width="10.25" style="49" bestFit="1" customWidth="1"/>
    <col min="12848" max="12848" width="25.375" style="49" customWidth="1"/>
    <col min="12849" max="12849" width="25.125" style="49" bestFit="1" customWidth="1"/>
    <col min="12850" max="12851" width="20" style="49" customWidth="1"/>
    <col min="12852" max="13057" width="9" style="49"/>
    <col min="13058" max="13058" width="35" style="49" customWidth="1"/>
    <col min="13059" max="13059" width="11.25" style="49" bestFit="1" customWidth="1"/>
    <col min="13060" max="13060" width="12" style="49" customWidth="1"/>
    <col min="13061" max="13061" width="8.25" style="49" customWidth="1"/>
    <col min="13062" max="13062" width="10" style="49" customWidth="1"/>
    <col min="13063" max="13063" width="9.875" style="49" customWidth="1"/>
    <col min="13064" max="13065" width="9.75" style="49" customWidth="1"/>
    <col min="13066" max="13066" width="9" style="49" customWidth="1"/>
    <col min="13067" max="13067" width="9" style="49"/>
    <col min="13068" max="13068" width="5.625" style="49" customWidth="1"/>
    <col min="13069" max="13069" width="9.25" style="49" customWidth="1"/>
    <col min="13070" max="13071" width="9" style="49"/>
    <col min="13072" max="13072" width="38.875" style="49" customWidth="1"/>
    <col min="13073" max="13073" width="7.75" style="49" customWidth="1"/>
    <col min="13074" max="13074" width="23.625" style="49" customWidth="1"/>
    <col min="13075" max="13076" width="11.875" style="49" customWidth="1"/>
    <col min="13077" max="13077" width="25.875" style="49" customWidth="1"/>
    <col min="13078" max="13078" width="9.25" style="49" customWidth="1"/>
    <col min="13079" max="13079" width="9.375" style="49" customWidth="1"/>
    <col min="13080" max="13080" width="11.5" style="49" customWidth="1"/>
    <col min="13081" max="13081" width="21.625" style="49" bestFit="1" customWidth="1"/>
    <col min="13082" max="13082" width="9" style="49"/>
    <col min="13083" max="13092" width="6.625" style="49" customWidth="1"/>
    <col min="13093" max="13093" width="9" style="49"/>
    <col min="13094" max="13094" width="9" style="49" customWidth="1"/>
    <col min="13095" max="13101" width="9" style="49"/>
    <col min="13102" max="13102" width="10.125" style="49" customWidth="1"/>
    <col min="13103" max="13103" width="10.25" style="49" bestFit="1" customWidth="1"/>
    <col min="13104" max="13104" width="25.375" style="49" customWidth="1"/>
    <col min="13105" max="13105" width="25.125" style="49" bestFit="1" customWidth="1"/>
    <col min="13106" max="13107" width="20" style="49" customWidth="1"/>
    <col min="13108" max="13313" width="9" style="49"/>
    <col min="13314" max="13314" width="35" style="49" customWidth="1"/>
    <col min="13315" max="13315" width="11.25" style="49" bestFit="1" customWidth="1"/>
    <col min="13316" max="13316" width="12" style="49" customWidth="1"/>
    <col min="13317" max="13317" width="8.25" style="49" customWidth="1"/>
    <col min="13318" max="13318" width="10" style="49" customWidth="1"/>
    <col min="13319" max="13319" width="9.875" style="49" customWidth="1"/>
    <col min="13320" max="13321" width="9.75" style="49" customWidth="1"/>
    <col min="13322" max="13322" width="9" style="49" customWidth="1"/>
    <col min="13323" max="13323" width="9" style="49"/>
    <col min="13324" max="13324" width="5.625" style="49" customWidth="1"/>
    <col min="13325" max="13325" width="9.25" style="49" customWidth="1"/>
    <col min="13326" max="13327" width="9" style="49"/>
    <col min="13328" max="13328" width="38.875" style="49" customWidth="1"/>
    <col min="13329" max="13329" width="7.75" style="49" customWidth="1"/>
    <col min="13330" max="13330" width="23.625" style="49" customWidth="1"/>
    <col min="13331" max="13332" width="11.875" style="49" customWidth="1"/>
    <col min="13333" max="13333" width="25.875" style="49" customWidth="1"/>
    <col min="13334" max="13334" width="9.25" style="49" customWidth="1"/>
    <col min="13335" max="13335" width="9.375" style="49" customWidth="1"/>
    <col min="13336" max="13336" width="11.5" style="49" customWidth="1"/>
    <col min="13337" max="13337" width="21.625" style="49" bestFit="1" customWidth="1"/>
    <col min="13338" max="13338" width="9" style="49"/>
    <col min="13339" max="13348" width="6.625" style="49" customWidth="1"/>
    <col min="13349" max="13349" width="9" style="49"/>
    <col min="13350" max="13350" width="9" style="49" customWidth="1"/>
    <col min="13351" max="13357" width="9" style="49"/>
    <col min="13358" max="13358" width="10.125" style="49" customWidth="1"/>
    <col min="13359" max="13359" width="10.25" style="49" bestFit="1" customWidth="1"/>
    <col min="13360" max="13360" width="25.375" style="49" customWidth="1"/>
    <col min="13361" max="13361" width="25.125" style="49" bestFit="1" customWidth="1"/>
    <col min="13362" max="13363" width="20" style="49" customWidth="1"/>
    <col min="13364" max="13569" width="9" style="49"/>
    <col min="13570" max="13570" width="35" style="49" customWidth="1"/>
    <col min="13571" max="13571" width="11.25" style="49" bestFit="1" customWidth="1"/>
    <col min="13572" max="13572" width="12" style="49" customWidth="1"/>
    <col min="13573" max="13573" width="8.25" style="49" customWidth="1"/>
    <col min="13574" max="13574" width="10" style="49" customWidth="1"/>
    <col min="13575" max="13575" width="9.875" style="49" customWidth="1"/>
    <col min="13576" max="13577" width="9.75" style="49" customWidth="1"/>
    <col min="13578" max="13578" width="9" style="49" customWidth="1"/>
    <col min="13579" max="13579" width="9" style="49"/>
    <col min="13580" max="13580" width="5.625" style="49" customWidth="1"/>
    <col min="13581" max="13581" width="9.25" style="49" customWidth="1"/>
    <col min="13582" max="13583" width="9" style="49"/>
    <col min="13584" max="13584" width="38.875" style="49" customWidth="1"/>
    <col min="13585" max="13585" width="7.75" style="49" customWidth="1"/>
    <col min="13586" max="13586" width="23.625" style="49" customWidth="1"/>
    <col min="13587" max="13588" width="11.875" style="49" customWidth="1"/>
    <col min="13589" max="13589" width="25.875" style="49" customWidth="1"/>
    <col min="13590" max="13590" width="9.25" style="49" customWidth="1"/>
    <col min="13591" max="13591" width="9.375" style="49" customWidth="1"/>
    <col min="13592" max="13592" width="11.5" style="49" customWidth="1"/>
    <col min="13593" max="13593" width="21.625" style="49" bestFit="1" customWidth="1"/>
    <col min="13594" max="13594" width="9" style="49"/>
    <col min="13595" max="13604" width="6.625" style="49" customWidth="1"/>
    <col min="13605" max="13605" width="9" style="49"/>
    <col min="13606" max="13606" width="9" style="49" customWidth="1"/>
    <col min="13607" max="13613" width="9" style="49"/>
    <col min="13614" max="13614" width="10.125" style="49" customWidth="1"/>
    <col min="13615" max="13615" width="10.25" style="49" bestFit="1" customWidth="1"/>
    <col min="13616" max="13616" width="25.375" style="49" customWidth="1"/>
    <col min="13617" max="13617" width="25.125" style="49" bestFit="1" customWidth="1"/>
    <col min="13618" max="13619" width="20" style="49" customWidth="1"/>
    <col min="13620" max="13825" width="9" style="49"/>
    <col min="13826" max="13826" width="35" style="49" customWidth="1"/>
    <col min="13827" max="13827" width="11.25" style="49" bestFit="1" customWidth="1"/>
    <col min="13828" max="13828" width="12" style="49" customWidth="1"/>
    <col min="13829" max="13829" width="8.25" style="49" customWidth="1"/>
    <col min="13830" max="13830" width="10" style="49" customWidth="1"/>
    <col min="13831" max="13831" width="9.875" style="49" customWidth="1"/>
    <col min="13832" max="13833" width="9.75" style="49" customWidth="1"/>
    <col min="13834" max="13834" width="9" style="49" customWidth="1"/>
    <col min="13835" max="13835" width="9" style="49"/>
    <col min="13836" max="13836" width="5.625" style="49" customWidth="1"/>
    <col min="13837" max="13837" width="9.25" style="49" customWidth="1"/>
    <col min="13838" max="13839" width="9" style="49"/>
    <col min="13840" max="13840" width="38.875" style="49" customWidth="1"/>
    <col min="13841" max="13841" width="7.75" style="49" customWidth="1"/>
    <col min="13842" max="13842" width="23.625" style="49" customWidth="1"/>
    <col min="13843" max="13844" width="11.875" style="49" customWidth="1"/>
    <col min="13845" max="13845" width="25.875" style="49" customWidth="1"/>
    <col min="13846" max="13846" width="9.25" style="49" customWidth="1"/>
    <col min="13847" max="13847" width="9.375" style="49" customWidth="1"/>
    <col min="13848" max="13848" width="11.5" style="49" customWidth="1"/>
    <col min="13849" max="13849" width="21.625" style="49" bestFit="1" customWidth="1"/>
    <col min="13850" max="13850" width="9" style="49"/>
    <col min="13851" max="13860" width="6.625" style="49" customWidth="1"/>
    <col min="13861" max="13861" width="9" style="49"/>
    <col min="13862" max="13862" width="9" style="49" customWidth="1"/>
    <col min="13863" max="13869" width="9" style="49"/>
    <col min="13870" max="13870" width="10.125" style="49" customWidth="1"/>
    <col min="13871" max="13871" width="10.25" style="49" bestFit="1" customWidth="1"/>
    <col min="13872" max="13872" width="25.375" style="49" customWidth="1"/>
    <col min="13873" max="13873" width="25.125" style="49" bestFit="1" customWidth="1"/>
    <col min="13874" max="13875" width="20" style="49" customWidth="1"/>
    <col min="13876" max="14081" width="9" style="49"/>
    <col min="14082" max="14082" width="35" style="49" customWidth="1"/>
    <col min="14083" max="14083" width="11.25" style="49" bestFit="1" customWidth="1"/>
    <col min="14084" max="14084" width="12" style="49" customWidth="1"/>
    <col min="14085" max="14085" width="8.25" style="49" customWidth="1"/>
    <col min="14086" max="14086" width="10" style="49" customWidth="1"/>
    <col min="14087" max="14087" width="9.875" style="49" customWidth="1"/>
    <col min="14088" max="14089" width="9.75" style="49" customWidth="1"/>
    <col min="14090" max="14090" width="9" style="49" customWidth="1"/>
    <col min="14091" max="14091" width="9" style="49"/>
    <col min="14092" max="14092" width="5.625" style="49" customWidth="1"/>
    <col min="14093" max="14093" width="9.25" style="49" customWidth="1"/>
    <col min="14094" max="14095" width="9" style="49"/>
    <col min="14096" max="14096" width="38.875" style="49" customWidth="1"/>
    <col min="14097" max="14097" width="7.75" style="49" customWidth="1"/>
    <col min="14098" max="14098" width="23.625" style="49" customWidth="1"/>
    <col min="14099" max="14100" width="11.875" style="49" customWidth="1"/>
    <col min="14101" max="14101" width="25.875" style="49" customWidth="1"/>
    <col min="14102" max="14102" width="9.25" style="49" customWidth="1"/>
    <col min="14103" max="14103" width="9.375" style="49" customWidth="1"/>
    <col min="14104" max="14104" width="11.5" style="49" customWidth="1"/>
    <col min="14105" max="14105" width="21.625" style="49" bestFit="1" customWidth="1"/>
    <col min="14106" max="14106" width="9" style="49"/>
    <col min="14107" max="14116" width="6.625" style="49" customWidth="1"/>
    <col min="14117" max="14117" width="9" style="49"/>
    <col min="14118" max="14118" width="9" style="49" customWidth="1"/>
    <col min="14119" max="14125" width="9" style="49"/>
    <col min="14126" max="14126" width="10.125" style="49" customWidth="1"/>
    <col min="14127" max="14127" width="10.25" style="49" bestFit="1" customWidth="1"/>
    <col min="14128" max="14128" width="25.375" style="49" customWidth="1"/>
    <col min="14129" max="14129" width="25.125" style="49" bestFit="1" customWidth="1"/>
    <col min="14130" max="14131" width="20" style="49" customWidth="1"/>
    <col min="14132" max="14337" width="9" style="49"/>
    <col min="14338" max="14338" width="35" style="49" customWidth="1"/>
    <col min="14339" max="14339" width="11.25" style="49" bestFit="1" customWidth="1"/>
    <col min="14340" max="14340" width="12" style="49" customWidth="1"/>
    <col min="14341" max="14341" width="8.25" style="49" customWidth="1"/>
    <col min="14342" max="14342" width="10" style="49" customWidth="1"/>
    <col min="14343" max="14343" width="9.875" style="49" customWidth="1"/>
    <col min="14344" max="14345" width="9.75" style="49" customWidth="1"/>
    <col min="14346" max="14346" width="9" style="49" customWidth="1"/>
    <col min="14347" max="14347" width="9" style="49"/>
    <col min="14348" max="14348" width="5.625" style="49" customWidth="1"/>
    <col min="14349" max="14349" width="9.25" style="49" customWidth="1"/>
    <col min="14350" max="14351" width="9" style="49"/>
    <col min="14352" max="14352" width="38.875" style="49" customWidth="1"/>
    <col min="14353" max="14353" width="7.75" style="49" customWidth="1"/>
    <col min="14354" max="14354" width="23.625" style="49" customWidth="1"/>
    <col min="14355" max="14356" width="11.875" style="49" customWidth="1"/>
    <col min="14357" max="14357" width="25.875" style="49" customWidth="1"/>
    <col min="14358" max="14358" width="9.25" style="49" customWidth="1"/>
    <col min="14359" max="14359" width="9.375" style="49" customWidth="1"/>
    <col min="14360" max="14360" width="11.5" style="49" customWidth="1"/>
    <col min="14361" max="14361" width="21.625" style="49" bestFit="1" customWidth="1"/>
    <col min="14362" max="14362" width="9" style="49"/>
    <col min="14363" max="14372" width="6.625" style="49" customWidth="1"/>
    <col min="14373" max="14373" width="9" style="49"/>
    <col min="14374" max="14374" width="9" style="49" customWidth="1"/>
    <col min="14375" max="14381" width="9" style="49"/>
    <col min="14382" max="14382" width="10.125" style="49" customWidth="1"/>
    <col min="14383" max="14383" width="10.25" style="49" bestFit="1" customWidth="1"/>
    <col min="14384" max="14384" width="25.375" style="49" customWidth="1"/>
    <col min="14385" max="14385" width="25.125" style="49" bestFit="1" customWidth="1"/>
    <col min="14386" max="14387" width="20" style="49" customWidth="1"/>
    <col min="14388" max="14593" width="9" style="49"/>
    <col min="14594" max="14594" width="35" style="49" customWidth="1"/>
    <col min="14595" max="14595" width="11.25" style="49" bestFit="1" customWidth="1"/>
    <col min="14596" max="14596" width="12" style="49" customWidth="1"/>
    <col min="14597" max="14597" width="8.25" style="49" customWidth="1"/>
    <col min="14598" max="14598" width="10" style="49" customWidth="1"/>
    <col min="14599" max="14599" width="9.875" style="49" customWidth="1"/>
    <col min="14600" max="14601" width="9.75" style="49" customWidth="1"/>
    <col min="14602" max="14602" width="9" style="49" customWidth="1"/>
    <col min="14603" max="14603" width="9" style="49"/>
    <col min="14604" max="14604" width="5.625" style="49" customWidth="1"/>
    <col min="14605" max="14605" width="9.25" style="49" customWidth="1"/>
    <col min="14606" max="14607" width="9" style="49"/>
    <col min="14608" max="14608" width="38.875" style="49" customWidth="1"/>
    <col min="14609" max="14609" width="7.75" style="49" customWidth="1"/>
    <col min="14610" max="14610" width="23.625" style="49" customWidth="1"/>
    <col min="14611" max="14612" width="11.875" style="49" customWidth="1"/>
    <col min="14613" max="14613" width="25.875" style="49" customWidth="1"/>
    <col min="14614" max="14614" width="9.25" style="49" customWidth="1"/>
    <col min="14615" max="14615" width="9.375" style="49" customWidth="1"/>
    <col min="14616" max="14616" width="11.5" style="49" customWidth="1"/>
    <col min="14617" max="14617" width="21.625" style="49" bestFit="1" customWidth="1"/>
    <col min="14618" max="14618" width="9" style="49"/>
    <col min="14619" max="14628" width="6.625" style="49" customWidth="1"/>
    <col min="14629" max="14629" width="9" style="49"/>
    <col min="14630" max="14630" width="9" style="49" customWidth="1"/>
    <col min="14631" max="14637" width="9" style="49"/>
    <col min="14638" max="14638" width="10.125" style="49" customWidth="1"/>
    <col min="14639" max="14639" width="10.25" style="49" bestFit="1" customWidth="1"/>
    <col min="14640" max="14640" width="25.375" style="49" customWidth="1"/>
    <col min="14641" max="14641" width="25.125" style="49" bestFit="1" customWidth="1"/>
    <col min="14642" max="14643" width="20" style="49" customWidth="1"/>
    <col min="14644" max="14849" width="9" style="49"/>
    <col min="14850" max="14850" width="35" style="49" customWidth="1"/>
    <col min="14851" max="14851" width="11.25" style="49" bestFit="1" customWidth="1"/>
    <col min="14852" max="14852" width="12" style="49" customWidth="1"/>
    <col min="14853" max="14853" width="8.25" style="49" customWidth="1"/>
    <col min="14854" max="14854" width="10" style="49" customWidth="1"/>
    <col min="14855" max="14855" width="9.875" style="49" customWidth="1"/>
    <col min="14856" max="14857" width="9.75" style="49" customWidth="1"/>
    <col min="14858" max="14858" width="9" style="49" customWidth="1"/>
    <col min="14859" max="14859" width="9" style="49"/>
    <col min="14860" max="14860" width="5.625" style="49" customWidth="1"/>
    <col min="14861" max="14861" width="9.25" style="49" customWidth="1"/>
    <col min="14862" max="14863" width="9" style="49"/>
    <col min="14864" max="14864" width="38.875" style="49" customWidth="1"/>
    <col min="14865" max="14865" width="7.75" style="49" customWidth="1"/>
    <col min="14866" max="14866" width="23.625" style="49" customWidth="1"/>
    <col min="14867" max="14868" width="11.875" style="49" customWidth="1"/>
    <col min="14869" max="14869" width="25.875" style="49" customWidth="1"/>
    <col min="14870" max="14870" width="9.25" style="49" customWidth="1"/>
    <col min="14871" max="14871" width="9.375" style="49" customWidth="1"/>
    <col min="14872" max="14872" width="11.5" style="49" customWidth="1"/>
    <col min="14873" max="14873" width="21.625" style="49" bestFit="1" customWidth="1"/>
    <col min="14874" max="14874" width="9" style="49"/>
    <col min="14875" max="14884" width="6.625" style="49" customWidth="1"/>
    <col min="14885" max="14885" width="9" style="49"/>
    <col min="14886" max="14886" width="9" style="49" customWidth="1"/>
    <col min="14887" max="14893" width="9" style="49"/>
    <col min="14894" max="14894" width="10.125" style="49" customWidth="1"/>
    <col min="14895" max="14895" width="10.25" style="49" bestFit="1" customWidth="1"/>
    <col min="14896" max="14896" width="25.375" style="49" customWidth="1"/>
    <col min="14897" max="14897" width="25.125" style="49" bestFit="1" customWidth="1"/>
    <col min="14898" max="14899" width="20" style="49" customWidth="1"/>
    <col min="14900" max="15105" width="9" style="49"/>
    <col min="15106" max="15106" width="35" style="49" customWidth="1"/>
    <col min="15107" max="15107" width="11.25" style="49" bestFit="1" customWidth="1"/>
    <col min="15108" max="15108" width="12" style="49" customWidth="1"/>
    <col min="15109" max="15109" width="8.25" style="49" customWidth="1"/>
    <col min="15110" max="15110" width="10" style="49" customWidth="1"/>
    <col min="15111" max="15111" width="9.875" style="49" customWidth="1"/>
    <col min="15112" max="15113" width="9.75" style="49" customWidth="1"/>
    <col min="15114" max="15114" width="9" style="49" customWidth="1"/>
    <col min="15115" max="15115" width="9" style="49"/>
    <col min="15116" max="15116" width="5.625" style="49" customWidth="1"/>
    <col min="15117" max="15117" width="9.25" style="49" customWidth="1"/>
    <col min="15118" max="15119" width="9" style="49"/>
    <col min="15120" max="15120" width="38.875" style="49" customWidth="1"/>
    <col min="15121" max="15121" width="7.75" style="49" customWidth="1"/>
    <col min="15122" max="15122" width="23.625" style="49" customWidth="1"/>
    <col min="15123" max="15124" width="11.875" style="49" customWidth="1"/>
    <col min="15125" max="15125" width="25.875" style="49" customWidth="1"/>
    <col min="15126" max="15126" width="9.25" style="49" customWidth="1"/>
    <col min="15127" max="15127" width="9.375" style="49" customWidth="1"/>
    <col min="15128" max="15128" width="11.5" style="49" customWidth="1"/>
    <col min="15129" max="15129" width="21.625" style="49" bestFit="1" customWidth="1"/>
    <col min="15130" max="15130" width="9" style="49"/>
    <col min="15131" max="15140" width="6.625" style="49" customWidth="1"/>
    <col min="15141" max="15141" width="9" style="49"/>
    <col min="15142" max="15142" width="9" style="49" customWidth="1"/>
    <col min="15143" max="15149" width="9" style="49"/>
    <col min="15150" max="15150" width="10.125" style="49" customWidth="1"/>
    <col min="15151" max="15151" width="10.25" style="49" bestFit="1" customWidth="1"/>
    <col min="15152" max="15152" width="25.375" style="49" customWidth="1"/>
    <col min="15153" max="15153" width="25.125" style="49" bestFit="1" customWidth="1"/>
    <col min="15154" max="15155" width="20" style="49" customWidth="1"/>
    <col min="15156" max="15361" width="9" style="49"/>
    <col min="15362" max="15362" width="35" style="49" customWidth="1"/>
    <col min="15363" max="15363" width="11.25" style="49" bestFit="1" customWidth="1"/>
    <col min="15364" max="15364" width="12" style="49" customWidth="1"/>
    <col min="15365" max="15365" width="8.25" style="49" customWidth="1"/>
    <col min="15366" max="15366" width="10" style="49" customWidth="1"/>
    <col min="15367" max="15367" width="9.875" style="49" customWidth="1"/>
    <col min="15368" max="15369" width="9.75" style="49" customWidth="1"/>
    <col min="15370" max="15370" width="9" style="49" customWidth="1"/>
    <col min="15371" max="15371" width="9" style="49"/>
    <col min="15372" max="15372" width="5.625" style="49" customWidth="1"/>
    <col min="15373" max="15373" width="9.25" style="49" customWidth="1"/>
    <col min="15374" max="15375" width="9" style="49"/>
    <col min="15376" max="15376" width="38.875" style="49" customWidth="1"/>
    <col min="15377" max="15377" width="7.75" style="49" customWidth="1"/>
    <col min="15378" max="15378" width="23.625" style="49" customWidth="1"/>
    <col min="15379" max="15380" width="11.875" style="49" customWidth="1"/>
    <col min="15381" max="15381" width="25.875" style="49" customWidth="1"/>
    <col min="15382" max="15382" width="9.25" style="49" customWidth="1"/>
    <col min="15383" max="15383" width="9.375" style="49" customWidth="1"/>
    <col min="15384" max="15384" width="11.5" style="49" customWidth="1"/>
    <col min="15385" max="15385" width="21.625" style="49" bestFit="1" customWidth="1"/>
    <col min="15386" max="15386" width="9" style="49"/>
    <col min="15387" max="15396" width="6.625" style="49" customWidth="1"/>
    <col min="15397" max="15397" width="9" style="49"/>
    <col min="15398" max="15398" width="9" style="49" customWidth="1"/>
    <col min="15399" max="15405" width="9" style="49"/>
    <col min="15406" max="15406" width="10.125" style="49" customWidth="1"/>
    <col min="15407" max="15407" width="10.25" style="49" bestFit="1" customWidth="1"/>
    <col min="15408" max="15408" width="25.375" style="49" customWidth="1"/>
    <col min="15409" max="15409" width="25.125" style="49" bestFit="1" customWidth="1"/>
    <col min="15410" max="15411" width="20" style="49" customWidth="1"/>
    <col min="15412" max="15617" width="9" style="49"/>
    <col min="15618" max="15618" width="35" style="49" customWidth="1"/>
    <col min="15619" max="15619" width="11.25" style="49" bestFit="1" customWidth="1"/>
    <col min="15620" max="15620" width="12" style="49" customWidth="1"/>
    <col min="15621" max="15621" width="8.25" style="49" customWidth="1"/>
    <col min="15622" max="15622" width="10" style="49" customWidth="1"/>
    <col min="15623" max="15623" width="9.875" style="49" customWidth="1"/>
    <col min="15624" max="15625" width="9.75" style="49" customWidth="1"/>
    <col min="15626" max="15626" width="9" style="49" customWidth="1"/>
    <col min="15627" max="15627" width="9" style="49"/>
    <col min="15628" max="15628" width="5.625" style="49" customWidth="1"/>
    <col min="15629" max="15629" width="9.25" style="49" customWidth="1"/>
    <col min="15630" max="15631" width="9" style="49"/>
    <col min="15632" max="15632" width="38.875" style="49" customWidth="1"/>
    <col min="15633" max="15633" width="7.75" style="49" customWidth="1"/>
    <col min="15634" max="15634" width="23.625" style="49" customWidth="1"/>
    <col min="15635" max="15636" width="11.875" style="49" customWidth="1"/>
    <col min="15637" max="15637" width="25.875" style="49" customWidth="1"/>
    <col min="15638" max="15638" width="9.25" style="49" customWidth="1"/>
    <col min="15639" max="15639" width="9.375" style="49" customWidth="1"/>
    <col min="15640" max="15640" width="11.5" style="49" customWidth="1"/>
    <col min="15641" max="15641" width="21.625" style="49" bestFit="1" customWidth="1"/>
    <col min="15642" max="15642" width="9" style="49"/>
    <col min="15643" max="15652" width="6.625" style="49" customWidth="1"/>
    <col min="15653" max="15653" width="9" style="49"/>
    <col min="15654" max="15654" width="9" style="49" customWidth="1"/>
    <col min="15655" max="15661" width="9" style="49"/>
    <col min="15662" max="15662" width="10.125" style="49" customWidth="1"/>
    <col min="15663" max="15663" width="10.25" style="49" bestFit="1" customWidth="1"/>
    <col min="15664" max="15664" width="25.375" style="49" customWidth="1"/>
    <col min="15665" max="15665" width="25.125" style="49" bestFit="1" customWidth="1"/>
    <col min="15666" max="15667" width="20" style="49" customWidth="1"/>
    <col min="15668" max="15873" width="9" style="49"/>
    <col min="15874" max="15874" width="35" style="49" customWidth="1"/>
    <col min="15875" max="15875" width="11.25" style="49" bestFit="1" customWidth="1"/>
    <col min="15876" max="15876" width="12" style="49" customWidth="1"/>
    <col min="15877" max="15877" width="8.25" style="49" customWidth="1"/>
    <col min="15878" max="15878" width="10" style="49" customWidth="1"/>
    <col min="15879" max="15879" width="9.875" style="49" customWidth="1"/>
    <col min="15880" max="15881" width="9.75" style="49" customWidth="1"/>
    <col min="15882" max="15882" width="9" style="49" customWidth="1"/>
    <col min="15883" max="15883" width="9" style="49"/>
    <col min="15884" max="15884" width="5.625" style="49" customWidth="1"/>
    <col min="15885" max="15885" width="9.25" style="49" customWidth="1"/>
    <col min="15886" max="15887" width="9" style="49"/>
    <col min="15888" max="15888" width="38.875" style="49" customWidth="1"/>
    <col min="15889" max="15889" width="7.75" style="49" customWidth="1"/>
    <col min="15890" max="15890" width="23.625" style="49" customWidth="1"/>
    <col min="15891" max="15892" width="11.875" style="49" customWidth="1"/>
    <col min="15893" max="15893" width="25.875" style="49" customWidth="1"/>
    <col min="15894" max="15894" width="9.25" style="49" customWidth="1"/>
    <col min="15895" max="15895" width="9.375" style="49" customWidth="1"/>
    <col min="15896" max="15896" width="11.5" style="49" customWidth="1"/>
    <col min="15897" max="15897" width="21.625" style="49" bestFit="1" customWidth="1"/>
    <col min="15898" max="15898" width="9" style="49"/>
    <col min="15899" max="15908" width="6.625" style="49" customWidth="1"/>
    <col min="15909" max="15909" width="9" style="49"/>
    <col min="15910" max="15910" width="9" style="49" customWidth="1"/>
    <col min="15911" max="15917" width="9" style="49"/>
    <col min="15918" max="15918" width="10.125" style="49" customWidth="1"/>
    <col min="15919" max="15919" width="10.25" style="49" bestFit="1" customWidth="1"/>
    <col min="15920" max="15920" width="25.375" style="49" customWidth="1"/>
    <col min="15921" max="15921" width="25.125" style="49" bestFit="1" customWidth="1"/>
    <col min="15922" max="15923" width="20" style="49" customWidth="1"/>
    <col min="15924" max="16129" width="9" style="49"/>
    <col min="16130" max="16130" width="35" style="49" customWidth="1"/>
    <col min="16131" max="16131" width="11.25" style="49" bestFit="1" customWidth="1"/>
    <col min="16132" max="16132" width="12" style="49" customWidth="1"/>
    <col min="16133" max="16133" width="8.25" style="49" customWidth="1"/>
    <col min="16134" max="16134" width="10" style="49" customWidth="1"/>
    <col min="16135" max="16135" width="9.875" style="49" customWidth="1"/>
    <col min="16136" max="16137" width="9.75" style="49" customWidth="1"/>
    <col min="16138" max="16138" width="9" style="49" customWidth="1"/>
    <col min="16139" max="16139" width="9" style="49"/>
    <col min="16140" max="16140" width="5.625" style="49" customWidth="1"/>
    <col min="16141" max="16141" width="9.25" style="49" customWidth="1"/>
    <col min="16142" max="16143" width="9" style="49"/>
    <col min="16144" max="16144" width="38.875" style="49" customWidth="1"/>
    <col min="16145" max="16145" width="7.75" style="49" customWidth="1"/>
    <col min="16146" max="16146" width="23.625" style="49" customWidth="1"/>
    <col min="16147" max="16148" width="11.875" style="49" customWidth="1"/>
    <col min="16149" max="16149" width="25.875" style="49" customWidth="1"/>
    <col min="16150" max="16150" width="9.25" style="49" customWidth="1"/>
    <col min="16151" max="16151" width="9.375" style="49" customWidth="1"/>
    <col min="16152" max="16152" width="11.5" style="49" customWidth="1"/>
    <col min="16153" max="16153" width="21.625" style="49" bestFit="1" customWidth="1"/>
    <col min="16154" max="16154" width="9" style="49"/>
    <col min="16155" max="16164" width="6.625" style="49" customWidth="1"/>
    <col min="16165" max="16165" width="9" style="49"/>
    <col min="16166" max="16166" width="9" style="49" customWidth="1"/>
    <col min="16167" max="16173" width="9" style="49"/>
    <col min="16174" max="16174" width="10.125" style="49" customWidth="1"/>
    <col min="16175" max="16175" width="10.25" style="49" bestFit="1" customWidth="1"/>
    <col min="16176" max="16176" width="25.375" style="49" customWidth="1"/>
    <col min="16177" max="16177" width="25.125" style="49" bestFit="1" customWidth="1"/>
    <col min="16178" max="16179" width="20" style="49" customWidth="1"/>
    <col min="16180" max="16384" width="9" style="49"/>
  </cols>
  <sheetData>
    <row r="1" spans="1:52" ht="16.5" customHeight="1" thickTop="1" thickBot="1" x14ac:dyDescent="0.2">
      <c r="A1" s="54" t="s">
        <v>258</v>
      </c>
      <c r="B1" s="55"/>
      <c r="C1" s="240" t="s">
        <v>259</v>
      </c>
      <c r="D1" s="241"/>
      <c r="E1" s="242"/>
      <c r="F1" s="90">
        <v>2016</v>
      </c>
      <c r="H1" s="89"/>
      <c r="I1" s="53"/>
      <c r="J1" s="53"/>
      <c r="M1" s="50"/>
      <c r="Y1" s="49"/>
    </row>
    <row r="2" spans="1:52" ht="16.5" customHeight="1" thickTop="1" x14ac:dyDescent="0.15">
      <c r="C2" s="49"/>
      <c r="D2" s="49"/>
      <c r="F2" s="49"/>
      <c r="G2" s="53"/>
      <c r="H2" s="53"/>
      <c r="I2" s="53"/>
      <c r="J2" s="53"/>
      <c r="K2" s="53"/>
      <c r="L2" s="53"/>
    </row>
    <row r="3" spans="1:52" ht="16.5" customHeight="1" x14ac:dyDescent="0.15">
      <c r="C3" s="49"/>
      <c r="D3" s="49"/>
      <c r="F3" s="49"/>
      <c r="G3" s="53"/>
      <c r="H3" s="53"/>
      <c r="I3" s="53"/>
      <c r="J3" s="53"/>
      <c r="K3" s="53"/>
      <c r="L3" s="53"/>
    </row>
    <row r="4" spans="1:52" ht="16.5" hidden="1" customHeight="1" x14ac:dyDescent="0.15">
      <c r="C4" s="49"/>
      <c r="D4" s="49"/>
      <c r="F4" s="49"/>
      <c r="G4" s="53"/>
      <c r="H4" s="53"/>
      <c r="I4" s="53"/>
      <c r="J4" s="53"/>
      <c r="K4" s="53"/>
      <c r="L4" s="53"/>
    </row>
    <row r="5" spans="1:52" ht="16.5" hidden="1" customHeight="1" x14ac:dyDescent="0.15">
      <c r="C5" s="49"/>
      <c r="D5" s="49"/>
      <c r="F5" s="49"/>
      <c r="G5" s="53"/>
      <c r="H5" s="53"/>
      <c r="I5" s="53"/>
      <c r="J5" s="53"/>
      <c r="K5" s="53"/>
      <c r="L5" s="53"/>
    </row>
    <row r="6" spans="1:52" ht="16.5" hidden="1" customHeight="1" x14ac:dyDescent="0.15">
      <c r="C6" s="49"/>
      <c r="D6" s="49"/>
      <c r="F6" s="49"/>
      <c r="G6" s="53"/>
      <c r="H6" s="53"/>
      <c r="I6" s="53"/>
      <c r="J6" s="53"/>
      <c r="K6" s="53"/>
      <c r="L6" s="53"/>
    </row>
    <row r="7" spans="1:52" ht="16.5" hidden="1" customHeight="1" x14ac:dyDescent="0.15">
      <c r="C7" s="49"/>
      <c r="D7" s="49"/>
      <c r="F7" s="49"/>
      <c r="G7" s="53"/>
      <c r="H7" s="53"/>
      <c r="I7" s="53"/>
      <c r="J7" s="53"/>
      <c r="K7" s="53"/>
      <c r="L7" s="53"/>
    </row>
    <row r="8" spans="1:52" ht="16.5" hidden="1" customHeight="1" x14ac:dyDescent="0.15">
      <c r="C8" s="49"/>
      <c r="D8" s="49"/>
      <c r="F8" s="49"/>
      <c r="G8" s="53"/>
      <c r="H8" s="53"/>
      <c r="I8" s="53"/>
      <c r="J8" s="53"/>
      <c r="K8" s="53"/>
      <c r="L8" s="53"/>
    </row>
    <row r="9" spans="1:52" ht="16.5" hidden="1" customHeight="1" x14ac:dyDescent="0.15">
      <c r="C9" s="49"/>
      <c r="D9" s="49"/>
      <c r="F9" s="49"/>
      <c r="G9" s="53"/>
      <c r="H9" s="53"/>
      <c r="I9" s="53"/>
      <c r="J9" s="53"/>
      <c r="K9" s="53"/>
      <c r="L9" s="53"/>
    </row>
    <row r="10" spans="1:52" ht="16.5" hidden="1" customHeight="1" x14ac:dyDescent="0.15">
      <c r="C10" s="49"/>
      <c r="D10" s="49"/>
      <c r="F10" s="49"/>
      <c r="G10" s="53"/>
      <c r="H10" s="53"/>
      <c r="I10" s="53"/>
      <c r="J10" s="53"/>
      <c r="K10" s="53"/>
      <c r="L10" s="53"/>
    </row>
    <row r="11" spans="1:52" s="60" customFormat="1" ht="16.5" customHeight="1" thickBot="1" x14ac:dyDescent="0.2">
      <c r="A11" s="56" t="s">
        <v>35</v>
      </c>
      <c r="B11" s="56" t="s">
        <v>36</v>
      </c>
      <c r="C11" s="56" t="s">
        <v>37</v>
      </c>
      <c r="D11" s="56" t="s">
        <v>38</v>
      </c>
      <c r="E11" s="56" t="s">
        <v>39</v>
      </c>
      <c r="F11" s="57" t="s">
        <v>40</v>
      </c>
      <c r="G11" s="56" t="s">
        <v>41</v>
      </c>
      <c r="H11" s="56" t="s">
        <v>42</v>
      </c>
      <c r="I11" s="56" t="s">
        <v>43</v>
      </c>
      <c r="J11" s="56" t="s">
        <v>44</v>
      </c>
      <c r="K11" s="56" t="s">
        <v>45</v>
      </c>
      <c r="L11" s="65" t="s">
        <v>46</v>
      </c>
      <c r="M11" s="56" t="s">
        <v>47</v>
      </c>
      <c r="N11" s="58" t="s">
        <v>48</v>
      </c>
      <c r="O11" s="59" t="s">
        <v>49</v>
      </c>
      <c r="P11" s="59" t="s">
        <v>50</v>
      </c>
      <c r="Q11" s="63" t="s">
        <v>51</v>
      </c>
      <c r="R11" s="59" t="s">
        <v>52</v>
      </c>
      <c r="S11" s="63" t="s">
        <v>53</v>
      </c>
      <c r="T11" s="63" t="s">
        <v>54</v>
      </c>
      <c r="U11" s="59" t="s">
        <v>55</v>
      </c>
      <c r="V11" s="64" t="s">
        <v>56</v>
      </c>
      <c r="W11" s="64" t="s">
        <v>57</v>
      </c>
      <c r="X11" s="64" t="s">
        <v>58</v>
      </c>
      <c r="Y11" s="56" t="s">
        <v>59</v>
      </c>
      <c r="Z11" s="64" t="s">
        <v>60</v>
      </c>
      <c r="AA11" s="56" t="s">
        <v>61</v>
      </c>
      <c r="AB11" s="56" t="s">
        <v>62</v>
      </c>
      <c r="AC11" s="56" t="s">
        <v>63</v>
      </c>
      <c r="AD11" s="56" t="s">
        <v>64</v>
      </c>
      <c r="AE11" s="56" t="s">
        <v>65</v>
      </c>
      <c r="AF11" s="56" t="s">
        <v>66</v>
      </c>
      <c r="AG11" s="56" t="s">
        <v>67</v>
      </c>
      <c r="AH11" s="56" t="s">
        <v>68</v>
      </c>
      <c r="AI11" s="56" t="s">
        <v>69</v>
      </c>
      <c r="AJ11" s="56" t="s">
        <v>70</v>
      </c>
      <c r="AK11" s="65" t="s">
        <v>71</v>
      </c>
      <c r="AL11" s="65" t="s">
        <v>72</v>
      </c>
      <c r="AM11" s="65" t="s">
        <v>73</v>
      </c>
      <c r="AN11" s="65" t="s">
        <v>74</v>
      </c>
      <c r="AO11" s="65" t="s">
        <v>75</v>
      </c>
      <c r="AP11" s="65" t="s">
        <v>76</v>
      </c>
      <c r="AQ11" s="65" t="s">
        <v>77</v>
      </c>
      <c r="AR11" s="65" t="s">
        <v>78</v>
      </c>
      <c r="AS11" s="65" t="s">
        <v>79</v>
      </c>
      <c r="AT11" s="65" t="s">
        <v>80</v>
      </c>
      <c r="AU11" s="59" t="s">
        <v>81</v>
      </c>
      <c r="AV11" s="59" t="s">
        <v>82</v>
      </c>
      <c r="AW11" s="59" t="s">
        <v>83</v>
      </c>
      <c r="AX11" s="59" t="s">
        <v>84</v>
      </c>
      <c r="AY11" s="59" t="s">
        <v>85</v>
      </c>
    </row>
    <row r="12" spans="1:52" ht="16.5" customHeight="1" thickTop="1" x14ac:dyDescent="0.15">
      <c r="A12" s="123" t="s">
        <v>260</v>
      </c>
      <c r="B12" s="127" t="s">
        <v>261</v>
      </c>
      <c r="C12" s="48" t="s">
        <v>262</v>
      </c>
      <c r="D12" s="62" t="s">
        <v>263</v>
      </c>
      <c r="E12" s="48" t="s">
        <v>264</v>
      </c>
      <c r="F12" s="61">
        <v>42373</v>
      </c>
      <c r="G12" s="61">
        <v>42373</v>
      </c>
      <c r="H12" s="125">
        <v>42383</v>
      </c>
      <c r="I12" s="61" t="s">
        <v>263</v>
      </c>
      <c r="J12" s="87"/>
      <c r="K12" s="62" t="s">
        <v>12</v>
      </c>
      <c r="L12" s="62">
        <v>3</v>
      </c>
      <c r="M12" s="62" t="s">
        <v>209</v>
      </c>
      <c r="N12" s="62" t="s">
        <v>265</v>
      </c>
      <c r="O12" s="48" t="s">
        <v>266</v>
      </c>
      <c r="P12" s="48" t="s">
        <v>267</v>
      </c>
      <c r="Q12" s="48" t="s">
        <v>268</v>
      </c>
      <c r="R12" s="122" t="s">
        <v>263</v>
      </c>
      <c r="S12" s="48" t="s">
        <v>269</v>
      </c>
      <c r="T12" s="48" t="s">
        <v>270</v>
      </c>
      <c r="U12" s="48" t="s">
        <v>271</v>
      </c>
      <c r="V12" s="122" t="s">
        <v>263</v>
      </c>
      <c r="W12" s="122" t="s">
        <v>263</v>
      </c>
      <c r="X12" s="122" t="s">
        <v>263</v>
      </c>
      <c r="Y12" s="122" t="s">
        <v>263</v>
      </c>
      <c r="Z12" s="61"/>
      <c r="AA12" s="48" t="s">
        <v>272</v>
      </c>
      <c r="AB12" s="48" t="s">
        <v>273</v>
      </c>
      <c r="AC12" s="48" t="s">
        <v>273</v>
      </c>
      <c r="AD12" s="48" t="s">
        <v>273</v>
      </c>
      <c r="AE12" s="48" t="s">
        <v>273</v>
      </c>
      <c r="AF12" s="48" t="s">
        <v>273</v>
      </c>
      <c r="AG12" s="48" t="s">
        <v>273</v>
      </c>
      <c r="AH12" s="48" t="s">
        <v>273</v>
      </c>
      <c r="AI12" s="48" t="s">
        <v>273</v>
      </c>
      <c r="AJ12" s="48" t="s">
        <v>273</v>
      </c>
      <c r="AK12" s="48" t="s">
        <v>274</v>
      </c>
      <c r="AL12" s="48" t="s">
        <v>273</v>
      </c>
      <c r="AM12" s="48" t="s">
        <v>273</v>
      </c>
      <c r="AN12" s="48" t="s">
        <v>273</v>
      </c>
      <c r="AO12" s="48" t="s">
        <v>273</v>
      </c>
      <c r="AP12" s="48" t="s">
        <v>273</v>
      </c>
      <c r="AQ12" s="48" t="s">
        <v>273</v>
      </c>
      <c r="AR12" s="48" t="s">
        <v>273</v>
      </c>
      <c r="AS12" s="48" t="s">
        <v>273</v>
      </c>
      <c r="AT12" s="48" t="s">
        <v>273</v>
      </c>
      <c r="AU12" s="93">
        <v>39479</v>
      </c>
      <c r="AV12" s="93"/>
      <c r="AW12" s="93"/>
      <c r="AX12" s="93"/>
      <c r="AY12" s="93"/>
    </row>
    <row r="13" spans="1:52" ht="16.5" customHeight="1" x14ac:dyDescent="0.15">
      <c r="A13" s="134" t="s">
        <v>275</v>
      </c>
      <c r="B13" s="136" t="s">
        <v>276</v>
      </c>
      <c r="C13" s="48" t="s">
        <v>277</v>
      </c>
      <c r="D13" s="62" t="s">
        <v>278</v>
      </c>
      <c r="E13" s="48" t="s">
        <v>264</v>
      </c>
      <c r="F13" s="61">
        <v>42373</v>
      </c>
      <c r="G13" s="61">
        <v>42373</v>
      </c>
      <c r="H13" s="125">
        <v>42439</v>
      </c>
      <c r="I13" s="61" t="s">
        <v>279</v>
      </c>
      <c r="J13" s="87"/>
      <c r="K13" s="62" t="s">
        <v>12</v>
      </c>
      <c r="L13" s="62">
        <v>3</v>
      </c>
      <c r="M13" s="62" t="s">
        <v>209</v>
      </c>
      <c r="N13" s="62" t="s">
        <v>280</v>
      </c>
      <c r="O13" s="48" t="s">
        <v>281</v>
      </c>
      <c r="P13" s="48" t="s">
        <v>282</v>
      </c>
      <c r="Q13" s="48" t="s">
        <v>283</v>
      </c>
      <c r="R13" s="48" t="s">
        <v>284</v>
      </c>
      <c r="S13" s="48" t="s">
        <v>285</v>
      </c>
      <c r="T13" s="48" t="s">
        <v>286</v>
      </c>
      <c r="U13" s="48" t="s">
        <v>287</v>
      </c>
      <c r="V13" s="48" t="s">
        <v>288</v>
      </c>
      <c r="W13" s="122" t="s">
        <v>263</v>
      </c>
      <c r="X13" s="48" t="s">
        <v>289</v>
      </c>
      <c r="Y13" s="48" t="s">
        <v>290</v>
      </c>
      <c r="Z13" s="61"/>
      <c r="AA13" s="48" t="s">
        <v>272</v>
      </c>
      <c r="AB13" s="48" t="s">
        <v>291</v>
      </c>
      <c r="AC13" s="48" t="s">
        <v>292</v>
      </c>
      <c r="AD13" s="48" t="s">
        <v>273</v>
      </c>
      <c r="AE13" s="48" t="s">
        <v>273</v>
      </c>
      <c r="AF13" s="48" t="s">
        <v>273</v>
      </c>
      <c r="AG13" s="48" t="s">
        <v>273</v>
      </c>
      <c r="AH13" s="48" t="s">
        <v>273</v>
      </c>
      <c r="AI13" s="48" t="s">
        <v>273</v>
      </c>
      <c r="AJ13" s="48" t="s">
        <v>273</v>
      </c>
      <c r="AK13" s="48" t="s">
        <v>274</v>
      </c>
      <c r="AL13" s="48" t="s">
        <v>293</v>
      </c>
      <c r="AM13" s="48" t="s">
        <v>294</v>
      </c>
      <c r="AN13" s="48" t="s">
        <v>273</v>
      </c>
      <c r="AO13" s="48" t="s">
        <v>273</v>
      </c>
      <c r="AP13" s="48" t="s">
        <v>273</v>
      </c>
      <c r="AQ13" s="48" t="s">
        <v>273</v>
      </c>
      <c r="AR13" s="48" t="s">
        <v>273</v>
      </c>
      <c r="AS13" s="48" t="s">
        <v>273</v>
      </c>
      <c r="AT13" s="48" t="s">
        <v>273</v>
      </c>
      <c r="AU13" s="93">
        <v>40969</v>
      </c>
      <c r="AV13" s="93"/>
      <c r="AW13" s="93"/>
      <c r="AX13" s="93"/>
      <c r="AY13" s="93"/>
      <c r="AZ13" s="49" t="s">
        <v>295</v>
      </c>
    </row>
    <row r="14" spans="1:52" ht="16.5" customHeight="1" x14ac:dyDescent="0.15">
      <c r="A14" s="128" t="s">
        <v>296</v>
      </c>
      <c r="B14" s="133" t="s">
        <v>297</v>
      </c>
      <c r="C14" s="48" t="s">
        <v>298</v>
      </c>
      <c r="D14" s="62" t="s">
        <v>299</v>
      </c>
      <c r="E14" s="48" t="s">
        <v>300</v>
      </c>
      <c r="F14" s="61">
        <v>42373</v>
      </c>
      <c r="G14" s="61">
        <v>42373</v>
      </c>
      <c r="H14" s="125">
        <v>42416</v>
      </c>
      <c r="I14" s="61" t="s">
        <v>279</v>
      </c>
      <c r="J14" s="87"/>
      <c r="K14" s="62" t="s">
        <v>12</v>
      </c>
      <c r="L14" s="124" t="s">
        <v>263</v>
      </c>
      <c r="M14" s="62" t="s">
        <v>301</v>
      </c>
      <c r="N14" s="62" t="s">
        <v>302</v>
      </c>
      <c r="O14" s="48" t="s">
        <v>303</v>
      </c>
      <c r="P14" s="48" t="s">
        <v>304</v>
      </c>
      <c r="Q14" s="48" t="s">
        <v>305</v>
      </c>
      <c r="R14" s="122" t="s">
        <v>263</v>
      </c>
      <c r="S14" s="48" t="s">
        <v>269</v>
      </c>
      <c r="T14" s="48" t="s">
        <v>270</v>
      </c>
      <c r="U14" s="48" t="s">
        <v>306</v>
      </c>
      <c r="V14" s="122" t="s">
        <v>263</v>
      </c>
      <c r="W14" s="122" t="s">
        <v>263</v>
      </c>
      <c r="X14" s="48" t="s">
        <v>307</v>
      </c>
      <c r="Y14" s="48" t="s">
        <v>308</v>
      </c>
      <c r="Z14" s="61"/>
      <c r="AA14" s="48" t="s">
        <v>309</v>
      </c>
      <c r="AB14" s="48" t="s">
        <v>273</v>
      </c>
      <c r="AC14" s="48" t="s">
        <v>273</v>
      </c>
      <c r="AD14" s="48" t="s">
        <v>273</v>
      </c>
      <c r="AE14" s="48" t="s">
        <v>273</v>
      </c>
      <c r="AF14" s="48" t="s">
        <v>273</v>
      </c>
      <c r="AG14" s="48" t="s">
        <v>273</v>
      </c>
      <c r="AH14" s="48" t="s">
        <v>273</v>
      </c>
      <c r="AI14" s="48" t="s">
        <v>273</v>
      </c>
      <c r="AJ14" s="48" t="s">
        <v>273</v>
      </c>
      <c r="AK14" s="48" t="s">
        <v>310</v>
      </c>
      <c r="AL14" s="48" t="s">
        <v>273</v>
      </c>
      <c r="AM14" s="48" t="s">
        <v>273</v>
      </c>
      <c r="AN14" s="48" t="s">
        <v>273</v>
      </c>
      <c r="AO14" s="48" t="s">
        <v>273</v>
      </c>
      <c r="AP14" s="48" t="s">
        <v>273</v>
      </c>
      <c r="AQ14" s="48" t="s">
        <v>273</v>
      </c>
      <c r="AR14" s="48" t="s">
        <v>273</v>
      </c>
      <c r="AS14" s="48" t="s">
        <v>273</v>
      </c>
      <c r="AT14" s="48" t="s">
        <v>273</v>
      </c>
      <c r="AU14" s="93">
        <v>41153</v>
      </c>
      <c r="AV14" s="93"/>
      <c r="AW14" s="93"/>
      <c r="AX14" s="93"/>
      <c r="AY14" s="93"/>
      <c r="AZ14" s="49" t="s">
        <v>311</v>
      </c>
    </row>
    <row r="15" spans="1:52" ht="16.5" customHeight="1" x14ac:dyDescent="0.15">
      <c r="A15" s="134" t="s">
        <v>312</v>
      </c>
      <c r="B15" s="136" t="s">
        <v>313</v>
      </c>
      <c r="C15" s="48" t="s">
        <v>298</v>
      </c>
      <c r="D15" s="62" t="s">
        <v>314</v>
      </c>
      <c r="E15" s="48" t="s">
        <v>300</v>
      </c>
      <c r="F15" s="61">
        <v>42373</v>
      </c>
      <c r="G15" s="61">
        <v>42373</v>
      </c>
      <c r="H15" s="125">
        <v>42451</v>
      </c>
      <c r="I15" s="61" t="s">
        <v>279</v>
      </c>
      <c r="J15" s="87"/>
      <c r="K15" s="62" t="s">
        <v>12</v>
      </c>
      <c r="L15" s="62">
        <v>3</v>
      </c>
      <c r="M15" s="62" t="s">
        <v>209</v>
      </c>
      <c r="N15" s="62" t="s">
        <v>315</v>
      </c>
      <c r="O15" s="48" t="s">
        <v>316</v>
      </c>
      <c r="P15" s="48" t="s">
        <v>317</v>
      </c>
      <c r="Q15" s="48" t="s">
        <v>318</v>
      </c>
      <c r="R15" s="48" t="s">
        <v>319</v>
      </c>
      <c r="S15" s="48" t="s">
        <v>320</v>
      </c>
      <c r="T15" s="48" t="s">
        <v>321</v>
      </c>
      <c r="U15" s="48" t="s">
        <v>322</v>
      </c>
      <c r="V15" s="48" t="s">
        <v>323</v>
      </c>
      <c r="W15" s="48" t="s">
        <v>324</v>
      </c>
      <c r="X15" s="48" t="s">
        <v>325</v>
      </c>
      <c r="Y15" s="48" t="s">
        <v>326</v>
      </c>
      <c r="Z15" s="61"/>
      <c r="AA15" s="48" t="s">
        <v>327</v>
      </c>
      <c r="AB15" s="48" t="s">
        <v>273</v>
      </c>
      <c r="AC15" s="48" t="s">
        <v>273</v>
      </c>
      <c r="AD15" s="48" t="s">
        <v>273</v>
      </c>
      <c r="AE15" s="48" t="s">
        <v>273</v>
      </c>
      <c r="AF15" s="48" t="s">
        <v>273</v>
      </c>
      <c r="AG15" s="48" t="s">
        <v>273</v>
      </c>
      <c r="AH15" s="48" t="s">
        <v>273</v>
      </c>
      <c r="AI15" s="48" t="s">
        <v>273</v>
      </c>
      <c r="AJ15" s="48" t="s">
        <v>273</v>
      </c>
      <c r="AK15" s="48" t="s">
        <v>274</v>
      </c>
      <c r="AL15" s="48" t="s">
        <v>273</v>
      </c>
      <c r="AM15" s="48" t="s">
        <v>273</v>
      </c>
      <c r="AN15" s="48" t="s">
        <v>273</v>
      </c>
      <c r="AO15" s="48" t="s">
        <v>273</v>
      </c>
      <c r="AP15" s="48" t="s">
        <v>273</v>
      </c>
      <c r="AQ15" s="48" t="s">
        <v>273</v>
      </c>
      <c r="AR15" s="48" t="s">
        <v>273</v>
      </c>
      <c r="AS15" s="48" t="s">
        <v>273</v>
      </c>
      <c r="AT15" s="48" t="s">
        <v>273</v>
      </c>
      <c r="AU15" s="93">
        <v>40299</v>
      </c>
      <c r="AV15" s="93"/>
      <c r="AW15" s="93"/>
      <c r="AX15" s="93"/>
      <c r="AY15" s="93"/>
    </row>
    <row r="16" spans="1:52" ht="16.5" customHeight="1" x14ac:dyDescent="0.15">
      <c r="A16" s="182" t="s">
        <v>328</v>
      </c>
      <c r="B16" s="183" t="s">
        <v>329</v>
      </c>
      <c r="C16" s="48" t="s">
        <v>330</v>
      </c>
      <c r="D16" s="62" t="s">
        <v>331</v>
      </c>
      <c r="E16" s="48" t="s">
        <v>300</v>
      </c>
      <c r="F16" s="61">
        <v>42373</v>
      </c>
      <c r="G16" s="61">
        <v>42373</v>
      </c>
      <c r="H16" s="125">
        <v>42669</v>
      </c>
      <c r="I16" s="61" t="s">
        <v>279</v>
      </c>
      <c r="J16" s="87"/>
      <c r="K16" s="124" t="s">
        <v>332</v>
      </c>
      <c r="L16" s="124" t="s">
        <v>332</v>
      </c>
      <c r="M16" s="62" t="s">
        <v>333</v>
      </c>
      <c r="N16" s="62" t="s">
        <v>334</v>
      </c>
      <c r="O16" s="48" t="s">
        <v>335</v>
      </c>
      <c r="P16" s="48" t="s">
        <v>336</v>
      </c>
      <c r="Q16" s="48" t="s">
        <v>337</v>
      </c>
      <c r="R16" s="48" t="s">
        <v>338</v>
      </c>
      <c r="S16" s="48" t="s">
        <v>339</v>
      </c>
      <c r="T16" s="48" t="s">
        <v>340</v>
      </c>
      <c r="U16" s="48" t="s">
        <v>341</v>
      </c>
      <c r="V16" s="122" t="s">
        <v>263</v>
      </c>
      <c r="W16" s="122" t="s">
        <v>263</v>
      </c>
      <c r="X16" s="48" t="s">
        <v>342</v>
      </c>
      <c r="Y16" s="48" t="s">
        <v>343</v>
      </c>
      <c r="Z16" s="61"/>
      <c r="AA16" s="48" t="s">
        <v>273</v>
      </c>
      <c r="AB16" s="48" t="s">
        <v>273</v>
      </c>
      <c r="AC16" s="48" t="s">
        <v>273</v>
      </c>
      <c r="AD16" s="48" t="s">
        <v>273</v>
      </c>
      <c r="AE16" s="48" t="s">
        <v>273</v>
      </c>
      <c r="AF16" s="48" t="s">
        <v>273</v>
      </c>
      <c r="AG16" s="48" t="s">
        <v>273</v>
      </c>
      <c r="AH16" s="48" t="s">
        <v>273</v>
      </c>
      <c r="AI16" s="48" t="s">
        <v>273</v>
      </c>
      <c r="AJ16" s="48" t="s">
        <v>273</v>
      </c>
      <c r="AK16" s="48" t="s">
        <v>273</v>
      </c>
      <c r="AL16" s="48" t="s">
        <v>273</v>
      </c>
      <c r="AM16" s="48" t="s">
        <v>273</v>
      </c>
      <c r="AN16" s="48" t="s">
        <v>273</v>
      </c>
      <c r="AO16" s="48" t="s">
        <v>273</v>
      </c>
      <c r="AP16" s="48" t="s">
        <v>273</v>
      </c>
      <c r="AQ16" s="48" t="s">
        <v>273</v>
      </c>
      <c r="AR16" s="48" t="s">
        <v>273</v>
      </c>
      <c r="AS16" s="48" t="s">
        <v>273</v>
      </c>
      <c r="AT16" s="48" t="s">
        <v>273</v>
      </c>
      <c r="AU16" s="93">
        <v>40026</v>
      </c>
      <c r="AV16" s="93"/>
      <c r="AW16" s="93"/>
      <c r="AX16" s="93"/>
      <c r="AY16" s="93"/>
    </row>
    <row r="17" spans="1:52" ht="16.5" customHeight="1" x14ac:dyDescent="0.15">
      <c r="A17" s="123" t="s">
        <v>344</v>
      </c>
      <c r="B17" s="127" t="s">
        <v>345</v>
      </c>
      <c r="C17" s="48" t="s">
        <v>298</v>
      </c>
      <c r="D17" s="62" t="s">
        <v>346</v>
      </c>
      <c r="E17" s="48" t="s">
        <v>300</v>
      </c>
      <c r="F17" s="61">
        <v>42373</v>
      </c>
      <c r="G17" s="61">
        <v>42373</v>
      </c>
      <c r="H17" s="125">
        <v>42390</v>
      </c>
      <c r="I17" s="61" t="s">
        <v>279</v>
      </c>
      <c r="J17" s="87"/>
      <c r="K17" s="62" t="s">
        <v>12</v>
      </c>
      <c r="L17" s="62">
        <v>3</v>
      </c>
      <c r="M17" s="62" t="s">
        <v>236</v>
      </c>
      <c r="N17" s="62" t="s">
        <v>347</v>
      </c>
      <c r="O17" s="48" t="s">
        <v>348</v>
      </c>
      <c r="P17" s="48" t="s">
        <v>349</v>
      </c>
      <c r="Q17" s="48" t="s">
        <v>350</v>
      </c>
      <c r="R17" s="48" t="s">
        <v>351</v>
      </c>
      <c r="S17" s="48" t="s">
        <v>352</v>
      </c>
      <c r="T17" s="48" t="s">
        <v>353</v>
      </c>
      <c r="U17" s="48" t="s">
        <v>354</v>
      </c>
      <c r="V17" s="48"/>
      <c r="W17" s="48"/>
      <c r="X17" s="48" t="s">
        <v>355</v>
      </c>
      <c r="Y17" s="48" t="s">
        <v>356</v>
      </c>
      <c r="Z17" s="61"/>
      <c r="AA17" s="48" t="s">
        <v>357</v>
      </c>
      <c r="AB17" s="48" t="s">
        <v>273</v>
      </c>
      <c r="AC17" s="48" t="s">
        <v>273</v>
      </c>
      <c r="AD17" s="48" t="s">
        <v>273</v>
      </c>
      <c r="AE17" s="48" t="s">
        <v>273</v>
      </c>
      <c r="AF17" s="48" t="s">
        <v>273</v>
      </c>
      <c r="AG17" s="48" t="s">
        <v>273</v>
      </c>
      <c r="AH17" s="48" t="s">
        <v>273</v>
      </c>
      <c r="AI17" s="48" t="s">
        <v>273</v>
      </c>
      <c r="AJ17" s="48" t="s">
        <v>273</v>
      </c>
      <c r="AK17" s="48" t="s">
        <v>358</v>
      </c>
      <c r="AL17" s="48" t="s">
        <v>273</v>
      </c>
      <c r="AM17" s="48" t="s">
        <v>273</v>
      </c>
      <c r="AN17" s="48" t="s">
        <v>273</v>
      </c>
      <c r="AO17" s="48" t="s">
        <v>273</v>
      </c>
      <c r="AP17" s="48" t="s">
        <v>273</v>
      </c>
      <c r="AQ17" s="48" t="s">
        <v>273</v>
      </c>
      <c r="AR17" s="48" t="s">
        <v>273</v>
      </c>
      <c r="AS17" s="48" t="s">
        <v>273</v>
      </c>
      <c r="AT17" s="48" t="s">
        <v>273</v>
      </c>
      <c r="AU17" s="93">
        <v>40725</v>
      </c>
      <c r="AV17" s="93"/>
      <c r="AW17" s="93"/>
      <c r="AX17" s="93"/>
      <c r="AY17" s="93"/>
    </row>
    <row r="18" spans="1:52" ht="16.5" customHeight="1" x14ac:dyDescent="0.15">
      <c r="A18" s="128" t="s">
        <v>359</v>
      </c>
      <c r="B18" s="133" t="s">
        <v>360</v>
      </c>
      <c r="C18" s="48" t="s">
        <v>298</v>
      </c>
      <c r="D18" s="62" t="s">
        <v>361</v>
      </c>
      <c r="E18" s="48" t="s">
        <v>300</v>
      </c>
      <c r="F18" s="61">
        <v>42373</v>
      </c>
      <c r="G18" s="61">
        <v>42373</v>
      </c>
      <c r="H18" s="125">
        <v>42405</v>
      </c>
      <c r="I18" s="61" t="s">
        <v>279</v>
      </c>
      <c r="J18" s="87"/>
      <c r="K18" s="62" t="s">
        <v>12</v>
      </c>
      <c r="L18" s="124" t="s">
        <v>263</v>
      </c>
      <c r="M18" s="62" t="s">
        <v>362</v>
      </c>
      <c r="N18" s="62" t="s">
        <v>363</v>
      </c>
      <c r="O18" s="48" t="s">
        <v>263</v>
      </c>
      <c r="P18" s="48" t="s">
        <v>364</v>
      </c>
      <c r="Q18" s="48" t="s">
        <v>365</v>
      </c>
      <c r="R18" s="48" t="s">
        <v>366</v>
      </c>
      <c r="S18" s="48" t="s">
        <v>367</v>
      </c>
      <c r="T18" s="48" t="s">
        <v>368</v>
      </c>
      <c r="U18" s="48" t="s">
        <v>369</v>
      </c>
      <c r="V18" s="48"/>
      <c r="W18" s="48"/>
      <c r="X18" s="48" t="s">
        <v>370</v>
      </c>
      <c r="Y18" s="48" t="s">
        <v>371</v>
      </c>
      <c r="Z18" s="61"/>
      <c r="AA18" s="48" t="s">
        <v>273</v>
      </c>
      <c r="AB18" s="48" t="s">
        <v>273</v>
      </c>
      <c r="AC18" s="48" t="s">
        <v>273</v>
      </c>
      <c r="AD18" s="48" t="s">
        <v>273</v>
      </c>
      <c r="AE18" s="48" t="s">
        <v>273</v>
      </c>
      <c r="AF18" s="48" t="s">
        <v>273</v>
      </c>
      <c r="AG18" s="48" t="s">
        <v>273</v>
      </c>
      <c r="AH18" s="48" t="s">
        <v>273</v>
      </c>
      <c r="AI18" s="48" t="s">
        <v>273</v>
      </c>
      <c r="AJ18" s="48" t="s">
        <v>273</v>
      </c>
      <c r="AK18" s="48" t="s">
        <v>273</v>
      </c>
      <c r="AL18" s="48" t="s">
        <v>273</v>
      </c>
      <c r="AM18" s="48" t="s">
        <v>273</v>
      </c>
      <c r="AN18" s="48" t="s">
        <v>273</v>
      </c>
      <c r="AO18" s="48" t="s">
        <v>273</v>
      </c>
      <c r="AP18" s="48" t="s">
        <v>273</v>
      </c>
      <c r="AQ18" s="48" t="s">
        <v>273</v>
      </c>
      <c r="AR18" s="48" t="s">
        <v>273</v>
      </c>
      <c r="AS18" s="48" t="s">
        <v>273</v>
      </c>
      <c r="AT18" s="48" t="s">
        <v>273</v>
      </c>
      <c r="AU18" s="93" t="s">
        <v>263</v>
      </c>
      <c r="AV18" s="93"/>
      <c r="AW18" s="93"/>
      <c r="AX18" s="93"/>
      <c r="AY18" s="93"/>
      <c r="AZ18" s="49" t="s">
        <v>372</v>
      </c>
    </row>
    <row r="19" spans="1:52" ht="16.5" customHeight="1" x14ac:dyDescent="0.15">
      <c r="A19" s="123" t="s">
        <v>373</v>
      </c>
      <c r="B19" s="127" t="s">
        <v>374</v>
      </c>
      <c r="C19" s="48" t="s">
        <v>298</v>
      </c>
      <c r="D19" s="62" t="s">
        <v>375</v>
      </c>
      <c r="E19" s="48" t="s">
        <v>300</v>
      </c>
      <c r="F19" s="61">
        <v>42373</v>
      </c>
      <c r="G19" s="61">
        <v>42373</v>
      </c>
      <c r="H19" s="125">
        <v>42390</v>
      </c>
      <c r="I19" s="61" t="s">
        <v>279</v>
      </c>
      <c r="J19" s="87"/>
      <c r="K19" s="62" t="s">
        <v>12</v>
      </c>
      <c r="L19" s="62">
        <v>3</v>
      </c>
      <c r="M19" s="62">
        <v>180</v>
      </c>
      <c r="N19" s="62" t="s">
        <v>376</v>
      </c>
      <c r="O19" s="48" t="s">
        <v>377</v>
      </c>
      <c r="P19" s="48" t="s">
        <v>378</v>
      </c>
      <c r="Q19" s="48" t="s">
        <v>379</v>
      </c>
      <c r="R19" s="48" t="s">
        <v>380</v>
      </c>
      <c r="S19" s="48" t="s">
        <v>381</v>
      </c>
      <c r="T19" s="48" t="s">
        <v>382</v>
      </c>
      <c r="U19" s="48" t="s">
        <v>383</v>
      </c>
      <c r="V19" s="48" t="s">
        <v>384</v>
      </c>
      <c r="W19" s="48" t="s">
        <v>385</v>
      </c>
      <c r="X19" s="48" t="s">
        <v>386</v>
      </c>
      <c r="Y19" s="48" t="s">
        <v>387</v>
      </c>
      <c r="Z19" s="61"/>
      <c r="AA19" s="48" t="s">
        <v>388</v>
      </c>
      <c r="AB19" s="48" t="s">
        <v>389</v>
      </c>
      <c r="AC19" s="48" t="s">
        <v>273</v>
      </c>
      <c r="AD19" s="48" t="s">
        <v>273</v>
      </c>
      <c r="AE19" s="48" t="s">
        <v>273</v>
      </c>
      <c r="AF19" s="48" t="s">
        <v>273</v>
      </c>
      <c r="AG19" s="48" t="s">
        <v>273</v>
      </c>
      <c r="AH19" s="48" t="s">
        <v>273</v>
      </c>
      <c r="AI19" s="48" t="s">
        <v>273</v>
      </c>
      <c r="AJ19" s="48" t="s">
        <v>273</v>
      </c>
      <c r="AK19" s="48" t="s">
        <v>390</v>
      </c>
      <c r="AL19" s="48" t="s">
        <v>391</v>
      </c>
      <c r="AM19" s="48" t="s">
        <v>273</v>
      </c>
      <c r="AN19" s="48" t="s">
        <v>273</v>
      </c>
      <c r="AO19" s="48" t="s">
        <v>273</v>
      </c>
      <c r="AP19" s="48" t="s">
        <v>273</v>
      </c>
      <c r="AQ19" s="48" t="s">
        <v>273</v>
      </c>
      <c r="AR19" s="48" t="s">
        <v>273</v>
      </c>
      <c r="AS19" s="48" t="s">
        <v>273</v>
      </c>
      <c r="AT19" s="48" t="s">
        <v>273</v>
      </c>
      <c r="AU19" s="93">
        <v>36678</v>
      </c>
      <c r="AV19" s="93"/>
      <c r="AW19" s="93"/>
      <c r="AX19" s="93"/>
      <c r="AY19" s="93"/>
    </row>
    <row r="20" spans="1:52" ht="16.5" customHeight="1" x14ac:dyDescent="0.15">
      <c r="A20" s="144" t="s">
        <v>392</v>
      </c>
      <c r="B20" s="145" t="s">
        <v>393</v>
      </c>
      <c r="C20" s="48" t="s">
        <v>330</v>
      </c>
      <c r="D20" s="62" t="s">
        <v>263</v>
      </c>
      <c r="E20" s="48" t="s">
        <v>273</v>
      </c>
      <c r="F20" s="61">
        <v>42373</v>
      </c>
      <c r="G20" s="61">
        <v>42373</v>
      </c>
      <c r="H20" s="125">
        <v>42501</v>
      </c>
      <c r="I20" s="61" t="s">
        <v>279</v>
      </c>
      <c r="J20" s="87"/>
      <c r="K20" s="124" t="s">
        <v>263</v>
      </c>
      <c r="L20" s="124" t="s">
        <v>263</v>
      </c>
      <c r="M20" s="62" t="s">
        <v>394</v>
      </c>
      <c r="N20" s="62" t="s">
        <v>395</v>
      </c>
      <c r="O20" s="48" t="s">
        <v>396</v>
      </c>
      <c r="P20" s="48" t="s">
        <v>397</v>
      </c>
      <c r="Q20" s="48" t="s">
        <v>398</v>
      </c>
      <c r="R20" s="48" t="s">
        <v>399</v>
      </c>
      <c r="S20" s="48" t="s">
        <v>400</v>
      </c>
      <c r="T20" s="48" t="s">
        <v>401</v>
      </c>
      <c r="U20" s="48" t="s">
        <v>402</v>
      </c>
      <c r="V20" s="122" t="s">
        <v>263</v>
      </c>
      <c r="W20" s="122" t="s">
        <v>263</v>
      </c>
      <c r="X20" s="48" t="s">
        <v>403</v>
      </c>
      <c r="Y20" s="48" t="s">
        <v>404</v>
      </c>
      <c r="Z20" s="61"/>
      <c r="AA20" s="48" t="s">
        <v>273</v>
      </c>
      <c r="AB20" s="48" t="s">
        <v>273</v>
      </c>
      <c r="AC20" s="48" t="s">
        <v>273</v>
      </c>
      <c r="AD20" s="48" t="s">
        <v>273</v>
      </c>
      <c r="AE20" s="48" t="s">
        <v>273</v>
      </c>
      <c r="AF20" s="48" t="s">
        <v>273</v>
      </c>
      <c r="AG20" s="48" t="s">
        <v>273</v>
      </c>
      <c r="AH20" s="48" t="s">
        <v>273</v>
      </c>
      <c r="AI20" s="48" t="s">
        <v>273</v>
      </c>
      <c r="AJ20" s="48" t="s">
        <v>273</v>
      </c>
      <c r="AK20" s="48" t="s">
        <v>273</v>
      </c>
      <c r="AL20" s="48" t="s">
        <v>273</v>
      </c>
      <c r="AM20" s="48" t="s">
        <v>273</v>
      </c>
      <c r="AN20" s="48" t="s">
        <v>273</v>
      </c>
      <c r="AO20" s="48" t="s">
        <v>273</v>
      </c>
      <c r="AP20" s="48" t="s">
        <v>273</v>
      </c>
      <c r="AQ20" s="48" t="s">
        <v>273</v>
      </c>
      <c r="AR20" s="48" t="s">
        <v>273</v>
      </c>
      <c r="AS20" s="48" t="s">
        <v>273</v>
      </c>
      <c r="AT20" s="48" t="s">
        <v>273</v>
      </c>
      <c r="AU20" s="93">
        <v>38930</v>
      </c>
      <c r="AV20" s="93"/>
      <c r="AW20" s="93"/>
      <c r="AX20" s="93"/>
      <c r="AY20" s="93"/>
      <c r="AZ20" s="49" t="s">
        <v>405</v>
      </c>
    </row>
    <row r="21" spans="1:52" ht="16.5" customHeight="1" x14ac:dyDescent="0.15">
      <c r="A21" s="134" t="s">
        <v>406</v>
      </c>
      <c r="B21" s="136" t="s">
        <v>407</v>
      </c>
      <c r="C21" s="48" t="s">
        <v>298</v>
      </c>
      <c r="D21" s="62" t="s">
        <v>408</v>
      </c>
      <c r="E21" s="48" t="s">
        <v>300</v>
      </c>
      <c r="F21" s="61">
        <v>42373</v>
      </c>
      <c r="G21" s="61">
        <v>42373</v>
      </c>
      <c r="H21" s="125">
        <v>42436</v>
      </c>
      <c r="I21" s="61" t="s">
        <v>279</v>
      </c>
      <c r="J21" s="87"/>
      <c r="K21" s="124" t="s">
        <v>263</v>
      </c>
      <c r="L21" s="124" t="s">
        <v>263</v>
      </c>
      <c r="M21" s="62" t="s">
        <v>409</v>
      </c>
      <c r="N21" s="62" t="s">
        <v>410</v>
      </c>
      <c r="O21" s="48" t="s">
        <v>411</v>
      </c>
      <c r="P21" s="48" t="s">
        <v>412</v>
      </c>
      <c r="Q21" s="48" t="s">
        <v>413</v>
      </c>
      <c r="R21" s="48" t="s">
        <v>414</v>
      </c>
      <c r="S21" s="48" t="s">
        <v>415</v>
      </c>
      <c r="T21" s="48" t="s">
        <v>416</v>
      </c>
      <c r="U21" s="48" t="s">
        <v>417</v>
      </c>
      <c r="V21" s="122" t="s">
        <v>263</v>
      </c>
      <c r="W21" s="122" t="s">
        <v>263</v>
      </c>
      <c r="X21" s="48" t="s">
        <v>418</v>
      </c>
      <c r="Y21" s="48" t="s">
        <v>419</v>
      </c>
      <c r="Z21" s="61"/>
      <c r="AA21" s="48" t="s">
        <v>273</v>
      </c>
      <c r="AB21" s="48" t="s">
        <v>273</v>
      </c>
      <c r="AC21" s="48" t="s">
        <v>273</v>
      </c>
      <c r="AD21" s="48" t="s">
        <v>273</v>
      </c>
      <c r="AE21" s="48" t="s">
        <v>273</v>
      </c>
      <c r="AF21" s="48" t="s">
        <v>273</v>
      </c>
      <c r="AG21" s="48" t="s">
        <v>273</v>
      </c>
      <c r="AH21" s="48" t="s">
        <v>273</v>
      </c>
      <c r="AI21" s="48" t="s">
        <v>273</v>
      </c>
      <c r="AJ21" s="48" t="s">
        <v>273</v>
      </c>
      <c r="AK21" s="48" t="s">
        <v>273</v>
      </c>
      <c r="AL21" s="48" t="s">
        <v>273</v>
      </c>
      <c r="AM21" s="48" t="s">
        <v>273</v>
      </c>
      <c r="AN21" s="48" t="s">
        <v>273</v>
      </c>
      <c r="AO21" s="48" t="s">
        <v>273</v>
      </c>
      <c r="AP21" s="48" t="s">
        <v>273</v>
      </c>
      <c r="AQ21" s="48" t="s">
        <v>273</v>
      </c>
      <c r="AR21" s="48" t="s">
        <v>273</v>
      </c>
      <c r="AS21" s="48" t="s">
        <v>273</v>
      </c>
      <c r="AT21" s="48" t="s">
        <v>273</v>
      </c>
      <c r="AU21" s="93">
        <v>38565</v>
      </c>
      <c r="AV21" s="93"/>
      <c r="AW21" s="93"/>
      <c r="AX21" s="93"/>
      <c r="AY21" s="93"/>
      <c r="AZ21" s="49" t="s">
        <v>420</v>
      </c>
    </row>
    <row r="22" spans="1:52" ht="16.5" customHeight="1" x14ac:dyDescent="0.15">
      <c r="A22" s="134" t="s">
        <v>421</v>
      </c>
      <c r="B22" s="136" t="s">
        <v>422</v>
      </c>
      <c r="C22" s="48" t="s">
        <v>423</v>
      </c>
      <c r="D22" s="62" t="s">
        <v>424</v>
      </c>
      <c r="E22" s="48" t="s">
        <v>300</v>
      </c>
      <c r="F22" s="61">
        <v>42374</v>
      </c>
      <c r="G22" s="61">
        <v>42374</v>
      </c>
      <c r="H22" s="125">
        <v>42453</v>
      </c>
      <c r="I22" s="61" t="s">
        <v>279</v>
      </c>
      <c r="J22" s="87"/>
      <c r="K22" s="62" t="s">
        <v>12</v>
      </c>
      <c r="L22" s="62">
        <v>3</v>
      </c>
      <c r="M22" s="62" t="s">
        <v>425</v>
      </c>
      <c r="N22" s="62" t="s">
        <v>426</v>
      </c>
      <c r="O22" s="48" t="s">
        <v>427</v>
      </c>
      <c r="P22" s="48" t="s">
        <v>428</v>
      </c>
      <c r="Q22" s="48" t="s">
        <v>429</v>
      </c>
      <c r="R22" s="48" t="s">
        <v>430</v>
      </c>
      <c r="S22" s="48" t="s">
        <v>431</v>
      </c>
      <c r="T22" s="48" t="s">
        <v>432</v>
      </c>
      <c r="U22" s="48" t="s">
        <v>433</v>
      </c>
      <c r="V22" s="48"/>
      <c r="W22" s="48"/>
      <c r="X22" s="48" t="s">
        <v>434</v>
      </c>
      <c r="Y22" s="48" t="s">
        <v>435</v>
      </c>
      <c r="Z22" s="61"/>
      <c r="AA22" s="48" t="s">
        <v>436</v>
      </c>
      <c r="AB22" s="48" t="s">
        <v>273</v>
      </c>
      <c r="AC22" s="48" t="s">
        <v>273</v>
      </c>
      <c r="AD22" s="48" t="s">
        <v>273</v>
      </c>
      <c r="AE22" s="48" t="s">
        <v>273</v>
      </c>
      <c r="AF22" s="48" t="s">
        <v>273</v>
      </c>
      <c r="AG22" s="48" t="s">
        <v>273</v>
      </c>
      <c r="AH22" s="48" t="s">
        <v>273</v>
      </c>
      <c r="AI22" s="48" t="s">
        <v>273</v>
      </c>
      <c r="AJ22" s="48" t="s">
        <v>273</v>
      </c>
      <c r="AK22" s="48" t="s">
        <v>437</v>
      </c>
      <c r="AL22" s="48" t="s">
        <v>273</v>
      </c>
      <c r="AM22" s="48" t="s">
        <v>273</v>
      </c>
      <c r="AN22" s="48" t="s">
        <v>273</v>
      </c>
      <c r="AO22" s="48" t="s">
        <v>273</v>
      </c>
      <c r="AP22" s="48" t="s">
        <v>273</v>
      </c>
      <c r="AQ22" s="48" t="s">
        <v>273</v>
      </c>
      <c r="AR22" s="48" t="s">
        <v>273</v>
      </c>
      <c r="AS22" s="48" t="s">
        <v>273</v>
      </c>
      <c r="AT22" s="48" t="s">
        <v>273</v>
      </c>
      <c r="AU22" s="93">
        <v>39934</v>
      </c>
      <c r="AV22" s="93"/>
      <c r="AW22" s="93"/>
      <c r="AX22" s="93"/>
      <c r="AY22" s="93"/>
      <c r="AZ22" s="49" t="s">
        <v>438</v>
      </c>
    </row>
    <row r="23" spans="1:52" ht="16.5" customHeight="1" x14ac:dyDescent="0.15">
      <c r="A23" s="123" t="s">
        <v>439</v>
      </c>
      <c r="B23" s="127" t="s">
        <v>440</v>
      </c>
      <c r="C23" s="48" t="s">
        <v>298</v>
      </c>
      <c r="D23" s="62" t="s">
        <v>441</v>
      </c>
      <c r="E23" s="48" t="s">
        <v>300</v>
      </c>
      <c r="F23" s="61">
        <v>42374</v>
      </c>
      <c r="G23" s="61">
        <v>42374</v>
      </c>
      <c r="H23" s="125">
        <v>42394</v>
      </c>
      <c r="I23" s="61" t="s">
        <v>279</v>
      </c>
      <c r="J23" s="87"/>
      <c r="K23" s="62" t="s">
        <v>12</v>
      </c>
      <c r="L23" s="62">
        <v>3</v>
      </c>
      <c r="M23" s="62" t="s">
        <v>442</v>
      </c>
      <c r="N23" s="62" t="s">
        <v>443</v>
      </c>
      <c r="O23" s="48" t="s">
        <v>444</v>
      </c>
      <c r="P23" s="48" t="s">
        <v>445</v>
      </c>
      <c r="Q23" s="48" t="s">
        <v>446</v>
      </c>
      <c r="R23" s="48" t="s">
        <v>447</v>
      </c>
      <c r="S23" s="48" t="s">
        <v>448</v>
      </c>
      <c r="T23" s="48" t="s">
        <v>449</v>
      </c>
      <c r="U23" s="48" t="s">
        <v>450</v>
      </c>
      <c r="V23" s="122" t="s">
        <v>263</v>
      </c>
      <c r="W23" s="122" t="s">
        <v>263</v>
      </c>
      <c r="X23" s="48" t="s">
        <v>451</v>
      </c>
      <c r="Y23" s="48" t="s">
        <v>452</v>
      </c>
      <c r="Z23" s="61"/>
      <c r="AA23" s="48" t="s">
        <v>453</v>
      </c>
      <c r="AB23" s="48" t="s">
        <v>389</v>
      </c>
      <c r="AC23" s="48" t="s">
        <v>388</v>
      </c>
      <c r="AD23" s="48" t="s">
        <v>273</v>
      </c>
      <c r="AE23" s="48" t="s">
        <v>273</v>
      </c>
      <c r="AF23" s="48" t="s">
        <v>273</v>
      </c>
      <c r="AG23" s="48" t="s">
        <v>273</v>
      </c>
      <c r="AH23" s="48" t="s">
        <v>273</v>
      </c>
      <c r="AI23" s="48" t="s">
        <v>273</v>
      </c>
      <c r="AJ23" s="48" t="s">
        <v>273</v>
      </c>
      <c r="AK23" s="48" t="s">
        <v>454</v>
      </c>
      <c r="AL23" s="48" t="s">
        <v>391</v>
      </c>
      <c r="AM23" s="48" t="s">
        <v>390</v>
      </c>
      <c r="AN23" s="48" t="s">
        <v>273</v>
      </c>
      <c r="AO23" s="48" t="s">
        <v>273</v>
      </c>
      <c r="AP23" s="48" t="s">
        <v>273</v>
      </c>
      <c r="AQ23" s="48" t="s">
        <v>273</v>
      </c>
      <c r="AR23" s="48" t="s">
        <v>273</v>
      </c>
      <c r="AS23" s="48" t="s">
        <v>273</v>
      </c>
      <c r="AT23" s="48" t="s">
        <v>273</v>
      </c>
      <c r="AU23" s="93">
        <v>37926</v>
      </c>
      <c r="AV23" s="93"/>
      <c r="AW23" s="93"/>
      <c r="AX23" s="93"/>
      <c r="AY23" s="93"/>
    </row>
    <row r="24" spans="1:52" ht="16.5" customHeight="1" x14ac:dyDescent="0.15">
      <c r="A24" s="123" t="s">
        <v>455</v>
      </c>
      <c r="B24" s="127" t="s">
        <v>456</v>
      </c>
      <c r="C24" s="48" t="s">
        <v>457</v>
      </c>
      <c r="D24" s="62" t="s">
        <v>458</v>
      </c>
      <c r="E24" s="48" t="s">
        <v>264</v>
      </c>
      <c r="F24" s="61">
        <v>42375</v>
      </c>
      <c r="G24" s="61">
        <v>42375</v>
      </c>
      <c r="H24" s="125">
        <v>42377</v>
      </c>
      <c r="I24" s="61" t="s">
        <v>279</v>
      </c>
      <c r="J24" s="87"/>
      <c r="K24" s="62" t="s">
        <v>12</v>
      </c>
      <c r="L24" s="62">
        <v>3</v>
      </c>
      <c r="M24" s="62" t="s">
        <v>209</v>
      </c>
      <c r="N24" s="62" t="s">
        <v>459</v>
      </c>
      <c r="O24" s="48" t="s">
        <v>281</v>
      </c>
      <c r="P24" s="48" t="s">
        <v>460</v>
      </c>
      <c r="Q24" s="48" t="s">
        <v>461</v>
      </c>
      <c r="R24" s="48" t="s">
        <v>462</v>
      </c>
      <c r="S24" s="48" t="s">
        <v>463</v>
      </c>
      <c r="T24" s="48" t="s">
        <v>464</v>
      </c>
      <c r="U24" s="48" t="s">
        <v>465</v>
      </c>
      <c r="V24" s="122" t="s">
        <v>263</v>
      </c>
      <c r="W24" s="122" t="s">
        <v>263</v>
      </c>
      <c r="X24" s="48" t="s">
        <v>466</v>
      </c>
      <c r="Y24" s="48" t="s">
        <v>467</v>
      </c>
      <c r="Z24" s="61"/>
      <c r="AA24" s="48" t="s">
        <v>327</v>
      </c>
      <c r="AB24" s="48" t="s">
        <v>273</v>
      </c>
      <c r="AC24" s="48" t="s">
        <v>273</v>
      </c>
      <c r="AD24" s="48" t="s">
        <v>273</v>
      </c>
      <c r="AE24" s="48" t="s">
        <v>273</v>
      </c>
      <c r="AF24" s="48" t="s">
        <v>273</v>
      </c>
      <c r="AG24" s="48" t="s">
        <v>273</v>
      </c>
      <c r="AH24" s="48" t="s">
        <v>273</v>
      </c>
      <c r="AI24" s="48" t="s">
        <v>273</v>
      </c>
      <c r="AJ24" s="48" t="s">
        <v>273</v>
      </c>
      <c r="AK24" s="48" t="s">
        <v>274</v>
      </c>
      <c r="AL24" s="48" t="s">
        <v>273</v>
      </c>
      <c r="AM24" s="48" t="s">
        <v>273</v>
      </c>
      <c r="AN24" s="48" t="s">
        <v>273</v>
      </c>
      <c r="AO24" s="48" t="s">
        <v>273</v>
      </c>
      <c r="AP24" s="48" t="s">
        <v>273</v>
      </c>
      <c r="AQ24" s="48" t="s">
        <v>273</v>
      </c>
      <c r="AR24" s="48" t="s">
        <v>273</v>
      </c>
      <c r="AS24" s="48" t="s">
        <v>273</v>
      </c>
      <c r="AT24" s="48" t="s">
        <v>273</v>
      </c>
      <c r="AU24" s="93">
        <v>40969</v>
      </c>
      <c r="AV24" s="93"/>
      <c r="AW24" s="93"/>
      <c r="AX24" s="93"/>
      <c r="AY24" s="93"/>
    </row>
    <row r="25" spans="1:52" ht="16.5" customHeight="1" x14ac:dyDescent="0.15">
      <c r="A25" s="123" t="s">
        <v>468</v>
      </c>
      <c r="B25" s="127" t="s">
        <v>469</v>
      </c>
      <c r="C25" s="48" t="s">
        <v>470</v>
      </c>
      <c r="D25" s="62" t="s">
        <v>263</v>
      </c>
      <c r="E25" s="48" t="s">
        <v>264</v>
      </c>
      <c r="F25" s="61">
        <v>42375</v>
      </c>
      <c r="G25" s="61">
        <v>42375</v>
      </c>
      <c r="H25" s="125">
        <v>42384</v>
      </c>
      <c r="I25" s="61" t="s">
        <v>279</v>
      </c>
      <c r="J25" s="87"/>
      <c r="K25" s="62" t="s">
        <v>12</v>
      </c>
      <c r="L25" s="62">
        <v>3</v>
      </c>
      <c r="M25" s="62" t="s">
        <v>471</v>
      </c>
      <c r="N25" s="62" t="s">
        <v>472</v>
      </c>
      <c r="O25" s="48" t="s">
        <v>473</v>
      </c>
      <c r="P25" s="48" t="s">
        <v>474</v>
      </c>
      <c r="Q25" s="48" t="s">
        <v>475</v>
      </c>
      <c r="R25" s="48" t="s">
        <v>476</v>
      </c>
      <c r="S25" s="48" t="s">
        <v>477</v>
      </c>
      <c r="T25" s="48" t="s">
        <v>478</v>
      </c>
      <c r="U25" s="48" t="s">
        <v>322</v>
      </c>
      <c r="V25" s="122" t="s">
        <v>263</v>
      </c>
      <c r="W25" s="122" t="s">
        <v>263</v>
      </c>
      <c r="X25" s="48" t="s">
        <v>325</v>
      </c>
      <c r="Y25" s="48" t="s">
        <v>479</v>
      </c>
      <c r="Z25" s="61"/>
      <c r="AA25" s="48" t="s">
        <v>480</v>
      </c>
      <c r="AB25" s="48" t="s">
        <v>273</v>
      </c>
      <c r="AC25" s="48" t="s">
        <v>273</v>
      </c>
      <c r="AD25" s="48" t="s">
        <v>273</v>
      </c>
      <c r="AE25" s="48" t="s">
        <v>273</v>
      </c>
      <c r="AF25" s="48" t="s">
        <v>273</v>
      </c>
      <c r="AG25" s="48" t="s">
        <v>273</v>
      </c>
      <c r="AH25" s="48" t="s">
        <v>273</v>
      </c>
      <c r="AI25" s="48" t="s">
        <v>273</v>
      </c>
      <c r="AJ25" s="48" t="s">
        <v>273</v>
      </c>
      <c r="AK25" s="48" t="s">
        <v>481</v>
      </c>
      <c r="AL25" s="48" t="s">
        <v>273</v>
      </c>
      <c r="AM25" s="48" t="s">
        <v>273</v>
      </c>
      <c r="AN25" s="48" t="s">
        <v>273</v>
      </c>
      <c r="AO25" s="48" t="s">
        <v>273</v>
      </c>
      <c r="AP25" s="48" t="s">
        <v>273</v>
      </c>
      <c r="AQ25" s="48" t="s">
        <v>273</v>
      </c>
      <c r="AR25" s="48" t="s">
        <v>273</v>
      </c>
      <c r="AS25" s="48" t="s">
        <v>273</v>
      </c>
      <c r="AT25" s="48" t="s">
        <v>273</v>
      </c>
      <c r="AU25" s="93">
        <v>40940</v>
      </c>
      <c r="AV25" s="93"/>
      <c r="AW25" s="93"/>
      <c r="AX25" s="93"/>
      <c r="AY25" s="93"/>
    </row>
    <row r="26" spans="1:52" ht="16.5" customHeight="1" x14ac:dyDescent="0.15">
      <c r="A26" s="123" t="s">
        <v>482</v>
      </c>
      <c r="B26" s="127" t="s">
        <v>483</v>
      </c>
      <c r="C26" s="48" t="s">
        <v>298</v>
      </c>
      <c r="D26" s="62" t="s">
        <v>484</v>
      </c>
      <c r="E26" s="48" t="s">
        <v>264</v>
      </c>
      <c r="F26" s="61">
        <v>42375</v>
      </c>
      <c r="G26" s="61">
        <v>42375</v>
      </c>
      <c r="H26" s="125">
        <v>42384</v>
      </c>
      <c r="I26" s="61" t="s">
        <v>279</v>
      </c>
      <c r="J26" s="87"/>
      <c r="K26" s="62" t="s">
        <v>12</v>
      </c>
      <c r="L26" s="124" t="s">
        <v>263</v>
      </c>
      <c r="M26" s="62" t="s">
        <v>471</v>
      </c>
      <c r="N26" s="62" t="s">
        <v>485</v>
      </c>
      <c r="O26" s="48" t="s">
        <v>486</v>
      </c>
      <c r="P26" s="48" t="s">
        <v>487</v>
      </c>
      <c r="Q26" s="48" t="s">
        <v>488</v>
      </c>
      <c r="R26" s="48" t="s">
        <v>489</v>
      </c>
      <c r="S26" s="48" t="s">
        <v>490</v>
      </c>
      <c r="T26" s="48" t="s">
        <v>491</v>
      </c>
      <c r="U26" s="48" t="s">
        <v>492</v>
      </c>
      <c r="V26" s="48" t="s">
        <v>493</v>
      </c>
      <c r="W26" s="48" t="s">
        <v>494</v>
      </c>
      <c r="X26" s="48" t="s">
        <v>495</v>
      </c>
      <c r="Y26" s="48" t="s">
        <v>496</v>
      </c>
      <c r="Z26" s="61"/>
      <c r="AA26" s="48" t="s">
        <v>273</v>
      </c>
      <c r="AB26" s="48" t="s">
        <v>273</v>
      </c>
      <c r="AC26" s="48" t="s">
        <v>273</v>
      </c>
      <c r="AD26" s="48" t="s">
        <v>273</v>
      </c>
      <c r="AE26" s="48" t="s">
        <v>273</v>
      </c>
      <c r="AF26" s="48" t="s">
        <v>273</v>
      </c>
      <c r="AG26" s="48" t="s">
        <v>273</v>
      </c>
      <c r="AH26" s="48" t="s">
        <v>273</v>
      </c>
      <c r="AI26" s="48" t="s">
        <v>273</v>
      </c>
      <c r="AJ26" s="48" t="s">
        <v>273</v>
      </c>
      <c r="AK26" s="48" t="s">
        <v>273</v>
      </c>
      <c r="AL26" s="48" t="s">
        <v>273</v>
      </c>
      <c r="AM26" s="48" t="s">
        <v>273</v>
      </c>
      <c r="AN26" s="48" t="s">
        <v>273</v>
      </c>
      <c r="AO26" s="48" t="s">
        <v>273</v>
      </c>
      <c r="AP26" s="48" t="s">
        <v>273</v>
      </c>
      <c r="AQ26" s="48" t="s">
        <v>273</v>
      </c>
      <c r="AR26" s="48" t="s">
        <v>273</v>
      </c>
      <c r="AS26" s="48" t="s">
        <v>273</v>
      </c>
      <c r="AT26" s="48" t="s">
        <v>273</v>
      </c>
      <c r="AU26" s="93">
        <v>42064</v>
      </c>
      <c r="AV26" s="93"/>
      <c r="AW26" s="93"/>
      <c r="AX26" s="93"/>
      <c r="AY26" s="93"/>
      <c r="AZ26" s="49" t="s">
        <v>497</v>
      </c>
    </row>
    <row r="27" spans="1:52" ht="16.5" customHeight="1" x14ac:dyDescent="0.15">
      <c r="A27" s="123" t="s">
        <v>498</v>
      </c>
      <c r="B27" s="127" t="s">
        <v>499</v>
      </c>
      <c r="C27" s="48" t="s">
        <v>500</v>
      </c>
      <c r="D27" s="62" t="s">
        <v>263</v>
      </c>
      <c r="E27" s="48" t="s">
        <v>264</v>
      </c>
      <c r="F27" s="61">
        <v>42375</v>
      </c>
      <c r="G27" s="61">
        <v>42375</v>
      </c>
      <c r="H27" s="125">
        <v>42395</v>
      </c>
      <c r="I27" s="61" t="s">
        <v>279</v>
      </c>
      <c r="J27" s="87"/>
      <c r="K27" s="62" t="s">
        <v>12</v>
      </c>
      <c r="L27" s="62">
        <v>3</v>
      </c>
      <c r="M27" s="62" t="s">
        <v>471</v>
      </c>
      <c r="N27" s="62" t="s">
        <v>501</v>
      </c>
      <c r="O27" s="48" t="s">
        <v>502</v>
      </c>
      <c r="P27" s="48" t="s">
        <v>503</v>
      </c>
      <c r="Q27" s="48" t="s">
        <v>504</v>
      </c>
      <c r="R27" s="48" t="s">
        <v>476</v>
      </c>
      <c r="S27" s="48" t="s">
        <v>477</v>
      </c>
      <c r="T27" s="48" t="s">
        <v>478</v>
      </c>
      <c r="U27" s="48" t="s">
        <v>505</v>
      </c>
      <c r="V27" s="122" t="s">
        <v>263</v>
      </c>
      <c r="W27" s="122" t="s">
        <v>263</v>
      </c>
      <c r="X27" s="48" t="s">
        <v>506</v>
      </c>
      <c r="Y27" s="48" t="s">
        <v>507</v>
      </c>
      <c r="Z27" s="61"/>
      <c r="AA27" s="48" t="s">
        <v>508</v>
      </c>
      <c r="AB27" s="48" t="s">
        <v>273</v>
      </c>
      <c r="AC27" s="48" t="s">
        <v>273</v>
      </c>
      <c r="AD27" s="48" t="s">
        <v>273</v>
      </c>
      <c r="AE27" s="48" t="s">
        <v>273</v>
      </c>
      <c r="AF27" s="48" t="s">
        <v>273</v>
      </c>
      <c r="AG27" s="48" t="s">
        <v>273</v>
      </c>
      <c r="AH27" s="48" t="s">
        <v>273</v>
      </c>
      <c r="AI27" s="48" t="s">
        <v>273</v>
      </c>
      <c r="AJ27" s="48" t="s">
        <v>273</v>
      </c>
      <c r="AK27" s="48" t="s">
        <v>509</v>
      </c>
      <c r="AL27" s="48" t="s">
        <v>273</v>
      </c>
      <c r="AM27" s="48" t="s">
        <v>273</v>
      </c>
      <c r="AN27" s="48" t="s">
        <v>273</v>
      </c>
      <c r="AO27" s="48" t="s">
        <v>273</v>
      </c>
      <c r="AP27" s="48" t="s">
        <v>273</v>
      </c>
      <c r="AQ27" s="48" t="s">
        <v>273</v>
      </c>
      <c r="AR27" s="48" t="s">
        <v>273</v>
      </c>
      <c r="AS27" s="48" t="s">
        <v>273</v>
      </c>
      <c r="AT27" s="48" t="s">
        <v>273</v>
      </c>
      <c r="AU27" s="93">
        <v>41671</v>
      </c>
      <c r="AV27" s="93"/>
      <c r="AW27" s="93"/>
      <c r="AX27" s="93"/>
      <c r="AY27" s="93"/>
    </row>
    <row r="28" spans="1:52" ht="16.5" customHeight="1" x14ac:dyDescent="0.15">
      <c r="A28" s="128" t="s">
        <v>510</v>
      </c>
      <c r="B28" s="133" t="s">
        <v>511</v>
      </c>
      <c r="C28" s="48" t="s">
        <v>298</v>
      </c>
      <c r="D28" s="62" t="s">
        <v>263</v>
      </c>
      <c r="E28" s="48" t="s">
        <v>273</v>
      </c>
      <c r="F28" s="61">
        <v>42376</v>
      </c>
      <c r="G28" s="61">
        <v>42376</v>
      </c>
      <c r="H28" s="125">
        <v>42425</v>
      </c>
      <c r="I28" s="61" t="s">
        <v>279</v>
      </c>
      <c r="J28" s="87"/>
      <c r="K28" s="62" t="s">
        <v>12</v>
      </c>
      <c r="L28" s="62">
        <v>3</v>
      </c>
      <c r="M28" s="62" t="s">
        <v>394</v>
      </c>
      <c r="N28" s="62" t="s">
        <v>512</v>
      </c>
      <c r="O28" s="48" t="s">
        <v>396</v>
      </c>
      <c r="P28" s="48" t="s">
        <v>513</v>
      </c>
      <c r="Q28" s="48" t="s">
        <v>514</v>
      </c>
      <c r="R28" s="48" t="s">
        <v>476</v>
      </c>
      <c r="S28" s="48" t="s">
        <v>477</v>
      </c>
      <c r="T28" s="48" t="s">
        <v>478</v>
      </c>
      <c r="U28" s="48" t="s">
        <v>515</v>
      </c>
      <c r="V28" s="122" t="s">
        <v>263</v>
      </c>
      <c r="W28" s="122" t="s">
        <v>263</v>
      </c>
      <c r="X28" s="48" t="s">
        <v>516</v>
      </c>
      <c r="Y28" s="48" t="s">
        <v>517</v>
      </c>
      <c r="Z28" s="61"/>
      <c r="AA28" s="48" t="s">
        <v>518</v>
      </c>
      <c r="AB28" s="48" t="s">
        <v>273</v>
      </c>
      <c r="AC28" s="48" t="s">
        <v>273</v>
      </c>
      <c r="AD28" s="48" t="s">
        <v>273</v>
      </c>
      <c r="AE28" s="48" t="s">
        <v>273</v>
      </c>
      <c r="AF28" s="48" t="s">
        <v>273</v>
      </c>
      <c r="AG28" s="48" t="s">
        <v>273</v>
      </c>
      <c r="AH28" s="48" t="s">
        <v>273</v>
      </c>
      <c r="AI28" s="48" t="s">
        <v>273</v>
      </c>
      <c r="AJ28" s="48" t="s">
        <v>273</v>
      </c>
      <c r="AK28" s="48" t="s">
        <v>519</v>
      </c>
      <c r="AL28" s="48" t="s">
        <v>273</v>
      </c>
      <c r="AM28" s="48" t="s">
        <v>273</v>
      </c>
      <c r="AN28" s="48" t="s">
        <v>273</v>
      </c>
      <c r="AO28" s="48" t="s">
        <v>273</v>
      </c>
      <c r="AP28" s="48" t="s">
        <v>273</v>
      </c>
      <c r="AQ28" s="48" t="s">
        <v>273</v>
      </c>
      <c r="AR28" s="48" t="s">
        <v>273</v>
      </c>
      <c r="AS28" s="48" t="s">
        <v>273</v>
      </c>
      <c r="AT28" s="48" t="s">
        <v>273</v>
      </c>
      <c r="AU28" s="93">
        <v>39356</v>
      </c>
      <c r="AV28" s="93"/>
      <c r="AW28" s="93"/>
      <c r="AX28" s="93"/>
      <c r="AY28" s="93"/>
    </row>
    <row r="29" spans="1:52" ht="16.5" customHeight="1" x14ac:dyDescent="0.15">
      <c r="A29" s="123" t="s">
        <v>520</v>
      </c>
      <c r="B29" s="127" t="s">
        <v>521</v>
      </c>
      <c r="C29" s="48" t="s">
        <v>522</v>
      </c>
      <c r="D29" s="62" t="s">
        <v>263</v>
      </c>
      <c r="E29" s="48" t="s">
        <v>264</v>
      </c>
      <c r="F29" s="61">
        <v>42376</v>
      </c>
      <c r="G29" s="61">
        <v>42376</v>
      </c>
      <c r="H29" s="125">
        <v>42384</v>
      </c>
      <c r="I29" s="61" t="s">
        <v>263</v>
      </c>
      <c r="J29" s="87"/>
      <c r="K29" s="62" t="s">
        <v>12</v>
      </c>
      <c r="L29" s="62">
        <v>3</v>
      </c>
      <c r="M29" s="62" t="s">
        <v>471</v>
      </c>
      <c r="N29" s="62" t="s">
        <v>523</v>
      </c>
      <c r="O29" s="48" t="s">
        <v>502</v>
      </c>
      <c r="P29" s="48" t="s">
        <v>524</v>
      </c>
      <c r="Q29" s="48" t="s">
        <v>525</v>
      </c>
      <c r="R29" s="48" t="s">
        <v>476</v>
      </c>
      <c r="S29" s="48" t="s">
        <v>477</v>
      </c>
      <c r="T29" s="48" t="s">
        <v>478</v>
      </c>
      <c r="U29" s="48" t="s">
        <v>526</v>
      </c>
      <c r="V29" s="122" t="s">
        <v>263</v>
      </c>
      <c r="W29" s="122" t="s">
        <v>263</v>
      </c>
      <c r="X29" s="48" t="s">
        <v>527</v>
      </c>
      <c r="Y29" s="48" t="s">
        <v>528</v>
      </c>
      <c r="Z29" s="61"/>
      <c r="AA29" s="48" t="s">
        <v>529</v>
      </c>
      <c r="AB29" s="48" t="s">
        <v>273</v>
      </c>
      <c r="AC29" s="48" t="s">
        <v>273</v>
      </c>
      <c r="AD29" s="48" t="s">
        <v>273</v>
      </c>
      <c r="AE29" s="48" t="s">
        <v>273</v>
      </c>
      <c r="AF29" s="48" t="s">
        <v>273</v>
      </c>
      <c r="AG29" s="48" t="s">
        <v>273</v>
      </c>
      <c r="AH29" s="48" t="s">
        <v>273</v>
      </c>
      <c r="AI29" s="48" t="s">
        <v>273</v>
      </c>
      <c r="AJ29" s="48" t="s">
        <v>273</v>
      </c>
      <c r="AK29" s="48" t="s">
        <v>530</v>
      </c>
      <c r="AL29" s="48" t="s">
        <v>273</v>
      </c>
      <c r="AM29" s="48" t="s">
        <v>273</v>
      </c>
      <c r="AN29" s="48" t="s">
        <v>273</v>
      </c>
      <c r="AO29" s="48" t="s">
        <v>273</v>
      </c>
      <c r="AP29" s="48" t="s">
        <v>273</v>
      </c>
      <c r="AQ29" s="48" t="s">
        <v>273</v>
      </c>
      <c r="AR29" s="48" t="s">
        <v>273</v>
      </c>
      <c r="AS29" s="48" t="s">
        <v>273</v>
      </c>
      <c r="AT29" s="48" t="s">
        <v>273</v>
      </c>
      <c r="AU29" s="93">
        <v>41487</v>
      </c>
      <c r="AV29" s="93"/>
      <c r="AW29" s="93"/>
      <c r="AX29" s="93"/>
      <c r="AY29" s="93"/>
    </row>
    <row r="30" spans="1:52" ht="16.5" customHeight="1" x14ac:dyDescent="0.15">
      <c r="A30" s="123" t="s">
        <v>531</v>
      </c>
      <c r="B30" s="127" t="s">
        <v>8059</v>
      </c>
      <c r="C30" s="48" t="s">
        <v>532</v>
      </c>
      <c r="D30" s="62" t="s">
        <v>533</v>
      </c>
      <c r="E30" s="48" t="s">
        <v>264</v>
      </c>
      <c r="F30" s="61">
        <v>42376</v>
      </c>
      <c r="G30" s="61">
        <v>42376</v>
      </c>
      <c r="H30" s="125">
        <v>42387</v>
      </c>
      <c r="I30" s="61" t="s">
        <v>279</v>
      </c>
      <c r="J30" s="87"/>
      <c r="K30" s="62" t="s">
        <v>12</v>
      </c>
      <c r="L30" s="62">
        <v>3</v>
      </c>
      <c r="M30" s="62" t="s">
        <v>409</v>
      </c>
      <c r="N30" s="62" t="s">
        <v>534</v>
      </c>
      <c r="O30" s="48" t="s">
        <v>535</v>
      </c>
      <c r="P30" s="48" t="s">
        <v>536</v>
      </c>
      <c r="Q30" s="48" t="s">
        <v>537</v>
      </c>
      <c r="R30" s="48" t="s">
        <v>538</v>
      </c>
      <c r="S30" s="48" t="s">
        <v>539</v>
      </c>
      <c r="T30" s="48" t="s">
        <v>540</v>
      </c>
      <c r="U30" s="48" t="s">
        <v>541</v>
      </c>
      <c r="V30" s="48" t="s">
        <v>542</v>
      </c>
      <c r="W30" s="48" t="s">
        <v>543</v>
      </c>
      <c r="X30" s="48" t="s">
        <v>544</v>
      </c>
      <c r="Y30" s="48" t="s">
        <v>545</v>
      </c>
      <c r="Z30" s="61"/>
      <c r="AA30" s="148" t="s">
        <v>546</v>
      </c>
      <c r="AB30" s="148" t="s">
        <v>547</v>
      </c>
      <c r="AC30" s="148" t="s">
        <v>548</v>
      </c>
      <c r="AD30" s="48" t="s">
        <v>273</v>
      </c>
      <c r="AE30" s="48" t="s">
        <v>273</v>
      </c>
      <c r="AF30" s="48" t="s">
        <v>273</v>
      </c>
      <c r="AG30" s="48" t="s">
        <v>273</v>
      </c>
      <c r="AH30" s="48" t="s">
        <v>273</v>
      </c>
      <c r="AI30" s="48" t="s">
        <v>273</v>
      </c>
      <c r="AJ30" s="48" t="s">
        <v>273</v>
      </c>
      <c r="AK30" s="48" t="s">
        <v>549</v>
      </c>
      <c r="AL30" s="48" t="s">
        <v>550</v>
      </c>
      <c r="AM30" s="48" t="s">
        <v>551</v>
      </c>
      <c r="AN30" s="48" t="s">
        <v>273</v>
      </c>
      <c r="AO30" s="48" t="s">
        <v>273</v>
      </c>
      <c r="AP30" s="48" t="s">
        <v>273</v>
      </c>
      <c r="AQ30" s="48" t="s">
        <v>273</v>
      </c>
      <c r="AR30" s="48" t="s">
        <v>273</v>
      </c>
      <c r="AS30" s="48" t="s">
        <v>273</v>
      </c>
      <c r="AT30" s="48" t="s">
        <v>273</v>
      </c>
      <c r="AU30" s="93">
        <v>40940</v>
      </c>
      <c r="AV30" s="93"/>
      <c r="AW30" s="93"/>
      <c r="AX30" s="93"/>
      <c r="AY30" s="93"/>
    </row>
    <row r="31" spans="1:52" ht="16.5" customHeight="1" x14ac:dyDescent="0.15">
      <c r="A31" s="134" t="s">
        <v>552</v>
      </c>
      <c r="B31" s="136" t="s">
        <v>553</v>
      </c>
      <c r="C31" s="48" t="s">
        <v>298</v>
      </c>
      <c r="D31" s="62" t="s">
        <v>263</v>
      </c>
      <c r="E31" s="48" t="s">
        <v>273</v>
      </c>
      <c r="F31" s="61">
        <v>42377</v>
      </c>
      <c r="G31" s="61">
        <v>42377</v>
      </c>
      <c r="H31" s="125">
        <v>42446</v>
      </c>
      <c r="I31" s="61" t="s">
        <v>279</v>
      </c>
      <c r="J31" s="87"/>
      <c r="K31" s="62" t="s">
        <v>12</v>
      </c>
      <c r="L31" s="62">
        <v>3</v>
      </c>
      <c r="M31" s="62" t="s">
        <v>394</v>
      </c>
      <c r="N31" s="62" t="s">
        <v>554</v>
      </c>
      <c r="O31" s="48" t="s">
        <v>555</v>
      </c>
      <c r="P31" s="48" t="s">
        <v>556</v>
      </c>
      <c r="Q31" s="130" t="s">
        <v>557</v>
      </c>
      <c r="R31" s="48" t="s">
        <v>476</v>
      </c>
      <c r="S31" s="48" t="s">
        <v>477</v>
      </c>
      <c r="T31" s="48" t="s">
        <v>478</v>
      </c>
      <c r="U31" s="48" t="s">
        <v>558</v>
      </c>
      <c r="V31" s="122" t="s">
        <v>263</v>
      </c>
      <c r="W31" s="122" t="s">
        <v>263</v>
      </c>
      <c r="X31" s="48" t="s">
        <v>559</v>
      </c>
      <c r="Y31" s="48" t="s">
        <v>560</v>
      </c>
      <c r="Z31" s="61"/>
      <c r="AA31" s="48" t="s">
        <v>561</v>
      </c>
      <c r="AB31" s="48" t="s">
        <v>562</v>
      </c>
      <c r="AC31" s="48" t="s">
        <v>273</v>
      </c>
      <c r="AD31" s="48" t="s">
        <v>273</v>
      </c>
      <c r="AE31" s="48" t="s">
        <v>273</v>
      </c>
      <c r="AF31" s="48" t="s">
        <v>273</v>
      </c>
      <c r="AG31" s="48" t="s">
        <v>273</v>
      </c>
      <c r="AH31" s="48" t="s">
        <v>273</v>
      </c>
      <c r="AI31" s="48" t="s">
        <v>273</v>
      </c>
      <c r="AJ31" s="48" t="s">
        <v>273</v>
      </c>
      <c r="AK31" s="48" t="s">
        <v>563</v>
      </c>
      <c r="AL31" s="48" t="s">
        <v>564</v>
      </c>
      <c r="AM31" s="48" t="s">
        <v>273</v>
      </c>
      <c r="AN31" s="48" t="s">
        <v>273</v>
      </c>
      <c r="AO31" s="48" t="s">
        <v>273</v>
      </c>
      <c r="AP31" s="48" t="s">
        <v>273</v>
      </c>
      <c r="AQ31" s="48" t="s">
        <v>273</v>
      </c>
      <c r="AR31" s="48" t="s">
        <v>273</v>
      </c>
      <c r="AS31" s="48" t="s">
        <v>273</v>
      </c>
      <c r="AT31" s="48" t="s">
        <v>273</v>
      </c>
      <c r="AU31" s="93">
        <v>38292</v>
      </c>
      <c r="AV31" s="93"/>
      <c r="AW31" s="93"/>
      <c r="AX31" s="93"/>
      <c r="AY31" s="93"/>
    </row>
    <row r="32" spans="1:52" ht="16.5" customHeight="1" x14ac:dyDescent="0.15">
      <c r="A32" s="123" t="s">
        <v>565</v>
      </c>
      <c r="B32" s="127" t="s">
        <v>566</v>
      </c>
      <c r="C32" s="48" t="s">
        <v>567</v>
      </c>
      <c r="D32" s="62" t="s">
        <v>568</v>
      </c>
      <c r="E32" s="48" t="s">
        <v>300</v>
      </c>
      <c r="F32" s="61">
        <v>42381</v>
      </c>
      <c r="G32" s="61">
        <v>42381</v>
      </c>
      <c r="H32" s="125">
        <v>42389</v>
      </c>
      <c r="I32" s="61" t="s">
        <v>279</v>
      </c>
      <c r="J32" s="87"/>
      <c r="K32" s="62" t="s">
        <v>12</v>
      </c>
      <c r="L32" s="62">
        <v>3</v>
      </c>
      <c r="M32" s="62" t="s">
        <v>442</v>
      </c>
      <c r="N32" s="62" t="s">
        <v>569</v>
      </c>
      <c r="O32" s="48" t="s">
        <v>570</v>
      </c>
      <c r="P32" s="48" t="s">
        <v>571</v>
      </c>
      <c r="Q32" s="48" t="s">
        <v>572</v>
      </c>
      <c r="R32" s="48" t="s">
        <v>573</v>
      </c>
      <c r="S32" s="48" t="s">
        <v>574</v>
      </c>
      <c r="T32" s="48" t="s">
        <v>575</v>
      </c>
      <c r="U32" s="48" t="s">
        <v>576</v>
      </c>
      <c r="V32" s="48" t="s">
        <v>577</v>
      </c>
      <c r="W32" s="48" t="s">
        <v>578</v>
      </c>
      <c r="X32" s="48" t="s">
        <v>579</v>
      </c>
      <c r="Y32" s="48" t="s">
        <v>580</v>
      </c>
      <c r="Z32" s="61"/>
      <c r="AA32" s="48" t="s">
        <v>581</v>
      </c>
      <c r="AB32" s="48" t="s">
        <v>273</v>
      </c>
      <c r="AC32" s="48" t="s">
        <v>273</v>
      </c>
      <c r="AD32" s="48" t="s">
        <v>273</v>
      </c>
      <c r="AE32" s="48" t="s">
        <v>273</v>
      </c>
      <c r="AF32" s="48" t="s">
        <v>273</v>
      </c>
      <c r="AG32" s="48" t="s">
        <v>273</v>
      </c>
      <c r="AH32" s="48" t="s">
        <v>273</v>
      </c>
      <c r="AI32" s="48" t="s">
        <v>273</v>
      </c>
      <c r="AJ32" s="48" t="s">
        <v>273</v>
      </c>
      <c r="AK32" s="48" t="s">
        <v>582</v>
      </c>
      <c r="AL32" s="48" t="s">
        <v>273</v>
      </c>
      <c r="AM32" s="48" t="s">
        <v>273</v>
      </c>
      <c r="AN32" s="48" t="s">
        <v>273</v>
      </c>
      <c r="AO32" s="48" t="s">
        <v>273</v>
      </c>
      <c r="AP32" s="48" t="s">
        <v>273</v>
      </c>
      <c r="AQ32" s="48" t="s">
        <v>273</v>
      </c>
      <c r="AR32" s="48" t="s">
        <v>273</v>
      </c>
      <c r="AS32" s="48" t="s">
        <v>273</v>
      </c>
      <c r="AT32" s="48" t="s">
        <v>273</v>
      </c>
      <c r="AU32" s="93">
        <v>39814</v>
      </c>
      <c r="AV32" s="93"/>
      <c r="AW32" s="93"/>
      <c r="AX32" s="93"/>
      <c r="AY32" s="93"/>
    </row>
    <row r="33" spans="1:52" ht="16.5" customHeight="1" x14ac:dyDescent="0.15">
      <c r="A33" s="123" t="s">
        <v>583</v>
      </c>
      <c r="B33" s="127" t="s">
        <v>584</v>
      </c>
      <c r="C33" s="48" t="s">
        <v>298</v>
      </c>
      <c r="D33" s="62" t="s">
        <v>585</v>
      </c>
      <c r="E33" s="48" t="s">
        <v>300</v>
      </c>
      <c r="F33" s="61">
        <v>42381</v>
      </c>
      <c r="G33" s="61">
        <v>42381</v>
      </c>
      <c r="H33" s="125">
        <v>42389</v>
      </c>
      <c r="I33" s="61" t="s">
        <v>279</v>
      </c>
      <c r="J33" s="87"/>
      <c r="K33" s="124" t="s">
        <v>263</v>
      </c>
      <c r="L33" s="124" t="s">
        <v>263</v>
      </c>
      <c r="M33" s="62" t="s">
        <v>409</v>
      </c>
      <c r="N33" s="62" t="s">
        <v>586</v>
      </c>
      <c r="O33" s="48" t="s">
        <v>587</v>
      </c>
      <c r="P33" s="48" t="s">
        <v>588</v>
      </c>
      <c r="Q33" s="48" t="s">
        <v>589</v>
      </c>
      <c r="R33" s="48" t="s">
        <v>590</v>
      </c>
      <c r="S33" s="48" t="s">
        <v>591</v>
      </c>
      <c r="T33" s="48" t="s">
        <v>592</v>
      </c>
      <c r="U33" s="48" t="s">
        <v>593</v>
      </c>
      <c r="V33" s="48" t="s">
        <v>594</v>
      </c>
      <c r="W33" s="48" t="s">
        <v>595</v>
      </c>
      <c r="X33" s="48" t="s">
        <v>596</v>
      </c>
      <c r="Y33" s="48" t="s">
        <v>597</v>
      </c>
      <c r="Z33" s="61"/>
      <c r="AA33" s="48" t="s">
        <v>598</v>
      </c>
      <c r="AB33" s="48" t="s">
        <v>599</v>
      </c>
      <c r="AC33" s="48" t="s">
        <v>273</v>
      </c>
      <c r="AD33" s="48" t="s">
        <v>273</v>
      </c>
      <c r="AE33" s="48" t="s">
        <v>273</v>
      </c>
      <c r="AF33" s="48" t="s">
        <v>273</v>
      </c>
      <c r="AG33" s="48" t="s">
        <v>273</v>
      </c>
      <c r="AH33" s="48" t="s">
        <v>273</v>
      </c>
      <c r="AI33" s="48" t="s">
        <v>273</v>
      </c>
      <c r="AJ33" s="48" t="s">
        <v>273</v>
      </c>
      <c r="AK33" s="48" t="s">
        <v>600</v>
      </c>
      <c r="AL33" s="48" t="s">
        <v>293</v>
      </c>
      <c r="AM33" s="48" t="s">
        <v>273</v>
      </c>
      <c r="AN33" s="48" t="s">
        <v>273</v>
      </c>
      <c r="AO33" s="48" t="s">
        <v>273</v>
      </c>
      <c r="AP33" s="48" t="s">
        <v>273</v>
      </c>
      <c r="AQ33" s="48" t="s">
        <v>273</v>
      </c>
      <c r="AR33" s="48" t="s">
        <v>273</v>
      </c>
      <c r="AS33" s="48" t="s">
        <v>273</v>
      </c>
      <c r="AT33" s="48" t="s">
        <v>273</v>
      </c>
      <c r="AU33" s="93">
        <v>39417</v>
      </c>
      <c r="AV33" s="93"/>
      <c r="AW33" s="93"/>
      <c r="AX33" s="93"/>
      <c r="AY33" s="93"/>
      <c r="AZ33" s="49" t="s">
        <v>601</v>
      </c>
    </row>
    <row r="34" spans="1:52" ht="16.5" customHeight="1" x14ac:dyDescent="0.15">
      <c r="A34" s="123" t="s">
        <v>602</v>
      </c>
      <c r="B34" s="127" t="s">
        <v>603</v>
      </c>
      <c r="C34" s="48" t="s">
        <v>298</v>
      </c>
      <c r="D34" s="62" t="s">
        <v>604</v>
      </c>
      <c r="E34" s="48" t="s">
        <v>300</v>
      </c>
      <c r="F34" s="61">
        <v>42381</v>
      </c>
      <c r="G34" s="61">
        <v>42381</v>
      </c>
      <c r="H34" s="125">
        <v>42382</v>
      </c>
      <c r="I34" s="61" t="s">
        <v>279</v>
      </c>
      <c r="J34" s="87"/>
      <c r="K34" s="62" t="s">
        <v>12</v>
      </c>
      <c r="L34" s="124" t="s">
        <v>263</v>
      </c>
      <c r="M34" s="62" t="s">
        <v>409</v>
      </c>
      <c r="N34" s="62" t="s">
        <v>605</v>
      </c>
      <c r="O34" s="48" t="s">
        <v>606</v>
      </c>
      <c r="P34" s="48" t="s">
        <v>607</v>
      </c>
      <c r="Q34" s="48" t="s">
        <v>608</v>
      </c>
      <c r="R34" s="48" t="s">
        <v>609</v>
      </c>
      <c r="S34" s="48" t="s">
        <v>610</v>
      </c>
      <c r="T34" s="48" t="s">
        <v>611</v>
      </c>
      <c r="U34" s="48" t="s">
        <v>612</v>
      </c>
      <c r="V34" s="48" t="s">
        <v>613</v>
      </c>
      <c r="W34" s="48" t="s">
        <v>614</v>
      </c>
      <c r="X34" s="48" t="s">
        <v>615</v>
      </c>
      <c r="Y34" s="48" t="s">
        <v>616</v>
      </c>
      <c r="Z34" s="61"/>
      <c r="AA34" s="48" t="s">
        <v>273</v>
      </c>
      <c r="AB34" s="48" t="s">
        <v>273</v>
      </c>
      <c r="AC34" s="48" t="s">
        <v>273</v>
      </c>
      <c r="AD34" s="48" t="s">
        <v>273</v>
      </c>
      <c r="AE34" s="48" t="s">
        <v>273</v>
      </c>
      <c r="AF34" s="48" t="s">
        <v>273</v>
      </c>
      <c r="AG34" s="48" t="s">
        <v>273</v>
      </c>
      <c r="AH34" s="48" t="s">
        <v>273</v>
      </c>
      <c r="AI34" s="48" t="s">
        <v>273</v>
      </c>
      <c r="AJ34" s="48" t="s">
        <v>273</v>
      </c>
      <c r="AK34" s="48" t="s">
        <v>273</v>
      </c>
      <c r="AL34" s="48" t="s">
        <v>273</v>
      </c>
      <c r="AM34" s="48" t="s">
        <v>273</v>
      </c>
      <c r="AN34" s="48" t="s">
        <v>273</v>
      </c>
      <c r="AO34" s="48" t="s">
        <v>273</v>
      </c>
      <c r="AP34" s="48" t="s">
        <v>273</v>
      </c>
      <c r="AQ34" s="48" t="s">
        <v>273</v>
      </c>
      <c r="AR34" s="48" t="s">
        <v>273</v>
      </c>
      <c r="AS34" s="48" t="s">
        <v>273</v>
      </c>
      <c r="AT34" s="48" t="s">
        <v>273</v>
      </c>
      <c r="AU34" s="93">
        <v>40179</v>
      </c>
      <c r="AV34" s="93"/>
      <c r="AW34" s="93"/>
      <c r="AX34" s="93"/>
      <c r="AY34" s="93"/>
    </row>
    <row r="35" spans="1:52" ht="16.5" customHeight="1" x14ac:dyDescent="0.15">
      <c r="A35" s="134" t="s">
        <v>617</v>
      </c>
      <c r="B35" s="136" t="s">
        <v>618</v>
      </c>
      <c r="C35" s="48" t="s">
        <v>298</v>
      </c>
      <c r="D35" s="62" t="s">
        <v>263</v>
      </c>
      <c r="E35" s="48" t="s">
        <v>300</v>
      </c>
      <c r="F35" s="61">
        <v>42381</v>
      </c>
      <c r="G35" s="61">
        <v>42381</v>
      </c>
      <c r="H35" s="125">
        <v>42452</v>
      </c>
      <c r="I35" s="61" t="s">
        <v>279</v>
      </c>
      <c r="J35" s="87"/>
      <c r="K35" s="124" t="s">
        <v>263</v>
      </c>
      <c r="L35" s="124" t="s">
        <v>263</v>
      </c>
      <c r="M35" s="62" t="s">
        <v>619</v>
      </c>
      <c r="N35" s="62" t="s">
        <v>620</v>
      </c>
      <c r="O35" s="48" t="s">
        <v>621</v>
      </c>
      <c r="P35" s="48" t="s">
        <v>267</v>
      </c>
      <c r="Q35" s="48" t="s">
        <v>622</v>
      </c>
      <c r="R35" s="122" t="s">
        <v>263</v>
      </c>
      <c r="S35" s="48" t="s">
        <v>269</v>
      </c>
      <c r="T35" s="48" t="s">
        <v>270</v>
      </c>
      <c r="U35" s="48" t="s">
        <v>623</v>
      </c>
      <c r="V35" s="122" t="s">
        <v>263</v>
      </c>
      <c r="W35" s="122" t="s">
        <v>263</v>
      </c>
      <c r="X35" s="48" t="s">
        <v>624</v>
      </c>
      <c r="Y35" s="48" t="s">
        <v>625</v>
      </c>
      <c r="Z35" s="61"/>
      <c r="AA35" s="48" t="s">
        <v>273</v>
      </c>
      <c r="AB35" s="48" t="s">
        <v>273</v>
      </c>
      <c r="AC35" s="48" t="s">
        <v>273</v>
      </c>
      <c r="AD35" s="48" t="s">
        <v>273</v>
      </c>
      <c r="AE35" s="48" t="s">
        <v>273</v>
      </c>
      <c r="AF35" s="48" t="s">
        <v>273</v>
      </c>
      <c r="AG35" s="48" t="s">
        <v>273</v>
      </c>
      <c r="AH35" s="48" t="s">
        <v>273</v>
      </c>
      <c r="AI35" s="48" t="s">
        <v>273</v>
      </c>
      <c r="AJ35" s="48" t="s">
        <v>273</v>
      </c>
      <c r="AK35" s="48" t="s">
        <v>273</v>
      </c>
      <c r="AL35" s="48" t="s">
        <v>273</v>
      </c>
      <c r="AM35" s="48" t="s">
        <v>273</v>
      </c>
      <c r="AN35" s="48" t="s">
        <v>273</v>
      </c>
      <c r="AO35" s="48" t="s">
        <v>273</v>
      </c>
      <c r="AP35" s="48" t="s">
        <v>273</v>
      </c>
      <c r="AQ35" s="48" t="s">
        <v>273</v>
      </c>
      <c r="AR35" s="48" t="s">
        <v>273</v>
      </c>
      <c r="AS35" s="48" t="s">
        <v>273</v>
      </c>
      <c r="AT35" s="48" t="s">
        <v>273</v>
      </c>
      <c r="AU35" s="93">
        <v>36739</v>
      </c>
      <c r="AV35" s="93"/>
      <c r="AW35" s="93"/>
      <c r="AX35" s="93"/>
      <c r="AY35" s="93"/>
      <c r="AZ35" s="49" t="s">
        <v>626</v>
      </c>
    </row>
    <row r="36" spans="1:52" ht="16.5" customHeight="1" x14ac:dyDescent="0.15">
      <c r="A36" s="121" t="s">
        <v>627</v>
      </c>
      <c r="B36" s="137" t="s">
        <v>628</v>
      </c>
      <c r="C36" s="48" t="e">
        <f ca="1">INDIRECT("'["&amp;$C$1&amp;".xls]"&amp;$B36&amp;"'!$i$7")</f>
        <v>#REF!</v>
      </c>
      <c r="D36" s="62" t="e">
        <f ca="1">INDIRECT("'["&amp;$C$1&amp;".xls]"&amp;$B36&amp;"'!$b$7")</f>
        <v>#REF!</v>
      </c>
      <c r="E36" s="48" t="e">
        <f ca="1">IF(INDIRECT("'["&amp;$C$1&amp;".xls]"&amp;$B36&amp;"'!$i$2")="","",INDIRECT("'["&amp;$C$1&amp;".xls]"&amp;$B36&amp;"'!$i$2"))</f>
        <v>#REF!</v>
      </c>
      <c r="F36" s="61" t="e">
        <f ca="1">INDIRECT("'["&amp;$C$1&amp;".xls]"&amp;$B36&amp;"'!$b$2")</f>
        <v>#REF!</v>
      </c>
      <c r="G36" s="61" t="e">
        <f ca="1">INDIRECT("'["&amp;$C$1&amp;".xls]"&amp;$B36&amp;"'!$a$20")</f>
        <v>#REF!</v>
      </c>
      <c r="H36" s="88" t="e">
        <f ca="1">INDIRECT("'["&amp;$C$1&amp;".xls]"&amp;$B36&amp;"'!$Q$22")</f>
        <v>#REF!</v>
      </c>
      <c r="I36" s="61" t="e">
        <f ca="1">INDIRECT("'["&amp;$C$1&amp;".xls]"&amp;$B36&amp;"'!$f$6")</f>
        <v>#REF!</v>
      </c>
      <c r="J36" s="87"/>
      <c r="K36" s="62" t="e">
        <f ca="1">INDIRECT("'["&amp;$C$1&amp;".xls]"&amp;$B36&amp;"'!$f$25")</f>
        <v>#REF!</v>
      </c>
      <c r="L36" s="62"/>
      <c r="M36" s="62" t="e">
        <f ca="1">INDIRECT("'["&amp;$C$1&amp;".xls]"&amp;$B36&amp;"'!$f$4")</f>
        <v>#REF!</v>
      </c>
      <c r="N36" s="62" t="e">
        <f ca="1">INDIRECT("'["&amp;$C$1&amp;".xls]"&amp;$B36&amp;"'!$i$4")</f>
        <v>#REF!</v>
      </c>
      <c r="O36" s="48" t="e">
        <f ca="1">INDIRECT("'["&amp;$C$1&amp;".xls]"&amp;$B36&amp;"'!$l$4")</f>
        <v>#REF!</v>
      </c>
      <c r="P36" s="48" t="e">
        <f ca="1">INDIRECT("'["&amp;$C$1&amp;".xls]"&amp;$B36&amp;"'!$b$5")</f>
        <v>#REF!</v>
      </c>
      <c r="Q36" s="48" t="e">
        <f ca="1">INDIRECT("'["&amp;$C$1&amp;".xls]"&amp;$B36&amp;"'!$f$5")</f>
        <v>#REF!</v>
      </c>
      <c r="R36" s="48"/>
      <c r="S36" s="48" t="e">
        <f ca="1">INDIRECT("'["&amp;$C$1&amp;".xls]"&amp;$B36&amp;"'!$i$5")</f>
        <v>#REF!</v>
      </c>
      <c r="T36" s="48" t="e">
        <f ca="1">INDIRECT("'["&amp;$C$1&amp;".xls]"&amp;$B36&amp;"'!$l$5")</f>
        <v>#REF!</v>
      </c>
      <c r="U36" s="48" t="e">
        <f ca="1">INDIRECT("'["&amp;$C$1&amp;".xls]"&amp;$B36&amp;"'!$b$4")</f>
        <v>#REF!</v>
      </c>
      <c r="V36" s="48"/>
      <c r="W36" s="48"/>
      <c r="X36" s="48" t="s">
        <v>629</v>
      </c>
      <c r="Y36" s="48" t="s">
        <v>630</v>
      </c>
      <c r="Z36" s="61"/>
      <c r="AA36" s="48" t="e">
        <f ca="1">IF(INDIRECT("'["&amp;$C$1&amp;".xls]"&amp;$B36&amp;"'!$P$25")="","",IF(INDIRECT("'["&amp;$C$1&amp;".xls]"&amp;$B36&amp;"'!$O$25")="済み",INDIRECT("'["&amp;$C$1&amp;".xls]"&amp;$B36&amp;"'!$P$25"),""))</f>
        <v>#REF!</v>
      </c>
      <c r="AB36" s="48" t="e">
        <f ca="1">IF(INDIRECT("'["&amp;$C$1&amp;".xls]"&amp;$B36&amp;"'!$P$26")="","",IF(INDIRECT("'["&amp;$C$1&amp;".xls]"&amp;$B36&amp;"'!$O$26")="済み",INDIRECT("'["&amp;$C$1&amp;".xls]"&amp;$B36&amp;"'!$P$26"),""))</f>
        <v>#REF!</v>
      </c>
      <c r="AC36" s="48" t="e">
        <f ca="1">IF(INDIRECT("'["&amp;$C$1&amp;".xls]"&amp;$B36&amp;"'!$P$27")="","",IF(INDIRECT("'["&amp;$C$1&amp;".xls]"&amp;$B36&amp;"'!$O$27")="済み",INDIRECT("'["&amp;$C$1&amp;".xls]"&amp;$B36&amp;"'!$P$27"),""))</f>
        <v>#REF!</v>
      </c>
      <c r="AD36" s="48" t="e">
        <f ca="1">IF(INDIRECT("'["&amp;$C$1&amp;".xls]"&amp;$B36&amp;"'!$P$28")="","",IF(INDIRECT("'["&amp;$C$1&amp;".xls]"&amp;$B36&amp;"'!$O$28")="済み",INDIRECT("'["&amp;$C$1&amp;".xls]"&amp;$B36&amp;"'!$P$28"),""))</f>
        <v>#REF!</v>
      </c>
      <c r="AE36" s="48" t="e">
        <f ca="1">IF(INDIRECT("'["&amp;$C$1&amp;".xls]"&amp;$B36&amp;"'!$P$29")="","",IF(INDIRECT("'["&amp;$C$1&amp;".xls]"&amp;$B36&amp;"'!$O$29")="済み",INDIRECT("'["&amp;$C$1&amp;".xls]"&amp;$B36&amp;"'!$P$29"),""))</f>
        <v>#REF!</v>
      </c>
      <c r="AF36" s="48" t="e">
        <f ca="1">IF(INDIRECT("'["&amp;$C$1&amp;".xls]"&amp;$B36&amp;"'!$P$30")="","",IF(INDIRECT("'["&amp;$C$1&amp;".xls]"&amp;$B36&amp;"'!$O$30")="済み",INDIRECT("'["&amp;$C$1&amp;".xls]"&amp;$B36&amp;"'!$P$30"),""))</f>
        <v>#REF!</v>
      </c>
      <c r="AG36" s="48" t="e">
        <f ca="1">IF(INDIRECT("'["&amp;$C$1&amp;".xls]"&amp;$B36&amp;"'!$P$31")="","",IF(INDIRECT("'["&amp;$C$1&amp;".xls]"&amp;$B36&amp;"'!$O$31")="済み",INDIRECT("'["&amp;$C$1&amp;".xls]"&amp;$B36&amp;"'!$P$31"),""))</f>
        <v>#REF!</v>
      </c>
      <c r="AH36" s="48" t="e">
        <f ca="1">IF(INDIRECT("'["&amp;$C$1&amp;".xls]"&amp;$B36&amp;"'!$P$32")="","",IF(INDIRECT("'["&amp;$C$1&amp;".xls]"&amp;$B36&amp;"'!$O$32")="済み",INDIRECT("'["&amp;$C$1&amp;".xls]"&amp;$B36&amp;"'!$P$32"),""))</f>
        <v>#REF!</v>
      </c>
      <c r="AI36" s="48" t="e">
        <f ca="1">IF(INDIRECT("'["&amp;$C$1&amp;".xls]"&amp;$B36&amp;"'!$P$33")="","",IF(INDIRECT("'["&amp;$C$1&amp;".xls]"&amp;$B36&amp;"'!$O$33")="済み",INDIRECT("'["&amp;$C$1&amp;".xls]"&amp;$B36&amp;"'!$P$33"),""))</f>
        <v>#REF!</v>
      </c>
      <c r="AJ36" s="48" t="e">
        <f ca="1">IF(INDIRECT("'["&amp;$C$1&amp;".xls]"&amp;$B36&amp;"'!$P$34")="","",IF(INDIRECT("'["&amp;$C$1&amp;".xls]"&amp;$B36&amp;"'!$O$34")="済み",INDIRECT("'["&amp;$C$1&amp;".xls]"&amp;$B36&amp;"'!$P$34"),""))</f>
        <v>#REF!</v>
      </c>
      <c r="AK36" s="48" t="e">
        <f ca="1">IF(INDIRECT("'["&amp;$C$1&amp;".xls]"&amp;$B36&amp;"'!$T25")="","",IF(INDIRECT("'["&amp;$C$1&amp;".xls]"&amp;$B36&amp;"'!$O$25")="済み",INDIRECT("'["&amp;$C$1&amp;".xls]"&amp;$B36&amp;"'!$T$25"),""))</f>
        <v>#REF!</v>
      </c>
      <c r="AL36" s="48" t="e">
        <f ca="1">IF(INDIRECT("'["&amp;$C$1&amp;".xls]"&amp;$B36&amp;"'!$T26")="","",IF(INDIRECT("'["&amp;$C$1&amp;".xls]"&amp;$B36&amp;"'!$O$26")="済み",INDIRECT("'["&amp;$C$1&amp;".xls]"&amp;$B36&amp;"'!$T$26"),""))</f>
        <v>#REF!</v>
      </c>
      <c r="AM36" s="48" t="e">
        <f ca="1">IF(INDIRECT("'["&amp;$C$1&amp;".xls]"&amp;$B36&amp;"'!$T27")="","",IF(INDIRECT("'["&amp;$C$1&amp;".xls]"&amp;$B36&amp;"'!$O$27")="済み",INDIRECT("'["&amp;$C$1&amp;".xls]"&amp;$B36&amp;"'!$T$27"),""))</f>
        <v>#REF!</v>
      </c>
      <c r="AN36" s="48" t="e">
        <f ca="1">IF(INDIRECT("'["&amp;$C$1&amp;".xls]"&amp;$B36&amp;"'!$T28")="","",IF(INDIRECT("'["&amp;$C$1&amp;".xls]"&amp;$B36&amp;"'!$O$28")="済み",INDIRECT("'["&amp;$C$1&amp;".xls]"&amp;$B36&amp;"'!$T$28"),""))</f>
        <v>#REF!</v>
      </c>
      <c r="AO36" s="48" t="e">
        <f ca="1">IF(INDIRECT("'["&amp;$C$1&amp;".xls]"&amp;$B36&amp;"'!$T29")="","",IF(INDIRECT("'["&amp;$C$1&amp;".xls]"&amp;$B36&amp;"'!$O$29")="済み",INDIRECT("'["&amp;$C$1&amp;".xls]"&amp;$B36&amp;"'!$T$29"),""))</f>
        <v>#REF!</v>
      </c>
      <c r="AP36" s="48" t="e">
        <f ca="1">IF(INDIRECT("'["&amp;$C$1&amp;".xls]"&amp;$B36&amp;"'!$T30")="","",IF(INDIRECT("'["&amp;$C$1&amp;".xls]"&amp;$B36&amp;"'!$O$30")="済み",INDIRECT("'["&amp;$C$1&amp;".xls]"&amp;$B36&amp;"'!$T$30"),""))</f>
        <v>#REF!</v>
      </c>
      <c r="AQ36" s="48" t="e">
        <f ca="1">IF(INDIRECT("'["&amp;$C$1&amp;".xls]"&amp;$B36&amp;"'!$T31")="","",IF(INDIRECT("'["&amp;$C$1&amp;".xls]"&amp;$B36&amp;"'!$O$31")="済み",INDIRECT("'["&amp;$C$1&amp;".xls]"&amp;$B36&amp;"'!$T$31"),""))</f>
        <v>#REF!</v>
      </c>
      <c r="AR36" s="48" t="e">
        <f ca="1">IF(INDIRECT("'["&amp;$C$1&amp;".xls]"&amp;$B36&amp;"'!$T32")="","",IF(INDIRECT("'["&amp;$C$1&amp;".xls]"&amp;$B36&amp;"'!$O$32")="済み",INDIRECT("'["&amp;$C$1&amp;".xls]"&amp;$B36&amp;"'!$T$32"),""))</f>
        <v>#REF!</v>
      </c>
      <c r="AS36" s="48" t="e">
        <f ca="1">IF(INDIRECT("'["&amp;$C$1&amp;".xls]"&amp;$B36&amp;"'!$T33")="","",IF(INDIRECT("'["&amp;$C$1&amp;".xls]"&amp;$B36&amp;"'!$O$33")="済み",INDIRECT("'["&amp;$C$1&amp;".xls]"&amp;$B36&amp;"'!$T$33"),""))</f>
        <v>#REF!</v>
      </c>
      <c r="AT36" s="48" t="e">
        <f ca="1">IF(INDIRECT("'["&amp;$C$1&amp;".xls]"&amp;$B36&amp;"'!$T34")="","",IF(INDIRECT("'["&amp;$C$1&amp;".xls]"&amp;$B36&amp;"'!$O$34")="済み",INDIRECT("'["&amp;$C$1&amp;".xls]"&amp;$B36&amp;"'!$T$34"),""))</f>
        <v>#REF!</v>
      </c>
      <c r="AU36" s="93" t="e">
        <f ca="1">INDIRECT("'["&amp;$C$1&amp;".xls]"&amp;$B36&amp;"'!$B$6")</f>
        <v>#REF!</v>
      </c>
      <c r="AV36" s="93"/>
      <c r="AW36" s="93"/>
      <c r="AX36" s="93"/>
      <c r="AY36" s="93"/>
    </row>
    <row r="37" spans="1:52" ht="16.5" customHeight="1" x14ac:dyDescent="0.15">
      <c r="A37" s="123" t="s">
        <v>631</v>
      </c>
      <c r="B37" s="127" t="s">
        <v>632</v>
      </c>
      <c r="C37" s="48" t="s">
        <v>633</v>
      </c>
      <c r="D37" s="62" t="s">
        <v>634</v>
      </c>
      <c r="E37" s="48" t="s">
        <v>300</v>
      </c>
      <c r="F37" s="61">
        <v>42382</v>
      </c>
      <c r="G37" s="61">
        <v>42382</v>
      </c>
      <c r="H37" s="125">
        <v>42396</v>
      </c>
      <c r="I37" s="61" t="s">
        <v>279</v>
      </c>
      <c r="J37" s="87"/>
      <c r="K37" s="62" t="s">
        <v>12</v>
      </c>
      <c r="L37" s="62">
        <v>3</v>
      </c>
      <c r="M37" s="62" t="s">
        <v>442</v>
      </c>
      <c r="N37" s="62" t="s">
        <v>635</v>
      </c>
      <c r="O37" s="48" t="s">
        <v>636</v>
      </c>
      <c r="P37" s="48" t="s">
        <v>637</v>
      </c>
      <c r="Q37" s="48" t="s">
        <v>638</v>
      </c>
      <c r="R37" s="48" t="s">
        <v>639</v>
      </c>
      <c r="S37" s="48" t="s">
        <v>640</v>
      </c>
      <c r="T37" s="48" t="s">
        <v>641</v>
      </c>
      <c r="U37" s="48" t="s">
        <v>642</v>
      </c>
      <c r="V37" s="122" t="s">
        <v>263</v>
      </c>
      <c r="W37" s="122" t="s">
        <v>263</v>
      </c>
      <c r="X37" s="48" t="s">
        <v>643</v>
      </c>
      <c r="Y37" s="48" t="s">
        <v>644</v>
      </c>
      <c r="Z37" s="61"/>
      <c r="AA37" s="48" t="s">
        <v>453</v>
      </c>
      <c r="AB37" s="48" t="s">
        <v>645</v>
      </c>
      <c r="AC37" s="48" t="s">
        <v>273</v>
      </c>
      <c r="AD37" s="48" t="s">
        <v>273</v>
      </c>
      <c r="AE37" s="48" t="s">
        <v>273</v>
      </c>
      <c r="AF37" s="48" t="s">
        <v>273</v>
      </c>
      <c r="AG37" s="48" t="s">
        <v>273</v>
      </c>
      <c r="AH37" s="48" t="s">
        <v>273</v>
      </c>
      <c r="AI37" s="48" t="s">
        <v>273</v>
      </c>
      <c r="AJ37" s="48" t="s">
        <v>273</v>
      </c>
      <c r="AK37" s="48" t="s">
        <v>454</v>
      </c>
      <c r="AL37" s="48" t="s">
        <v>646</v>
      </c>
      <c r="AM37" s="48" t="s">
        <v>273</v>
      </c>
      <c r="AN37" s="48" t="s">
        <v>273</v>
      </c>
      <c r="AO37" s="48" t="s">
        <v>273</v>
      </c>
      <c r="AP37" s="48" t="s">
        <v>273</v>
      </c>
      <c r="AQ37" s="48" t="s">
        <v>273</v>
      </c>
      <c r="AR37" s="48" t="s">
        <v>273</v>
      </c>
      <c r="AS37" s="48" t="s">
        <v>273</v>
      </c>
      <c r="AT37" s="48" t="s">
        <v>273</v>
      </c>
      <c r="AU37" s="93">
        <v>39022</v>
      </c>
      <c r="AV37" s="93"/>
      <c r="AW37" s="93"/>
      <c r="AX37" s="93"/>
      <c r="AY37" s="93"/>
      <c r="AZ37" s="126" t="s">
        <v>647</v>
      </c>
    </row>
    <row r="38" spans="1:52" ht="16.5" customHeight="1" x14ac:dyDescent="0.15">
      <c r="A38" s="134" t="s">
        <v>648</v>
      </c>
      <c r="B38" s="136" t="s">
        <v>649</v>
      </c>
      <c r="C38" s="48" t="s">
        <v>650</v>
      </c>
      <c r="D38" s="62" t="s">
        <v>263</v>
      </c>
      <c r="E38" s="48" t="s">
        <v>264</v>
      </c>
      <c r="F38" s="61">
        <v>42382</v>
      </c>
      <c r="G38" s="61">
        <v>42382</v>
      </c>
      <c r="H38" s="125">
        <v>42430</v>
      </c>
      <c r="I38" s="61" t="s">
        <v>279</v>
      </c>
      <c r="J38" s="87"/>
      <c r="K38" s="62" t="s">
        <v>16</v>
      </c>
      <c r="L38" s="62">
        <v>5</v>
      </c>
      <c r="M38" s="62" t="s">
        <v>651</v>
      </c>
      <c r="N38" s="62" t="s">
        <v>652</v>
      </c>
      <c r="O38" s="48" t="s">
        <v>653</v>
      </c>
      <c r="P38" s="48" t="s">
        <v>267</v>
      </c>
      <c r="Q38" s="48" t="s">
        <v>654</v>
      </c>
      <c r="R38" s="48" t="s">
        <v>655</v>
      </c>
      <c r="S38" s="48" t="s">
        <v>656</v>
      </c>
      <c r="T38" s="48" t="s">
        <v>657</v>
      </c>
      <c r="U38" s="48" t="s">
        <v>658</v>
      </c>
      <c r="V38" s="122" t="s">
        <v>263</v>
      </c>
      <c r="W38" s="122" t="s">
        <v>263</v>
      </c>
      <c r="X38" s="48" t="s">
        <v>659</v>
      </c>
      <c r="Y38" s="48" t="s">
        <v>660</v>
      </c>
      <c r="Z38" s="61"/>
      <c r="AA38" s="48" t="s">
        <v>273</v>
      </c>
      <c r="AB38" s="48" t="s">
        <v>273</v>
      </c>
      <c r="AC38" s="48" t="s">
        <v>273</v>
      </c>
      <c r="AD38" s="48" t="s">
        <v>273</v>
      </c>
      <c r="AE38" s="48" t="s">
        <v>273</v>
      </c>
      <c r="AF38" s="48" t="s">
        <v>273</v>
      </c>
      <c r="AG38" s="48" t="s">
        <v>273</v>
      </c>
      <c r="AH38" s="48" t="s">
        <v>273</v>
      </c>
      <c r="AI38" s="48" t="s">
        <v>273</v>
      </c>
      <c r="AJ38" s="48" t="s">
        <v>273</v>
      </c>
      <c r="AK38" s="48" t="s">
        <v>273</v>
      </c>
      <c r="AL38" s="48" t="s">
        <v>273</v>
      </c>
      <c r="AM38" s="48" t="s">
        <v>273</v>
      </c>
      <c r="AN38" s="48" t="s">
        <v>273</v>
      </c>
      <c r="AO38" s="48" t="s">
        <v>273</v>
      </c>
      <c r="AP38" s="48" t="s">
        <v>273</v>
      </c>
      <c r="AQ38" s="48" t="s">
        <v>273</v>
      </c>
      <c r="AR38" s="48" t="s">
        <v>273</v>
      </c>
      <c r="AS38" s="48" t="s">
        <v>273</v>
      </c>
      <c r="AT38" s="48" t="s">
        <v>273</v>
      </c>
      <c r="AU38" s="93">
        <v>41640</v>
      </c>
      <c r="AV38" s="93"/>
      <c r="AW38" s="93"/>
      <c r="AX38" s="93"/>
      <c r="AY38" s="93"/>
      <c r="AZ38" s="49" t="s">
        <v>661</v>
      </c>
    </row>
    <row r="39" spans="1:52" ht="16.5" customHeight="1" x14ac:dyDescent="0.15">
      <c r="A39" s="128" t="s">
        <v>662</v>
      </c>
      <c r="B39" s="133" t="s">
        <v>663</v>
      </c>
      <c r="C39" s="48" t="s">
        <v>298</v>
      </c>
      <c r="D39" s="62" t="s">
        <v>664</v>
      </c>
      <c r="E39" s="48" t="s">
        <v>300</v>
      </c>
      <c r="F39" s="61">
        <v>42382</v>
      </c>
      <c r="G39" s="61">
        <v>42382</v>
      </c>
      <c r="H39" s="125">
        <v>42404</v>
      </c>
      <c r="I39" s="61" t="s">
        <v>279</v>
      </c>
      <c r="J39" s="87"/>
      <c r="K39" s="62" t="s">
        <v>12</v>
      </c>
      <c r="L39" s="62">
        <v>3</v>
      </c>
      <c r="M39" s="62" t="s">
        <v>619</v>
      </c>
      <c r="N39" s="62" t="s">
        <v>665</v>
      </c>
      <c r="O39" s="48" t="s">
        <v>666</v>
      </c>
      <c r="P39" s="48" t="s">
        <v>667</v>
      </c>
      <c r="Q39" s="48" t="s">
        <v>668</v>
      </c>
      <c r="R39" s="48" t="s">
        <v>669</v>
      </c>
      <c r="S39" s="48" t="s">
        <v>670</v>
      </c>
      <c r="T39" s="48" t="s">
        <v>671</v>
      </c>
      <c r="U39" s="48" t="s">
        <v>672</v>
      </c>
      <c r="V39" s="48" t="s">
        <v>673</v>
      </c>
      <c r="W39" s="48" t="s">
        <v>674</v>
      </c>
      <c r="X39" s="48" t="s">
        <v>675</v>
      </c>
      <c r="Y39" s="48" t="s">
        <v>676</v>
      </c>
      <c r="Z39" s="61"/>
      <c r="AA39" s="48" t="s">
        <v>453</v>
      </c>
      <c r="AB39" s="48" t="s">
        <v>645</v>
      </c>
      <c r="AC39" s="48" t="s">
        <v>581</v>
      </c>
      <c r="AD39" s="48" t="s">
        <v>273</v>
      </c>
      <c r="AE39" s="48" t="s">
        <v>273</v>
      </c>
      <c r="AF39" s="48" t="s">
        <v>273</v>
      </c>
      <c r="AG39" s="48" t="s">
        <v>273</v>
      </c>
      <c r="AH39" s="48" t="s">
        <v>273</v>
      </c>
      <c r="AI39" s="48" t="s">
        <v>273</v>
      </c>
      <c r="AJ39" s="48" t="s">
        <v>273</v>
      </c>
      <c r="AK39" s="48" t="s">
        <v>454</v>
      </c>
      <c r="AL39" s="48" t="s">
        <v>646</v>
      </c>
      <c r="AM39" s="48" t="s">
        <v>582</v>
      </c>
      <c r="AN39" s="48" t="s">
        <v>273</v>
      </c>
      <c r="AO39" s="48" t="s">
        <v>273</v>
      </c>
      <c r="AP39" s="48" t="s">
        <v>273</v>
      </c>
      <c r="AQ39" s="48" t="s">
        <v>273</v>
      </c>
      <c r="AR39" s="48" t="s">
        <v>273</v>
      </c>
      <c r="AS39" s="48" t="s">
        <v>273</v>
      </c>
      <c r="AT39" s="48" t="s">
        <v>273</v>
      </c>
      <c r="AU39" s="93">
        <v>36923</v>
      </c>
      <c r="AV39" s="93"/>
      <c r="AW39" s="93"/>
      <c r="AX39" s="93"/>
      <c r="AY39" s="93"/>
    </row>
    <row r="40" spans="1:52" ht="16.5" customHeight="1" x14ac:dyDescent="0.15">
      <c r="A40" s="134" t="s">
        <v>677</v>
      </c>
      <c r="B40" s="136" t="s">
        <v>678</v>
      </c>
      <c r="C40" s="48" t="s">
        <v>298</v>
      </c>
      <c r="D40" s="62" t="s">
        <v>679</v>
      </c>
      <c r="E40" s="48" t="s">
        <v>300</v>
      </c>
      <c r="F40" s="61">
        <v>42382</v>
      </c>
      <c r="G40" s="61">
        <v>42382</v>
      </c>
      <c r="H40" s="125">
        <v>42433</v>
      </c>
      <c r="I40" s="61" t="s">
        <v>279</v>
      </c>
      <c r="J40" s="87"/>
      <c r="K40" s="62" t="s">
        <v>12</v>
      </c>
      <c r="L40" s="62">
        <v>3</v>
      </c>
      <c r="M40" s="62" t="s">
        <v>680</v>
      </c>
      <c r="N40" s="62" t="s">
        <v>681</v>
      </c>
      <c r="O40" s="48" t="s">
        <v>682</v>
      </c>
      <c r="P40" s="48" t="s">
        <v>683</v>
      </c>
      <c r="Q40" s="48" t="s">
        <v>684</v>
      </c>
      <c r="R40" s="48" t="s">
        <v>685</v>
      </c>
      <c r="S40" s="48" t="s">
        <v>686</v>
      </c>
      <c r="T40" s="48" t="s">
        <v>687</v>
      </c>
      <c r="U40" s="48" t="s">
        <v>688</v>
      </c>
      <c r="V40" s="48"/>
      <c r="W40" s="48"/>
      <c r="X40" s="48" t="s">
        <v>689</v>
      </c>
      <c r="Y40" s="48" t="s">
        <v>690</v>
      </c>
      <c r="Z40" s="61"/>
      <c r="AA40" s="48" t="s">
        <v>691</v>
      </c>
      <c r="AB40" s="48" t="s">
        <v>273</v>
      </c>
      <c r="AC40" s="48" t="s">
        <v>273</v>
      </c>
      <c r="AD40" s="48" t="s">
        <v>273</v>
      </c>
      <c r="AE40" s="48" t="s">
        <v>273</v>
      </c>
      <c r="AF40" s="48" t="s">
        <v>273</v>
      </c>
      <c r="AG40" s="48" t="s">
        <v>273</v>
      </c>
      <c r="AH40" s="48" t="s">
        <v>273</v>
      </c>
      <c r="AI40" s="48" t="s">
        <v>273</v>
      </c>
      <c r="AJ40" s="48" t="s">
        <v>273</v>
      </c>
      <c r="AK40" s="48" t="s">
        <v>692</v>
      </c>
      <c r="AL40" s="48" t="s">
        <v>273</v>
      </c>
      <c r="AM40" s="48" t="s">
        <v>273</v>
      </c>
      <c r="AN40" s="48" t="s">
        <v>273</v>
      </c>
      <c r="AO40" s="48" t="s">
        <v>273</v>
      </c>
      <c r="AP40" s="48" t="s">
        <v>273</v>
      </c>
      <c r="AQ40" s="48" t="s">
        <v>273</v>
      </c>
      <c r="AR40" s="48" t="s">
        <v>273</v>
      </c>
      <c r="AS40" s="48" t="s">
        <v>273</v>
      </c>
      <c r="AT40" s="48" t="s">
        <v>273</v>
      </c>
      <c r="AU40" s="93">
        <v>39692</v>
      </c>
      <c r="AV40" s="93"/>
      <c r="AW40" s="93"/>
      <c r="AX40" s="93"/>
      <c r="AY40" s="93"/>
    </row>
    <row r="41" spans="1:52" ht="16.5" customHeight="1" x14ac:dyDescent="0.15">
      <c r="A41" s="138" t="s">
        <v>693</v>
      </c>
      <c r="B41" s="140" t="s">
        <v>694</v>
      </c>
      <c r="C41" s="48" t="s">
        <v>298</v>
      </c>
      <c r="D41" s="62" t="s">
        <v>263</v>
      </c>
      <c r="E41" s="48" t="s">
        <v>273</v>
      </c>
      <c r="F41" s="61">
        <v>42382</v>
      </c>
      <c r="G41" s="61">
        <v>42382</v>
      </c>
      <c r="H41" s="125">
        <v>42475</v>
      </c>
      <c r="I41" s="61" t="s">
        <v>279</v>
      </c>
      <c r="J41" s="87"/>
      <c r="K41" s="62" t="s">
        <v>12</v>
      </c>
      <c r="L41" s="62">
        <v>3</v>
      </c>
      <c r="M41" s="62" t="s">
        <v>394</v>
      </c>
      <c r="N41" s="62" t="s">
        <v>695</v>
      </c>
      <c r="O41" s="48" t="s">
        <v>396</v>
      </c>
      <c r="P41" s="48" t="s">
        <v>696</v>
      </c>
      <c r="Q41" s="48" t="s">
        <v>697</v>
      </c>
      <c r="R41" s="48" t="s">
        <v>399</v>
      </c>
      <c r="S41" s="130" t="s">
        <v>400</v>
      </c>
      <c r="T41" s="130" t="s">
        <v>401</v>
      </c>
      <c r="U41" s="48" t="s">
        <v>698</v>
      </c>
      <c r="V41" s="122" t="s">
        <v>263</v>
      </c>
      <c r="W41" s="122" t="s">
        <v>263</v>
      </c>
      <c r="X41" s="48" t="s">
        <v>699</v>
      </c>
      <c r="Y41" s="48" t="s">
        <v>700</v>
      </c>
      <c r="Z41" s="61"/>
      <c r="AA41" s="48" t="s">
        <v>701</v>
      </c>
      <c r="AB41" s="48" t="s">
        <v>273</v>
      </c>
      <c r="AC41" s="48" t="s">
        <v>273</v>
      </c>
      <c r="AD41" s="48" t="s">
        <v>273</v>
      </c>
      <c r="AE41" s="48" t="s">
        <v>273</v>
      </c>
      <c r="AF41" s="48" t="s">
        <v>273</v>
      </c>
      <c r="AG41" s="48" t="s">
        <v>273</v>
      </c>
      <c r="AH41" s="48" t="s">
        <v>273</v>
      </c>
      <c r="AI41" s="48" t="s">
        <v>273</v>
      </c>
      <c r="AJ41" s="48" t="s">
        <v>273</v>
      </c>
      <c r="AK41" s="48" t="s">
        <v>702</v>
      </c>
      <c r="AL41" s="48" t="s">
        <v>273</v>
      </c>
      <c r="AM41" s="48" t="s">
        <v>273</v>
      </c>
      <c r="AN41" s="48" t="s">
        <v>273</v>
      </c>
      <c r="AO41" s="48" t="s">
        <v>273</v>
      </c>
      <c r="AP41" s="48" t="s">
        <v>273</v>
      </c>
      <c r="AQ41" s="48" t="s">
        <v>273</v>
      </c>
      <c r="AR41" s="48" t="s">
        <v>273</v>
      </c>
      <c r="AS41" s="48" t="s">
        <v>273</v>
      </c>
      <c r="AT41" s="48" t="s">
        <v>273</v>
      </c>
      <c r="AU41" s="93">
        <v>39753</v>
      </c>
      <c r="AV41" s="93"/>
      <c r="AW41" s="93"/>
      <c r="AX41" s="93"/>
      <c r="AY41" s="93"/>
    </row>
    <row r="42" spans="1:52" ht="16.5" customHeight="1" x14ac:dyDescent="0.15">
      <c r="A42" s="128" t="s">
        <v>703</v>
      </c>
      <c r="B42" s="133" t="s">
        <v>704</v>
      </c>
      <c r="C42" s="48" t="s">
        <v>298</v>
      </c>
      <c r="D42" s="62" t="s">
        <v>263</v>
      </c>
      <c r="E42" s="48" t="s">
        <v>300</v>
      </c>
      <c r="F42" s="61">
        <v>42382</v>
      </c>
      <c r="G42" s="61">
        <v>42382</v>
      </c>
      <c r="H42" s="125">
        <v>42415</v>
      </c>
      <c r="I42" s="61" t="s">
        <v>705</v>
      </c>
      <c r="J42" s="87"/>
      <c r="K42" s="62" t="s">
        <v>12</v>
      </c>
      <c r="L42" s="62">
        <v>3</v>
      </c>
      <c r="M42" s="62" t="s">
        <v>394</v>
      </c>
      <c r="N42" s="62" t="s">
        <v>706</v>
      </c>
      <c r="O42" s="48" t="s">
        <v>396</v>
      </c>
      <c r="P42" s="48" t="s">
        <v>707</v>
      </c>
      <c r="Q42" s="48" t="s">
        <v>708</v>
      </c>
      <c r="R42" s="48" t="s">
        <v>476</v>
      </c>
      <c r="S42" s="48" t="s">
        <v>477</v>
      </c>
      <c r="T42" s="48" t="s">
        <v>478</v>
      </c>
      <c r="U42" s="48" t="s">
        <v>709</v>
      </c>
      <c r="V42" s="122" t="s">
        <v>263</v>
      </c>
      <c r="W42" s="122" t="s">
        <v>263</v>
      </c>
      <c r="X42" s="48" t="s">
        <v>710</v>
      </c>
      <c r="Y42" s="48" t="s">
        <v>711</v>
      </c>
      <c r="Z42" s="61"/>
      <c r="AA42" s="48" t="s">
        <v>712</v>
      </c>
      <c r="AB42" s="48" t="s">
        <v>713</v>
      </c>
      <c r="AC42" s="48" t="s">
        <v>714</v>
      </c>
      <c r="AD42" s="48" t="s">
        <v>715</v>
      </c>
      <c r="AE42" s="48" t="s">
        <v>273</v>
      </c>
      <c r="AF42" s="48" t="s">
        <v>273</v>
      </c>
      <c r="AG42" s="48" t="s">
        <v>273</v>
      </c>
      <c r="AH42" s="48" t="s">
        <v>273</v>
      </c>
      <c r="AI42" s="48" t="s">
        <v>273</v>
      </c>
      <c r="AJ42" s="48" t="s">
        <v>273</v>
      </c>
      <c r="AK42" s="48" t="s">
        <v>716</v>
      </c>
      <c r="AL42" s="48" t="s">
        <v>717</v>
      </c>
      <c r="AM42" s="48" t="s">
        <v>718</v>
      </c>
      <c r="AN42" s="48" t="s">
        <v>719</v>
      </c>
      <c r="AO42" s="48" t="s">
        <v>273</v>
      </c>
      <c r="AP42" s="48" t="s">
        <v>273</v>
      </c>
      <c r="AQ42" s="48" t="s">
        <v>273</v>
      </c>
      <c r="AR42" s="48" t="s">
        <v>273</v>
      </c>
      <c r="AS42" s="48" t="s">
        <v>273</v>
      </c>
      <c r="AT42" s="48" t="s">
        <v>273</v>
      </c>
      <c r="AU42" s="93">
        <v>38899</v>
      </c>
      <c r="AV42" s="93"/>
      <c r="AW42" s="93"/>
      <c r="AX42" s="93"/>
      <c r="AY42" s="93"/>
    </row>
    <row r="43" spans="1:52" ht="16.5" customHeight="1" x14ac:dyDescent="0.15">
      <c r="A43" s="123" t="s">
        <v>720</v>
      </c>
      <c r="B43" s="127" t="s">
        <v>721</v>
      </c>
      <c r="C43" s="48" t="s">
        <v>722</v>
      </c>
      <c r="D43" s="62" t="s">
        <v>263</v>
      </c>
      <c r="E43" s="48" t="s">
        <v>264</v>
      </c>
      <c r="F43" s="61">
        <v>42382</v>
      </c>
      <c r="G43" s="61">
        <v>42382</v>
      </c>
      <c r="H43" s="125">
        <v>42395</v>
      </c>
      <c r="I43" s="61" t="s">
        <v>723</v>
      </c>
      <c r="J43" s="87"/>
      <c r="K43" s="62" t="s">
        <v>12</v>
      </c>
      <c r="L43" s="62">
        <v>3</v>
      </c>
      <c r="M43" s="62" t="s">
        <v>471</v>
      </c>
      <c r="N43" s="62" t="s">
        <v>724</v>
      </c>
      <c r="O43" s="48" t="s">
        <v>502</v>
      </c>
      <c r="P43" s="48" t="s">
        <v>707</v>
      </c>
      <c r="Q43" s="48" t="s">
        <v>725</v>
      </c>
      <c r="R43" s="48" t="s">
        <v>476</v>
      </c>
      <c r="S43" s="48" t="s">
        <v>477</v>
      </c>
      <c r="T43" s="48" t="s">
        <v>478</v>
      </c>
      <c r="U43" s="48" t="s">
        <v>726</v>
      </c>
      <c r="V43" s="122" t="s">
        <v>263</v>
      </c>
      <c r="W43" s="122" t="s">
        <v>263</v>
      </c>
      <c r="X43" s="48" t="s">
        <v>727</v>
      </c>
      <c r="Y43" s="48" t="s">
        <v>728</v>
      </c>
      <c r="Z43" s="61"/>
      <c r="AA43" s="48" t="s">
        <v>508</v>
      </c>
      <c r="AB43" s="48" t="s">
        <v>273</v>
      </c>
      <c r="AC43" s="48" t="s">
        <v>273</v>
      </c>
      <c r="AD43" s="48" t="s">
        <v>273</v>
      </c>
      <c r="AE43" s="48" t="s">
        <v>273</v>
      </c>
      <c r="AF43" s="48" t="s">
        <v>273</v>
      </c>
      <c r="AG43" s="48" t="s">
        <v>273</v>
      </c>
      <c r="AH43" s="48" t="s">
        <v>273</v>
      </c>
      <c r="AI43" s="48" t="s">
        <v>273</v>
      </c>
      <c r="AJ43" s="48" t="s">
        <v>273</v>
      </c>
      <c r="AK43" s="48" t="s">
        <v>509</v>
      </c>
      <c r="AL43" s="48" t="s">
        <v>273</v>
      </c>
      <c r="AM43" s="48" t="s">
        <v>273</v>
      </c>
      <c r="AN43" s="48" t="s">
        <v>273</v>
      </c>
      <c r="AO43" s="48" t="s">
        <v>273</v>
      </c>
      <c r="AP43" s="48" t="s">
        <v>273</v>
      </c>
      <c r="AQ43" s="48" t="s">
        <v>273</v>
      </c>
      <c r="AR43" s="48" t="s">
        <v>273</v>
      </c>
      <c r="AS43" s="48" t="s">
        <v>273</v>
      </c>
      <c r="AT43" s="48" t="s">
        <v>273</v>
      </c>
      <c r="AU43" s="93">
        <v>41699</v>
      </c>
      <c r="AV43" s="93"/>
      <c r="AW43" s="93"/>
      <c r="AX43" s="93"/>
      <c r="AY43" s="93"/>
    </row>
    <row r="44" spans="1:52" ht="16.5" customHeight="1" x14ac:dyDescent="0.15">
      <c r="A44" s="123" t="s">
        <v>729</v>
      </c>
      <c r="B44" s="127" t="s">
        <v>730</v>
      </c>
      <c r="C44" s="48" t="s">
        <v>731</v>
      </c>
      <c r="D44" s="62" t="s">
        <v>424</v>
      </c>
      <c r="E44" s="48" t="s">
        <v>264</v>
      </c>
      <c r="F44" s="61">
        <v>42383</v>
      </c>
      <c r="G44" s="61">
        <v>42383</v>
      </c>
      <c r="H44" s="125">
        <v>42395</v>
      </c>
      <c r="I44" s="61" t="s">
        <v>732</v>
      </c>
      <c r="J44" s="87"/>
      <c r="K44" s="62" t="s">
        <v>12</v>
      </c>
      <c r="L44" s="62">
        <v>3</v>
      </c>
      <c r="M44" s="62" t="s">
        <v>471</v>
      </c>
      <c r="N44" s="62" t="s">
        <v>733</v>
      </c>
      <c r="O44" s="48" t="s">
        <v>473</v>
      </c>
      <c r="P44" s="48" t="s">
        <v>734</v>
      </c>
      <c r="Q44" s="48" t="s">
        <v>735</v>
      </c>
      <c r="R44" s="48" t="s">
        <v>476</v>
      </c>
      <c r="S44" s="48" t="s">
        <v>477</v>
      </c>
      <c r="T44" s="48" t="s">
        <v>478</v>
      </c>
      <c r="U44" s="48" t="s">
        <v>736</v>
      </c>
      <c r="V44" s="122" t="s">
        <v>263</v>
      </c>
      <c r="W44" s="122" t="s">
        <v>263</v>
      </c>
      <c r="X44" s="48" t="s">
        <v>737</v>
      </c>
      <c r="Y44" s="48" t="s">
        <v>738</v>
      </c>
      <c r="Z44" s="61"/>
      <c r="AA44" s="48" t="s">
        <v>508</v>
      </c>
      <c r="AB44" s="48" t="s">
        <v>273</v>
      </c>
      <c r="AC44" s="48" t="s">
        <v>273</v>
      </c>
      <c r="AD44" s="48" t="s">
        <v>273</v>
      </c>
      <c r="AE44" s="48" t="s">
        <v>273</v>
      </c>
      <c r="AF44" s="48" t="s">
        <v>273</v>
      </c>
      <c r="AG44" s="48" t="s">
        <v>273</v>
      </c>
      <c r="AH44" s="48" t="s">
        <v>273</v>
      </c>
      <c r="AI44" s="48" t="s">
        <v>273</v>
      </c>
      <c r="AJ44" s="48" t="s">
        <v>273</v>
      </c>
      <c r="AK44" s="48" t="s">
        <v>509</v>
      </c>
      <c r="AL44" s="48" t="s">
        <v>273</v>
      </c>
      <c r="AM44" s="48" t="s">
        <v>273</v>
      </c>
      <c r="AN44" s="48" t="s">
        <v>273</v>
      </c>
      <c r="AO44" s="48" t="s">
        <v>273</v>
      </c>
      <c r="AP44" s="48" t="s">
        <v>273</v>
      </c>
      <c r="AQ44" s="48" t="s">
        <v>273</v>
      </c>
      <c r="AR44" s="48" t="s">
        <v>273</v>
      </c>
      <c r="AS44" s="48" t="s">
        <v>273</v>
      </c>
      <c r="AT44" s="48" t="s">
        <v>273</v>
      </c>
      <c r="AU44" s="93">
        <v>40848</v>
      </c>
      <c r="AV44" s="93"/>
      <c r="AW44" s="93"/>
      <c r="AX44" s="93"/>
      <c r="AY44" s="93"/>
    </row>
    <row r="45" spans="1:52" ht="16.5" customHeight="1" x14ac:dyDescent="0.15">
      <c r="A45" s="128" t="s">
        <v>739</v>
      </c>
      <c r="B45" s="133" t="s">
        <v>740</v>
      </c>
      <c r="C45" s="48" t="s">
        <v>741</v>
      </c>
      <c r="D45" s="62" t="s">
        <v>742</v>
      </c>
      <c r="E45" s="48" t="s">
        <v>264</v>
      </c>
      <c r="F45" s="61">
        <v>42384</v>
      </c>
      <c r="G45" s="61">
        <v>42384</v>
      </c>
      <c r="H45" s="125">
        <v>42409</v>
      </c>
      <c r="I45" s="61" t="s">
        <v>279</v>
      </c>
      <c r="J45" s="87"/>
      <c r="K45" s="62" t="s">
        <v>12</v>
      </c>
      <c r="L45" s="62">
        <v>3</v>
      </c>
      <c r="M45" s="62" t="s">
        <v>209</v>
      </c>
      <c r="N45" s="62" t="s">
        <v>743</v>
      </c>
      <c r="O45" s="48" t="s">
        <v>744</v>
      </c>
      <c r="P45" s="48" t="s">
        <v>588</v>
      </c>
      <c r="Q45" s="48" t="s">
        <v>745</v>
      </c>
      <c r="R45" s="48" t="s">
        <v>746</v>
      </c>
      <c r="S45" s="48" t="s">
        <v>747</v>
      </c>
      <c r="T45" s="48" t="s">
        <v>748</v>
      </c>
      <c r="U45" s="48" t="s">
        <v>749</v>
      </c>
      <c r="V45" s="122" t="s">
        <v>263</v>
      </c>
      <c r="W45" s="122" t="s">
        <v>263</v>
      </c>
      <c r="X45" s="48" t="s">
        <v>750</v>
      </c>
      <c r="Y45" s="48" t="s">
        <v>751</v>
      </c>
      <c r="Z45" s="61"/>
      <c r="AA45" s="48" t="s">
        <v>273</v>
      </c>
      <c r="AB45" s="48" t="s">
        <v>273</v>
      </c>
      <c r="AC45" s="48" t="s">
        <v>273</v>
      </c>
      <c r="AD45" s="48" t="s">
        <v>273</v>
      </c>
      <c r="AE45" s="48" t="s">
        <v>273</v>
      </c>
      <c r="AF45" s="48" t="s">
        <v>273</v>
      </c>
      <c r="AG45" s="48" t="s">
        <v>273</v>
      </c>
      <c r="AH45" s="48" t="s">
        <v>273</v>
      </c>
      <c r="AI45" s="48" t="s">
        <v>273</v>
      </c>
      <c r="AJ45" s="48" t="s">
        <v>273</v>
      </c>
      <c r="AK45" s="48" t="s">
        <v>273</v>
      </c>
      <c r="AL45" s="48" t="s">
        <v>273</v>
      </c>
      <c r="AM45" s="48" t="s">
        <v>273</v>
      </c>
      <c r="AN45" s="48" t="s">
        <v>273</v>
      </c>
      <c r="AO45" s="48" t="s">
        <v>273</v>
      </c>
      <c r="AP45" s="48" t="s">
        <v>273</v>
      </c>
      <c r="AQ45" s="48" t="s">
        <v>273</v>
      </c>
      <c r="AR45" s="48" t="s">
        <v>273</v>
      </c>
      <c r="AS45" s="48" t="s">
        <v>273</v>
      </c>
      <c r="AT45" s="48" t="s">
        <v>273</v>
      </c>
      <c r="AU45" s="93">
        <v>41244</v>
      </c>
      <c r="AV45" s="93"/>
      <c r="AW45" s="93"/>
      <c r="AX45" s="93"/>
      <c r="AY45" s="93"/>
    </row>
    <row r="46" spans="1:52" ht="16.5" customHeight="1" x14ac:dyDescent="0.15">
      <c r="A46" s="128" t="s">
        <v>752</v>
      </c>
      <c r="B46" s="133" t="s">
        <v>753</v>
      </c>
      <c r="C46" s="48" t="s">
        <v>298</v>
      </c>
      <c r="D46" s="62" t="s">
        <v>754</v>
      </c>
      <c r="E46" s="48" t="s">
        <v>300</v>
      </c>
      <c r="F46" s="61">
        <v>42384</v>
      </c>
      <c r="G46" s="61">
        <v>42384</v>
      </c>
      <c r="H46" s="125">
        <v>42410</v>
      </c>
      <c r="I46" s="61" t="s">
        <v>279</v>
      </c>
      <c r="J46" s="87"/>
      <c r="K46" s="124" t="s">
        <v>263</v>
      </c>
      <c r="L46" s="124" t="s">
        <v>263</v>
      </c>
      <c r="M46" s="62" t="s">
        <v>755</v>
      </c>
      <c r="N46" s="62" t="s">
        <v>756</v>
      </c>
      <c r="O46" s="48" t="s">
        <v>757</v>
      </c>
      <c r="P46" s="48" t="s">
        <v>758</v>
      </c>
      <c r="Q46" s="48" t="s">
        <v>759</v>
      </c>
      <c r="R46" s="48" t="s">
        <v>760</v>
      </c>
      <c r="S46" s="48" t="s">
        <v>761</v>
      </c>
      <c r="T46" s="48" t="s">
        <v>762</v>
      </c>
      <c r="U46" s="48" t="s">
        <v>763</v>
      </c>
      <c r="V46" s="122" t="s">
        <v>263</v>
      </c>
      <c r="W46" s="48" t="s">
        <v>764</v>
      </c>
      <c r="X46" s="48" t="s">
        <v>765</v>
      </c>
      <c r="Y46" s="48" t="s">
        <v>766</v>
      </c>
      <c r="Z46" s="61"/>
      <c r="AA46" s="48" t="s">
        <v>273</v>
      </c>
      <c r="AB46" s="48" t="s">
        <v>273</v>
      </c>
      <c r="AC46" s="48" t="s">
        <v>273</v>
      </c>
      <c r="AD46" s="48" t="s">
        <v>273</v>
      </c>
      <c r="AE46" s="48" t="s">
        <v>273</v>
      </c>
      <c r="AF46" s="48" t="s">
        <v>273</v>
      </c>
      <c r="AG46" s="48" t="s">
        <v>273</v>
      </c>
      <c r="AH46" s="48" t="s">
        <v>273</v>
      </c>
      <c r="AI46" s="48" t="s">
        <v>273</v>
      </c>
      <c r="AJ46" s="48" t="s">
        <v>273</v>
      </c>
      <c r="AK46" s="48" t="s">
        <v>273</v>
      </c>
      <c r="AL46" s="48" t="s">
        <v>273</v>
      </c>
      <c r="AM46" s="48" t="s">
        <v>273</v>
      </c>
      <c r="AN46" s="48" t="s">
        <v>273</v>
      </c>
      <c r="AO46" s="48" t="s">
        <v>273</v>
      </c>
      <c r="AP46" s="48" t="s">
        <v>273</v>
      </c>
      <c r="AQ46" s="48" t="s">
        <v>273</v>
      </c>
      <c r="AR46" s="48" t="s">
        <v>273</v>
      </c>
      <c r="AS46" s="48" t="s">
        <v>273</v>
      </c>
      <c r="AT46" s="48" t="s">
        <v>273</v>
      </c>
      <c r="AU46" s="93">
        <v>38626</v>
      </c>
      <c r="AV46" s="93"/>
      <c r="AW46" s="93"/>
      <c r="AX46" s="93"/>
      <c r="AY46" s="93"/>
      <c r="AZ46" s="49" t="s">
        <v>767</v>
      </c>
    </row>
    <row r="47" spans="1:52" ht="16.5" customHeight="1" x14ac:dyDescent="0.15">
      <c r="A47" s="128" t="s">
        <v>768</v>
      </c>
      <c r="B47" s="133" t="s">
        <v>769</v>
      </c>
      <c r="C47" s="48" t="s">
        <v>770</v>
      </c>
      <c r="D47" s="62" t="s">
        <v>263</v>
      </c>
      <c r="E47" s="48" t="s">
        <v>300</v>
      </c>
      <c r="F47" s="61">
        <v>42384</v>
      </c>
      <c r="G47" s="61">
        <v>42384</v>
      </c>
      <c r="H47" s="125">
        <v>42404</v>
      </c>
      <c r="I47" s="61" t="s">
        <v>279</v>
      </c>
      <c r="J47" s="87"/>
      <c r="K47" s="62" t="s">
        <v>12</v>
      </c>
      <c r="L47" s="62">
        <v>5</v>
      </c>
      <c r="M47" s="62" t="s">
        <v>471</v>
      </c>
      <c r="N47" s="62" t="s">
        <v>771</v>
      </c>
      <c r="O47" s="48" t="s">
        <v>772</v>
      </c>
      <c r="P47" s="48" t="s">
        <v>773</v>
      </c>
      <c r="Q47" s="48" t="s">
        <v>318</v>
      </c>
      <c r="R47" s="48" t="s">
        <v>774</v>
      </c>
      <c r="S47" s="48" t="s">
        <v>775</v>
      </c>
      <c r="T47" s="48" t="s">
        <v>776</v>
      </c>
      <c r="U47" s="48" t="s">
        <v>777</v>
      </c>
      <c r="V47" s="122" t="s">
        <v>263</v>
      </c>
      <c r="W47" s="122" t="s">
        <v>263</v>
      </c>
      <c r="X47" s="48" t="s">
        <v>778</v>
      </c>
      <c r="Y47" s="48" t="s">
        <v>779</v>
      </c>
      <c r="Z47" s="61"/>
      <c r="AA47" s="48" t="s">
        <v>780</v>
      </c>
      <c r="AB47" s="48" t="s">
        <v>781</v>
      </c>
      <c r="AC47" s="48" t="s">
        <v>782</v>
      </c>
      <c r="AD47" s="48" t="s">
        <v>783</v>
      </c>
      <c r="AE47" s="48" t="s">
        <v>273</v>
      </c>
      <c r="AF47" s="48" t="s">
        <v>273</v>
      </c>
      <c r="AG47" s="48" t="s">
        <v>273</v>
      </c>
      <c r="AH47" s="48" t="s">
        <v>273</v>
      </c>
      <c r="AI47" s="48" t="s">
        <v>273</v>
      </c>
      <c r="AJ47" s="48" t="s">
        <v>273</v>
      </c>
      <c r="AK47" s="48" t="s">
        <v>784</v>
      </c>
      <c r="AL47" s="48" t="s">
        <v>785</v>
      </c>
      <c r="AM47" s="48" t="s">
        <v>786</v>
      </c>
      <c r="AN47" s="48" t="s">
        <v>787</v>
      </c>
      <c r="AO47" s="48" t="s">
        <v>273</v>
      </c>
      <c r="AP47" s="48" t="s">
        <v>273</v>
      </c>
      <c r="AQ47" s="48" t="s">
        <v>273</v>
      </c>
      <c r="AR47" s="48" t="s">
        <v>273</v>
      </c>
      <c r="AS47" s="48" t="s">
        <v>273</v>
      </c>
      <c r="AT47" s="48" t="s">
        <v>273</v>
      </c>
      <c r="AU47" s="93">
        <v>40238</v>
      </c>
      <c r="AV47" s="93"/>
      <c r="AW47" s="93"/>
      <c r="AX47" s="93"/>
      <c r="AY47" s="93"/>
    </row>
    <row r="48" spans="1:52" ht="16.5" customHeight="1" x14ac:dyDescent="0.15">
      <c r="A48" s="134" t="s">
        <v>788</v>
      </c>
      <c r="B48" s="136" t="s">
        <v>789</v>
      </c>
      <c r="C48" s="48" t="s">
        <v>330</v>
      </c>
      <c r="D48" s="62" t="s">
        <v>790</v>
      </c>
      <c r="E48" s="48" t="s">
        <v>300</v>
      </c>
      <c r="F48" s="61">
        <v>42387</v>
      </c>
      <c r="G48" s="61">
        <v>42387</v>
      </c>
      <c r="H48" s="125">
        <v>42445</v>
      </c>
      <c r="I48" s="61" t="s">
        <v>279</v>
      </c>
      <c r="J48" s="87"/>
      <c r="K48" s="62" t="s">
        <v>12</v>
      </c>
      <c r="L48" s="124" t="s">
        <v>263</v>
      </c>
      <c r="M48" s="62" t="s">
        <v>755</v>
      </c>
      <c r="N48" s="62" t="s">
        <v>791</v>
      </c>
      <c r="O48" s="48" t="s">
        <v>792</v>
      </c>
      <c r="P48" s="48" t="s">
        <v>793</v>
      </c>
      <c r="Q48" s="48" t="s">
        <v>794</v>
      </c>
      <c r="R48" s="48" t="s">
        <v>795</v>
      </c>
      <c r="S48" s="48" t="s">
        <v>796</v>
      </c>
      <c r="T48" s="48" t="s">
        <v>797</v>
      </c>
      <c r="U48" s="48" t="s">
        <v>798</v>
      </c>
      <c r="V48" s="48" t="s">
        <v>799</v>
      </c>
      <c r="W48" s="122" t="s">
        <v>263</v>
      </c>
      <c r="X48" s="48" t="s">
        <v>800</v>
      </c>
      <c r="Y48" s="48" t="s">
        <v>801</v>
      </c>
      <c r="Z48" s="61"/>
      <c r="AA48" s="48" t="s">
        <v>802</v>
      </c>
      <c r="AB48" s="48" t="s">
        <v>273</v>
      </c>
      <c r="AC48" s="48" t="s">
        <v>273</v>
      </c>
      <c r="AD48" s="48" t="s">
        <v>273</v>
      </c>
      <c r="AE48" s="48" t="s">
        <v>273</v>
      </c>
      <c r="AF48" s="48" t="s">
        <v>273</v>
      </c>
      <c r="AG48" s="48" t="s">
        <v>273</v>
      </c>
      <c r="AH48" s="48" t="s">
        <v>273</v>
      </c>
      <c r="AI48" s="48" t="s">
        <v>273</v>
      </c>
      <c r="AJ48" s="48" t="s">
        <v>273</v>
      </c>
      <c r="AK48" s="48" t="s">
        <v>803</v>
      </c>
      <c r="AL48" s="48" t="s">
        <v>273</v>
      </c>
      <c r="AM48" s="48" t="s">
        <v>273</v>
      </c>
      <c r="AN48" s="48" t="s">
        <v>273</v>
      </c>
      <c r="AO48" s="48" t="s">
        <v>273</v>
      </c>
      <c r="AP48" s="48" t="s">
        <v>273</v>
      </c>
      <c r="AQ48" s="48" t="s">
        <v>273</v>
      </c>
      <c r="AR48" s="48" t="s">
        <v>273</v>
      </c>
      <c r="AS48" s="48" t="s">
        <v>273</v>
      </c>
      <c r="AT48" s="48" t="s">
        <v>273</v>
      </c>
      <c r="AU48" s="93">
        <v>40210</v>
      </c>
      <c r="AV48" s="93"/>
      <c r="AW48" s="93"/>
      <c r="AX48" s="93"/>
      <c r="AY48" s="93"/>
      <c r="AZ48" s="49" t="s">
        <v>804</v>
      </c>
    </row>
    <row r="49" spans="1:52" ht="16.5" customHeight="1" x14ac:dyDescent="0.15">
      <c r="A49" s="128" t="s">
        <v>805</v>
      </c>
      <c r="B49" s="133" t="s">
        <v>806</v>
      </c>
      <c r="C49" s="48" t="s">
        <v>298</v>
      </c>
      <c r="D49" s="62" t="s">
        <v>807</v>
      </c>
      <c r="E49" s="48" t="s">
        <v>300</v>
      </c>
      <c r="F49" s="61">
        <v>42387</v>
      </c>
      <c r="G49" s="61">
        <v>42387</v>
      </c>
      <c r="H49" s="125">
        <v>42415</v>
      </c>
      <c r="I49" s="61" t="s">
        <v>279</v>
      </c>
      <c r="J49" s="87"/>
      <c r="K49" s="62" t="s">
        <v>12</v>
      </c>
      <c r="L49" s="62">
        <v>3</v>
      </c>
      <c r="M49" s="62" t="s">
        <v>425</v>
      </c>
      <c r="N49" s="62" t="s">
        <v>808</v>
      </c>
      <c r="O49" s="48" t="s">
        <v>809</v>
      </c>
      <c r="P49" s="48" t="s">
        <v>810</v>
      </c>
      <c r="Q49" s="48" t="s">
        <v>811</v>
      </c>
      <c r="R49" s="48" t="s">
        <v>812</v>
      </c>
      <c r="S49" s="48" t="s">
        <v>813</v>
      </c>
      <c r="T49" s="48" t="s">
        <v>814</v>
      </c>
      <c r="U49" s="48" t="s">
        <v>815</v>
      </c>
      <c r="V49" s="48" t="s">
        <v>816</v>
      </c>
      <c r="W49" s="48" t="s">
        <v>817</v>
      </c>
      <c r="X49" s="48" t="s">
        <v>818</v>
      </c>
      <c r="Y49" s="48" t="s">
        <v>819</v>
      </c>
      <c r="Z49" s="61"/>
      <c r="AA49" s="48" t="s">
        <v>820</v>
      </c>
      <c r="AB49" s="48" t="s">
        <v>273</v>
      </c>
      <c r="AC49" s="48" t="s">
        <v>273</v>
      </c>
      <c r="AD49" s="48" t="s">
        <v>273</v>
      </c>
      <c r="AE49" s="48" t="s">
        <v>273</v>
      </c>
      <c r="AF49" s="48" t="s">
        <v>273</v>
      </c>
      <c r="AG49" s="48" t="s">
        <v>273</v>
      </c>
      <c r="AH49" s="48" t="s">
        <v>273</v>
      </c>
      <c r="AI49" s="48" t="s">
        <v>273</v>
      </c>
      <c r="AJ49" s="48" t="s">
        <v>273</v>
      </c>
      <c r="AK49" s="48" t="s">
        <v>821</v>
      </c>
      <c r="AL49" s="48" t="s">
        <v>273</v>
      </c>
      <c r="AM49" s="48" t="s">
        <v>273</v>
      </c>
      <c r="AN49" s="48" t="s">
        <v>273</v>
      </c>
      <c r="AO49" s="48" t="s">
        <v>273</v>
      </c>
      <c r="AP49" s="48" t="s">
        <v>273</v>
      </c>
      <c r="AQ49" s="48" t="s">
        <v>273</v>
      </c>
      <c r="AR49" s="48" t="s">
        <v>273</v>
      </c>
      <c r="AS49" s="48" t="s">
        <v>273</v>
      </c>
      <c r="AT49" s="48" t="s">
        <v>273</v>
      </c>
      <c r="AU49" s="93">
        <v>41214</v>
      </c>
      <c r="AV49" s="93"/>
      <c r="AW49" s="93"/>
      <c r="AX49" s="93"/>
      <c r="AY49" s="93"/>
    </row>
    <row r="50" spans="1:52" ht="16.5" customHeight="1" x14ac:dyDescent="0.15">
      <c r="A50" s="128" t="s">
        <v>822</v>
      </c>
      <c r="B50" s="133" t="s">
        <v>823</v>
      </c>
      <c r="C50" s="48" t="s">
        <v>824</v>
      </c>
      <c r="D50" s="62" t="s">
        <v>825</v>
      </c>
      <c r="E50" s="48" t="s">
        <v>264</v>
      </c>
      <c r="F50" s="61">
        <v>42387</v>
      </c>
      <c r="G50" s="61">
        <v>42387</v>
      </c>
      <c r="H50" s="125">
        <v>42412</v>
      </c>
      <c r="I50" s="61" t="s">
        <v>279</v>
      </c>
      <c r="J50" s="87"/>
      <c r="K50" s="62" t="s">
        <v>12</v>
      </c>
      <c r="L50" s="62">
        <v>3</v>
      </c>
      <c r="M50" s="62" t="s">
        <v>680</v>
      </c>
      <c r="N50" s="62" t="s">
        <v>826</v>
      </c>
      <c r="O50" s="48" t="s">
        <v>827</v>
      </c>
      <c r="P50" s="48" t="s">
        <v>828</v>
      </c>
      <c r="Q50" s="48" t="s">
        <v>829</v>
      </c>
      <c r="R50" s="48" t="s">
        <v>573</v>
      </c>
      <c r="S50" s="48" t="s">
        <v>574</v>
      </c>
      <c r="T50" s="48" t="s">
        <v>575</v>
      </c>
      <c r="U50" s="48" t="s">
        <v>830</v>
      </c>
      <c r="V50" s="122" t="s">
        <v>263</v>
      </c>
      <c r="W50" s="122" t="s">
        <v>263</v>
      </c>
      <c r="X50" s="48" t="s">
        <v>831</v>
      </c>
      <c r="Y50" s="48" t="s">
        <v>832</v>
      </c>
      <c r="Z50" s="61"/>
      <c r="AA50" s="48" t="s">
        <v>833</v>
      </c>
      <c r="AB50" s="48" t="s">
        <v>273</v>
      </c>
      <c r="AC50" s="48" t="s">
        <v>273</v>
      </c>
      <c r="AD50" s="48" t="s">
        <v>273</v>
      </c>
      <c r="AE50" s="48" t="s">
        <v>273</v>
      </c>
      <c r="AF50" s="48" t="s">
        <v>273</v>
      </c>
      <c r="AG50" s="48" t="s">
        <v>273</v>
      </c>
      <c r="AH50" s="48" t="s">
        <v>273</v>
      </c>
      <c r="AI50" s="48" t="s">
        <v>273</v>
      </c>
      <c r="AJ50" s="48" t="s">
        <v>273</v>
      </c>
      <c r="AK50" s="48" t="s">
        <v>834</v>
      </c>
      <c r="AL50" s="48" t="s">
        <v>273</v>
      </c>
      <c r="AM50" s="48" t="s">
        <v>273</v>
      </c>
      <c r="AN50" s="48" t="s">
        <v>273</v>
      </c>
      <c r="AO50" s="48" t="s">
        <v>273</v>
      </c>
      <c r="AP50" s="48" t="s">
        <v>273</v>
      </c>
      <c r="AQ50" s="48" t="s">
        <v>273</v>
      </c>
      <c r="AR50" s="48" t="s">
        <v>273</v>
      </c>
      <c r="AS50" s="48" t="s">
        <v>273</v>
      </c>
      <c r="AT50" s="48" t="s">
        <v>273</v>
      </c>
      <c r="AU50" s="93">
        <v>41699</v>
      </c>
      <c r="AV50" s="93"/>
      <c r="AW50" s="93"/>
      <c r="AX50" s="93"/>
      <c r="AY50" s="93"/>
    </row>
    <row r="51" spans="1:52" ht="16.5" customHeight="1" x14ac:dyDescent="0.15">
      <c r="A51" s="128" t="s">
        <v>835</v>
      </c>
      <c r="B51" s="133" t="s">
        <v>836</v>
      </c>
      <c r="C51" s="48" t="s">
        <v>837</v>
      </c>
      <c r="D51" s="62" t="s">
        <v>838</v>
      </c>
      <c r="E51" s="48" t="s">
        <v>300</v>
      </c>
      <c r="F51" s="61">
        <v>42387</v>
      </c>
      <c r="G51" s="61">
        <v>42387</v>
      </c>
      <c r="H51" s="125">
        <v>42410</v>
      </c>
      <c r="I51" s="61" t="s">
        <v>279</v>
      </c>
      <c r="J51" s="87"/>
      <c r="K51" s="62" t="s">
        <v>12</v>
      </c>
      <c r="L51" s="62">
        <v>3</v>
      </c>
      <c r="M51" s="62" t="s">
        <v>442</v>
      </c>
      <c r="N51" s="62" t="s">
        <v>839</v>
      </c>
      <c r="O51" s="48" t="s">
        <v>570</v>
      </c>
      <c r="P51" s="48" t="s">
        <v>840</v>
      </c>
      <c r="Q51" s="48" t="s">
        <v>841</v>
      </c>
      <c r="R51" s="48" t="s">
        <v>842</v>
      </c>
      <c r="S51" s="48" t="s">
        <v>843</v>
      </c>
      <c r="T51" s="48" t="s">
        <v>844</v>
      </c>
      <c r="U51" s="48" t="s">
        <v>845</v>
      </c>
      <c r="V51" s="48" t="s">
        <v>846</v>
      </c>
      <c r="W51" s="48" t="s">
        <v>578</v>
      </c>
      <c r="X51" s="48" t="s">
        <v>847</v>
      </c>
      <c r="Y51" s="48" t="s">
        <v>848</v>
      </c>
      <c r="Z51" s="61"/>
      <c r="AA51" s="48" t="s">
        <v>849</v>
      </c>
      <c r="AB51" s="48" t="s">
        <v>782</v>
      </c>
      <c r="AC51" s="48" t="s">
        <v>273</v>
      </c>
      <c r="AD51" s="48" t="s">
        <v>273</v>
      </c>
      <c r="AE51" s="48" t="s">
        <v>273</v>
      </c>
      <c r="AF51" s="48" t="s">
        <v>273</v>
      </c>
      <c r="AG51" s="48" t="s">
        <v>273</v>
      </c>
      <c r="AH51" s="48" t="s">
        <v>273</v>
      </c>
      <c r="AI51" s="48" t="s">
        <v>273</v>
      </c>
      <c r="AJ51" s="48" t="s">
        <v>273</v>
      </c>
      <c r="AK51" s="48" t="s">
        <v>850</v>
      </c>
      <c r="AL51" s="48" t="s">
        <v>786</v>
      </c>
      <c r="AM51" s="48" t="s">
        <v>273</v>
      </c>
      <c r="AN51" s="48" t="s">
        <v>273</v>
      </c>
      <c r="AO51" s="48" t="s">
        <v>273</v>
      </c>
      <c r="AP51" s="48" t="s">
        <v>273</v>
      </c>
      <c r="AQ51" s="48" t="s">
        <v>273</v>
      </c>
      <c r="AR51" s="48" t="s">
        <v>273</v>
      </c>
      <c r="AS51" s="48" t="s">
        <v>273</v>
      </c>
      <c r="AT51" s="48" t="s">
        <v>273</v>
      </c>
      <c r="AU51" s="93">
        <v>40179</v>
      </c>
      <c r="AV51" s="93"/>
      <c r="AW51" s="93"/>
      <c r="AX51" s="93"/>
      <c r="AY51" s="93"/>
    </row>
    <row r="52" spans="1:52" ht="16.5" customHeight="1" x14ac:dyDescent="0.15">
      <c r="A52" s="131" t="s">
        <v>851</v>
      </c>
      <c r="B52" s="133" t="s">
        <v>852</v>
      </c>
      <c r="C52" s="48" t="s">
        <v>330</v>
      </c>
      <c r="D52" s="62" t="s">
        <v>853</v>
      </c>
      <c r="E52" s="48" t="s">
        <v>300</v>
      </c>
      <c r="F52" s="61">
        <v>42387</v>
      </c>
      <c r="G52" s="61">
        <v>42387</v>
      </c>
      <c r="H52" s="125">
        <v>42424</v>
      </c>
      <c r="I52" s="61" t="s">
        <v>279</v>
      </c>
      <c r="J52" s="87"/>
      <c r="K52" s="62" t="s">
        <v>12</v>
      </c>
      <c r="L52" s="62">
        <v>3</v>
      </c>
      <c r="M52" s="62" t="s">
        <v>854</v>
      </c>
      <c r="N52" s="62" t="s">
        <v>855</v>
      </c>
      <c r="O52" s="48" t="s">
        <v>263</v>
      </c>
      <c r="P52" s="48" t="s">
        <v>856</v>
      </c>
      <c r="Q52" s="48" t="s">
        <v>857</v>
      </c>
      <c r="R52" s="48" t="s">
        <v>858</v>
      </c>
      <c r="S52" s="48" t="s">
        <v>859</v>
      </c>
      <c r="T52" s="48" t="s">
        <v>860</v>
      </c>
      <c r="U52" s="48" t="s">
        <v>861</v>
      </c>
      <c r="V52" s="122" t="s">
        <v>263</v>
      </c>
      <c r="W52" s="122" t="s">
        <v>263</v>
      </c>
      <c r="X52" s="48" t="s">
        <v>862</v>
      </c>
      <c r="Y52" s="48" t="s">
        <v>863</v>
      </c>
      <c r="Z52" s="61"/>
      <c r="AA52" s="48" t="s">
        <v>273</v>
      </c>
      <c r="AB52" s="48" t="s">
        <v>273</v>
      </c>
      <c r="AC52" s="48" t="s">
        <v>273</v>
      </c>
      <c r="AD52" s="48" t="s">
        <v>273</v>
      </c>
      <c r="AE52" s="48" t="s">
        <v>273</v>
      </c>
      <c r="AF52" s="48" t="s">
        <v>273</v>
      </c>
      <c r="AG52" s="48" t="s">
        <v>273</v>
      </c>
      <c r="AH52" s="48" t="s">
        <v>273</v>
      </c>
      <c r="AI52" s="48" t="s">
        <v>273</v>
      </c>
      <c r="AJ52" s="48" t="s">
        <v>273</v>
      </c>
      <c r="AK52" s="48" t="s">
        <v>864</v>
      </c>
      <c r="AL52" s="48" t="s">
        <v>865</v>
      </c>
      <c r="AM52" s="48" t="s">
        <v>866</v>
      </c>
      <c r="AN52" s="48" t="s">
        <v>867</v>
      </c>
      <c r="AO52" s="48" t="s">
        <v>273</v>
      </c>
      <c r="AP52" s="48" t="s">
        <v>273</v>
      </c>
      <c r="AQ52" s="48" t="s">
        <v>273</v>
      </c>
      <c r="AR52" s="48" t="s">
        <v>273</v>
      </c>
      <c r="AS52" s="48" t="s">
        <v>273</v>
      </c>
      <c r="AT52" s="48" t="s">
        <v>273</v>
      </c>
      <c r="AU52" s="93" t="s">
        <v>263</v>
      </c>
      <c r="AV52" s="93"/>
      <c r="AW52" s="93"/>
      <c r="AX52" s="93"/>
      <c r="AY52" s="93"/>
    </row>
    <row r="53" spans="1:52" ht="16.5" customHeight="1" x14ac:dyDescent="0.15">
      <c r="A53" s="123" t="s">
        <v>868</v>
      </c>
      <c r="B53" s="127" t="s">
        <v>869</v>
      </c>
      <c r="C53" s="48" t="s">
        <v>870</v>
      </c>
      <c r="D53" s="62" t="s">
        <v>263</v>
      </c>
      <c r="E53" s="48" t="s">
        <v>264</v>
      </c>
      <c r="F53" s="61">
        <v>42387</v>
      </c>
      <c r="G53" s="61">
        <v>42387</v>
      </c>
      <c r="H53" s="125">
        <v>42394</v>
      </c>
      <c r="I53" s="61" t="s">
        <v>263</v>
      </c>
      <c r="J53" s="87"/>
      <c r="K53" s="62" t="s">
        <v>12</v>
      </c>
      <c r="L53" s="62">
        <v>3</v>
      </c>
      <c r="M53" s="62" t="s">
        <v>442</v>
      </c>
      <c r="N53" s="62" t="s">
        <v>871</v>
      </c>
      <c r="O53" s="48" t="s">
        <v>872</v>
      </c>
      <c r="P53" s="48" t="s">
        <v>267</v>
      </c>
      <c r="Q53" s="48" t="s">
        <v>263</v>
      </c>
      <c r="R53" s="122" t="s">
        <v>263</v>
      </c>
      <c r="S53" s="48" t="s">
        <v>269</v>
      </c>
      <c r="T53" s="48" t="s">
        <v>270</v>
      </c>
      <c r="U53" s="48" t="s">
        <v>873</v>
      </c>
      <c r="V53" s="122" t="s">
        <v>263</v>
      </c>
      <c r="W53" s="122" t="s">
        <v>263</v>
      </c>
      <c r="X53" s="122" t="s">
        <v>263</v>
      </c>
      <c r="Y53" s="122" t="s">
        <v>263</v>
      </c>
      <c r="Z53" s="61"/>
      <c r="AA53" s="48" t="s">
        <v>388</v>
      </c>
      <c r="AB53" s="48" t="s">
        <v>581</v>
      </c>
      <c r="AC53" s="48" t="s">
        <v>273</v>
      </c>
      <c r="AD53" s="48" t="s">
        <v>273</v>
      </c>
      <c r="AE53" s="48" t="s">
        <v>273</v>
      </c>
      <c r="AF53" s="48" t="s">
        <v>273</v>
      </c>
      <c r="AG53" s="48" t="s">
        <v>273</v>
      </c>
      <c r="AH53" s="48" t="s">
        <v>273</v>
      </c>
      <c r="AI53" s="48" t="s">
        <v>273</v>
      </c>
      <c r="AJ53" s="48" t="s">
        <v>273</v>
      </c>
      <c r="AK53" s="48" t="s">
        <v>390</v>
      </c>
      <c r="AL53" s="48" t="s">
        <v>582</v>
      </c>
      <c r="AM53" s="48" t="s">
        <v>273</v>
      </c>
      <c r="AN53" s="48" t="s">
        <v>273</v>
      </c>
      <c r="AO53" s="48" t="s">
        <v>273</v>
      </c>
      <c r="AP53" s="48" t="s">
        <v>273</v>
      </c>
      <c r="AQ53" s="48" t="s">
        <v>273</v>
      </c>
      <c r="AR53" s="48" t="s">
        <v>273</v>
      </c>
      <c r="AS53" s="48" t="s">
        <v>273</v>
      </c>
      <c r="AT53" s="48" t="s">
        <v>273</v>
      </c>
      <c r="AU53" s="93">
        <v>38991</v>
      </c>
      <c r="AV53" s="93"/>
      <c r="AW53" s="93"/>
      <c r="AX53" s="93"/>
      <c r="AY53" s="93"/>
    </row>
    <row r="54" spans="1:52" ht="16.5" customHeight="1" x14ac:dyDescent="0.15">
      <c r="A54" s="146" t="s">
        <v>874</v>
      </c>
      <c r="B54" s="147" t="s">
        <v>875</v>
      </c>
      <c r="C54" s="48" t="s">
        <v>876</v>
      </c>
      <c r="D54" s="62" t="s">
        <v>877</v>
      </c>
      <c r="E54" s="48" t="s">
        <v>264</v>
      </c>
      <c r="F54" s="61">
        <v>42387</v>
      </c>
      <c r="G54" s="61">
        <v>42387</v>
      </c>
      <c r="H54" s="125">
        <v>42530</v>
      </c>
      <c r="I54" s="61" t="s">
        <v>279</v>
      </c>
      <c r="J54" s="87"/>
      <c r="K54" s="62" t="s">
        <v>14</v>
      </c>
      <c r="L54" s="62">
        <v>3</v>
      </c>
      <c r="M54" s="62" t="s">
        <v>409</v>
      </c>
      <c r="N54" s="62" t="s">
        <v>878</v>
      </c>
      <c r="O54" s="48" t="s">
        <v>535</v>
      </c>
      <c r="P54" s="48" t="s">
        <v>879</v>
      </c>
      <c r="Q54" s="48" t="s">
        <v>880</v>
      </c>
      <c r="R54" s="48" t="s">
        <v>881</v>
      </c>
      <c r="S54" s="48" t="s">
        <v>882</v>
      </c>
      <c r="T54" s="48" t="s">
        <v>883</v>
      </c>
      <c r="U54" s="48" t="s">
        <v>884</v>
      </c>
      <c r="V54" s="122" t="s">
        <v>263</v>
      </c>
      <c r="W54" s="122" t="s">
        <v>263</v>
      </c>
      <c r="X54" s="48" t="s">
        <v>885</v>
      </c>
      <c r="Y54" s="48" t="s">
        <v>886</v>
      </c>
      <c r="Z54" s="61"/>
      <c r="AA54" s="48" t="s">
        <v>887</v>
      </c>
      <c r="AB54" s="48" t="s">
        <v>273</v>
      </c>
      <c r="AC54" s="48" t="s">
        <v>273</v>
      </c>
      <c r="AD54" s="48" t="s">
        <v>273</v>
      </c>
      <c r="AE54" s="48" t="s">
        <v>273</v>
      </c>
      <c r="AF54" s="48" t="s">
        <v>273</v>
      </c>
      <c r="AG54" s="48" t="s">
        <v>273</v>
      </c>
      <c r="AH54" s="48" t="s">
        <v>273</v>
      </c>
      <c r="AI54" s="48" t="s">
        <v>273</v>
      </c>
      <c r="AJ54" s="48" t="s">
        <v>273</v>
      </c>
      <c r="AK54" s="48" t="s">
        <v>888</v>
      </c>
      <c r="AL54" s="48" t="s">
        <v>273</v>
      </c>
      <c r="AM54" s="48" t="s">
        <v>273</v>
      </c>
      <c r="AN54" s="48" t="s">
        <v>273</v>
      </c>
      <c r="AO54" s="48" t="s">
        <v>273</v>
      </c>
      <c r="AP54" s="48" t="s">
        <v>273</v>
      </c>
      <c r="AQ54" s="48" t="s">
        <v>273</v>
      </c>
      <c r="AR54" s="48" t="s">
        <v>273</v>
      </c>
      <c r="AS54" s="48" t="s">
        <v>273</v>
      </c>
      <c r="AT54" s="48" t="s">
        <v>273</v>
      </c>
      <c r="AU54" s="93">
        <v>40909</v>
      </c>
      <c r="AV54" s="93"/>
      <c r="AW54" s="93"/>
      <c r="AX54" s="93"/>
      <c r="AY54" s="93"/>
    </row>
    <row r="55" spans="1:52" ht="16.5" customHeight="1" x14ac:dyDescent="0.15">
      <c r="A55" s="128" t="s">
        <v>889</v>
      </c>
      <c r="B55" s="133" t="s">
        <v>890</v>
      </c>
      <c r="C55" s="48" t="s">
        <v>298</v>
      </c>
      <c r="D55" s="62" t="s">
        <v>263</v>
      </c>
      <c r="E55" s="48" t="s">
        <v>264</v>
      </c>
      <c r="F55" s="61">
        <v>42389</v>
      </c>
      <c r="G55" s="61">
        <v>42389</v>
      </c>
      <c r="H55" s="125">
        <v>42401</v>
      </c>
      <c r="I55" s="61" t="s">
        <v>263</v>
      </c>
      <c r="J55" s="87"/>
      <c r="K55" s="62" t="s">
        <v>12</v>
      </c>
      <c r="L55" s="62">
        <v>3</v>
      </c>
      <c r="M55" s="62" t="s">
        <v>471</v>
      </c>
      <c r="N55" s="62" t="s">
        <v>891</v>
      </c>
      <c r="O55" s="48" t="s">
        <v>772</v>
      </c>
      <c r="P55" s="48" t="s">
        <v>267</v>
      </c>
      <c r="Q55" s="48" t="s">
        <v>892</v>
      </c>
      <c r="R55" s="122" t="s">
        <v>263</v>
      </c>
      <c r="S55" s="48" t="s">
        <v>269</v>
      </c>
      <c r="T55" s="48" t="s">
        <v>270</v>
      </c>
      <c r="U55" s="48" t="s">
        <v>893</v>
      </c>
      <c r="V55" s="122" t="s">
        <v>263</v>
      </c>
      <c r="W55" s="122" t="s">
        <v>263</v>
      </c>
      <c r="X55" s="122" t="s">
        <v>263</v>
      </c>
      <c r="Y55" s="122" t="s">
        <v>263</v>
      </c>
      <c r="Z55" s="61"/>
      <c r="AA55" s="48" t="s">
        <v>273</v>
      </c>
      <c r="AB55" s="48" t="s">
        <v>273</v>
      </c>
      <c r="AC55" s="48" t="s">
        <v>273</v>
      </c>
      <c r="AD55" s="48" t="s">
        <v>273</v>
      </c>
      <c r="AE55" s="48" t="s">
        <v>273</v>
      </c>
      <c r="AF55" s="48" t="s">
        <v>273</v>
      </c>
      <c r="AG55" s="48" t="s">
        <v>273</v>
      </c>
      <c r="AH55" s="48" t="s">
        <v>273</v>
      </c>
      <c r="AI55" s="48" t="s">
        <v>273</v>
      </c>
      <c r="AJ55" s="48" t="s">
        <v>273</v>
      </c>
      <c r="AK55" s="48" t="s">
        <v>273</v>
      </c>
      <c r="AL55" s="48" t="s">
        <v>273</v>
      </c>
      <c r="AM55" s="48" t="s">
        <v>273</v>
      </c>
      <c r="AN55" s="48" t="s">
        <v>273</v>
      </c>
      <c r="AO55" s="48" t="s">
        <v>273</v>
      </c>
      <c r="AP55" s="48" t="s">
        <v>273</v>
      </c>
      <c r="AQ55" s="48" t="s">
        <v>273</v>
      </c>
      <c r="AR55" s="48" t="s">
        <v>273</v>
      </c>
      <c r="AS55" s="48" t="s">
        <v>273</v>
      </c>
      <c r="AT55" s="48" t="s">
        <v>273</v>
      </c>
      <c r="AU55" s="93">
        <v>40330</v>
      </c>
      <c r="AV55" s="93"/>
      <c r="AW55" s="93"/>
      <c r="AX55" s="93"/>
      <c r="AY55" s="93"/>
    </row>
    <row r="56" spans="1:52" ht="16.5" customHeight="1" x14ac:dyDescent="0.15">
      <c r="A56" s="182" t="s">
        <v>894</v>
      </c>
      <c r="B56" s="183" t="s">
        <v>895</v>
      </c>
      <c r="C56" s="48" t="s">
        <v>896</v>
      </c>
      <c r="D56" s="62" t="s">
        <v>263</v>
      </c>
      <c r="E56" s="48" t="s">
        <v>264</v>
      </c>
      <c r="F56" s="61">
        <v>42390</v>
      </c>
      <c r="G56" s="61">
        <v>42390</v>
      </c>
      <c r="H56" s="125">
        <v>42649</v>
      </c>
      <c r="I56" s="61" t="s">
        <v>279</v>
      </c>
      <c r="J56" s="87"/>
      <c r="K56" s="62" t="s">
        <v>16</v>
      </c>
      <c r="L56" s="62">
        <v>3</v>
      </c>
      <c r="M56" s="62" t="s">
        <v>471</v>
      </c>
      <c r="N56" s="62" t="s">
        <v>897</v>
      </c>
      <c r="O56" s="48" t="s">
        <v>502</v>
      </c>
      <c r="P56" s="48" t="s">
        <v>898</v>
      </c>
      <c r="Q56" s="48" t="s">
        <v>899</v>
      </c>
      <c r="R56" s="48" t="s">
        <v>399</v>
      </c>
      <c r="S56" s="48" t="s">
        <v>400</v>
      </c>
      <c r="T56" s="48" t="s">
        <v>401</v>
      </c>
      <c r="U56" s="48" t="s">
        <v>900</v>
      </c>
      <c r="V56" s="122" t="s">
        <v>263</v>
      </c>
      <c r="W56" s="122" t="s">
        <v>263</v>
      </c>
      <c r="X56" s="48" t="s">
        <v>901</v>
      </c>
      <c r="Y56" s="48" t="s">
        <v>902</v>
      </c>
      <c r="Z56" s="61"/>
      <c r="AA56" s="48" t="s">
        <v>903</v>
      </c>
      <c r="AB56" s="48" t="s">
        <v>904</v>
      </c>
      <c r="AC56" s="48" t="s">
        <v>273</v>
      </c>
      <c r="AD56" s="48" t="s">
        <v>273</v>
      </c>
      <c r="AE56" s="48" t="s">
        <v>273</v>
      </c>
      <c r="AF56" s="48" t="s">
        <v>273</v>
      </c>
      <c r="AG56" s="48" t="s">
        <v>273</v>
      </c>
      <c r="AH56" s="48" t="s">
        <v>273</v>
      </c>
      <c r="AI56" s="48" t="s">
        <v>273</v>
      </c>
      <c r="AJ56" s="48" t="s">
        <v>273</v>
      </c>
      <c r="AK56" s="48" t="s">
        <v>905</v>
      </c>
      <c r="AL56" s="48" t="s">
        <v>906</v>
      </c>
      <c r="AM56" s="48" t="s">
        <v>273</v>
      </c>
      <c r="AN56" s="48" t="s">
        <v>273</v>
      </c>
      <c r="AO56" s="48" t="s">
        <v>273</v>
      </c>
      <c r="AP56" s="48" t="s">
        <v>273</v>
      </c>
      <c r="AQ56" s="48" t="s">
        <v>273</v>
      </c>
      <c r="AR56" s="48" t="s">
        <v>273</v>
      </c>
      <c r="AS56" s="48" t="s">
        <v>273</v>
      </c>
      <c r="AT56" s="48" t="s">
        <v>273</v>
      </c>
      <c r="AU56" s="93">
        <v>41487</v>
      </c>
      <c r="AV56" s="93"/>
      <c r="AW56" s="93"/>
      <c r="AX56" s="93"/>
      <c r="AY56" s="93"/>
    </row>
    <row r="57" spans="1:52" ht="16.5" customHeight="1" x14ac:dyDescent="0.15">
      <c r="A57" s="128" t="s">
        <v>907</v>
      </c>
      <c r="B57" s="133" t="s">
        <v>908</v>
      </c>
      <c r="C57" s="48" t="s">
        <v>298</v>
      </c>
      <c r="D57" s="62" t="s">
        <v>909</v>
      </c>
      <c r="E57" s="48" t="s">
        <v>300</v>
      </c>
      <c r="F57" s="61">
        <v>42390</v>
      </c>
      <c r="G57" s="61">
        <v>42390</v>
      </c>
      <c r="H57" s="125">
        <v>42405</v>
      </c>
      <c r="I57" s="61" t="s">
        <v>279</v>
      </c>
      <c r="J57" s="87"/>
      <c r="K57" s="62" t="s">
        <v>12</v>
      </c>
      <c r="L57" s="62">
        <v>3</v>
      </c>
      <c r="M57" s="62" t="s">
        <v>442</v>
      </c>
      <c r="N57" s="62" t="s">
        <v>910</v>
      </c>
      <c r="O57" s="48" t="s">
        <v>570</v>
      </c>
      <c r="P57" s="48" t="s">
        <v>911</v>
      </c>
      <c r="Q57" s="48" t="s">
        <v>912</v>
      </c>
      <c r="R57" s="48" t="s">
        <v>913</v>
      </c>
      <c r="S57" s="48" t="s">
        <v>914</v>
      </c>
      <c r="T57" s="48" t="s">
        <v>915</v>
      </c>
      <c r="U57" s="48" t="s">
        <v>916</v>
      </c>
      <c r="V57" s="48" t="s">
        <v>917</v>
      </c>
      <c r="W57" s="48" t="s">
        <v>918</v>
      </c>
      <c r="X57" s="48" t="s">
        <v>919</v>
      </c>
      <c r="Y57" s="48" t="s">
        <v>920</v>
      </c>
      <c r="Z57" s="61"/>
      <c r="AA57" s="48" t="s">
        <v>388</v>
      </c>
      <c r="AB57" s="48" t="s">
        <v>453</v>
      </c>
      <c r="AC57" s="48" t="s">
        <v>389</v>
      </c>
      <c r="AD57" s="48" t="s">
        <v>849</v>
      </c>
      <c r="AE57" s="48" t="s">
        <v>782</v>
      </c>
      <c r="AF57" s="48" t="s">
        <v>273</v>
      </c>
      <c r="AG57" s="48" t="s">
        <v>273</v>
      </c>
      <c r="AH57" s="48" t="s">
        <v>273</v>
      </c>
      <c r="AI57" s="48" t="s">
        <v>273</v>
      </c>
      <c r="AJ57" s="48" t="s">
        <v>273</v>
      </c>
      <c r="AK57" s="48" t="s">
        <v>390</v>
      </c>
      <c r="AL57" s="48" t="s">
        <v>454</v>
      </c>
      <c r="AM57" s="48" t="s">
        <v>391</v>
      </c>
      <c r="AN57" s="48" t="s">
        <v>850</v>
      </c>
      <c r="AO57" s="48" t="s">
        <v>786</v>
      </c>
      <c r="AP57" s="48" t="s">
        <v>273</v>
      </c>
      <c r="AQ57" s="48" t="s">
        <v>273</v>
      </c>
      <c r="AR57" s="48" t="s">
        <v>273</v>
      </c>
      <c r="AS57" s="48" t="s">
        <v>273</v>
      </c>
      <c r="AT57" s="48" t="s">
        <v>273</v>
      </c>
      <c r="AU57" s="93">
        <v>40179</v>
      </c>
      <c r="AV57" s="93"/>
      <c r="AW57" s="93"/>
      <c r="AX57" s="93"/>
      <c r="AY57" s="93"/>
      <c r="AZ57" s="49" t="s">
        <v>921</v>
      </c>
    </row>
    <row r="58" spans="1:52" ht="16.5" customHeight="1" x14ac:dyDescent="0.15">
      <c r="A58" s="128" t="s">
        <v>922</v>
      </c>
      <c r="B58" s="133" t="s">
        <v>923</v>
      </c>
      <c r="C58" s="48" t="s">
        <v>298</v>
      </c>
      <c r="D58" s="62" t="s">
        <v>909</v>
      </c>
      <c r="E58" s="48" t="s">
        <v>300</v>
      </c>
      <c r="F58" s="61">
        <v>42390</v>
      </c>
      <c r="G58" s="61">
        <v>42390</v>
      </c>
      <c r="H58" s="125">
        <v>42405</v>
      </c>
      <c r="I58" s="61" t="s">
        <v>279</v>
      </c>
      <c r="J58" s="87"/>
      <c r="K58" s="62" t="s">
        <v>12</v>
      </c>
      <c r="L58" s="62">
        <v>3</v>
      </c>
      <c r="M58" s="62" t="s">
        <v>924</v>
      </c>
      <c r="N58" s="62" t="s">
        <v>925</v>
      </c>
      <c r="O58" s="48" t="s">
        <v>926</v>
      </c>
      <c r="P58" s="48" t="s">
        <v>911</v>
      </c>
      <c r="Q58" s="48" t="s">
        <v>912</v>
      </c>
      <c r="R58" s="48" t="s">
        <v>913</v>
      </c>
      <c r="S58" s="48" t="s">
        <v>914</v>
      </c>
      <c r="T58" s="48" t="s">
        <v>915</v>
      </c>
      <c r="U58" s="48" t="s">
        <v>916</v>
      </c>
      <c r="V58" s="48" t="s">
        <v>917</v>
      </c>
      <c r="W58" s="48" t="s">
        <v>918</v>
      </c>
      <c r="X58" s="48" t="s">
        <v>919</v>
      </c>
      <c r="Y58" s="48" t="s">
        <v>920</v>
      </c>
      <c r="Z58" s="61"/>
      <c r="AA58" s="48" t="s">
        <v>388</v>
      </c>
      <c r="AB58" s="48" t="s">
        <v>453</v>
      </c>
      <c r="AC58" s="48" t="s">
        <v>389</v>
      </c>
      <c r="AD58" s="48" t="s">
        <v>849</v>
      </c>
      <c r="AE58" s="48" t="s">
        <v>782</v>
      </c>
      <c r="AF58" s="48" t="s">
        <v>273</v>
      </c>
      <c r="AG58" s="48" t="s">
        <v>273</v>
      </c>
      <c r="AH58" s="48" t="s">
        <v>273</v>
      </c>
      <c r="AI58" s="48" t="s">
        <v>273</v>
      </c>
      <c r="AJ58" s="48" t="s">
        <v>273</v>
      </c>
      <c r="AK58" s="48" t="s">
        <v>390</v>
      </c>
      <c r="AL58" s="48" t="s">
        <v>454</v>
      </c>
      <c r="AM58" s="48" t="s">
        <v>391</v>
      </c>
      <c r="AN58" s="48" t="s">
        <v>850</v>
      </c>
      <c r="AO58" s="48" t="s">
        <v>786</v>
      </c>
      <c r="AP58" s="48" t="s">
        <v>273</v>
      </c>
      <c r="AQ58" s="48" t="s">
        <v>273</v>
      </c>
      <c r="AR58" s="48" t="s">
        <v>273</v>
      </c>
      <c r="AS58" s="48" t="s">
        <v>273</v>
      </c>
      <c r="AT58" s="48" t="s">
        <v>273</v>
      </c>
      <c r="AU58" s="93">
        <v>37196</v>
      </c>
      <c r="AV58" s="93"/>
      <c r="AW58" s="93"/>
      <c r="AX58" s="93"/>
      <c r="AY58" s="93"/>
      <c r="AZ58" s="49" t="s">
        <v>927</v>
      </c>
    </row>
    <row r="59" spans="1:52" ht="16.5" customHeight="1" x14ac:dyDescent="0.15">
      <c r="A59" s="156" t="s">
        <v>928</v>
      </c>
      <c r="B59" s="157" t="s">
        <v>929</v>
      </c>
      <c r="C59" s="48" t="s">
        <v>298</v>
      </c>
      <c r="D59" s="62" t="s">
        <v>930</v>
      </c>
      <c r="E59" s="48" t="s">
        <v>300</v>
      </c>
      <c r="F59" s="61">
        <v>42390</v>
      </c>
      <c r="G59" s="61">
        <v>42390</v>
      </c>
      <c r="H59" s="125">
        <v>42634</v>
      </c>
      <c r="I59" s="61">
        <v>39630</v>
      </c>
      <c r="J59" s="87"/>
      <c r="K59" s="62" t="s">
        <v>16</v>
      </c>
      <c r="L59" s="124">
        <v>3</v>
      </c>
      <c r="M59" s="62" t="s">
        <v>409</v>
      </c>
      <c r="N59" s="62" t="s">
        <v>931</v>
      </c>
      <c r="O59" s="48" t="s">
        <v>932</v>
      </c>
      <c r="P59" s="48" t="s">
        <v>933</v>
      </c>
      <c r="Q59" s="48" t="s">
        <v>934</v>
      </c>
      <c r="R59" s="48" t="s">
        <v>935</v>
      </c>
      <c r="S59" s="48" t="s">
        <v>936</v>
      </c>
      <c r="T59" s="48" t="s">
        <v>937</v>
      </c>
      <c r="U59" s="48" t="s">
        <v>938</v>
      </c>
      <c r="V59" s="48" t="s">
        <v>939</v>
      </c>
      <c r="W59" s="48" t="s">
        <v>940</v>
      </c>
      <c r="X59" s="48" t="s">
        <v>941</v>
      </c>
      <c r="Y59" s="48" t="s">
        <v>942</v>
      </c>
      <c r="Z59" s="61"/>
      <c r="AA59" s="48" t="s">
        <v>291</v>
      </c>
      <c r="AB59" s="48" t="s">
        <v>357</v>
      </c>
      <c r="AC59" s="48" t="s">
        <v>273</v>
      </c>
      <c r="AD59" s="48" t="s">
        <v>273</v>
      </c>
      <c r="AG59" s="48" t="s">
        <v>273</v>
      </c>
      <c r="AH59" s="48" t="s">
        <v>273</v>
      </c>
      <c r="AI59" s="48" t="s">
        <v>273</v>
      </c>
      <c r="AJ59" s="48" t="s">
        <v>273</v>
      </c>
      <c r="AK59" s="48" t="s">
        <v>293</v>
      </c>
      <c r="AL59" s="48" t="s">
        <v>358</v>
      </c>
      <c r="AM59" s="48" t="s">
        <v>273</v>
      </c>
      <c r="AN59" s="48" t="s">
        <v>273</v>
      </c>
      <c r="AO59" s="48"/>
      <c r="AP59" s="48"/>
      <c r="AQ59" s="48" t="s">
        <v>273</v>
      </c>
      <c r="AR59" s="48" t="s">
        <v>273</v>
      </c>
      <c r="AS59" s="48" t="s">
        <v>273</v>
      </c>
      <c r="AT59" s="48" t="s">
        <v>273</v>
      </c>
      <c r="AU59" s="93">
        <v>39569</v>
      </c>
      <c r="AV59" s="93"/>
      <c r="AW59" s="93"/>
      <c r="AX59" s="93"/>
      <c r="AY59" s="93"/>
      <c r="AZ59" s="49" t="s">
        <v>943</v>
      </c>
    </row>
    <row r="60" spans="1:52" ht="16.5" customHeight="1" x14ac:dyDescent="0.15">
      <c r="A60" s="138" t="s">
        <v>944</v>
      </c>
      <c r="B60" s="140" t="s">
        <v>945</v>
      </c>
      <c r="C60" s="48" t="s">
        <v>298</v>
      </c>
      <c r="D60" s="62" t="s">
        <v>946</v>
      </c>
      <c r="E60" s="48" t="s">
        <v>300</v>
      </c>
      <c r="F60" s="61">
        <v>42390</v>
      </c>
      <c r="G60" s="61">
        <v>42390</v>
      </c>
      <c r="H60" s="125">
        <v>42465</v>
      </c>
      <c r="I60" s="61">
        <v>40540</v>
      </c>
      <c r="J60" s="87"/>
      <c r="K60" s="62" t="s">
        <v>12</v>
      </c>
      <c r="L60" s="62">
        <v>3</v>
      </c>
      <c r="M60" s="62" t="s">
        <v>409</v>
      </c>
      <c r="N60" s="62" t="s">
        <v>947</v>
      </c>
      <c r="O60" s="48" t="s">
        <v>948</v>
      </c>
      <c r="P60" s="48" t="s">
        <v>949</v>
      </c>
      <c r="Q60" s="48" t="s">
        <v>950</v>
      </c>
      <c r="R60" s="48" t="s">
        <v>951</v>
      </c>
      <c r="S60" s="48" t="s">
        <v>952</v>
      </c>
      <c r="T60" s="48" t="s">
        <v>952</v>
      </c>
      <c r="U60" s="48" t="s">
        <v>953</v>
      </c>
      <c r="V60" s="122" t="s">
        <v>263</v>
      </c>
      <c r="W60" s="122" t="s">
        <v>263</v>
      </c>
      <c r="X60" s="48" t="s">
        <v>954</v>
      </c>
      <c r="Y60" s="48" t="s">
        <v>955</v>
      </c>
      <c r="Z60" s="61"/>
      <c r="AA60" s="48" t="s">
        <v>781</v>
      </c>
      <c r="AB60" s="48" t="s">
        <v>782</v>
      </c>
      <c r="AC60" s="48" t="s">
        <v>273</v>
      </c>
      <c r="AD60" s="48" t="s">
        <v>273</v>
      </c>
      <c r="AE60" s="48" t="s">
        <v>273</v>
      </c>
      <c r="AF60" s="48" t="s">
        <v>273</v>
      </c>
      <c r="AG60" s="48" t="s">
        <v>273</v>
      </c>
      <c r="AH60" s="48" t="s">
        <v>273</v>
      </c>
      <c r="AI60" s="48" t="s">
        <v>273</v>
      </c>
      <c r="AJ60" s="48" t="s">
        <v>273</v>
      </c>
      <c r="AK60" s="48" t="s">
        <v>785</v>
      </c>
      <c r="AL60" s="48" t="s">
        <v>786</v>
      </c>
      <c r="AM60" s="48" t="s">
        <v>273</v>
      </c>
      <c r="AN60" s="48" t="s">
        <v>273</v>
      </c>
      <c r="AO60" s="48" t="s">
        <v>273</v>
      </c>
      <c r="AP60" s="48" t="s">
        <v>273</v>
      </c>
      <c r="AQ60" s="48" t="s">
        <v>273</v>
      </c>
      <c r="AR60" s="48" t="s">
        <v>273</v>
      </c>
      <c r="AS60" s="48" t="s">
        <v>273</v>
      </c>
      <c r="AT60" s="48" t="s">
        <v>273</v>
      </c>
      <c r="AU60" s="93">
        <v>40422</v>
      </c>
      <c r="AV60" s="93"/>
      <c r="AW60" s="93"/>
      <c r="AX60" s="93"/>
      <c r="AY60" s="93"/>
    </row>
    <row r="61" spans="1:52" ht="16.5" customHeight="1" x14ac:dyDescent="0.15">
      <c r="A61" s="128" t="s">
        <v>956</v>
      </c>
      <c r="B61" s="133" t="s">
        <v>957</v>
      </c>
      <c r="C61" s="48" t="s">
        <v>958</v>
      </c>
      <c r="D61" s="62" t="s">
        <v>263</v>
      </c>
      <c r="E61" s="48" t="s">
        <v>264</v>
      </c>
      <c r="F61" s="61">
        <v>42390</v>
      </c>
      <c r="G61" s="61">
        <v>42390</v>
      </c>
      <c r="H61" s="125">
        <v>42410</v>
      </c>
      <c r="I61" s="61" t="s">
        <v>263</v>
      </c>
      <c r="J61" s="87"/>
      <c r="K61" s="62" t="s">
        <v>12</v>
      </c>
      <c r="L61" s="62">
        <v>3</v>
      </c>
      <c r="M61" s="62" t="s">
        <v>651</v>
      </c>
      <c r="N61" s="62" t="s">
        <v>959</v>
      </c>
      <c r="O61" s="48" t="s">
        <v>960</v>
      </c>
      <c r="P61" s="48" t="s">
        <v>267</v>
      </c>
      <c r="Q61" s="48" t="s">
        <v>892</v>
      </c>
      <c r="R61" s="122" t="s">
        <v>263</v>
      </c>
      <c r="S61" s="48" t="s">
        <v>269</v>
      </c>
      <c r="T61" s="48" t="s">
        <v>270</v>
      </c>
      <c r="U61" s="48" t="s">
        <v>961</v>
      </c>
      <c r="V61" s="122" t="s">
        <v>263</v>
      </c>
      <c r="W61" s="122" t="s">
        <v>263</v>
      </c>
      <c r="X61" s="122" t="s">
        <v>263</v>
      </c>
      <c r="Y61" s="122" t="s">
        <v>263</v>
      </c>
      <c r="Z61" s="61"/>
      <c r="AA61" s="48" t="s">
        <v>962</v>
      </c>
      <c r="AB61" s="48" t="s">
        <v>273</v>
      </c>
      <c r="AC61" s="48" t="s">
        <v>273</v>
      </c>
      <c r="AD61" s="48" t="s">
        <v>273</v>
      </c>
      <c r="AE61" s="48" t="s">
        <v>273</v>
      </c>
      <c r="AF61" s="48" t="s">
        <v>273</v>
      </c>
      <c r="AG61" s="48" t="s">
        <v>273</v>
      </c>
      <c r="AH61" s="48" t="s">
        <v>273</v>
      </c>
      <c r="AI61" s="48" t="s">
        <v>273</v>
      </c>
      <c r="AJ61" s="48" t="s">
        <v>273</v>
      </c>
      <c r="AK61" s="48" t="s">
        <v>963</v>
      </c>
      <c r="AL61" s="48" t="s">
        <v>273</v>
      </c>
      <c r="AM61" s="48" t="s">
        <v>273</v>
      </c>
      <c r="AN61" s="48" t="s">
        <v>273</v>
      </c>
      <c r="AO61" s="48" t="s">
        <v>273</v>
      </c>
      <c r="AP61" s="48" t="s">
        <v>273</v>
      </c>
      <c r="AQ61" s="48" t="s">
        <v>273</v>
      </c>
      <c r="AR61" s="48" t="s">
        <v>273</v>
      </c>
      <c r="AS61" s="48" t="s">
        <v>273</v>
      </c>
      <c r="AT61" s="48" t="s">
        <v>273</v>
      </c>
      <c r="AU61" s="93">
        <v>41030</v>
      </c>
      <c r="AV61" s="93"/>
      <c r="AW61" s="93"/>
      <c r="AX61" s="93"/>
      <c r="AY61" s="93"/>
    </row>
    <row r="62" spans="1:52" ht="16.5" customHeight="1" x14ac:dyDescent="0.15">
      <c r="A62" s="123" t="s">
        <v>964</v>
      </c>
      <c r="B62" s="127" t="s">
        <v>965</v>
      </c>
      <c r="C62" s="48" t="s">
        <v>966</v>
      </c>
      <c r="D62" s="62" t="s">
        <v>967</v>
      </c>
      <c r="E62" s="48" t="s">
        <v>300</v>
      </c>
      <c r="F62" s="61">
        <v>42387</v>
      </c>
      <c r="G62" s="61">
        <v>42387</v>
      </c>
      <c r="H62" s="125">
        <v>42394</v>
      </c>
      <c r="I62" s="61" t="s">
        <v>279</v>
      </c>
      <c r="J62" s="87"/>
      <c r="K62" s="62" t="s">
        <v>12</v>
      </c>
      <c r="L62" s="62">
        <v>3</v>
      </c>
      <c r="M62" s="62" t="s">
        <v>409</v>
      </c>
      <c r="N62" s="62" t="s">
        <v>968</v>
      </c>
      <c r="O62" s="48" t="s">
        <v>969</v>
      </c>
      <c r="P62" s="48" t="s">
        <v>970</v>
      </c>
      <c r="Q62" s="48" t="s">
        <v>971</v>
      </c>
      <c r="R62" s="48" t="s">
        <v>972</v>
      </c>
      <c r="S62" s="48" t="s">
        <v>973</v>
      </c>
      <c r="T62" s="48" t="s">
        <v>974</v>
      </c>
      <c r="U62" s="48" t="s">
        <v>975</v>
      </c>
      <c r="V62" s="122" t="s">
        <v>263</v>
      </c>
      <c r="W62" s="122" t="s">
        <v>263</v>
      </c>
      <c r="X62" s="48" t="s">
        <v>976</v>
      </c>
      <c r="Y62" s="48" t="s">
        <v>977</v>
      </c>
      <c r="Z62" s="61"/>
      <c r="AA62" s="48" t="s">
        <v>978</v>
      </c>
      <c r="AB62" s="48" t="s">
        <v>291</v>
      </c>
      <c r="AC62" s="48" t="s">
        <v>273</v>
      </c>
      <c r="AD62" s="48" t="s">
        <v>273</v>
      </c>
      <c r="AE62" s="48" t="s">
        <v>273</v>
      </c>
      <c r="AF62" s="48" t="s">
        <v>273</v>
      </c>
      <c r="AG62" s="48" t="s">
        <v>273</v>
      </c>
      <c r="AH62" s="48" t="s">
        <v>273</v>
      </c>
      <c r="AI62" s="48" t="s">
        <v>273</v>
      </c>
      <c r="AJ62" s="48" t="s">
        <v>273</v>
      </c>
      <c r="AK62" s="48" t="s">
        <v>600</v>
      </c>
      <c r="AL62" s="48" t="s">
        <v>293</v>
      </c>
      <c r="AM62" s="48" t="s">
        <v>273</v>
      </c>
      <c r="AN62" s="48" t="s">
        <v>273</v>
      </c>
      <c r="AO62" s="48" t="s">
        <v>273</v>
      </c>
      <c r="AP62" s="48" t="s">
        <v>273</v>
      </c>
      <c r="AQ62" s="48" t="s">
        <v>273</v>
      </c>
      <c r="AR62" s="48" t="s">
        <v>273</v>
      </c>
      <c r="AS62" s="48" t="s">
        <v>273</v>
      </c>
      <c r="AT62" s="48" t="s">
        <v>273</v>
      </c>
      <c r="AU62" s="93">
        <v>39326</v>
      </c>
      <c r="AV62" s="93"/>
      <c r="AW62" s="93"/>
      <c r="AX62" s="93"/>
      <c r="AY62" s="93"/>
    </row>
    <row r="63" spans="1:52" ht="16.5" customHeight="1" x14ac:dyDescent="0.15">
      <c r="A63" s="128" t="s">
        <v>979</v>
      </c>
      <c r="B63" s="133" t="s">
        <v>980</v>
      </c>
      <c r="C63" s="48" t="s">
        <v>298</v>
      </c>
      <c r="D63" s="62" t="s">
        <v>981</v>
      </c>
      <c r="E63" s="48" t="s">
        <v>300</v>
      </c>
      <c r="F63" s="61">
        <v>42391</v>
      </c>
      <c r="G63" s="61">
        <v>42391</v>
      </c>
      <c r="H63" s="125">
        <v>42408</v>
      </c>
      <c r="I63" s="61" t="s">
        <v>279</v>
      </c>
      <c r="J63" s="87"/>
      <c r="K63" s="62" t="s">
        <v>12</v>
      </c>
      <c r="L63" s="62">
        <v>3</v>
      </c>
      <c r="M63" s="62" t="s">
        <v>442</v>
      </c>
      <c r="N63" s="62" t="s">
        <v>982</v>
      </c>
      <c r="O63" s="48" t="s">
        <v>983</v>
      </c>
      <c r="P63" s="48" t="s">
        <v>984</v>
      </c>
      <c r="Q63" s="48" t="s">
        <v>985</v>
      </c>
      <c r="R63" s="48" t="s">
        <v>986</v>
      </c>
      <c r="S63" s="48" t="s">
        <v>987</v>
      </c>
      <c r="T63" s="48" t="s">
        <v>988</v>
      </c>
      <c r="U63" s="48" t="s">
        <v>989</v>
      </c>
      <c r="V63" s="48"/>
      <c r="W63" s="48"/>
      <c r="X63" s="48" t="s">
        <v>990</v>
      </c>
      <c r="Y63" s="48" t="s">
        <v>991</v>
      </c>
      <c r="Z63" s="61"/>
      <c r="AA63" s="48" t="s">
        <v>581</v>
      </c>
      <c r="AB63" s="48" t="s">
        <v>453</v>
      </c>
      <c r="AC63" s="48" t="s">
        <v>273</v>
      </c>
      <c r="AD63" s="48" t="s">
        <v>273</v>
      </c>
      <c r="AE63" s="48" t="s">
        <v>273</v>
      </c>
      <c r="AF63" s="48" t="s">
        <v>273</v>
      </c>
      <c r="AG63" s="48" t="s">
        <v>273</v>
      </c>
      <c r="AH63" s="48" t="s">
        <v>273</v>
      </c>
      <c r="AI63" s="48" t="s">
        <v>273</v>
      </c>
      <c r="AJ63" s="48" t="s">
        <v>273</v>
      </c>
      <c r="AK63" s="48" t="s">
        <v>582</v>
      </c>
      <c r="AL63" s="48" t="s">
        <v>454</v>
      </c>
      <c r="AM63" s="48" t="s">
        <v>273</v>
      </c>
      <c r="AN63" s="48" t="s">
        <v>273</v>
      </c>
      <c r="AO63" s="48" t="s">
        <v>273</v>
      </c>
      <c r="AP63" s="48" t="s">
        <v>273</v>
      </c>
      <c r="AQ63" s="48" t="s">
        <v>273</v>
      </c>
      <c r="AR63" s="48" t="s">
        <v>273</v>
      </c>
      <c r="AS63" s="48" t="s">
        <v>273</v>
      </c>
      <c r="AT63" s="48" t="s">
        <v>273</v>
      </c>
      <c r="AU63" s="93">
        <v>38078</v>
      </c>
      <c r="AV63" s="93"/>
      <c r="AW63" s="93"/>
      <c r="AX63" s="93"/>
      <c r="AY63" s="93"/>
    </row>
    <row r="64" spans="1:52" ht="16.5" customHeight="1" x14ac:dyDescent="0.15">
      <c r="A64" s="121" t="s">
        <v>992</v>
      </c>
      <c r="B64" s="47" t="s">
        <v>993</v>
      </c>
      <c r="C64" s="48" t="e">
        <f ca="1">INDIRECT("'["&amp;$C$1&amp;".xls]"&amp;$B64&amp;"'!$i$7")</f>
        <v>#REF!</v>
      </c>
      <c r="D64" s="62" t="e">
        <f ca="1">INDIRECT("'["&amp;$C$1&amp;".xls]"&amp;$B64&amp;"'!$b$7")</f>
        <v>#REF!</v>
      </c>
      <c r="E64" s="48" t="e">
        <f ca="1">IF(INDIRECT("'["&amp;$C$1&amp;".xls]"&amp;$B64&amp;"'!$i$2")="","",INDIRECT("'["&amp;$C$1&amp;".xls]"&amp;$B64&amp;"'!$i$2"))</f>
        <v>#REF!</v>
      </c>
      <c r="F64" s="61" t="e">
        <f ca="1">INDIRECT("'["&amp;$C$1&amp;".xls]"&amp;$B64&amp;"'!$b$2")</f>
        <v>#REF!</v>
      </c>
      <c r="G64" s="61" t="e">
        <f ca="1">INDIRECT("'["&amp;$C$1&amp;".xls]"&amp;$B64&amp;"'!$a$20")</f>
        <v>#REF!</v>
      </c>
      <c r="H64" s="88" t="e">
        <f ca="1">INDIRECT("'["&amp;$C$1&amp;".xls]"&amp;$B64&amp;"'!$Q$22")</f>
        <v>#REF!</v>
      </c>
      <c r="I64" s="61" t="e">
        <f ca="1">INDIRECT("'["&amp;$C$1&amp;".xls]"&amp;$B64&amp;"'!$f$6")</f>
        <v>#REF!</v>
      </c>
      <c r="J64" s="87"/>
      <c r="K64" s="62" t="e">
        <f ca="1">INDIRECT("'["&amp;$C$1&amp;".xls]"&amp;$B64&amp;"'!$f$25")</f>
        <v>#REF!</v>
      </c>
      <c r="L64" s="62"/>
      <c r="M64" s="62" t="e">
        <f ca="1">INDIRECT("'["&amp;$C$1&amp;".xls]"&amp;$B64&amp;"'!$f$4")</f>
        <v>#REF!</v>
      </c>
      <c r="N64" s="62" t="e">
        <f ca="1">INDIRECT("'["&amp;$C$1&amp;".xls]"&amp;$B64&amp;"'!$i$4")</f>
        <v>#REF!</v>
      </c>
      <c r="O64" s="48" t="e">
        <f ca="1">INDIRECT("'["&amp;$C$1&amp;".xls]"&amp;$B64&amp;"'!$l$4")</f>
        <v>#REF!</v>
      </c>
      <c r="P64" s="48" t="e">
        <f ca="1">INDIRECT("'["&amp;$C$1&amp;".xls]"&amp;$B64&amp;"'!$b$5")</f>
        <v>#REF!</v>
      </c>
      <c r="Q64" s="48" t="e">
        <f ca="1">INDIRECT("'["&amp;$C$1&amp;".xls]"&amp;$B64&amp;"'!$f$5")</f>
        <v>#REF!</v>
      </c>
      <c r="R64" s="48" t="s">
        <v>994</v>
      </c>
      <c r="S64" s="48" t="e">
        <f ca="1">INDIRECT("'["&amp;$C$1&amp;".xls]"&amp;$B64&amp;"'!$i$5")</f>
        <v>#REF!</v>
      </c>
      <c r="T64" s="48" t="e">
        <f ca="1">INDIRECT("'["&amp;$C$1&amp;".xls]"&amp;$B64&amp;"'!$l$5")</f>
        <v>#REF!</v>
      </c>
      <c r="U64" s="48" t="e">
        <f ca="1">INDIRECT("'["&amp;$C$1&amp;".xls]"&amp;$B64&amp;"'!$b$4")</f>
        <v>#REF!</v>
      </c>
      <c r="V64" s="48"/>
      <c r="W64" s="48"/>
      <c r="X64" s="48" t="s">
        <v>995</v>
      </c>
      <c r="Y64" s="48" t="s">
        <v>996</v>
      </c>
      <c r="Z64" s="61"/>
      <c r="AA64" s="48" t="e">
        <f ca="1">IF(INDIRECT("'["&amp;$C$1&amp;".xls]"&amp;$B64&amp;"'!$P$25")="","",IF(INDIRECT("'["&amp;$C$1&amp;".xls]"&amp;$B64&amp;"'!$O$25")="済み",INDIRECT("'["&amp;$C$1&amp;".xls]"&amp;$B64&amp;"'!$P$25"),""))</f>
        <v>#REF!</v>
      </c>
      <c r="AB64" s="48" t="e">
        <f ca="1">IF(INDIRECT("'["&amp;$C$1&amp;".xls]"&amp;$B64&amp;"'!$P$26")="","",IF(INDIRECT("'["&amp;$C$1&amp;".xls]"&amp;$B64&amp;"'!$O$26")="済み",INDIRECT("'["&amp;$C$1&amp;".xls]"&amp;$B64&amp;"'!$P$26"),""))</f>
        <v>#REF!</v>
      </c>
      <c r="AC64" s="48" t="e">
        <f ca="1">IF(INDIRECT("'["&amp;$C$1&amp;".xls]"&amp;$B64&amp;"'!$P$27")="","",IF(INDIRECT("'["&amp;$C$1&amp;".xls]"&amp;$B64&amp;"'!$O$27")="済み",INDIRECT("'["&amp;$C$1&amp;".xls]"&amp;$B64&amp;"'!$P$27"),""))</f>
        <v>#REF!</v>
      </c>
      <c r="AD64" s="48" t="e">
        <f ca="1">IF(INDIRECT("'["&amp;$C$1&amp;".xls]"&amp;$B64&amp;"'!$P$28")="","",IF(INDIRECT("'["&amp;$C$1&amp;".xls]"&amp;$B64&amp;"'!$O$28")="済み",INDIRECT("'["&amp;$C$1&amp;".xls]"&amp;$B64&amp;"'!$P$28"),""))</f>
        <v>#REF!</v>
      </c>
      <c r="AE64" s="48" t="e">
        <f ca="1">IF(INDIRECT("'["&amp;$C$1&amp;".xls]"&amp;$B64&amp;"'!$P$29")="","",IF(INDIRECT("'["&amp;$C$1&amp;".xls]"&amp;$B64&amp;"'!$O$29")="済み",INDIRECT("'["&amp;$C$1&amp;".xls]"&amp;$B64&amp;"'!$P$29"),""))</f>
        <v>#REF!</v>
      </c>
      <c r="AF64" s="48" t="e">
        <f ca="1">IF(INDIRECT("'["&amp;$C$1&amp;".xls]"&amp;$B64&amp;"'!$P$30")="","",IF(INDIRECT("'["&amp;$C$1&amp;".xls]"&amp;$B64&amp;"'!$O$30")="済み",INDIRECT("'["&amp;$C$1&amp;".xls]"&amp;$B64&amp;"'!$P$30"),""))</f>
        <v>#REF!</v>
      </c>
      <c r="AG64" s="48" t="e">
        <f ca="1">IF(INDIRECT("'["&amp;$C$1&amp;".xls]"&amp;$B64&amp;"'!$P$31")="","",IF(INDIRECT("'["&amp;$C$1&amp;".xls]"&amp;$B64&amp;"'!$O$31")="済み",INDIRECT("'["&amp;$C$1&amp;".xls]"&amp;$B64&amp;"'!$P$31"),""))</f>
        <v>#REF!</v>
      </c>
      <c r="AH64" s="48" t="e">
        <f ca="1">IF(INDIRECT("'["&amp;$C$1&amp;".xls]"&amp;$B64&amp;"'!$P$32")="","",IF(INDIRECT("'["&amp;$C$1&amp;".xls]"&amp;$B64&amp;"'!$O$32")="済み",INDIRECT("'["&amp;$C$1&amp;".xls]"&amp;$B64&amp;"'!$P$32"),""))</f>
        <v>#REF!</v>
      </c>
      <c r="AI64" s="48" t="e">
        <f ca="1">IF(INDIRECT("'["&amp;$C$1&amp;".xls]"&amp;$B64&amp;"'!$P$33")="","",IF(INDIRECT("'["&amp;$C$1&amp;".xls]"&amp;$B64&amp;"'!$O$33")="済み",INDIRECT("'["&amp;$C$1&amp;".xls]"&amp;$B64&amp;"'!$P$33"),""))</f>
        <v>#REF!</v>
      </c>
      <c r="AJ64" s="48" t="e">
        <f ca="1">IF(INDIRECT("'["&amp;$C$1&amp;".xls]"&amp;$B64&amp;"'!$P$34")="","",IF(INDIRECT("'["&amp;$C$1&amp;".xls]"&amp;$B64&amp;"'!$O$34")="済み",INDIRECT("'["&amp;$C$1&amp;".xls]"&amp;$B64&amp;"'!$P$34"),""))</f>
        <v>#REF!</v>
      </c>
      <c r="AK64" s="48" t="e">
        <f ca="1">IF(INDIRECT("'["&amp;$C$1&amp;".xls]"&amp;$B64&amp;"'!$T25")="","",IF(INDIRECT("'["&amp;$C$1&amp;".xls]"&amp;$B64&amp;"'!$O$25")="済み",INDIRECT("'["&amp;$C$1&amp;".xls]"&amp;$B64&amp;"'!$T$25"),""))</f>
        <v>#REF!</v>
      </c>
      <c r="AL64" s="48" t="e">
        <f ca="1">IF(INDIRECT("'["&amp;$C$1&amp;".xls]"&amp;$B64&amp;"'!$T26")="","",IF(INDIRECT("'["&amp;$C$1&amp;".xls]"&amp;$B64&amp;"'!$O$26")="済み",INDIRECT("'["&amp;$C$1&amp;".xls]"&amp;$B64&amp;"'!$T$26"),""))</f>
        <v>#REF!</v>
      </c>
      <c r="AM64" s="48" t="e">
        <f ca="1">IF(INDIRECT("'["&amp;$C$1&amp;".xls]"&amp;$B64&amp;"'!$T27")="","",IF(INDIRECT("'["&amp;$C$1&amp;".xls]"&amp;$B64&amp;"'!$O$27")="済み",INDIRECT("'["&amp;$C$1&amp;".xls]"&amp;$B64&amp;"'!$T$27"),""))</f>
        <v>#REF!</v>
      </c>
      <c r="AN64" s="48" t="e">
        <f ca="1">IF(INDIRECT("'["&amp;$C$1&amp;".xls]"&amp;$B64&amp;"'!$T28")="","",IF(INDIRECT("'["&amp;$C$1&amp;".xls]"&amp;$B64&amp;"'!$O$28")="済み",INDIRECT("'["&amp;$C$1&amp;".xls]"&amp;$B64&amp;"'!$T$28"),""))</f>
        <v>#REF!</v>
      </c>
      <c r="AO64" s="48" t="e">
        <f ca="1">IF(INDIRECT("'["&amp;$C$1&amp;".xls]"&amp;$B64&amp;"'!$T29")="","",IF(INDIRECT("'["&amp;$C$1&amp;".xls]"&amp;$B64&amp;"'!$O$29")="済み",INDIRECT("'["&amp;$C$1&amp;".xls]"&amp;$B64&amp;"'!$T$29"),""))</f>
        <v>#REF!</v>
      </c>
      <c r="AP64" s="48" t="e">
        <f ca="1">IF(INDIRECT("'["&amp;$C$1&amp;".xls]"&amp;$B64&amp;"'!$T30")="","",IF(INDIRECT("'["&amp;$C$1&amp;".xls]"&amp;$B64&amp;"'!$O$30")="済み",INDIRECT("'["&amp;$C$1&amp;".xls]"&amp;$B64&amp;"'!$T$30"),""))</f>
        <v>#REF!</v>
      </c>
      <c r="AQ64" s="48" t="e">
        <f ca="1">IF(INDIRECT("'["&amp;$C$1&amp;".xls]"&amp;$B64&amp;"'!$T31")="","",IF(INDIRECT("'["&amp;$C$1&amp;".xls]"&amp;$B64&amp;"'!$O$31")="済み",INDIRECT("'["&amp;$C$1&amp;".xls]"&amp;$B64&amp;"'!$T$31"),""))</f>
        <v>#REF!</v>
      </c>
      <c r="AR64" s="48" t="e">
        <f ca="1">IF(INDIRECT("'["&amp;$C$1&amp;".xls]"&amp;$B64&amp;"'!$T32")="","",IF(INDIRECT("'["&amp;$C$1&amp;".xls]"&amp;$B64&amp;"'!$O$32")="済み",INDIRECT("'["&amp;$C$1&amp;".xls]"&amp;$B64&amp;"'!$T$32"),""))</f>
        <v>#REF!</v>
      </c>
      <c r="AS64" s="48" t="e">
        <f ca="1">IF(INDIRECT("'["&amp;$C$1&amp;".xls]"&amp;$B64&amp;"'!$T33")="","",IF(INDIRECT("'["&amp;$C$1&amp;".xls]"&amp;$B64&amp;"'!$O$33")="済み",INDIRECT("'["&amp;$C$1&amp;".xls]"&amp;$B64&amp;"'!$T$33"),""))</f>
        <v>#REF!</v>
      </c>
      <c r="AT64" s="48" t="e">
        <f ca="1">IF(INDIRECT("'["&amp;$C$1&amp;".xls]"&amp;$B64&amp;"'!$T34")="","",IF(INDIRECT("'["&amp;$C$1&amp;".xls]"&amp;$B64&amp;"'!$O$34")="済み",INDIRECT("'["&amp;$C$1&amp;".xls]"&amp;$B64&amp;"'!$T$34"),""))</f>
        <v>#REF!</v>
      </c>
      <c r="AU64" s="93" t="e">
        <f ca="1">INDIRECT("'["&amp;$C$1&amp;".xls]"&amp;$B64&amp;"'!$B$6")</f>
        <v>#REF!</v>
      </c>
      <c r="AV64" s="93"/>
      <c r="AW64" s="93"/>
      <c r="AX64" s="93"/>
      <c r="AY64" s="93"/>
    </row>
    <row r="65" spans="1:52" ht="16.5" customHeight="1" x14ac:dyDescent="0.15">
      <c r="A65" s="199" t="s">
        <v>997</v>
      </c>
      <c r="B65" s="209" t="s">
        <v>998</v>
      </c>
      <c r="C65" s="48" t="s">
        <v>330</v>
      </c>
      <c r="D65" s="62" t="s">
        <v>999</v>
      </c>
      <c r="E65" s="48" t="s">
        <v>300</v>
      </c>
      <c r="F65" s="61">
        <v>42391</v>
      </c>
      <c r="G65" s="61">
        <v>42391</v>
      </c>
      <c r="H65" s="125">
        <v>42695</v>
      </c>
      <c r="I65" s="61" t="s">
        <v>279</v>
      </c>
      <c r="J65" s="87"/>
      <c r="K65" s="62">
        <v>0</v>
      </c>
      <c r="L65" s="62"/>
      <c r="M65" s="62" t="s">
        <v>209</v>
      </c>
      <c r="N65" s="62" t="s">
        <v>1000</v>
      </c>
      <c r="O65" s="48" t="s">
        <v>1001</v>
      </c>
      <c r="P65" s="48" t="s">
        <v>1002</v>
      </c>
      <c r="Q65" s="48" t="s">
        <v>1003</v>
      </c>
      <c r="R65" s="48" t="s">
        <v>1004</v>
      </c>
      <c r="S65" s="48" t="s">
        <v>1005</v>
      </c>
      <c r="T65" s="48" t="s">
        <v>1006</v>
      </c>
      <c r="U65" s="48" t="s">
        <v>1007</v>
      </c>
      <c r="V65" s="48"/>
      <c r="W65" s="48"/>
      <c r="X65" s="48" t="s">
        <v>1008</v>
      </c>
      <c r="Y65" s="48" t="s">
        <v>1009</v>
      </c>
      <c r="Z65" s="61"/>
      <c r="AA65" s="48" t="s">
        <v>273</v>
      </c>
      <c r="AB65" s="48" t="s">
        <v>273</v>
      </c>
      <c r="AC65" s="48" t="s">
        <v>273</v>
      </c>
      <c r="AD65" s="48" t="s">
        <v>273</v>
      </c>
      <c r="AE65" s="48" t="s">
        <v>273</v>
      </c>
      <c r="AF65" s="48" t="s">
        <v>273</v>
      </c>
      <c r="AG65" s="48" t="s">
        <v>273</v>
      </c>
      <c r="AH65" s="48" t="s">
        <v>273</v>
      </c>
      <c r="AI65" s="48" t="s">
        <v>273</v>
      </c>
      <c r="AJ65" s="48" t="s">
        <v>273</v>
      </c>
      <c r="AK65" s="48" t="s">
        <v>273</v>
      </c>
      <c r="AL65" s="48" t="s">
        <v>273</v>
      </c>
      <c r="AM65" s="48" t="s">
        <v>273</v>
      </c>
      <c r="AN65" s="48" t="s">
        <v>273</v>
      </c>
      <c r="AO65" s="48" t="s">
        <v>273</v>
      </c>
      <c r="AP65" s="48" t="s">
        <v>273</v>
      </c>
      <c r="AQ65" s="48" t="s">
        <v>273</v>
      </c>
      <c r="AR65" s="48" t="s">
        <v>273</v>
      </c>
      <c r="AS65" s="48" t="s">
        <v>273</v>
      </c>
      <c r="AT65" s="48" t="s">
        <v>273</v>
      </c>
      <c r="AU65" s="93">
        <v>39783</v>
      </c>
      <c r="AV65" s="93"/>
      <c r="AW65" s="93"/>
      <c r="AX65" s="93"/>
      <c r="AY65" s="93"/>
    </row>
    <row r="66" spans="1:52" ht="16.5" customHeight="1" x14ac:dyDescent="0.15">
      <c r="A66" s="146" t="s">
        <v>1010</v>
      </c>
      <c r="B66" s="147" t="s">
        <v>1011</v>
      </c>
      <c r="C66" s="48" t="s">
        <v>298</v>
      </c>
      <c r="D66" s="62" t="s">
        <v>1012</v>
      </c>
      <c r="E66" s="48" t="s">
        <v>264</v>
      </c>
      <c r="F66" s="61">
        <v>42391</v>
      </c>
      <c r="G66" s="61">
        <v>42391</v>
      </c>
      <c r="H66" s="125">
        <v>42541</v>
      </c>
      <c r="I66" s="61" t="s">
        <v>279</v>
      </c>
      <c r="J66" s="87"/>
      <c r="K66" s="62" t="s">
        <v>14</v>
      </c>
      <c r="L66" s="124" t="s">
        <v>263</v>
      </c>
      <c r="M66" s="62" t="s">
        <v>1013</v>
      </c>
      <c r="N66" s="62" t="s">
        <v>1014</v>
      </c>
      <c r="O66" s="48" t="s">
        <v>1015</v>
      </c>
      <c r="P66" s="48" t="s">
        <v>1016</v>
      </c>
      <c r="Q66" s="48" t="s">
        <v>1017</v>
      </c>
      <c r="R66" s="48" t="s">
        <v>1018</v>
      </c>
      <c r="S66" s="48" t="s">
        <v>1019</v>
      </c>
      <c r="T66" s="48" t="s">
        <v>1020</v>
      </c>
      <c r="U66" s="48" t="s">
        <v>1021</v>
      </c>
      <c r="V66" s="122" t="s">
        <v>263</v>
      </c>
      <c r="W66" s="122" t="s">
        <v>263</v>
      </c>
      <c r="X66" s="48" t="s">
        <v>1022</v>
      </c>
      <c r="Y66" s="48" t="s">
        <v>1023</v>
      </c>
      <c r="Z66" s="61"/>
      <c r="AA66" s="48" t="s">
        <v>273</v>
      </c>
      <c r="AB66" s="48" t="s">
        <v>273</v>
      </c>
      <c r="AC66" s="48" t="s">
        <v>273</v>
      </c>
      <c r="AD66" s="48" t="s">
        <v>273</v>
      </c>
      <c r="AE66" s="48" t="s">
        <v>273</v>
      </c>
      <c r="AF66" s="48" t="s">
        <v>273</v>
      </c>
      <c r="AG66" s="48" t="s">
        <v>273</v>
      </c>
      <c r="AH66" s="48" t="s">
        <v>273</v>
      </c>
      <c r="AI66" s="48" t="s">
        <v>273</v>
      </c>
      <c r="AJ66" s="48" t="s">
        <v>273</v>
      </c>
      <c r="AK66" s="48" t="s">
        <v>273</v>
      </c>
      <c r="AL66" s="48" t="s">
        <v>273</v>
      </c>
      <c r="AM66" s="48" t="s">
        <v>273</v>
      </c>
      <c r="AN66" s="48" t="s">
        <v>273</v>
      </c>
      <c r="AO66" s="48" t="s">
        <v>273</v>
      </c>
      <c r="AP66" s="48" t="s">
        <v>273</v>
      </c>
      <c r="AQ66" s="48" t="s">
        <v>273</v>
      </c>
      <c r="AR66" s="48" t="s">
        <v>273</v>
      </c>
      <c r="AS66" s="48" t="s">
        <v>273</v>
      </c>
      <c r="AT66" s="48" t="s">
        <v>273</v>
      </c>
      <c r="AU66" s="93">
        <v>42036</v>
      </c>
      <c r="AV66" s="93"/>
      <c r="AW66" s="93"/>
      <c r="AX66" s="93"/>
      <c r="AY66" s="93"/>
      <c r="AZ66" s="49" t="s">
        <v>1024</v>
      </c>
    </row>
    <row r="67" spans="1:52" ht="16.5" customHeight="1" x14ac:dyDescent="0.15">
      <c r="A67" s="128" t="s">
        <v>1025</v>
      </c>
      <c r="B67" s="133" t="s">
        <v>1026</v>
      </c>
      <c r="C67" s="48" t="s">
        <v>330</v>
      </c>
      <c r="D67" s="62" t="s">
        <v>1027</v>
      </c>
      <c r="E67" s="48" t="s">
        <v>300</v>
      </c>
      <c r="F67" s="61">
        <v>42391</v>
      </c>
      <c r="G67" s="61">
        <v>42391</v>
      </c>
      <c r="H67" s="125">
        <v>42404</v>
      </c>
      <c r="I67" s="61" t="s">
        <v>279</v>
      </c>
      <c r="J67" s="87"/>
      <c r="K67" s="62" t="s">
        <v>12</v>
      </c>
      <c r="L67" s="62">
        <v>3</v>
      </c>
      <c r="M67" s="62" t="s">
        <v>362</v>
      </c>
      <c r="N67" s="62" t="s">
        <v>1028</v>
      </c>
      <c r="O67" s="48" t="s">
        <v>263</v>
      </c>
      <c r="P67" s="48" t="s">
        <v>1029</v>
      </c>
      <c r="Q67" s="48" t="s">
        <v>1030</v>
      </c>
      <c r="R67" s="48" t="s">
        <v>1031</v>
      </c>
      <c r="S67" s="48" t="s">
        <v>1032</v>
      </c>
      <c r="T67" s="48" t="s">
        <v>1033</v>
      </c>
      <c r="U67" s="48" t="s">
        <v>1034</v>
      </c>
      <c r="V67" s="122" t="s">
        <v>263</v>
      </c>
      <c r="W67" s="122" t="s">
        <v>263</v>
      </c>
      <c r="X67" s="48" t="s">
        <v>1035</v>
      </c>
      <c r="Y67" s="48" t="s">
        <v>1036</v>
      </c>
      <c r="Z67" s="61"/>
      <c r="AA67" s="48" t="s">
        <v>1037</v>
      </c>
      <c r="AB67" s="48" t="s">
        <v>273</v>
      </c>
      <c r="AC67" s="48" t="s">
        <v>273</v>
      </c>
      <c r="AD67" s="48" t="s">
        <v>273</v>
      </c>
      <c r="AE67" s="48" t="s">
        <v>273</v>
      </c>
      <c r="AF67" s="48" t="s">
        <v>273</v>
      </c>
      <c r="AG67" s="48" t="s">
        <v>273</v>
      </c>
      <c r="AH67" s="48" t="s">
        <v>273</v>
      </c>
      <c r="AI67" s="48" t="s">
        <v>273</v>
      </c>
      <c r="AJ67" s="48" t="s">
        <v>273</v>
      </c>
      <c r="AK67" s="48" t="s">
        <v>1038</v>
      </c>
      <c r="AL67" s="48" t="s">
        <v>273</v>
      </c>
      <c r="AM67" s="48" t="s">
        <v>273</v>
      </c>
      <c r="AN67" s="48" t="s">
        <v>273</v>
      </c>
      <c r="AO67" s="48" t="s">
        <v>273</v>
      </c>
      <c r="AP67" s="48" t="s">
        <v>273</v>
      </c>
      <c r="AQ67" s="48" t="s">
        <v>273</v>
      </c>
      <c r="AR67" s="48" t="s">
        <v>273</v>
      </c>
      <c r="AS67" s="48" t="s">
        <v>273</v>
      </c>
      <c r="AT67" s="48" t="s">
        <v>273</v>
      </c>
      <c r="AU67" s="93" t="s">
        <v>263</v>
      </c>
      <c r="AV67" s="93"/>
      <c r="AW67" s="93"/>
      <c r="AX67" s="93"/>
      <c r="AY67" s="93"/>
      <c r="AZ67" s="49" t="s">
        <v>1039</v>
      </c>
    </row>
    <row r="68" spans="1:52" ht="16.5" customHeight="1" x14ac:dyDescent="0.15">
      <c r="A68" s="156" t="s">
        <v>1040</v>
      </c>
      <c r="B68" s="157" t="s">
        <v>1041</v>
      </c>
      <c r="C68" s="48" t="s">
        <v>298</v>
      </c>
      <c r="D68" s="62" t="s">
        <v>1042</v>
      </c>
      <c r="E68" s="48" t="s">
        <v>300</v>
      </c>
      <c r="F68" s="61">
        <v>42391</v>
      </c>
      <c r="G68" s="61">
        <v>42391</v>
      </c>
      <c r="H68" s="125">
        <v>42628</v>
      </c>
      <c r="I68" s="61" t="s">
        <v>279</v>
      </c>
      <c r="J68" s="87"/>
      <c r="K68" s="62" t="s">
        <v>16</v>
      </c>
      <c r="L68" s="62">
        <v>3</v>
      </c>
      <c r="M68" s="62" t="s">
        <v>755</v>
      </c>
      <c r="N68" s="62" t="s">
        <v>1043</v>
      </c>
      <c r="O68" s="48" t="s">
        <v>1044</v>
      </c>
      <c r="P68" s="48" t="s">
        <v>1045</v>
      </c>
      <c r="Q68" s="48" t="s">
        <v>1046</v>
      </c>
      <c r="R68" s="48" t="s">
        <v>1047</v>
      </c>
      <c r="S68" s="48" t="s">
        <v>1048</v>
      </c>
      <c r="T68" s="48" t="s">
        <v>1049</v>
      </c>
      <c r="U68" s="48" t="s">
        <v>1050</v>
      </c>
      <c r="V68" s="48" t="s">
        <v>1051</v>
      </c>
      <c r="W68" s="122" t="s">
        <v>263</v>
      </c>
      <c r="X68" s="48" t="s">
        <v>1052</v>
      </c>
      <c r="Y68" s="48" t="s">
        <v>1053</v>
      </c>
      <c r="Z68" s="61"/>
      <c r="AA68" s="48" t="s">
        <v>1054</v>
      </c>
      <c r="AB68" s="48" t="s">
        <v>1055</v>
      </c>
      <c r="AC68" s="48" t="s">
        <v>1056</v>
      </c>
      <c r="AD68" s="48" t="s">
        <v>273</v>
      </c>
      <c r="AE68" s="48" t="s">
        <v>273</v>
      </c>
      <c r="AF68" s="48" t="s">
        <v>273</v>
      </c>
      <c r="AG68" s="48" t="s">
        <v>273</v>
      </c>
      <c r="AH68" s="48" t="s">
        <v>273</v>
      </c>
      <c r="AI68" s="48" t="s">
        <v>273</v>
      </c>
      <c r="AJ68" s="48" t="s">
        <v>273</v>
      </c>
      <c r="AK68" s="48" t="s">
        <v>1057</v>
      </c>
      <c r="AL68" s="48" t="s">
        <v>1058</v>
      </c>
      <c r="AM68" s="48" t="s">
        <v>1059</v>
      </c>
      <c r="AN68" s="48" t="s">
        <v>273</v>
      </c>
      <c r="AO68" s="48" t="s">
        <v>273</v>
      </c>
      <c r="AP68" s="48" t="s">
        <v>273</v>
      </c>
      <c r="AQ68" s="48" t="s">
        <v>273</v>
      </c>
      <c r="AR68" s="48" t="s">
        <v>273</v>
      </c>
      <c r="AS68" s="48" t="s">
        <v>273</v>
      </c>
      <c r="AT68" s="48" t="s">
        <v>273</v>
      </c>
      <c r="AU68" s="93">
        <v>38231</v>
      </c>
      <c r="AV68" s="93"/>
      <c r="AW68" s="93"/>
      <c r="AX68" s="93"/>
      <c r="AY68" s="93"/>
    </row>
    <row r="69" spans="1:52" ht="16.5" customHeight="1" x14ac:dyDescent="0.15">
      <c r="A69" s="128" t="s">
        <v>1060</v>
      </c>
      <c r="B69" s="133" t="s">
        <v>1061</v>
      </c>
      <c r="C69" s="48" t="s">
        <v>1062</v>
      </c>
      <c r="D69" s="62" t="s">
        <v>1063</v>
      </c>
      <c r="E69" s="48" t="s">
        <v>264</v>
      </c>
      <c r="F69" s="61">
        <v>42394</v>
      </c>
      <c r="G69" s="61">
        <v>42394</v>
      </c>
      <c r="H69" s="125">
        <v>42410</v>
      </c>
      <c r="I69" s="61" t="s">
        <v>279</v>
      </c>
      <c r="J69" s="87"/>
      <c r="K69" s="62" t="s">
        <v>12</v>
      </c>
      <c r="L69" s="62">
        <v>3</v>
      </c>
      <c r="M69" s="62" t="s">
        <v>651</v>
      </c>
      <c r="N69" s="62" t="s">
        <v>1064</v>
      </c>
      <c r="O69" s="48" t="s">
        <v>1065</v>
      </c>
      <c r="P69" s="48" t="s">
        <v>1066</v>
      </c>
      <c r="Q69" s="48" t="s">
        <v>1067</v>
      </c>
      <c r="R69" s="48" t="s">
        <v>1068</v>
      </c>
      <c r="S69" s="48" t="s">
        <v>1069</v>
      </c>
      <c r="T69" s="48" t="s">
        <v>1070</v>
      </c>
      <c r="U69" s="48" t="s">
        <v>1071</v>
      </c>
      <c r="V69" s="122" t="s">
        <v>263</v>
      </c>
      <c r="W69" s="122" t="s">
        <v>263</v>
      </c>
      <c r="X69" s="48" t="s">
        <v>1072</v>
      </c>
      <c r="Y69" s="48" t="s">
        <v>1073</v>
      </c>
      <c r="Z69" s="61"/>
      <c r="AA69" s="48" t="s">
        <v>1074</v>
      </c>
      <c r="AB69" s="48" t="s">
        <v>273</v>
      </c>
      <c r="AC69" s="48" t="s">
        <v>273</v>
      </c>
      <c r="AD69" s="48" t="s">
        <v>273</v>
      </c>
      <c r="AE69" s="48" t="s">
        <v>273</v>
      </c>
      <c r="AF69" s="48" t="s">
        <v>273</v>
      </c>
      <c r="AG69" s="48" t="s">
        <v>273</v>
      </c>
      <c r="AH69" s="48" t="s">
        <v>273</v>
      </c>
      <c r="AI69" s="48" t="s">
        <v>273</v>
      </c>
      <c r="AJ69" s="48" t="s">
        <v>273</v>
      </c>
      <c r="AK69" s="48" t="s">
        <v>1075</v>
      </c>
      <c r="AL69" s="48" t="s">
        <v>273</v>
      </c>
      <c r="AM69" s="48" t="s">
        <v>273</v>
      </c>
      <c r="AN69" s="48" t="s">
        <v>273</v>
      </c>
      <c r="AO69" s="48" t="s">
        <v>273</v>
      </c>
      <c r="AP69" s="48" t="s">
        <v>273</v>
      </c>
      <c r="AQ69" s="48" t="s">
        <v>273</v>
      </c>
      <c r="AR69" s="48" t="s">
        <v>273</v>
      </c>
      <c r="AS69" s="48" t="s">
        <v>273</v>
      </c>
      <c r="AT69" s="48" t="s">
        <v>273</v>
      </c>
      <c r="AU69" s="93">
        <v>41426</v>
      </c>
      <c r="AV69" s="93"/>
      <c r="AW69" s="93"/>
      <c r="AX69" s="93"/>
      <c r="AY69" s="93"/>
    </row>
    <row r="70" spans="1:52" ht="16.5" customHeight="1" x14ac:dyDescent="0.15">
      <c r="A70" s="134" t="s">
        <v>1076</v>
      </c>
      <c r="B70" s="136" t="s">
        <v>1077</v>
      </c>
      <c r="C70" s="48" t="s">
        <v>298</v>
      </c>
      <c r="D70" s="62" t="s">
        <v>1063</v>
      </c>
      <c r="E70" s="48" t="s">
        <v>300</v>
      </c>
      <c r="F70" s="61">
        <v>42394</v>
      </c>
      <c r="G70" s="61">
        <v>42394</v>
      </c>
      <c r="H70" s="125">
        <v>42433</v>
      </c>
      <c r="I70" s="61" t="s">
        <v>279</v>
      </c>
      <c r="J70" s="87"/>
      <c r="K70" s="62" t="s">
        <v>12</v>
      </c>
      <c r="L70" s="124" t="s">
        <v>263</v>
      </c>
      <c r="M70" s="62" t="s">
        <v>235</v>
      </c>
      <c r="N70" s="62" t="s">
        <v>1078</v>
      </c>
      <c r="O70" s="48" t="s">
        <v>1079</v>
      </c>
      <c r="P70" s="48" t="s">
        <v>1080</v>
      </c>
      <c r="Q70" s="48" t="s">
        <v>1081</v>
      </c>
      <c r="R70" s="48" t="s">
        <v>1082</v>
      </c>
      <c r="S70" s="48" t="s">
        <v>1083</v>
      </c>
      <c r="T70" s="48" t="s">
        <v>1084</v>
      </c>
      <c r="U70" s="48" t="s">
        <v>1085</v>
      </c>
      <c r="V70" s="48" t="s">
        <v>1086</v>
      </c>
      <c r="W70" s="48" t="s">
        <v>1087</v>
      </c>
      <c r="X70" s="48" t="s">
        <v>1088</v>
      </c>
      <c r="Y70" s="48" t="s">
        <v>1089</v>
      </c>
      <c r="Z70" s="61"/>
      <c r="AA70" s="48" t="s">
        <v>1090</v>
      </c>
      <c r="AB70" s="48" t="s">
        <v>273</v>
      </c>
      <c r="AC70" s="48" t="s">
        <v>273</v>
      </c>
      <c r="AD70" s="48" t="s">
        <v>273</v>
      </c>
      <c r="AE70" s="48" t="s">
        <v>273</v>
      </c>
      <c r="AF70" s="48" t="s">
        <v>273</v>
      </c>
      <c r="AG70" s="48" t="s">
        <v>273</v>
      </c>
      <c r="AH70" s="48" t="s">
        <v>273</v>
      </c>
      <c r="AI70" s="48" t="s">
        <v>273</v>
      </c>
      <c r="AJ70" s="48" t="s">
        <v>273</v>
      </c>
      <c r="AK70" s="48" t="s">
        <v>358</v>
      </c>
      <c r="AL70" s="48" t="s">
        <v>273</v>
      </c>
      <c r="AM70" s="48" t="s">
        <v>273</v>
      </c>
      <c r="AN70" s="48" t="s">
        <v>273</v>
      </c>
      <c r="AO70" s="48" t="s">
        <v>273</v>
      </c>
      <c r="AP70" s="48" t="s">
        <v>273</v>
      </c>
      <c r="AQ70" s="48" t="s">
        <v>273</v>
      </c>
      <c r="AR70" s="48" t="s">
        <v>273</v>
      </c>
      <c r="AS70" s="48" t="s">
        <v>273</v>
      </c>
      <c r="AT70" s="48" t="s">
        <v>273</v>
      </c>
      <c r="AU70" s="93">
        <v>39387</v>
      </c>
      <c r="AV70" s="93"/>
      <c r="AW70" s="93"/>
      <c r="AX70" s="93"/>
      <c r="AY70" s="93"/>
      <c r="AZ70" s="49" t="s">
        <v>1091</v>
      </c>
    </row>
    <row r="71" spans="1:52" ht="16.5" customHeight="1" x14ac:dyDescent="0.15">
      <c r="A71" s="134" t="s">
        <v>1092</v>
      </c>
      <c r="B71" s="136" t="s">
        <v>1093</v>
      </c>
      <c r="C71" s="48" t="s">
        <v>1094</v>
      </c>
      <c r="D71" s="62" t="s">
        <v>1063</v>
      </c>
      <c r="E71" s="48" t="s">
        <v>300</v>
      </c>
      <c r="F71" s="61">
        <v>42394</v>
      </c>
      <c r="G71" s="61">
        <v>42394</v>
      </c>
      <c r="H71" s="125">
        <v>42444</v>
      </c>
      <c r="I71" s="61" t="s">
        <v>279</v>
      </c>
      <c r="J71" s="87"/>
      <c r="K71" s="62" t="s">
        <v>12</v>
      </c>
      <c r="L71" s="62">
        <v>3</v>
      </c>
      <c r="M71" s="62">
        <v>180</v>
      </c>
      <c r="N71" s="62" t="s">
        <v>1095</v>
      </c>
      <c r="O71" s="48" t="s">
        <v>377</v>
      </c>
      <c r="P71" s="48" t="s">
        <v>1096</v>
      </c>
      <c r="Q71" s="48" t="s">
        <v>1097</v>
      </c>
      <c r="R71" s="48" t="s">
        <v>1098</v>
      </c>
      <c r="S71" s="48" t="s">
        <v>1099</v>
      </c>
      <c r="T71" s="48" t="s">
        <v>1100</v>
      </c>
      <c r="U71" s="48" t="s">
        <v>1101</v>
      </c>
      <c r="V71" s="48" t="s">
        <v>1102</v>
      </c>
      <c r="W71" s="48" t="s">
        <v>1103</v>
      </c>
      <c r="X71" s="48" t="s">
        <v>1104</v>
      </c>
      <c r="Y71" s="48" t="s">
        <v>1105</v>
      </c>
      <c r="Z71" s="61"/>
      <c r="AA71" s="48" t="s">
        <v>645</v>
      </c>
      <c r="AB71" s="48" t="s">
        <v>1106</v>
      </c>
      <c r="AC71" s="48" t="s">
        <v>273</v>
      </c>
      <c r="AD71" s="48" t="s">
        <v>273</v>
      </c>
      <c r="AE71" s="48" t="s">
        <v>273</v>
      </c>
      <c r="AF71" s="48" t="s">
        <v>273</v>
      </c>
      <c r="AG71" s="48" t="s">
        <v>273</v>
      </c>
      <c r="AH71" s="48" t="s">
        <v>273</v>
      </c>
      <c r="AI71" s="48" t="s">
        <v>273</v>
      </c>
      <c r="AJ71" s="48" t="s">
        <v>273</v>
      </c>
      <c r="AK71" s="48" t="s">
        <v>646</v>
      </c>
      <c r="AL71" s="48" t="s">
        <v>1107</v>
      </c>
      <c r="AM71" s="48" t="s">
        <v>273</v>
      </c>
      <c r="AN71" s="48" t="s">
        <v>273</v>
      </c>
      <c r="AO71" s="48" t="s">
        <v>273</v>
      </c>
      <c r="AP71" s="48" t="s">
        <v>273</v>
      </c>
      <c r="AQ71" s="48" t="s">
        <v>273</v>
      </c>
      <c r="AR71" s="48" t="s">
        <v>273</v>
      </c>
      <c r="AS71" s="48" t="s">
        <v>273</v>
      </c>
      <c r="AT71" s="48" t="s">
        <v>273</v>
      </c>
      <c r="AU71" s="93">
        <v>36678</v>
      </c>
      <c r="AV71" s="93"/>
      <c r="AW71" s="93"/>
      <c r="AX71" s="93"/>
      <c r="AY71" s="93"/>
    </row>
    <row r="72" spans="1:52" ht="16.5" customHeight="1" x14ac:dyDescent="0.15">
      <c r="A72" s="128" t="s">
        <v>1108</v>
      </c>
      <c r="B72" s="133" t="s">
        <v>1109</v>
      </c>
      <c r="C72" s="48" t="s">
        <v>298</v>
      </c>
      <c r="D72" s="62" t="s">
        <v>1063</v>
      </c>
      <c r="E72" s="48" t="s">
        <v>300</v>
      </c>
      <c r="F72" s="61">
        <v>42394</v>
      </c>
      <c r="G72" s="61">
        <v>42394</v>
      </c>
      <c r="H72" s="125">
        <v>42425</v>
      </c>
      <c r="I72" s="61" t="s">
        <v>279</v>
      </c>
      <c r="J72" s="87"/>
      <c r="K72" s="62" t="s">
        <v>12</v>
      </c>
      <c r="L72" s="62">
        <v>3</v>
      </c>
      <c r="M72" s="62" t="s">
        <v>442</v>
      </c>
      <c r="N72" s="62" t="s">
        <v>1110</v>
      </c>
      <c r="O72" s="48" t="s">
        <v>1111</v>
      </c>
      <c r="P72" s="48" t="s">
        <v>1112</v>
      </c>
      <c r="Q72" s="48" t="s">
        <v>1113</v>
      </c>
      <c r="R72" s="48" t="s">
        <v>1114</v>
      </c>
      <c r="S72" s="48" t="s">
        <v>1115</v>
      </c>
      <c r="T72" s="48" t="s">
        <v>1116</v>
      </c>
      <c r="U72" s="48" t="s">
        <v>1117</v>
      </c>
      <c r="V72" s="122" t="s">
        <v>263</v>
      </c>
      <c r="W72" s="122" t="s">
        <v>263</v>
      </c>
      <c r="X72" s="48" t="s">
        <v>1118</v>
      </c>
      <c r="Y72" s="48" t="s">
        <v>1119</v>
      </c>
      <c r="Z72" s="61"/>
      <c r="AA72" s="48" t="s">
        <v>645</v>
      </c>
      <c r="AB72" s="48" t="s">
        <v>453</v>
      </c>
      <c r="AC72" s="48" t="s">
        <v>388</v>
      </c>
      <c r="AD72" s="48" t="s">
        <v>581</v>
      </c>
      <c r="AE72" s="48" t="s">
        <v>273</v>
      </c>
      <c r="AF72" s="48" t="s">
        <v>273</v>
      </c>
      <c r="AG72" s="48" t="s">
        <v>273</v>
      </c>
      <c r="AH72" s="48" t="s">
        <v>273</v>
      </c>
      <c r="AI72" s="48" t="s">
        <v>273</v>
      </c>
      <c r="AJ72" s="48" t="s">
        <v>273</v>
      </c>
      <c r="AK72" s="48" t="s">
        <v>646</v>
      </c>
      <c r="AL72" s="48" t="s">
        <v>454</v>
      </c>
      <c r="AM72" s="48" t="s">
        <v>390</v>
      </c>
      <c r="AN72" s="48" t="s">
        <v>582</v>
      </c>
      <c r="AO72" s="48" t="s">
        <v>273</v>
      </c>
      <c r="AP72" s="48" t="s">
        <v>273</v>
      </c>
      <c r="AQ72" s="48" t="s">
        <v>273</v>
      </c>
      <c r="AR72" s="48" t="s">
        <v>273</v>
      </c>
      <c r="AS72" s="48" t="s">
        <v>273</v>
      </c>
      <c r="AT72" s="48" t="s">
        <v>273</v>
      </c>
      <c r="AU72" s="93">
        <v>37773</v>
      </c>
      <c r="AV72" s="93"/>
      <c r="AW72" s="93"/>
      <c r="AX72" s="93"/>
      <c r="AY72" s="93"/>
    </row>
    <row r="73" spans="1:52" ht="16.5" customHeight="1" x14ac:dyDescent="0.15">
      <c r="A73" s="134" t="s">
        <v>1120</v>
      </c>
      <c r="B73" s="136" t="s">
        <v>1121</v>
      </c>
      <c r="C73" s="48" t="s">
        <v>298</v>
      </c>
      <c r="D73" s="62" t="s">
        <v>1063</v>
      </c>
      <c r="E73" s="48" t="s">
        <v>300</v>
      </c>
      <c r="F73" s="61">
        <v>42394</v>
      </c>
      <c r="G73" s="61">
        <v>42394</v>
      </c>
      <c r="H73" s="125">
        <v>42433</v>
      </c>
      <c r="I73" s="61" t="s">
        <v>279</v>
      </c>
      <c r="J73" s="87"/>
      <c r="K73" s="124" t="s">
        <v>263</v>
      </c>
      <c r="L73" s="124" t="s">
        <v>263</v>
      </c>
      <c r="M73" s="62" t="s">
        <v>442</v>
      </c>
      <c r="N73" s="62" t="s">
        <v>1122</v>
      </c>
      <c r="O73" s="48" t="s">
        <v>1123</v>
      </c>
      <c r="P73" s="48" t="s">
        <v>1124</v>
      </c>
      <c r="Q73" s="48" t="s">
        <v>1125</v>
      </c>
      <c r="R73" s="48" t="s">
        <v>1126</v>
      </c>
      <c r="S73" s="48" t="s">
        <v>1127</v>
      </c>
      <c r="T73" s="48" t="s">
        <v>1128</v>
      </c>
      <c r="U73" s="48" t="s">
        <v>1129</v>
      </c>
      <c r="V73" s="48"/>
      <c r="W73" s="48"/>
      <c r="X73" s="48" t="s">
        <v>1130</v>
      </c>
      <c r="Y73" s="48" t="s">
        <v>1131</v>
      </c>
      <c r="Z73" s="61"/>
      <c r="AA73" s="48" t="s">
        <v>273</v>
      </c>
      <c r="AB73" s="48" t="s">
        <v>273</v>
      </c>
      <c r="AC73" s="48" t="s">
        <v>273</v>
      </c>
      <c r="AD73" s="48" t="s">
        <v>273</v>
      </c>
      <c r="AE73" s="48" t="s">
        <v>273</v>
      </c>
      <c r="AF73" s="48" t="s">
        <v>273</v>
      </c>
      <c r="AG73" s="48" t="s">
        <v>273</v>
      </c>
      <c r="AH73" s="48" t="s">
        <v>273</v>
      </c>
      <c r="AI73" s="48" t="s">
        <v>273</v>
      </c>
      <c r="AJ73" s="48" t="s">
        <v>273</v>
      </c>
      <c r="AK73" s="48" t="s">
        <v>273</v>
      </c>
      <c r="AL73" s="48" t="s">
        <v>273</v>
      </c>
      <c r="AM73" s="48" t="s">
        <v>273</v>
      </c>
      <c r="AN73" s="48" t="s">
        <v>273</v>
      </c>
      <c r="AO73" s="48" t="s">
        <v>273</v>
      </c>
      <c r="AP73" s="48" t="s">
        <v>273</v>
      </c>
      <c r="AQ73" s="48" t="s">
        <v>273</v>
      </c>
      <c r="AR73" s="48" t="s">
        <v>273</v>
      </c>
      <c r="AS73" s="48" t="s">
        <v>273</v>
      </c>
      <c r="AT73" s="48" t="s">
        <v>273</v>
      </c>
      <c r="AU73" s="93">
        <v>38473</v>
      </c>
      <c r="AV73" s="93"/>
      <c r="AW73" s="93"/>
      <c r="AX73" s="93"/>
      <c r="AY73" s="93"/>
      <c r="AZ73" s="49" t="s">
        <v>1132</v>
      </c>
    </row>
    <row r="74" spans="1:52" ht="16.5" customHeight="1" x14ac:dyDescent="0.15">
      <c r="A74" s="134" t="s">
        <v>1133</v>
      </c>
      <c r="B74" s="136" t="s">
        <v>1134</v>
      </c>
      <c r="C74" s="48" t="s">
        <v>298</v>
      </c>
      <c r="D74" s="62" t="s">
        <v>1063</v>
      </c>
      <c r="E74" s="48" t="s">
        <v>300</v>
      </c>
      <c r="F74" s="61">
        <v>42394</v>
      </c>
      <c r="G74" s="61">
        <v>42394</v>
      </c>
      <c r="H74" s="125">
        <v>42443</v>
      </c>
      <c r="I74" s="61" t="s">
        <v>279</v>
      </c>
      <c r="J74" s="87"/>
      <c r="K74" s="62" t="s">
        <v>12</v>
      </c>
      <c r="L74" s="62">
        <v>3</v>
      </c>
      <c r="M74" s="62" t="s">
        <v>209</v>
      </c>
      <c r="N74" s="62" t="s">
        <v>1135</v>
      </c>
      <c r="O74" s="48" t="s">
        <v>1136</v>
      </c>
      <c r="P74" s="48" t="s">
        <v>856</v>
      </c>
      <c r="Q74" s="48" t="s">
        <v>857</v>
      </c>
      <c r="R74" s="48" t="s">
        <v>858</v>
      </c>
      <c r="S74" s="48" t="s">
        <v>859</v>
      </c>
      <c r="T74" s="48" t="s">
        <v>860</v>
      </c>
      <c r="U74" s="48" t="s">
        <v>1137</v>
      </c>
      <c r="V74" s="122" t="s">
        <v>263</v>
      </c>
      <c r="W74" s="122" t="s">
        <v>263</v>
      </c>
      <c r="X74" s="48" t="s">
        <v>862</v>
      </c>
      <c r="Y74" s="48" t="s">
        <v>1138</v>
      </c>
      <c r="Z74" s="61"/>
      <c r="AA74" s="48" t="s">
        <v>292</v>
      </c>
      <c r="AB74" s="48" t="s">
        <v>327</v>
      </c>
      <c r="AC74" s="48" t="s">
        <v>1139</v>
      </c>
      <c r="AD74" s="48" t="s">
        <v>273</v>
      </c>
      <c r="AE74" s="48" t="s">
        <v>273</v>
      </c>
      <c r="AF74" s="48" t="s">
        <v>273</v>
      </c>
      <c r="AG74" s="48" t="s">
        <v>273</v>
      </c>
      <c r="AH74" s="48" t="s">
        <v>273</v>
      </c>
      <c r="AI74" s="48" t="s">
        <v>273</v>
      </c>
      <c r="AJ74" s="48" t="s">
        <v>273</v>
      </c>
      <c r="AK74" s="48" t="s">
        <v>294</v>
      </c>
      <c r="AL74" s="48" t="s">
        <v>274</v>
      </c>
      <c r="AM74" s="48" t="s">
        <v>1140</v>
      </c>
      <c r="AN74" s="48" t="s">
        <v>273</v>
      </c>
      <c r="AO74" s="48" t="s">
        <v>273</v>
      </c>
      <c r="AP74" s="48" t="s">
        <v>273</v>
      </c>
      <c r="AQ74" s="48" t="s">
        <v>273</v>
      </c>
      <c r="AR74" s="48" t="s">
        <v>273</v>
      </c>
      <c r="AS74" s="48" t="s">
        <v>273</v>
      </c>
      <c r="AT74" s="48" t="s">
        <v>273</v>
      </c>
      <c r="AU74" s="93">
        <v>39692</v>
      </c>
      <c r="AV74" s="93"/>
      <c r="AW74" s="93"/>
      <c r="AX74" s="93"/>
      <c r="AY74" s="93"/>
    </row>
    <row r="75" spans="1:52" ht="16.5" customHeight="1" x14ac:dyDescent="0.15">
      <c r="A75" s="128" t="s">
        <v>1141</v>
      </c>
      <c r="B75" s="133" t="s">
        <v>1142</v>
      </c>
      <c r="C75" s="48" t="s">
        <v>298</v>
      </c>
      <c r="D75" s="62" t="s">
        <v>263</v>
      </c>
      <c r="E75" s="48" t="s">
        <v>273</v>
      </c>
      <c r="F75" s="61">
        <v>42395</v>
      </c>
      <c r="G75" s="61">
        <v>42395</v>
      </c>
      <c r="H75" s="125">
        <v>42415</v>
      </c>
      <c r="I75" s="61" t="s">
        <v>279</v>
      </c>
      <c r="J75" s="87"/>
      <c r="K75" s="124" t="s">
        <v>263</v>
      </c>
      <c r="L75" s="124" t="s">
        <v>263</v>
      </c>
      <c r="M75" s="62" t="s">
        <v>394</v>
      </c>
      <c r="N75" s="62" t="s">
        <v>1143</v>
      </c>
      <c r="O75" s="48" t="s">
        <v>396</v>
      </c>
      <c r="P75" s="48" t="s">
        <v>1144</v>
      </c>
      <c r="Q75" s="48" t="s">
        <v>1145</v>
      </c>
      <c r="R75" s="48" t="s">
        <v>476</v>
      </c>
      <c r="S75" s="48" t="s">
        <v>477</v>
      </c>
      <c r="T75" s="48" t="s">
        <v>478</v>
      </c>
      <c r="U75" s="48" t="s">
        <v>1146</v>
      </c>
      <c r="V75" s="122" t="s">
        <v>263</v>
      </c>
      <c r="W75" s="122" t="s">
        <v>263</v>
      </c>
      <c r="X75" s="48" t="s">
        <v>1147</v>
      </c>
      <c r="Y75" s="48" t="s">
        <v>1148</v>
      </c>
      <c r="Z75" s="61"/>
      <c r="AA75" s="48" t="s">
        <v>273</v>
      </c>
      <c r="AB75" s="48" t="s">
        <v>273</v>
      </c>
      <c r="AC75" s="48" t="s">
        <v>273</v>
      </c>
      <c r="AD75" s="48" t="s">
        <v>273</v>
      </c>
      <c r="AE75" s="48" t="s">
        <v>273</v>
      </c>
      <c r="AF75" s="48" t="s">
        <v>273</v>
      </c>
      <c r="AG75" s="48" t="s">
        <v>273</v>
      </c>
      <c r="AH75" s="48" t="s">
        <v>273</v>
      </c>
      <c r="AI75" s="48" t="s">
        <v>273</v>
      </c>
      <c r="AJ75" s="48" t="s">
        <v>273</v>
      </c>
      <c r="AK75" s="48" t="s">
        <v>273</v>
      </c>
      <c r="AL75" s="48" t="s">
        <v>273</v>
      </c>
      <c r="AM75" s="48" t="s">
        <v>273</v>
      </c>
      <c r="AN75" s="48" t="s">
        <v>273</v>
      </c>
      <c r="AO75" s="48" t="s">
        <v>273</v>
      </c>
      <c r="AP75" s="48" t="s">
        <v>273</v>
      </c>
      <c r="AQ75" s="48" t="s">
        <v>273</v>
      </c>
      <c r="AR75" s="48" t="s">
        <v>273</v>
      </c>
      <c r="AS75" s="48" t="s">
        <v>273</v>
      </c>
      <c r="AT75" s="48" t="s">
        <v>273</v>
      </c>
      <c r="AU75" s="93">
        <v>38991</v>
      </c>
      <c r="AV75" s="93"/>
      <c r="AW75" s="93"/>
      <c r="AX75" s="93"/>
      <c r="AY75" s="93"/>
      <c r="AZ75" s="49" t="s">
        <v>1149</v>
      </c>
    </row>
    <row r="76" spans="1:52" ht="16.5" customHeight="1" x14ac:dyDescent="0.15">
      <c r="A76" s="138" t="s">
        <v>1150</v>
      </c>
      <c r="B76" s="140" t="s">
        <v>1151</v>
      </c>
      <c r="C76" s="48" t="s">
        <v>298</v>
      </c>
      <c r="D76" s="62" t="s">
        <v>263</v>
      </c>
      <c r="E76" s="48" t="s">
        <v>300</v>
      </c>
      <c r="F76" s="61">
        <v>42395</v>
      </c>
      <c r="G76" s="61">
        <v>42395</v>
      </c>
      <c r="H76" s="125">
        <v>42500</v>
      </c>
      <c r="I76" s="61" t="s">
        <v>279</v>
      </c>
      <c r="J76" s="87"/>
      <c r="K76" s="62" t="s">
        <v>12</v>
      </c>
      <c r="L76" s="62">
        <v>3</v>
      </c>
      <c r="M76" s="62" t="s">
        <v>471</v>
      </c>
      <c r="N76" s="62" t="s">
        <v>1152</v>
      </c>
      <c r="O76" s="48" t="s">
        <v>1153</v>
      </c>
      <c r="P76" s="48" t="s">
        <v>556</v>
      </c>
      <c r="Q76" s="48" t="s">
        <v>1154</v>
      </c>
      <c r="R76" s="48" t="s">
        <v>399</v>
      </c>
      <c r="S76" s="130" t="s">
        <v>400</v>
      </c>
      <c r="T76" s="130" t="s">
        <v>401</v>
      </c>
      <c r="U76" s="48" t="s">
        <v>1155</v>
      </c>
      <c r="V76" s="122" t="s">
        <v>263</v>
      </c>
      <c r="W76" s="122" t="s">
        <v>263</v>
      </c>
      <c r="X76" s="48" t="s">
        <v>1156</v>
      </c>
      <c r="Y76" s="48" t="s">
        <v>1157</v>
      </c>
      <c r="Z76" s="61"/>
      <c r="AA76" s="48" t="s">
        <v>1158</v>
      </c>
      <c r="AB76" s="48" t="s">
        <v>1159</v>
      </c>
      <c r="AC76" s="48" t="s">
        <v>273</v>
      </c>
      <c r="AD76" s="48" t="s">
        <v>273</v>
      </c>
      <c r="AE76" s="48" t="s">
        <v>273</v>
      </c>
      <c r="AF76" s="48" t="s">
        <v>273</v>
      </c>
      <c r="AG76" s="48" t="s">
        <v>273</v>
      </c>
      <c r="AH76" s="48" t="s">
        <v>273</v>
      </c>
      <c r="AI76" s="48" t="s">
        <v>273</v>
      </c>
      <c r="AJ76" s="48" t="s">
        <v>273</v>
      </c>
      <c r="AK76" s="48" t="s">
        <v>1160</v>
      </c>
      <c r="AL76" s="48" t="s">
        <v>1161</v>
      </c>
      <c r="AM76" s="48" t="s">
        <v>273</v>
      </c>
      <c r="AN76" s="48" t="s">
        <v>273</v>
      </c>
      <c r="AO76" s="48" t="s">
        <v>273</v>
      </c>
      <c r="AP76" s="48" t="s">
        <v>273</v>
      </c>
      <c r="AQ76" s="48" t="s">
        <v>273</v>
      </c>
      <c r="AR76" s="48" t="s">
        <v>273</v>
      </c>
      <c r="AS76" s="48" t="s">
        <v>273</v>
      </c>
      <c r="AT76" s="48" t="s">
        <v>273</v>
      </c>
      <c r="AU76" s="93">
        <v>40148</v>
      </c>
      <c r="AV76" s="93"/>
      <c r="AW76" s="93"/>
      <c r="AX76" s="93"/>
      <c r="AY76" s="93"/>
    </row>
    <row r="77" spans="1:52" ht="16.5" customHeight="1" x14ac:dyDescent="0.15">
      <c r="A77" s="134" t="s">
        <v>1162</v>
      </c>
      <c r="B77" s="136" t="s">
        <v>1163</v>
      </c>
      <c r="C77" s="48" t="s">
        <v>298</v>
      </c>
      <c r="D77" s="62" t="s">
        <v>1164</v>
      </c>
      <c r="E77" s="48" t="s">
        <v>300</v>
      </c>
      <c r="F77" s="61">
        <v>42396</v>
      </c>
      <c r="G77" s="61">
        <v>42396</v>
      </c>
      <c r="H77" s="125">
        <v>42431</v>
      </c>
      <c r="I77" s="61" t="s">
        <v>279</v>
      </c>
      <c r="J77" s="87"/>
      <c r="K77" s="62" t="s">
        <v>12</v>
      </c>
      <c r="L77" s="62">
        <v>3</v>
      </c>
      <c r="M77" s="62" t="s">
        <v>442</v>
      </c>
      <c r="N77" s="62" t="s">
        <v>1165</v>
      </c>
      <c r="O77" s="48" t="s">
        <v>1166</v>
      </c>
      <c r="P77" s="48" t="s">
        <v>1167</v>
      </c>
      <c r="Q77" s="48" t="s">
        <v>1168</v>
      </c>
      <c r="R77" s="48" t="s">
        <v>1169</v>
      </c>
      <c r="S77" s="48" t="s">
        <v>1170</v>
      </c>
      <c r="T77" s="48" t="s">
        <v>1171</v>
      </c>
      <c r="U77" s="48" t="s">
        <v>1172</v>
      </c>
      <c r="V77" s="122" t="s">
        <v>263</v>
      </c>
      <c r="W77" s="122" t="s">
        <v>263</v>
      </c>
      <c r="X77" s="48" t="s">
        <v>1173</v>
      </c>
      <c r="Y77" s="48" t="s">
        <v>1174</v>
      </c>
      <c r="Z77" s="61"/>
      <c r="AA77" s="48" t="s">
        <v>645</v>
      </c>
      <c r="AB77" s="48" t="s">
        <v>581</v>
      </c>
      <c r="AC77" s="48" t="s">
        <v>453</v>
      </c>
      <c r="AD77" s="48" t="s">
        <v>273</v>
      </c>
      <c r="AE77" s="48" t="s">
        <v>273</v>
      </c>
      <c r="AF77" s="48" t="s">
        <v>273</v>
      </c>
      <c r="AG77" s="48" t="s">
        <v>273</v>
      </c>
      <c r="AH77" s="48" t="s">
        <v>273</v>
      </c>
      <c r="AI77" s="48" t="s">
        <v>273</v>
      </c>
      <c r="AJ77" s="48" t="s">
        <v>273</v>
      </c>
      <c r="AK77" s="48" t="s">
        <v>646</v>
      </c>
      <c r="AL77" s="48" t="s">
        <v>582</v>
      </c>
      <c r="AM77" s="48" t="s">
        <v>454</v>
      </c>
      <c r="AN77" s="48" t="s">
        <v>273</v>
      </c>
      <c r="AO77" s="48" t="s">
        <v>273</v>
      </c>
      <c r="AP77" s="48" t="s">
        <v>273</v>
      </c>
      <c r="AQ77" s="48" t="s">
        <v>273</v>
      </c>
      <c r="AR77" s="48" t="s">
        <v>273</v>
      </c>
      <c r="AS77" s="48" t="s">
        <v>273</v>
      </c>
      <c r="AT77" s="48" t="s">
        <v>273</v>
      </c>
      <c r="AU77" s="93">
        <v>38169</v>
      </c>
      <c r="AV77" s="93"/>
      <c r="AW77" s="93"/>
      <c r="AX77" s="93"/>
      <c r="AY77" s="93"/>
    </row>
    <row r="78" spans="1:52" ht="16.5" customHeight="1" x14ac:dyDescent="0.15">
      <c r="A78" s="128" t="s">
        <v>1175</v>
      </c>
      <c r="B78" s="133" t="s">
        <v>1176</v>
      </c>
      <c r="C78" s="48" t="s">
        <v>1177</v>
      </c>
      <c r="D78" s="62" t="s">
        <v>1178</v>
      </c>
      <c r="E78" s="48" t="s">
        <v>264</v>
      </c>
      <c r="F78" s="61">
        <v>42396</v>
      </c>
      <c r="G78" s="61">
        <v>42396</v>
      </c>
      <c r="H78" s="125">
        <v>42410</v>
      </c>
      <c r="I78" s="61" t="s">
        <v>279</v>
      </c>
      <c r="J78" s="87"/>
      <c r="K78" s="62" t="s">
        <v>12</v>
      </c>
      <c r="L78" s="62">
        <v>3</v>
      </c>
      <c r="M78" s="62" t="s">
        <v>651</v>
      </c>
      <c r="N78" s="62" t="s">
        <v>1179</v>
      </c>
      <c r="O78" s="48" t="s">
        <v>653</v>
      </c>
      <c r="P78" s="48" t="s">
        <v>1180</v>
      </c>
      <c r="Q78" s="48" t="s">
        <v>1181</v>
      </c>
      <c r="R78" s="48" t="s">
        <v>1182</v>
      </c>
      <c r="S78" s="48" t="s">
        <v>1183</v>
      </c>
      <c r="T78" s="48" t="s">
        <v>1184</v>
      </c>
      <c r="U78" s="48" t="s">
        <v>1185</v>
      </c>
      <c r="V78" s="122" t="s">
        <v>263</v>
      </c>
      <c r="W78" s="122" t="s">
        <v>263</v>
      </c>
      <c r="X78" s="48" t="s">
        <v>1186</v>
      </c>
      <c r="Y78" s="48" t="s">
        <v>1187</v>
      </c>
      <c r="Z78" s="61"/>
      <c r="AA78" s="48" t="s">
        <v>962</v>
      </c>
      <c r="AB78" s="48" t="s">
        <v>273</v>
      </c>
      <c r="AC78" s="48" t="s">
        <v>273</v>
      </c>
      <c r="AD78" s="48" t="s">
        <v>273</v>
      </c>
      <c r="AE78" s="48" t="s">
        <v>273</v>
      </c>
      <c r="AF78" s="48" t="s">
        <v>273</v>
      </c>
      <c r="AG78" s="48" t="s">
        <v>273</v>
      </c>
      <c r="AH78" s="48" t="s">
        <v>273</v>
      </c>
      <c r="AI78" s="48" t="s">
        <v>273</v>
      </c>
      <c r="AJ78" s="48" t="s">
        <v>273</v>
      </c>
      <c r="AK78" s="48" t="s">
        <v>963</v>
      </c>
      <c r="AL78" s="48" t="s">
        <v>273</v>
      </c>
      <c r="AM78" s="48" t="s">
        <v>273</v>
      </c>
      <c r="AN78" s="48" t="s">
        <v>273</v>
      </c>
      <c r="AO78" s="48" t="s">
        <v>273</v>
      </c>
      <c r="AP78" s="48" t="s">
        <v>273</v>
      </c>
      <c r="AQ78" s="48" t="s">
        <v>273</v>
      </c>
      <c r="AR78" s="48" t="s">
        <v>273</v>
      </c>
      <c r="AS78" s="48" t="s">
        <v>273</v>
      </c>
      <c r="AT78" s="48" t="s">
        <v>273</v>
      </c>
      <c r="AU78" s="93">
        <v>41640</v>
      </c>
      <c r="AV78" s="93"/>
      <c r="AW78" s="93"/>
      <c r="AX78" s="93"/>
      <c r="AY78" s="93"/>
    </row>
    <row r="79" spans="1:52" ht="16.5" customHeight="1" x14ac:dyDescent="0.15">
      <c r="A79" s="134" t="s">
        <v>1188</v>
      </c>
      <c r="B79" s="136" t="s">
        <v>1189</v>
      </c>
      <c r="C79" s="48" t="s">
        <v>298</v>
      </c>
      <c r="D79" s="62" t="s">
        <v>263</v>
      </c>
      <c r="E79" s="48" t="s">
        <v>300</v>
      </c>
      <c r="F79" s="61">
        <v>42397</v>
      </c>
      <c r="G79" s="61">
        <v>42397</v>
      </c>
      <c r="H79" s="125">
        <v>42446</v>
      </c>
      <c r="I79" s="61" t="s">
        <v>279</v>
      </c>
      <c r="J79" s="87"/>
      <c r="K79" s="62" t="s">
        <v>12</v>
      </c>
      <c r="L79" s="62">
        <v>5</v>
      </c>
      <c r="M79" s="62" t="s">
        <v>394</v>
      </c>
      <c r="N79" s="62" t="s">
        <v>1190</v>
      </c>
      <c r="O79" s="48" t="s">
        <v>396</v>
      </c>
      <c r="P79" s="48" t="s">
        <v>1191</v>
      </c>
      <c r="Q79" s="48" t="s">
        <v>1192</v>
      </c>
      <c r="R79" s="48" t="s">
        <v>476</v>
      </c>
      <c r="S79" s="48" t="s">
        <v>477</v>
      </c>
      <c r="T79" s="48" t="s">
        <v>478</v>
      </c>
      <c r="U79" s="48" t="s">
        <v>1193</v>
      </c>
      <c r="V79" s="122" t="s">
        <v>263</v>
      </c>
      <c r="W79" s="122" t="s">
        <v>263</v>
      </c>
      <c r="X79" s="48" t="s">
        <v>386</v>
      </c>
      <c r="Y79" s="48" t="s">
        <v>1194</v>
      </c>
      <c r="Z79" s="61"/>
      <c r="AA79" s="48" t="s">
        <v>1195</v>
      </c>
      <c r="AB79" s="48" t="s">
        <v>273</v>
      </c>
      <c r="AC79" s="48" t="s">
        <v>273</v>
      </c>
      <c r="AD79" s="48" t="s">
        <v>273</v>
      </c>
      <c r="AE79" s="48" t="s">
        <v>273</v>
      </c>
      <c r="AF79" s="48" t="s">
        <v>273</v>
      </c>
      <c r="AG79" s="48" t="s">
        <v>273</v>
      </c>
      <c r="AH79" s="48" t="s">
        <v>273</v>
      </c>
      <c r="AI79" s="48" t="s">
        <v>273</v>
      </c>
      <c r="AJ79" s="48" t="s">
        <v>273</v>
      </c>
      <c r="AK79" s="48" t="s">
        <v>1196</v>
      </c>
      <c r="AL79" s="48" t="s">
        <v>273</v>
      </c>
      <c r="AM79" s="48" t="s">
        <v>273</v>
      </c>
      <c r="AN79" s="48" t="s">
        <v>273</v>
      </c>
      <c r="AO79" s="48" t="s">
        <v>273</v>
      </c>
      <c r="AP79" s="48" t="s">
        <v>273</v>
      </c>
      <c r="AQ79" s="48" t="s">
        <v>273</v>
      </c>
      <c r="AR79" s="48" t="s">
        <v>273</v>
      </c>
      <c r="AS79" s="48" t="s">
        <v>273</v>
      </c>
      <c r="AT79" s="48" t="s">
        <v>273</v>
      </c>
      <c r="AU79" s="93">
        <v>39083</v>
      </c>
      <c r="AV79" s="93"/>
      <c r="AW79" s="93"/>
      <c r="AX79" s="93"/>
      <c r="AY79" s="93"/>
      <c r="AZ79" s="49" t="s">
        <v>1197</v>
      </c>
    </row>
    <row r="80" spans="1:52" ht="16.5" customHeight="1" x14ac:dyDescent="0.15">
      <c r="A80" s="128" t="s">
        <v>1198</v>
      </c>
      <c r="B80" s="133" t="s">
        <v>1199</v>
      </c>
      <c r="C80" s="48" t="s">
        <v>298</v>
      </c>
      <c r="D80" s="62" t="s">
        <v>1200</v>
      </c>
      <c r="E80" s="48" t="s">
        <v>300</v>
      </c>
      <c r="F80" s="61">
        <v>42397</v>
      </c>
      <c r="G80" s="61">
        <v>42397</v>
      </c>
      <c r="H80" s="125">
        <v>42418</v>
      </c>
      <c r="I80" s="61" t="s">
        <v>279</v>
      </c>
      <c r="J80" s="87"/>
      <c r="K80" s="62" t="s">
        <v>16</v>
      </c>
      <c r="L80" s="62">
        <v>5</v>
      </c>
      <c r="M80" s="62" t="s">
        <v>924</v>
      </c>
      <c r="N80" s="62" t="s">
        <v>1201</v>
      </c>
      <c r="O80" s="48" t="s">
        <v>1202</v>
      </c>
      <c r="P80" s="48" t="s">
        <v>1203</v>
      </c>
      <c r="Q80" s="48" t="s">
        <v>1204</v>
      </c>
      <c r="R80" s="48" t="s">
        <v>1205</v>
      </c>
      <c r="S80" s="48" t="s">
        <v>1206</v>
      </c>
      <c r="T80" s="48" t="s">
        <v>1207</v>
      </c>
      <c r="U80" s="48" t="s">
        <v>1208</v>
      </c>
      <c r="V80" s="122" t="s">
        <v>263</v>
      </c>
      <c r="W80" s="48" t="s">
        <v>1209</v>
      </c>
      <c r="X80" s="48" t="s">
        <v>1210</v>
      </c>
      <c r="Y80" s="48" t="s">
        <v>1211</v>
      </c>
      <c r="Z80" s="61"/>
      <c r="AA80" s="48" t="s">
        <v>453</v>
      </c>
      <c r="AB80" s="48" t="s">
        <v>389</v>
      </c>
      <c r="AC80" s="48" t="s">
        <v>388</v>
      </c>
      <c r="AD80" s="48" t="s">
        <v>273</v>
      </c>
      <c r="AE80" s="48" t="s">
        <v>273</v>
      </c>
      <c r="AF80" s="48" t="s">
        <v>273</v>
      </c>
      <c r="AG80" s="48" t="s">
        <v>273</v>
      </c>
      <c r="AH80" s="48" t="s">
        <v>273</v>
      </c>
      <c r="AI80" s="48" t="s">
        <v>273</v>
      </c>
      <c r="AJ80" s="48" t="s">
        <v>273</v>
      </c>
      <c r="AK80" s="48" t="s">
        <v>454</v>
      </c>
      <c r="AL80" s="48" t="s">
        <v>391</v>
      </c>
      <c r="AM80" s="48" t="s">
        <v>390</v>
      </c>
      <c r="AN80" s="48" t="s">
        <v>273</v>
      </c>
      <c r="AO80" s="48" t="s">
        <v>273</v>
      </c>
      <c r="AP80" s="48" t="s">
        <v>273</v>
      </c>
      <c r="AQ80" s="48" t="s">
        <v>273</v>
      </c>
      <c r="AR80" s="48" t="s">
        <v>273</v>
      </c>
      <c r="AS80" s="48" t="s">
        <v>273</v>
      </c>
      <c r="AT80" s="48" t="s">
        <v>273</v>
      </c>
      <c r="AU80" s="93">
        <v>37500</v>
      </c>
      <c r="AV80" s="93"/>
      <c r="AW80" s="93"/>
      <c r="AX80" s="93"/>
      <c r="AY80" s="93"/>
      <c r="AZ80" s="49" t="s">
        <v>1212</v>
      </c>
    </row>
    <row r="81" spans="1:52" ht="16.5" customHeight="1" x14ac:dyDescent="0.15">
      <c r="A81" s="134" t="s">
        <v>1213</v>
      </c>
      <c r="B81" s="136" t="s">
        <v>1214</v>
      </c>
      <c r="C81" s="48" t="s">
        <v>298</v>
      </c>
      <c r="D81" s="62" t="s">
        <v>263</v>
      </c>
      <c r="E81" s="48" t="s">
        <v>300</v>
      </c>
      <c r="F81" s="61">
        <v>42397</v>
      </c>
      <c r="G81" s="61">
        <v>42397</v>
      </c>
      <c r="H81" s="125">
        <v>42436</v>
      </c>
      <c r="I81" s="61" t="s">
        <v>279</v>
      </c>
      <c r="J81" s="87"/>
      <c r="K81" s="62" t="s">
        <v>12</v>
      </c>
      <c r="L81" s="62">
        <v>3</v>
      </c>
      <c r="M81" s="62" t="s">
        <v>1215</v>
      </c>
      <c r="N81" s="62" t="s">
        <v>1216</v>
      </c>
      <c r="O81" s="48" t="s">
        <v>1217</v>
      </c>
      <c r="P81" s="48" t="s">
        <v>707</v>
      </c>
      <c r="Q81" s="130" t="s">
        <v>1218</v>
      </c>
      <c r="R81" s="48" t="s">
        <v>476</v>
      </c>
      <c r="S81" s="48" t="s">
        <v>477</v>
      </c>
      <c r="T81" s="48" t="s">
        <v>478</v>
      </c>
      <c r="U81" s="48" t="s">
        <v>1219</v>
      </c>
      <c r="V81" s="122" t="s">
        <v>263</v>
      </c>
      <c r="W81" s="122" t="s">
        <v>263</v>
      </c>
      <c r="X81" s="48" t="s">
        <v>1220</v>
      </c>
      <c r="Y81" s="48" t="s">
        <v>1221</v>
      </c>
      <c r="Z81" s="61"/>
      <c r="AA81" s="48" t="s">
        <v>273</v>
      </c>
      <c r="AB81" s="48" t="s">
        <v>273</v>
      </c>
      <c r="AC81" s="48" t="s">
        <v>273</v>
      </c>
      <c r="AD81" s="48" t="s">
        <v>273</v>
      </c>
      <c r="AE81" s="48" t="s">
        <v>273</v>
      </c>
      <c r="AF81" s="48" t="s">
        <v>273</v>
      </c>
      <c r="AG81" s="48" t="s">
        <v>273</v>
      </c>
      <c r="AH81" s="48" t="s">
        <v>273</v>
      </c>
      <c r="AI81" s="48" t="s">
        <v>273</v>
      </c>
      <c r="AJ81" s="48" t="s">
        <v>273</v>
      </c>
      <c r="AK81" s="48" t="s">
        <v>273</v>
      </c>
      <c r="AL81" s="48" t="s">
        <v>273</v>
      </c>
      <c r="AM81" s="48" t="s">
        <v>273</v>
      </c>
      <c r="AN81" s="48" t="s">
        <v>273</v>
      </c>
      <c r="AO81" s="48" t="s">
        <v>273</v>
      </c>
      <c r="AP81" s="48" t="s">
        <v>273</v>
      </c>
      <c r="AQ81" s="48" t="s">
        <v>273</v>
      </c>
      <c r="AR81" s="48" t="s">
        <v>273</v>
      </c>
      <c r="AS81" s="48" t="s">
        <v>273</v>
      </c>
      <c r="AT81" s="48" t="s">
        <v>273</v>
      </c>
      <c r="AU81" s="93">
        <v>41000</v>
      </c>
      <c r="AV81" s="93"/>
      <c r="AW81" s="93"/>
      <c r="AX81" s="93"/>
      <c r="AY81" s="93"/>
    </row>
    <row r="82" spans="1:52" ht="16.5" customHeight="1" x14ac:dyDescent="0.15">
      <c r="A82" s="138" t="s">
        <v>1222</v>
      </c>
      <c r="B82" s="140" t="s">
        <v>1223</v>
      </c>
      <c r="C82" s="48" t="s">
        <v>330</v>
      </c>
      <c r="D82" s="62" t="s">
        <v>263</v>
      </c>
      <c r="E82" s="48" t="s">
        <v>300</v>
      </c>
      <c r="F82" s="61">
        <v>42397</v>
      </c>
      <c r="G82" s="61">
        <v>42397</v>
      </c>
      <c r="H82" s="125">
        <v>42475</v>
      </c>
      <c r="I82" s="61" t="s">
        <v>279</v>
      </c>
      <c r="J82" s="87"/>
      <c r="K82" s="62" t="s">
        <v>12</v>
      </c>
      <c r="L82" s="62">
        <v>3</v>
      </c>
      <c r="M82" s="62" t="s">
        <v>394</v>
      </c>
      <c r="N82" s="62" t="s">
        <v>1224</v>
      </c>
      <c r="O82" s="48" t="s">
        <v>396</v>
      </c>
      <c r="P82" s="48" t="s">
        <v>1225</v>
      </c>
      <c r="Q82" s="48" t="s">
        <v>1226</v>
      </c>
      <c r="R82" s="141" t="s">
        <v>1227</v>
      </c>
      <c r="S82" s="130" t="s">
        <v>400</v>
      </c>
      <c r="T82" s="130" t="s">
        <v>401</v>
      </c>
      <c r="U82" s="48" t="s">
        <v>1228</v>
      </c>
      <c r="V82" s="122" t="s">
        <v>263</v>
      </c>
      <c r="W82" s="122" t="s">
        <v>263</v>
      </c>
      <c r="X82" s="48" t="s">
        <v>1229</v>
      </c>
      <c r="Y82" s="48" t="s">
        <v>1230</v>
      </c>
      <c r="Z82" s="61"/>
      <c r="AA82" s="48" t="s">
        <v>1231</v>
      </c>
      <c r="AB82" s="48" t="s">
        <v>562</v>
      </c>
      <c r="AC82" s="48" t="s">
        <v>273</v>
      </c>
      <c r="AD82" s="48" t="s">
        <v>273</v>
      </c>
      <c r="AE82" s="48" t="s">
        <v>273</v>
      </c>
      <c r="AF82" s="48" t="s">
        <v>273</v>
      </c>
      <c r="AG82" s="48" t="s">
        <v>273</v>
      </c>
      <c r="AH82" s="48" t="s">
        <v>273</v>
      </c>
      <c r="AI82" s="48" t="s">
        <v>273</v>
      </c>
      <c r="AJ82" s="48" t="s">
        <v>273</v>
      </c>
      <c r="AK82" s="48" t="s">
        <v>1232</v>
      </c>
      <c r="AL82" s="48" t="s">
        <v>564</v>
      </c>
      <c r="AM82" s="48" t="s">
        <v>273</v>
      </c>
      <c r="AN82" s="48" t="s">
        <v>273</v>
      </c>
      <c r="AO82" s="48" t="s">
        <v>273</v>
      </c>
      <c r="AP82" s="48" t="s">
        <v>273</v>
      </c>
      <c r="AQ82" s="48" t="s">
        <v>273</v>
      </c>
      <c r="AR82" s="48" t="s">
        <v>273</v>
      </c>
      <c r="AS82" s="48" t="s">
        <v>273</v>
      </c>
      <c r="AT82" s="48" t="s">
        <v>273</v>
      </c>
      <c r="AU82" s="93">
        <v>39845</v>
      </c>
      <c r="AV82" s="93"/>
      <c r="AW82" s="93"/>
      <c r="AX82" s="93"/>
      <c r="AY82" s="93"/>
    </row>
    <row r="83" spans="1:52" ht="16.5" customHeight="1" x14ac:dyDescent="0.15">
      <c r="A83" s="128" t="s">
        <v>1233</v>
      </c>
      <c r="B83" s="133" t="s">
        <v>1234</v>
      </c>
      <c r="C83" s="48" t="s">
        <v>298</v>
      </c>
      <c r="D83" s="62" t="s">
        <v>1235</v>
      </c>
      <c r="E83" s="48" t="s">
        <v>300</v>
      </c>
      <c r="F83" s="61">
        <v>42397</v>
      </c>
      <c r="G83" s="61">
        <v>42397</v>
      </c>
      <c r="H83" s="125">
        <v>42424</v>
      </c>
      <c r="I83" s="61" t="s">
        <v>279</v>
      </c>
      <c r="J83" s="87"/>
      <c r="K83" s="62" t="s">
        <v>12</v>
      </c>
      <c r="L83" s="62">
        <v>3</v>
      </c>
      <c r="M83" s="62" t="s">
        <v>442</v>
      </c>
      <c r="N83" s="62" t="s">
        <v>1236</v>
      </c>
      <c r="O83" s="48" t="s">
        <v>1111</v>
      </c>
      <c r="P83" s="48" t="s">
        <v>1237</v>
      </c>
      <c r="Q83" s="48" t="s">
        <v>1238</v>
      </c>
      <c r="R83" s="48" t="s">
        <v>1239</v>
      </c>
      <c r="S83" s="48" t="s">
        <v>1240</v>
      </c>
      <c r="T83" s="48" t="s">
        <v>1241</v>
      </c>
      <c r="U83" s="48" t="s">
        <v>1242</v>
      </c>
      <c r="V83" s="48" t="s">
        <v>1243</v>
      </c>
      <c r="W83" s="122" t="s">
        <v>263</v>
      </c>
      <c r="X83" s="48" t="s">
        <v>1244</v>
      </c>
      <c r="Y83" s="48" t="s">
        <v>1245</v>
      </c>
      <c r="Z83" s="61"/>
      <c r="AA83" s="48" t="s">
        <v>453</v>
      </c>
      <c r="AB83" s="48" t="s">
        <v>645</v>
      </c>
      <c r="AC83" s="48" t="s">
        <v>389</v>
      </c>
      <c r="AD83" s="48" t="s">
        <v>581</v>
      </c>
      <c r="AE83" s="48" t="s">
        <v>273</v>
      </c>
      <c r="AF83" s="48" t="s">
        <v>273</v>
      </c>
      <c r="AG83" s="48" t="s">
        <v>273</v>
      </c>
      <c r="AH83" s="48" t="s">
        <v>273</v>
      </c>
      <c r="AI83" s="48" t="s">
        <v>273</v>
      </c>
      <c r="AJ83" s="48" t="s">
        <v>273</v>
      </c>
      <c r="AK83" s="48" t="s">
        <v>454</v>
      </c>
      <c r="AL83" s="48" t="s">
        <v>646</v>
      </c>
      <c r="AM83" s="48" t="s">
        <v>391</v>
      </c>
      <c r="AN83" s="48" t="s">
        <v>582</v>
      </c>
      <c r="AO83" s="48" t="s">
        <v>273</v>
      </c>
      <c r="AP83" s="48" t="s">
        <v>273</v>
      </c>
      <c r="AQ83" s="48" t="s">
        <v>273</v>
      </c>
      <c r="AR83" s="48" t="s">
        <v>273</v>
      </c>
      <c r="AS83" s="48" t="s">
        <v>273</v>
      </c>
      <c r="AT83" s="48" t="s">
        <v>273</v>
      </c>
      <c r="AU83" s="93">
        <v>37773</v>
      </c>
      <c r="AV83" s="93"/>
      <c r="AW83" s="93"/>
      <c r="AX83" s="93"/>
      <c r="AY83" s="93"/>
    </row>
    <row r="84" spans="1:52" ht="16.5" customHeight="1" x14ac:dyDescent="0.15">
      <c r="A84" s="128" t="s">
        <v>1246</v>
      </c>
      <c r="B84" s="133" t="s">
        <v>1247</v>
      </c>
      <c r="C84" s="48" t="s">
        <v>1248</v>
      </c>
      <c r="D84" s="62" t="s">
        <v>263</v>
      </c>
      <c r="E84" s="48" t="s">
        <v>264</v>
      </c>
      <c r="F84" s="61">
        <v>42397</v>
      </c>
      <c r="G84" s="61">
        <v>42397</v>
      </c>
      <c r="H84" s="125">
        <v>42405</v>
      </c>
      <c r="I84" s="61" t="s">
        <v>1249</v>
      </c>
      <c r="J84" s="87"/>
      <c r="K84" s="62" t="s">
        <v>9</v>
      </c>
      <c r="L84" s="62">
        <v>3</v>
      </c>
      <c r="M84" s="62" t="s">
        <v>409</v>
      </c>
      <c r="N84" s="62" t="s">
        <v>1250</v>
      </c>
      <c r="O84" s="48" t="s">
        <v>411</v>
      </c>
      <c r="P84" s="48" t="s">
        <v>267</v>
      </c>
      <c r="Q84" s="48" t="s">
        <v>892</v>
      </c>
      <c r="R84" s="122" t="s">
        <v>263</v>
      </c>
      <c r="S84" s="48" t="s">
        <v>269</v>
      </c>
      <c r="T84" s="48" t="s">
        <v>270</v>
      </c>
      <c r="U84" s="48" t="s">
        <v>1251</v>
      </c>
      <c r="V84" s="122" t="s">
        <v>263</v>
      </c>
      <c r="W84" s="122" t="s">
        <v>263</v>
      </c>
      <c r="X84" s="122" t="s">
        <v>263</v>
      </c>
      <c r="Y84" s="122" t="s">
        <v>263</v>
      </c>
      <c r="Z84" s="61"/>
      <c r="AA84" s="129" t="s">
        <v>548</v>
      </c>
      <c r="AB84" s="129" t="s">
        <v>547</v>
      </c>
      <c r="AC84" s="129" t="s">
        <v>548</v>
      </c>
      <c r="AD84" s="48" t="s">
        <v>273</v>
      </c>
      <c r="AE84" s="48" t="s">
        <v>273</v>
      </c>
      <c r="AF84" s="48" t="s">
        <v>273</v>
      </c>
      <c r="AG84" s="48" t="s">
        <v>273</v>
      </c>
      <c r="AH84" s="48" t="s">
        <v>273</v>
      </c>
      <c r="AI84" s="48" t="s">
        <v>273</v>
      </c>
      <c r="AJ84" s="48" t="s">
        <v>273</v>
      </c>
      <c r="AK84" s="48" t="s">
        <v>549</v>
      </c>
      <c r="AL84" s="48" t="s">
        <v>550</v>
      </c>
      <c r="AM84" s="48" t="s">
        <v>551</v>
      </c>
      <c r="AN84" s="48" t="s">
        <v>273</v>
      </c>
      <c r="AO84" s="48" t="s">
        <v>273</v>
      </c>
      <c r="AP84" s="48" t="s">
        <v>273</v>
      </c>
      <c r="AQ84" s="48" t="s">
        <v>273</v>
      </c>
      <c r="AR84" s="48" t="s">
        <v>273</v>
      </c>
      <c r="AS84" s="48" t="s">
        <v>273</v>
      </c>
      <c r="AT84" s="48" t="s">
        <v>273</v>
      </c>
      <c r="AU84" s="93">
        <v>38565</v>
      </c>
      <c r="AV84" s="93"/>
      <c r="AW84" s="93"/>
      <c r="AX84" s="93"/>
      <c r="AY84" s="93"/>
    </row>
    <row r="85" spans="1:52" ht="16.5" customHeight="1" x14ac:dyDescent="0.15">
      <c r="A85" s="134" t="s">
        <v>1252</v>
      </c>
      <c r="B85" s="136" t="s">
        <v>1253</v>
      </c>
      <c r="C85" s="48" t="s">
        <v>330</v>
      </c>
      <c r="D85" s="62" t="s">
        <v>263</v>
      </c>
      <c r="E85" s="48" t="s">
        <v>300</v>
      </c>
      <c r="F85" s="61">
        <v>42398</v>
      </c>
      <c r="G85" s="61">
        <v>42398</v>
      </c>
      <c r="H85" s="125">
        <v>42433</v>
      </c>
      <c r="I85" s="61" t="s">
        <v>1254</v>
      </c>
      <c r="J85" s="87"/>
      <c r="K85" s="62" t="s">
        <v>12</v>
      </c>
      <c r="L85" s="62">
        <v>3</v>
      </c>
      <c r="M85" s="62" t="s">
        <v>394</v>
      </c>
      <c r="N85" s="62" t="s">
        <v>1255</v>
      </c>
      <c r="O85" s="48" t="s">
        <v>396</v>
      </c>
      <c r="P85" s="48" t="s">
        <v>1256</v>
      </c>
      <c r="Q85" s="48" t="s">
        <v>1125</v>
      </c>
      <c r="R85" s="48" t="s">
        <v>476</v>
      </c>
      <c r="S85" s="130" t="s">
        <v>477</v>
      </c>
      <c r="T85" s="130" t="s">
        <v>478</v>
      </c>
      <c r="U85" s="48" t="s">
        <v>1257</v>
      </c>
      <c r="V85" s="122" t="s">
        <v>263</v>
      </c>
      <c r="W85" s="122" t="s">
        <v>263</v>
      </c>
      <c r="X85" s="48" t="s">
        <v>1258</v>
      </c>
      <c r="Y85" s="48" t="s">
        <v>1259</v>
      </c>
      <c r="Z85" s="61"/>
      <c r="AA85" s="48" t="s">
        <v>562</v>
      </c>
      <c r="AB85" s="48" t="s">
        <v>782</v>
      </c>
      <c r="AC85" s="48" t="s">
        <v>273</v>
      </c>
      <c r="AD85" s="48" t="s">
        <v>273</v>
      </c>
      <c r="AE85" s="48" t="s">
        <v>273</v>
      </c>
      <c r="AF85" s="48" t="s">
        <v>273</v>
      </c>
      <c r="AG85" s="48" t="s">
        <v>273</v>
      </c>
      <c r="AH85" s="48" t="s">
        <v>273</v>
      </c>
      <c r="AI85" s="48" t="s">
        <v>273</v>
      </c>
      <c r="AJ85" s="48" t="s">
        <v>273</v>
      </c>
      <c r="AK85" s="48" t="s">
        <v>564</v>
      </c>
      <c r="AL85" s="48" t="s">
        <v>786</v>
      </c>
      <c r="AM85" s="48" t="s">
        <v>273</v>
      </c>
      <c r="AN85" s="48" t="s">
        <v>273</v>
      </c>
      <c r="AO85" s="48" t="s">
        <v>273</v>
      </c>
      <c r="AP85" s="48" t="s">
        <v>273</v>
      </c>
      <c r="AQ85" s="48" t="s">
        <v>273</v>
      </c>
      <c r="AR85" s="48" t="s">
        <v>273</v>
      </c>
      <c r="AS85" s="48" t="s">
        <v>273</v>
      </c>
      <c r="AT85" s="48" t="s">
        <v>273</v>
      </c>
      <c r="AU85" s="93">
        <v>39630</v>
      </c>
      <c r="AV85" s="93"/>
      <c r="AW85" s="93"/>
      <c r="AX85" s="93"/>
      <c r="AY85" s="93"/>
    </row>
    <row r="86" spans="1:52" ht="16.5" customHeight="1" x14ac:dyDescent="0.15">
      <c r="A86" s="151" t="s">
        <v>1260</v>
      </c>
      <c r="B86" s="152" t="s">
        <v>1261</v>
      </c>
      <c r="C86" s="48" t="s">
        <v>298</v>
      </c>
      <c r="D86" s="62" t="s">
        <v>1262</v>
      </c>
      <c r="E86" s="48" t="s">
        <v>300</v>
      </c>
      <c r="F86" s="61">
        <v>42398</v>
      </c>
      <c r="G86" s="61">
        <v>42398</v>
      </c>
      <c r="H86" s="125">
        <v>42555</v>
      </c>
      <c r="I86" s="61" t="s">
        <v>279</v>
      </c>
      <c r="J86" s="87"/>
      <c r="K86" s="62" t="s">
        <v>14</v>
      </c>
      <c r="L86" s="124" t="s">
        <v>263</v>
      </c>
      <c r="M86" s="62" t="s">
        <v>1263</v>
      </c>
      <c r="N86" s="62" t="s">
        <v>1264</v>
      </c>
      <c r="O86" s="48" t="s">
        <v>1265</v>
      </c>
      <c r="P86" s="130" t="s">
        <v>1266</v>
      </c>
      <c r="Q86" s="130" t="s">
        <v>1267</v>
      </c>
      <c r="R86" s="130" t="s">
        <v>1268</v>
      </c>
      <c r="S86" s="130" t="s">
        <v>1269</v>
      </c>
      <c r="T86" s="130" t="s">
        <v>1270</v>
      </c>
      <c r="U86" s="48" t="s">
        <v>1271</v>
      </c>
      <c r="V86" s="122" t="s">
        <v>263</v>
      </c>
      <c r="W86" s="122" t="s">
        <v>263</v>
      </c>
      <c r="X86" s="48" t="s">
        <v>1272</v>
      </c>
      <c r="Y86" s="48" t="s">
        <v>1273</v>
      </c>
      <c r="Z86" s="61"/>
      <c r="AA86" s="48" t="s">
        <v>1274</v>
      </c>
      <c r="AB86" s="48" t="s">
        <v>273</v>
      </c>
      <c r="AC86" s="48" t="s">
        <v>273</v>
      </c>
      <c r="AD86" s="48" t="s">
        <v>273</v>
      </c>
      <c r="AE86" s="48" t="s">
        <v>273</v>
      </c>
      <c r="AF86" s="48" t="s">
        <v>273</v>
      </c>
      <c r="AG86" s="48" t="s">
        <v>273</v>
      </c>
      <c r="AH86" s="48" t="s">
        <v>273</v>
      </c>
      <c r="AI86" s="48" t="s">
        <v>273</v>
      </c>
      <c r="AJ86" s="48" t="s">
        <v>273</v>
      </c>
      <c r="AK86" s="48" t="s">
        <v>1275</v>
      </c>
      <c r="AL86" s="48" t="s">
        <v>273</v>
      </c>
      <c r="AM86" s="48" t="s">
        <v>273</v>
      </c>
      <c r="AN86" s="48" t="s">
        <v>273</v>
      </c>
      <c r="AO86" s="48" t="s">
        <v>273</v>
      </c>
      <c r="AP86" s="48" t="s">
        <v>273</v>
      </c>
      <c r="AQ86" s="48" t="s">
        <v>273</v>
      </c>
      <c r="AR86" s="48" t="s">
        <v>273</v>
      </c>
      <c r="AS86" s="48" t="s">
        <v>273</v>
      </c>
      <c r="AT86" s="48" t="s">
        <v>273</v>
      </c>
      <c r="AU86" s="93">
        <v>41760</v>
      </c>
      <c r="AV86" s="93"/>
      <c r="AW86" s="93"/>
      <c r="AX86" s="93"/>
      <c r="AY86" s="93"/>
    </row>
    <row r="87" spans="1:52" ht="16.5" customHeight="1" x14ac:dyDescent="0.15">
      <c r="A87" s="134" t="s">
        <v>1276</v>
      </c>
      <c r="B87" s="136" t="s">
        <v>1277</v>
      </c>
      <c r="C87" s="48" t="s">
        <v>298</v>
      </c>
      <c r="D87" s="62" t="s">
        <v>1278</v>
      </c>
      <c r="E87" s="48" t="s">
        <v>300</v>
      </c>
      <c r="F87" s="61">
        <v>42398</v>
      </c>
      <c r="G87" s="61">
        <v>42398</v>
      </c>
      <c r="H87" s="125">
        <v>42431</v>
      </c>
      <c r="I87" s="61" t="s">
        <v>279</v>
      </c>
      <c r="J87" s="87"/>
      <c r="K87" s="62">
        <v>0</v>
      </c>
      <c r="L87" s="62"/>
      <c r="M87" s="62" t="s">
        <v>442</v>
      </c>
      <c r="N87" s="62" t="s">
        <v>1279</v>
      </c>
      <c r="O87" s="48" t="s">
        <v>1280</v>
      </c>
      <c r="P87" s="48" t="s">
        <v>1281</v>
      </c>
      <c r="Q87" s="48" t="s">
        <v>1282</v>
      </c>
      <c r="R87" s="48" t="s">
        <v>1283</v>
      </c>
      <c r="S87" s="48" t="s">
        <v>1284</v>
      </c>
      <c r="T87" s="48" t="s">
        <v>1285</v>
      </c>
      <c r="U87" s="48" t="s">
        <v>1286</v>
      </c>
      <c r="V87" s="48" t="s">
        <v>1287</v>
      </c>
      <c r="W87" s="48" t="s">
        <v>1288</v>
      </c>
      <c r="X87" s="48" t="s">
        <v>1289</v>
      </c>
      <c r="Y87" s="48" t="s">
        <v>1290</v>
      </c>
      <c r="Z87" s="61"/>
      <c r="AA87" s="48" t="s">
        <v>453</v>
      </c>
      <c r="AB87" s="48" t="s">
        <v>388</v>
      </c>
      <c r="AC87" s="48" t="s">
        <v>273</v>
      </c>
      <c r="AD87" s="48" t="s">
        <v>273</v>
      </c>
      <c r="AE87" s="48" t="s">
        <v>273</v>
      </c>
      <c r="AF87" s="48" t="s">
        <v>273</v>
      </c>
      <c r="AG87" s="48" t="s">
        <v>273</v>
      </c>
      <c r="AH87" s="48" t="s">
        <v>273</v>
      </c>
      <c r="AI87" s="48" t="s">
        <v>273</v>
      </c>
      <c r="AJ87" s="48" t="s">
        <v>273</v>
      </c>
      <c r="AK87" s="48" t="s">
        <v>454</v>
      </c>
      <c r="AL87" s="48" t="s">
        <v>390</v>
      </c>
      <c r="AM87" s="48" t="s">
        <v>273</v>
      </c>
      <c r="AN87" s="48" t="s">
        <v>273</v>
      </c>
      <c r="AO87" s="48" t="s">
        <v>273</v>
      </c>
      <c r="AP87" s="48" t="s">
        <v>273</v>
      </c>
      <c r="AQ87" s="48" t="s">
        <v>273</v>
      </c>
      <c r="AR87" s="48" t="s">
        <v>273</v>
      </c>
      <c r="AS87" s="48" t="s">
        <v>273</v>
      </c>
      <c r="AT87" s="48" t="s">
        <v>273</v>
      </c>
      <c r="AU87" s="93">
        <v>37408</v>
      </c>
      <c r="AV87" s="93"/>
      <c r="AW87" s="93"/>
      <c r="AX87" s="93"/>
      <c r="AY87" s="93"/>
    </row>
    <row r="88" spans="1:52" ht="16.5" customHeight="1" x14ac:dyDescent="0.15">
      <c r="A88" s="121" t="s">
        <v>1291</v>
      </c>
      <c r="B88" s="47" t="s">
        <v>1292</v>
      </c>
      <c r="C88" s="48" t="e">
        <f ca="1">INDIRECT("'["&amp;$C$1&amp;".xls]"&amp;$B88&amp;"'!$i$7")</f>
        <v>#REF!</v>
      </c>
      <c r="D88" s="62" t="e">
        <f ca="1">INDIRECT("'["&amp;$C$1&amp;".xls]"&amp;$B88&amp;"'!$b$7")</f>
        <v>#REF!</v>
      </c>
      <c r="E88" s="48" t="e">
        <f ca="1">IF(INDIRECT("'["&amp;$C$1&amp;".xls]"&amp;$B88&amp;"'!$i$2")="","",INDIRECT("'["&amp;$C$1&amp;".xls]"&amp;$B88&amp;"'!$i$2"))</f>
        <v>#REF!</v>
      </c>
      <c r="F88" s="61" t="e">
        <f ca="1">INDIRECT("'["&amp;$C$1&amp;".xls]"&amp;$B88&amp;"'!$b$2")</f>
        <v>#REF!</v>
      </c>
      <c r="G88" s="61" t="e">
        <f ca="1">INDIRECT("'["&amp;$C$1&amp;".xls]"&amp;$B88&amp;"'!$a$20")</f>
        <v>#REF!</v>
      </c>
      <c r="H88" s="88" t="e">
        <f ca="1">INDIRECT("'["&amp;$C$1&amp;".xls]"&amp;$B88&amp;"'!$Q$22")</f>
        <v>#REF!</v>
      </c>
      <c r="I88" s="61" t="e">
        <f ca="1">INDIRECT("'["&amp;$C$1&amp;".xls]"&amp;$B88&amp;"'!$f$6")</f>
        <v>#REF!</v>
      </c>
      <c r="J88" s="87"/>
      <c r="K88" s="62" t="e">
        <f ca="1">INDIRECT("'["&amp;$C$1&amp;".xls]"&amp;$B88&amp;"'!$f$25")</f>
        <v>#REF!</v>
      </c>
      <c r="L88" s="62"/>
      <c r="M88" s="62" t="e">
        <f ca="1">INDIRECT("'["&amp;$C$1&amp;".xls]"&amp;$B88&amp;"'!$f$4")</f>
        <v>#REF!</v>
      </c>
      <c r="N88" s="62" t="e">
        <f ca="1">INDIRECT("'["&amp;$C$1&amp;".xls]"&amp;$B88&amp;"'!$i$4")</f>
        <v>#REF!</v>
      </c>
      <c r="O88" s="48" t="e">
        <f ca="1">INDIRECT("'["&amp;$C$1&amp;".xls]"&amp;$B88&amp;"'!$l$4")</f>
        <v>#REF!</v>
      </c>
      <c r="P88" s="48" t="e">
        <f ca="1">INDIRECT("'["&amp;$C$1&amp;".xls]"&amp;$B88&amp;"'!$b$5")</f>
        <v>#REF!</v>
      </c>
      <c r="Q88" s="48" t="e">
        <f ca="1">INDIRECT("'["&amp;$C$1&amp;".xls]"&amp;$B88&amp;"'!$f$5")</f>
        <v>#REF!</v>
      </c>
      <c r="R88" s="48"/>
      <c r="S88" s="48" t="e">
        <f ca="1">INDIRECT("'["&amp;$C$1&amp;".xls]"&amp;$B88&amp;"'!$i$5")</f>
        <v>#REF!</v>
      </c>
      <c r="T88" s="48" t="e">
        <f ca="1">INDIRECT("'["&amp;$C$1&amp;".xls]"&amp;$B88&amp;"'!$l$5")</f>
        <v>#REF!</v>
      </c>
      <c r="U88" s="48" t="e">
        <f ca="1">INDIRECT("'["&amp;$C$1&amp;".xls]"&amp;$B88&amp;"'!$b$4")</f>
        <v>#REF!</v>
      </c>
      <c r="V88" s="48"/>
      <c r="W88" s="48"/>
      <c r="X88" s="48" t="s">
        <v>1293</v>
      </c>
      <c r="Y88" s="48" t="s">
        <v>1294</v>
      </c>
      <c r="Z88" s="61"/>
      <c r="AA88" s="48" t="e">
        <f ca="1">IF(INDIRECT("'["&amp;$C$1&amp;".xls]"&amp;$B88&amp;"'!$P$25")="","",IF(INDIRECT("'["&amp;$C$1&amp;".xls]"&amp;$B88&amp;"'!$O$25")="済み",INDIRECT("'["&amp;$C$1&amp;".xls]"&amp;$B88&amp;"'!$P$25"),""))</f>
        <v>#REF!</v>
      </c>
      <c r="AB88" s="48" t="e">
        <f ca="1">IF(INDIRECT("'["&amp;$C$1&amp;".xls]"&amp;$B88&amp;"'!$P$26")="","",IF(INDIRECT("'["&amp;$C$1&amp;".xls]"&amp;$B88&amp;"'!$O$26")="済み",INDIRECT("'["&amp;$C$1&amp;".xls]"&amp;$B88&amp;"'!$P$26"),""))</f>
        <v>#REF!</v>
      </c>
      <c r="AC88" s="48" t="e">
        <f ca="1">IF(INDIRECT("'["&amp;$C$1&amp;".xls]"&amp;$B88&amp;"'!$P$27")="","",IF(INDIRECT("'["&amp;$C$1&amp;".xls]"&amp;$B88&amp;"'!$O$27")="済み",INDIRECT("'["&amp;$C$1&amp;".xls]"&amp;$B88&amp;"'!$P$27"),""))</f>
        <v>#REF!</v>
      </c>
      <c r="AD88" s="48" t="e">
        <f ca="1">IF(INDIRECT("'["&amp;$C$1&amp;".xls]"&amp;$B88&amp;"'!$P$28")="","",IF(INDIRECT("'["&amp;$C$1&amp;".xls]"&amp;$B88&amp;"'!$O$28")="済み",INDIRECT("'["&amp;$C$1&amp;".xls]"&amp;$B88&amp;"'!$P$28"),""))</f>
        <v>#REF!</v>
      </c>
      <c r="AE88" s="48" t="e">
        <f ca="1">IF(INDIRECT("'["&amp;$C$1&amp;".xls]"&amp;$B88&amp;"'!$P$29")="","",IF(INDIRECT("'["&amp;$C$1&amp;".xls]"&amp;$B88&amp;"'!$O$29")="済み",INDIRECT("'["&amp;$C$1&amp;".xls]"&amp;$B88&amp;"'!$P$29"),""))</f>
        <v>#REF!</v>
      </c>
      <c r="AF88" s="48" t="e">
        <f ca="1">IF(INDIRECT("'["&amp;$C$1&amp;".xls]"&amp;$B88&amp;"'!$P$30")="","",IF(INDIRECT("'["&amp;$C$1&amp;".xls]"&amp;$B88&amp;"'!$O$30")="済み",INDIRECT("'["&amp;$C$1&amp;".xls]"&amp;$B88&amp;"'!$P$30"),""))</f>
        <v>#REF!</v>
      </c>
      <c r="AG88" s="48" t="e">
        <f ca="1">IF(INDIRECT("'["&amp;$C$1&amp;".xls]"&amp;$B88&amp;"'!$P$31")="","",IF(INDIRECT("'["&amp;$C$1&amp;".xls]"&amp;$B88&amp;"'!$O$31")="済み",INDIRECT("'["&amp;$C$1&amp;".xls]"&amp;$B88&amp;"'!$P$31"),""))</f>
        <v>#REF!</v>
      </c>
      <c r="AH88" s="48" t="e">
        <f ca="1">IF(INDIRECT("'["&amp;$C$1&amp;".xls]"&amp;$B88&amp;"'!$P$32")="","",IF(INDIRECT("'["&amp;$C$1&amp;".xls]"&amp;$B88&amp;"'!$O$32")="済み",INDIRECT("'["&amp;$C$1&amp;".xls]"&amp;$B88&amp;"'!$P$32"),""))</f>
        <v>#REF!</v>
      </c>
      <c r="AI88" s="48" t="e">
        <f ca="1">IF(INDIRECT("'["&amp;$C$1&amp;".xls]"&amp;$B88&amp;"'!$P$33")="","",IF(INDIRECT("'["&amp;$C$1&amp;".xls]"&amp;$B88&amp;"'!$O$33")="済み",INDIRECT("'["&amp;$C$1&amp;".xls]"&amp;$B88&amp;"'!$P$33"),""))</f>
        <v>#REF!</v>
      </c>
      <c r="AJ88" s="48" t="e">
        <f ca="1">IF(INDIRECT("'["&amp;$C$1&amp;".xls]"&amp;$B88&amp;"'!$P$34")="","",IF(INDIRECT("'["&amp;$C$1&amp;".xls]"&amp;$B88&amp;"'!$O$34")="済み",INDIRECT("'["&amp;$C$1&amp;".xls]"&amp;$B88&amp;"'!$P$34"),""))</f>
        <v>#REF!</v>
      </c>
      <c r="AK88" s="48" t="e">
        <f ca="1">IF(INDIRECT("'["&amp;$C$1&amp;".xls]"&amp;$B88&amp;"'!$T25")="","",IF(INDIRECT("'["&amp;$C$1&amp;".xls]"&amp;$B88&amp;"'!$O$25")="済み",INDIRECT("'["&amp;$C$1&amp;".xls]"&amp;$B88&amp;"'!$T$25"),""))</f>
        <v>#REF!</v>
      </c>
      <c r="AL88" s="48" t="e">
        <f ca="1">IF(INDIRECT("'["&amp;$C$1&amp;".xls]"&amp;$B88&amp;"'!$T26")="","",IF(INDIRECT("'["&amp;$C$1&amp;".xls]"&amp;$B88&amp;"'!$O$26")="済み",INDIRECT("'["&amp;$C$1&amp;".xls]"&amp;$B88&amp;"'!$T$26"),""))</f>
        <v>#REF!</v>
      </c>
      <c r="AM88" s="48" t="e">
        <f ca="1">IF(INDIRECT("'["&amp;$C$1&amp;".xls]"&amp;$B88&amp;"'!$T27")="","",IF(INDIRECT("'["&amp;$C$1&amp;".xls]"&amp;$B88&amp;"'!$O$27")="済み",INDIRECT("'["&amp;$C$1&amp;".xls]"&amp;$B88&amp;"'!$T$27"),""))</f>
        <v>#REF!</v>
      </c>
      <c r="AN88" s="48" t="e">
        <f ca="1">IF(INDIRECT("'["&amp;$C$1&amp;".xls]"&amp;$B88&amp;"'!$T28")="","",IF(INDIRECT("'["&amp;$C$1&amp;".xls]"&amp;$B88&amp;"'!$O$28")="済み",INDIRECT("'["&amp;$C$1&amp;".xls]"&amp;$B88&amp;"'!$T$28"),""))</f>
        <v>#REF!</v>
      </c>
      <c r="AO88" s="48" t="e">
        <f ca="1">IF(INDIRECT("'["&amp;$C$1&amp;".xls]"&amp;$B88&amp;"'!$T29")="","",IF(INDIRECT("'["&amp;$C$1&amp;".xls]"&amp;$B88&amp;"'!$O$29")="済み",INDIRECT("'["&amp;$C$1&amp;".xls]"&amp;$B88&amp;"'!$T$29"),""))</f>
        <v>#REF!</v>
      </c>
      <c r="AP88" s="48" t="e">
        <f ca="1">IF(INDIRECT("'["&amp;$C$1&amp;".xls]"&amp;$B88&amp;"'!$T30")="","",IF(INDIRECT("'["&amp;$C$1&amp;".xls]"&amp;$B88&amp;"'!$O$30")="済み",INDIRECT("'["&amp;$C$1&amp;".xls]"&amp;$B88&amp;"'!$T$30"),""))</f>
        <v>#REF!</v>
      </c>
      <c r="AQ88" s="48" t="e">
        <f ca="1">IF(INDIRECT("'["&amp;$C$1&amp;".xls]"&amp;$B88&amp;"'!$T31")="","",IF(INDIRECT("'["&amp;$C$1&amp;".xls]"&amp;$B88&amp;"'!$O$31")="済み",INDIRECT("'["&amp;$C$1&amp;".xls]"&amp;$B88&amp;"'!$T$31"),""))</f>
        <v>#REF!</v>
      </c>
      <c r="AR88" s="48" t="e">
        <f ca="1">IF(INDIRECT("'["&amp;$C$1&amp;".xls]"&amp;$B88&amp;"'!$T32")="","",IF(INDIRECT("'["&amp;$C$1&amp;".xls]"&amp;$B88&amp;"'!$O$32")="済み",INDIRECT("'["&amp;$C$1&amp;".xls]"&amp;$B88&amp;"'!$T$32"),""))</f>
        <v>#REF!</v>
      </c>
      <c r="AS88" s="48" t="e">
        <f ca="1">IF(INDIRECT("'["&amp;$C$1&amp;".xls]"&amp;$B88&amp;"'!$T33")="","",IF(INDIRECT("'["&amp;$C$1&amp;".xls]"&amp;$B88&amp;"'!$O$33")="済み",INDIRECT("'["&amp;$C$1&amp;".xls]"&amp;$B88&amp;"'!$T$33"),""))</f>
        <v>#REF!</v>
      </c>
      <c r="AT88" s="48" t="e">
        <f ca="1">IF(INDIRECT("'["&amp;$C$1&amp;".xls]"&amp;$B88&amp;"'!$T34")="","",IF(INDIRECT("'["&amp;$C$1&amp;".xls]"&amp;$B88&amp;"'!$O$34")="済み",INDIRECT("'["&amp;$C$1&amp;".xls]"&amp;$B88&amp;"'!$T$34"),""))</f>
        <v>#REF!</v>
      </c>
      <c r="AU88" s="93" t="e">
        <f ca="1">INDIRECT("'["&amp;$C$1&amp;".xls]"&amp;$B88&amp;"'!$B$6")</f>
        <v>#REF!</v>
      </c>
      <c r="AV88" s="93"/>
      <c r="AW88" s="93"/>
      <c r="AX88" s="93"/>
      <c r="AY88" s="93"/>
    </row>
    <row r="89" spans="1:52" ht="16.5" customHeight="1" x14ac:dyDescent="0.15">
      <c r="A89" s="128" t="s">
        <v>1295</v>
      </c>
      <c r="B89" s="133" t="s">
        <v>1296</v>
      </c>
      <c r="C89" s="48" t="s">
        <v>330</v>
      </c>
      <c r="D89" s="62" t="s">
        <v>1297</v>
      </c>
      <c r="E89" s="48" t="s">
        <v>264</v>
      </c>
      <c r="F89" s="61">
        <v>42401</v>
      </c>
      <c r="G89" s="61">
        <v>42401</v>
      </c>
      <c r="H89" s="125">
        <v>42415</v>
      </c>
      <c r="I89" s="61">
        <v>42122</v>
      </c>
      <c r="J89" s="87"/>
      <c r="K89" s="62" t="s">
        <v>12</v>
      </c>
      <c r="L89" s="62">
        <v>3</v>
      </c>
      <c r="M89" s="62" t="s">
        <v>362</v>
      </c>
      <c r="N89" s="62" t="s">
        <v>1298</v>
      </c>
      <c r="O89" s="48" t="s">
        <v>263</v>
      </c>
      <c r="P89" s="48" t="s">
        <v>1299</v>
      </c>
      <c r="Q89" s="48" t="s">
        <v>1300</v>
      </c>
      <c r="R89" s="48" t="s">
        <v>1301</v>
      </c>
      <c r="S89" s="48" t="s">
        <v>1302</v>
      </c>
      <c r="T89" s="48" t="s">
        <v>1303</v>
      </c>
      <c r="U89" s="48" t="s">
        <v>1304</v>
      </c>
      <c r="V89" s="122" t="s">
        <v>263</v>
      </c>
      <c r="W89" s="48" t="s">
        <v>1305</v>
      </c>
      <c r="X89" s="48" t="s">
        <v>1306</v>
      </c>
      <c r="Y89" s="48" t="s">
        <v>1307</v>
      </c>
      <c r="Z89" s="61"/>
      <c r="AA89" s="48">
        <v>871905269</v>
      </c>
      <c r="AB89" s="48" t="s">
        <v>273</v>
      </c>
      <c r="AC89" s="48" t="s">
        <v>273</v>
      </c>
      <c r="AD89" s="48" t="s">
        <v>273</v>
      </c>
      <c r="AE89" s="48" t="s">
        <v>273</v>
      </c>
      <c r="AF89" s="48" t="s">
        <v>273</v>
      </c>
      <c r="AG89" s="48" t="s">
        <v>273</v>
      </c>
      <c r="AH89" s="48" t="s">
        <v>273</v>
      </c>
      <c r="AI89" s="48" t="s">
        <v>273</v>
      </c>
      <c r="AJ89" s="48" t="s">
        <v>273</v>
      </c>
      <c r="AK89" s="48" t="s">
        <v>1308</v>
      </c>
      <c r="AL89" s="48" t="s">
        <v>273</v>
      </c>
      <c r="AM89" s="48" t="s">
        <v>273</v>
      </c>
      <c r="AN89" s="48" t="s">
        <v>273</v>
      </c>
      <c r="AO89" s="48" t="s">
        <v>273</v>
      </c>
      <c r="AP89" s="48" t="s">
        <v>273</v>
      </c>
      <c r="AQ89" s="48" t="s">
        <v>273</v>
      </c>
      <c r="AR89" s="48" t="s">
        <v>273</v>
      </c>
      <c r="AS89" s="48" t="s">
        <v>273</v>
      </c>
      <c r="AT89" s="48" t="s">
        <v>273</v>
      </c>
      <c r="AU89" s="93" t="s">
        <v>263</v>
      </c>
      <c r="AV89" s="93"/>
      <c r="AW89" s="93"/>
      <c r="AX89" s="93"/>
      <c r="AY89" s="93"/>
    </row>
    <row r="90" spans="1:52" ht="16.5" customHeight="1" x14ac:dyDescent="0.15">
      <c r="A90" s="121" t="s">
        <v>1309</v>
      </c>
      <c r="B90" s="47" t="s">
        <v>1310</v>
      </c>
      <c r="C90" s="48" t="e">
        <f ca="1">INDIRECT("'["&amp;$C$1&amp;".xls]"&amp;$B90&amp;"'!$i$7")</f>
        <v>#REF!</v>
      </c>
      <c r="D90" s="62" t="e">
        <f ca="1">INDIRECT("'["&amp;$C$1&amp;".xls]"&amp;$B90&amp;"'!$b$7")</f>
        <v>#REF!</v>
      </c>
      <c r="E90" s="48" t="e">
        <f ca="1">IF(INDIRECT("'["&amp;$C$1&amp;".xls]"&amp;$B90&amp;"'!$i$2")="","",INDIRECT("'["&amp;$C$1&amp;".xls]"&amp;$B90&amp;"'!$i$2"))</f>
        <v>#REF!</v>
      </c>
      <c r="F90" s="61" t="e">
        <f ca="1">INDIRECT("'["&amp;$C$1&amp;".xls]"&amp;$B90&amp;"'!$b$2")</f>
        <v>#REF!</v>
      </c>
      <c r="G90" s="61" t="e">
        <f ca="1">INDIRECT("'["&amp;$C$1&amp;".xls]"&amp;$B90&amp;"'!$a$20")</f>
        <v>#REF!</v>
      </c>
      <c r="H90" s="88" t="e">
        <f ca="1">INDIRECT("'["&amp;$C$1&amp;".xls]"&amp;$B90&amp;"'!$Q$22")</f>
        <v>#REF!</v>
      </c>
      <c r="I90" s="61" t="e">
        <f ca="1">INDIRECT("'["&amp;$C$1&amp;".xls]"&amp;$B90&amp;"'!$f$6")</f>
        <v>#REF!</v>
      </c>
      <c r="J90" s="87"/>
      <c r="K90" s="62" t="e">
        <f ca="1">INDIRECT("'["&amp;$C$1&amp;".xls]"&amp;$B90&amp;"'!$f$25")</f>
        <v>#REF!</v>
      </c>
      <c r="L90" s="62"/>
      <c r="M90" s="62" t="e">
        <f ca="1">INDIRECT("'["&amp;$C$1&amp;".xls]"&amp;$B90&amp;"'!$f$4")</f>
        <v>#REF!</v>
      </c>
      <c r="N90" s="62" t="e">
        <f ca="1">INDIRECT("'["&amp;$C$1&amp;".xls]"&amp;$B90&amp;"'!$i$4")</f>
        <v>#REF!</v>
      </c>
      <c r="O90" s="48" t="e">
        <f ca="1">INDIRECT("'["&amp;$C$1&amp;".xls]"&amp;$B90&amp;"'!$l$4")</f>
        <v>#REF!</v>
      </c>
      <c r="P90" s="48" t="e">
        <f ca="1">INDIRECT("'["&amp;$C$1&amp;".xls]"&amp;$B90&amp;"'!$b$5")</f>
        <v>#REF!</v>
      </c>
      <c r="Q90" s="48" t="e">
        <f ca="1">INDIRECT("'["&amp;$C$1&amp;".xls]"&amp;$B90&amp;"'!$f$5")</f>
        <v>#REF!</v>
      </c>
      <c r="R90" s="122" t="s">
        <v>263</v>
      </c>
      <c r="S90" s="48" t="e">
        <f ca="1">INDIRECT("'["&amp;$C$1&amp;".xls]"&amp;$B90&amp;"'!$i$5")</f>
        <v>#REF!</v>
      </c>
      <c r="T90" s="48" t="e">
        <f ca="1">INDIRECT("'["&amp;$C$1&amp;".xls]"&amp;$B90&amp;"'!$l$5")</f>
        <v>#REF!</v>
      </c>
      <c r="U90" s="48" t="e">
        <f ca="1">INDIRECT("'["&amp;$C$1&amp;".xls]"&amp;$B90&amp;"'!$b$4")</f>
        <v>#REF!</v>
      </c>
      <c r="V90" s="122" t="s">
        <v>263</v>
      </c>
      <c r="W90" s="122" t="s">
        <v>263</v>
      </c>
      <c r="X90" s="122" t="s">
        <v>263</v>
      </c>
      <c r="Y90" s="122" t="s">
        <v>263</v>
      </c>
      <c r="Z90" s="61"/>
      <c r="AA90" s="48" t="e">
        <f ca="1">IF(INDIRECT("'["&amp;$C$1&amp;".xls]"&amp;$B90&amp;"'!$P$25")="","",IF(INDIRECT("'["&amp;$C$1&amp;".xls]"&amp;$B90&amp;"'!$O$25")="済み",INDIRECT("'["&amp;$C$1&amp;".xls]"&amp;$B90&amp;"'!$P$25"),""))</f>
        <v>#REF!</v>
      </c>
      <c r="AB90" s="48" t="e">
        <f ca="1">IF(INDIRECT("'["&amp;$C$1&amp;".xls]"&amp;$B90&amp;"'!$P$26")="","",IF(INDIRECT("'["&amp;$C$1&amp;".xls]"&amp;$B90&amp;"'!$O$26")="済み",INDIRECT("'["&amp;$C$1&amp;".xls]"&amp;$B90&amp;"'!$P$26"),""))</f>
        <v>#REF!</v>
      </c>
      <c r="AC90" s="48" t="e">
        <f ca="1">IF(INDIRECT("'["&amp;$C$1&amp;".xls]"&amp;$B90&amp;"'!$P$27")="","",IF(INDIRECT("'["&amp;$C$1&amp;".xls]"&amp;$B90&amp;"'!$O$27")="済み",INDIRECT("'["&amp;$C$1&amp;".xls]"&amp;$B90&amp;"'!$P$27"),""))</f>
        <v>#REF!</v>
      </c>
      <c r="AD90" s="48" t="e">
        <f ca="1">IF(INDIRECT("'["&amp;$C$1&amp;".xls]"&amp;$B90&amp;"'!$P$28")="","",IF(INDIRECT("'["&amp;$C$1&amp;".xls]"&amp;$B90&amp;"'!$O$28")="済み",INDIRECT("'["&amp;$C$1&amp;".xls]"&amp;$B90&amp;"'!$P$28"),""))</f>
        <v>#REF!</v>
      </c>
      <c r="AE90" s="48" t="e">
        <f ca="1">IF(INDIRECT("'["&amp;$C$1&amp;".xls]"&amp;$B90&amp;"'!$P$29")="","",IF(INDIRECT("'["&amp;$C$1&amp;".xls]"&amp;$B90&amp;"'!$O$29")="済み",INDIRECT("'["&amp;$C$1&amp;".xls]"&amp;$B90&amp;"'!$P$29"),""))</f>
        <v>#REF!</v>
      </c>
      <c r="AF90" s="48" t="e">
        <f ca="1">IF(INDIRECT("'["&amp;$C$1&amp;".xls]"&amp;$B90&amp;"'!$P$30")="","",IF(INDIRECT("'["&amp;$C$1&amp;".xls]"&amp;$B90&amp;"'!$O$30")="済み",INDIRECT("'["&amp;$C$1&amp;".xls]"&amp;$B90&amp;"'!$P$30"),""))</f>
        <v>#REF!</v>
      </c>
      <c r="AG90" s="48" t="e">
        <f ca="1">IF(INDIRECT("'["&amp;$C$1&amp;".xls]"&amp;$B90&amp;"'!$P$31")="","",IF(INDIRECT("'["&amp;$C$1&amp;".xls]"&amp;$B90&amp;"'!$O$31")="済み",INDIRECT("'["&amp;$C$1&amp;".xls]"&amp;$B90&amp;"'!$P$31"),""))</f>
        <v>#REF!</v>
      </c>
      <c r="AH90" s="48" t="e">
        <f ca="1">IF(INDIRECT("'["&amp;$C$1&amp;".xls]"&amp;$B90&amp;"'!$P$32")="","",IF(INDIRECT("'["&amp;$C$1&amp;".xls]"&amp;$B90&amp;"'!$O$32")="済み",INDIRECT("'["&amp;$C$1&amp;".xls]"&amp;$B90&amp;"'!$P$32"),""))</f>
        <v>#REF!</v>
      </c>
      <c r="AI90" s="48" t="e">
        <f ca="1">IF(INDIRECT("'["&amp;$C$1&amp;".xls]"&amp;$B90&amp;"'!$P$33")="","",IF(INDIRECT("'["&amp;$C$1&amp;".xls]"&amp;$B90&amp;"'!$O$33")="済み",INDIRECT("'["&amp;$C$1&amp;".xls]"&amp;$B90&amp;"'!$P$33"),""))</f>
        <v>#REF!</v>
      </c>
      <c r="AJ90" s="48" t="e">
        <f ca="1">IF(INDIRECT("'["&amp;$C$1&amp;".xls]"&amp;$B90&amp;"'!$P$34")="","",IF(INDIRECT("'["&amp;$C$1&amp;".xls]"&amp;$B90&amp;"'!$O$34")="済み",INDIRECT("'["&amp;$C$1&amp;".xls]"&amp;$B90&amp;"'!$P$34"),""))</f>
        <v>#REF!</v>
      </c>
      <c r="AK90" s="48" t="e">
        <f ca="1">IF(INDIRECT("'["&amp;$C$1&amp;".xls]"&amp;$B90&amp;"'!$T25")="","",IF(INDIRECT("'["&amp;$C$1&amp;".xls]"&amp;$B90&amp;"'!$O$25")="済み",INDIRECT("'["&amp;$C$1&amp;".xls]"&amp;$B90&amp;"'!$T$25"),""))</f>
        <v>#REF!</v>
      </c>
      <c r="AL90" s="48" t="e">
        <f ca="1">IF(INDIRECT("'["&amp;$C$1&amp;".xls]"&amp;$B90&amp;"'!$T26")="","",IF(INDIRECT("'["&amp;$C$1&amp;".xls]"&amp;$B90&amp;"'!$O$26")="済み",INDIRECT("'["&amp;$C$1&amp;".xls]"&amp;$B90&amp;"'!$T$26"),""))</f>
        <v>#REF!</v>
      </c>
      <c r="AM90" s="48" t="e">
        <f ca="1">IF(INDIRECT("'["&amp;$C$1&amp;".xls]"&amp;$B90&amp;"'!$T27")="","",IF(INDIRECT("'["&amp;$C$1&amp;".xls]"&amp;$B90&amp;"'!$O$27")="済み",INDIRECT("'["&amp;$C$1&amp;".xls]"&amp;$B90&amp;"'!$T$27"),""))</f>
        <v>#REF!</v>
      </c>
      <c r="AN90" s="48" t="e">
        <f ca="1">IF(INDIRECT("'["&amp;$C$1&amp;".xls]"&amp;$B90&amp;"'!$T28")="","",IF(INDIRECT("'["&amp;$C$1&amp;".xls]"&amp;$B90&amp;"'!$O$28")="済み",INDIRECT("'["&amp;$C$1&amp;".xls]"&amp;$B90&amp;"'!$T$28"),""))</f>
        <v>#REF!</v>
      </c>
      <c r="AO90" s="48" t="e">
        <f ca="1">IF(INDIRECT("'["&amp;$C$1&amp;".xls]"&amp;$B90&amp;"'!$T29")="","",IF(INDIRECT("'["&amp;$C$1&amp;".xls]"&amp;$B90&amp;"'!$O$29")="済み",INDIRECT("'["&amp;$C$1&amp;".xls]"&amp;$B90&amp;"'!$T$29"),""))</f>
        <v>#REF!</v>
      </c>
      <c r="AP90" s="48" t="e">
        <f ca="1">IF(INDIRECT("'["&amp;$C$1&amp;".xls]"&amp;$B90&amp;"'!$T30")="","",IF(INDIRECT("'["&amp;$C$1&amp;".xls]"&amp;$B90&amp;"'!$O$30")="済み",INDIRECT("'["&amp;$C$1&amp;".xls]"&amp;$B90&amp;"'!$T$30"),""))</f>
        <v>#REF!</v>
      </c>
      <c r="AQ90" s="48" t="e">
        <f ca="1">IF(INDIRECT("'["&amp;$C$1&amp;".xls]"&amp;$B90&amp;"'!$T31")="","",IF(INDIRECT("'["&amp;$C$1&amp;".xls]"&amp;$B90&amp;"'!$O$31")="済み",INDIRECT("'["&amp;$C$1&amp;".xls]"&amp;$B90&amp;"'!$T$31"),""))</f>
        <v>#REF!</v>
      </c>
      <c r="AR90" s="48" t="e">
        <f ca="1">IF(INDIRECT("'["&amp;$C$1&amp;".xls]"&amp;$B90&amp;"'!$T32")="","",IF(INDIRECT("'["&amp;$C$1&amp;".xls]"&amp;$B90&amp;"'!$O$32")="済み",INDIRECT("'["&amp;$C$1&amp;".xls]"&amp;$B90&amp;"'!$T$32"),""))</f>
        <v>#REF!</v>
      </c>
      <c r="AS90" s="48" t="e">
        <f ca="1">IF(INDIRECT("'["&amp;$C$1&amp;".xls]"&amp;$B90&amp;"'!$T33")="","",IF(INDIRECT("'["&amp;$C$1&amp;".xls]"&amp;$B90&amp;"'!$O$33")="済み",INDIRECT("'["&amp;$C$1&amp;".xls]"&amp;$B90&amp;"'!$T$33"),""))</f>
        <v>#REF!</v>
      </c>
      <c r="AT90" s="48" t="e">
        <f ca="1">IF(INDIRECT("'["&amp;$C$1&amp;".xls]"&amp;$B90&amp;"'!$T34")="","",IF(INDIRECT("'["&amp;$C$1&amp;".xls]"&amp;$B90&amp;"'!$O$34")="済み",INDIRECT("'["&amp;$C$1&amp;".xls]"&amp;$B90&amp;"'!$T$34"),""))</f>
        <v>#REF!</v>
      </c>
      <c r="AU90" s="93" t="e">
        <f ca="1">INDIRECT("'["&amp;$C$1&amp;".xls]"&amp;$B90&amp;"'!$B$6")</f>
        <v>#REF!</v>
      </c>
      <c r="AV90" s="93"/>
      <c r="AW90" s="93"/>
      <c r="AX90" s="93"/>
      <c r="AY90" s="93"/>
    </row>
    <row r="91" spans="1:52" ht="16.5" customHeight="1" x14ac:dyDescent="0.15">
      <c r="A91" s="128" t="s">
        <v>1311</v>
      </c>
      <c r="B91" s="133" t="s">
        <v>1312</v>
      </c>
      <c r="C91" s="48" t="s">
        <v>1313</v>
      </c>
      <c r="D91" s="62" t="s">
        <v>263</v>
      </c>
      <c r="E91" s="48" t="s">
        <v>264</v>
      </c>
      <c r="F91" s="61">
        <v>42402</v>
      </c>
      <c r="G91" s="61">
        <v>42402</v>
      </c>
      <c r="H91" s="125">
        <v>42405</v>
      </c>
      <c r="I91" s="61" t="s">
        <v>263</v>
      </c>
      <c r="J91" s="87"/>
      <c r="K91" s="62" t="s">
        <v>9</v>
      </c>
      <c r="L91" s="62">
        <v>3</v>
      </c>
      <c r="M91" s="62" t="s">
        <v>409</v>
      </c>
      <c r="N91" s="62" t="s">
        <v>1314</v>
      </c>
      <c r="O91" s="48" t="s">
        <v>1315</v>
      </c>
      <c r="P91" s="48" t="s">
        <v>267</v>
      </c>
      <c r="Q91" s="48" t="s">
        <v>892</v>
      </c>
      <c r="R91" s="122" t="s">
        <v>263</v>
      </c>
      <c r="S91" s="48" t="s">
        <v>269</v>
      </c>
      <c r="T91" s="48" t="s">
        <v>270</v>
      </c>
      <c r="U91" s="48" t="s">
        <v>1316</v>
      </c>
      <c r="V91" s="122" t="s">
        <v>263</v>
      </c>
      <c r="W91" s="122" t="s">
        <v>263</v>
      </c>
      <c r="X91" s="122" t="s">
        <v>263</v>
      </c>
      <c r="Y91" s="122" t="s">
        <v>263</v>
      </c>
      <c r="Z91" s="61"/>
      <c r="AA91" s="48" t="s">
        <v>548</v>
      </c>
      <c r="AB91" s="48" t="s">
        <v>547</v>
      </c>
      <c r="AC91" s="48" t="s">
        <v>548</v>
      </c>
      <c r="AD91" s="48" t="s">
        <v>273</v>
      </c>
      <c r="AE91" s="48" t="s">
        <v>273</v>
      </c>
      <c r="AF91" s="48" t="s">
        <v>273</v>
      </c>
      <c r="AG91" s="48" t="s">
        <v>273</v>
      </c>
      <c r="AH91" s="48" t="s">
        <v>273</v>
      </c>
      <c r="AI91" s="48" t="s">
        <v>273</v>
      </c>
      <c r="AJ91" s="48" t="s">
        <v>273</v>
      </c>
      <c r="AK91" s="48" t="s">
        <v>549</v>
      </c>
      <c r="AL91" s="48" t="s">
        <v>550</v>
      </c>
      <c r="AM91" s="48" t="s">
        <v>551</v>
      </c>
      <c r="AN91" s="48" t="s">
        <v>273</v>
      </c>
      <c r="AO91" s="48" t="s">
        <v>273</v>
      </c>
      <c r="AP91" s="48" t="s">
        <v>273</v>
      </c>
      <c r="AQ91" s="48" t="s">
        <v>273</v>
      </c>
      <c r="AR91" s="48" t="s">
        <v>273</v>
      </c>
      <c r="AS91" s="48" t="s">
        <v>273</v>
      </c>
      <c r="AT91" s="48" t="s">
        <v>273</v>
      </c>
      <c r="AU91" s="93">
        <v>40756</v>
      </c>
      <c r="AV91" s="93"/>
      <c r="AW91" s="93"/>
      <c r="AX91" s="93"/>
      <c r="AY91" s="93"/>
    </row>
    <row r="92" spans="1:52" ht="16.5" customHeight="1" x14ac:dyDescent="0.15">
      <c r="A92" s="128" t="s">
        <v>1317</v>
      </c>
      <c r="B92" s="133" t="s">
        <v>1318</v>
      </c>
      <c r="C92" s="48" t="s">
        <v>330</v>
      </c>
      <c r="D92" s="62" t="s">
        <v>1319</v>
      </c>
      <c r="E92" s="48" t="s">
        <v>300</v>
      </c>
      <c r="F92" s="61">
        <v>42402</v>
      </c>
      <c r="G92" s="61">
        <v>42402</v>
      </c>
      <c r="H92" s="125">
        <v>42409</v>
      </c>
      <c r="I92" s="61" t="s">
        <v>279</v>
      </c>
      <c r="J92" s="87"/>
      <c r="K92" s="62" t="s">
        <v>12</v>
      </c>
      <c r="L92" s="62">
        <v>3</v>
      </c>
      <c r="M92" s="62" t="s">
        <v>1215</v>
      </c>
      <c r="N92" s="62" t="s">
        <v>1320</v>
      </c>
      <c r="O92" s="48" t="s">
        <v>1217</v>
      </c>
      <c r="P92" s="48" t="s">
        <v>1321</v>
      </c>
      <c r="Q92" s="48" t="s">
        <v>1322</v>
      </c>
      <c r="R92" s="48" t="s">
        <v>1323</v>
      </c>
      <c r="S92" s="48" t="s">
        <v>1324</v>
      </c>
      <c r="T92" s="48" t="s">
        <v>1325</v>
      </c>
      <c r="U92" s="48" t="s">
        <v>1326</v>
      </c>
      <c r="V92" s="122" t="s">
        <v>263</v>
      </c>
      <c r="W92" s="122" t="s">
        <v>263</v>
      </c>
      <c r="X92" s="48" t="s">
        <v>1327</v>
      </c>
      <c r="Y92" s="48" t="s">
        <v>1328</v>
      </c>
      <c r="Z92" s="61"/>
      <c r="AA92" s="48" t="s">
        <v>273</v>
      </c>
      <c r="AB92" s="48" t="s">
        <v>273</v>
      </c>
      <c r="AC92" s="48" t="s">
        <v>273</v>
      </c>
      <c r="AD92" s="48" t="s">
        <v>273</v>
      </c>
      <c r="AE92" s="48" t="s">
        <v>273</v>
      </c>
      <c r="AF92" s="48" t="s">
        <v>273</v>
      </c>
      <c r="AG92" s="48" t="s">
        <v>273</v>
      </c>
      <c r="AH92" s="48" t="s">
        <v>273</v>
      </c>
      <c r="AI92" s="48" t="s">
        <v>273</v>
      </c>
      <c r="AJ92" s="48" t="s">
        <v>273</v>
      </c>
      <c r="AK92" s="48" t="s">
        <v>273</v>
      </c>
      <c r="AL92" s="48" t="s">
        <v>273</v>
      </c>
      <c r="AM92" s="48" t="s">
        <v>273</v>
      </c>
      <c r="AN92" s="48" t="s">
        <v>273</v>
      </c>
      <c r="AO92" s="48" t="s">
        <v>273</v>
      </c>
      <c r="AP92" s="48" t="s">
        <v>273</v>
      </c>
      <c r="AQ92" s="48" t="s">
        <v>273</v>
      </c>
      <c r="AR92" s="48" t="s">
        <v>273</v>
      </c>
      <c r="AS92" s="48" t="s">
        <v>273</v>
      </c>
      <c r="AT92" s="48" t="s">
        <v>273</v>
      </c>
      <c r="AU92" s="93">
        <v>41244</v>
      </c>
      <c r="AV92" s="93"/>
      <c r="AW92" s="93"/>
      <c r="AX92" s="93"/>
      <c r="AY92" s="93"/>
      <c r="AZ92" s="49" t="s">
        <v>1329</v>
      </c>
    </row>
    <row r="93" spans="1:52" ht="16.5" customHeight="1" x14ac:dyDescent="0.15">
      <c r="A93" s="151" t="s">
        <v>1330</v>
      </c>
      <c r="B93" s="152" t="s">
        <v>1331</v>
      </c>
      <c r="C93" s="48" t="s">
        <v>1332</v>
      </c>
      <c r="D93" s="62" t="s">
        <v>263</v>
      </c>
      <c r="E93" s="48" t="s">
        <v>264</v>
      </c>
      <c r="F93" s="61">
        <v>42402</v>
      </c>
      <c r="G93" s="61">
        <v>42402</v>
      </c>
      <c r="H93" s="125">
        <v>42565</v>
      </c>
      <c r="I93" s="61" t="s">
        <v>279</v>
      </c>
      <c r="J93" s="87"/>
      <c r="K93" s="62" t="s">
        <v>14</v>
      </c>
      <c r="L93" s="62">
        <v>3</v>
      </c>
      <c r="M93" s="62" t="s">
        <v>209</v>
      </c>
      <c r="N93" s="62" t="s">
        <v>1333</v>
      </c>
      <c r="O93" s="48" t="s">
        <v>1334</v>
      </c>
      <c r="P93" s="48" t="s">
        <v>1335</v>
      </c>
      <c r="Q93" s="48" t="s">
        <v>1336</v>
      </c>
      <c r="R93" s="48" t="s">
        <v>858</v>
      </c>
      <c r="S93" s="48" t="s">
        <v>859</v>
      </c>
      <c r="T93" s="48" t="s">
        <v>860</v>
      </c>
      <c r="U93" s="48" t="s">
        <v>1337</v>
      </c>
      <c r="V93" s="122" t="s">
        <v>263</v>
      </c>
      <c r="W93" s="122" t="s">
        <v>263</v>
      </c>
      <c r="X93" s="48" t="s">
        <v>1338</v>
      </c>
      <c r="Y93" s="48" t="s">
        <v>1339</v>
      </c>
      <c r="Z93" s="61"/>
      <c r="AA93" s="48" t="s">
        <v>272</v>
      </c>
      <c r="AB93" s="48" t="s">
        <v>273</v>
      </c>
      <c r="AC93" s="48" t="s">
        <v>273</v>
      </c>
      <c r="AD93" s="48" t="s">
        <v>273</v>
      </c>
      <c r="AE93" s="48" t="s">
        <v>273</v>
      </c>
      <c r="AF93" s="48" t="s">
        <v>273</v>
      </c>
      <c r="AG93" s="48" t="s">
        <v>273</v>
      </c>
      <c r="AH93" s="48" t="s">
        <v>273</v>
      </c>
      <c r="AI93" s="48" t="s">
        <v>273</v>
      </c>
      <c r="AJ93" s="48" t="s">
        <v>273</v>
      </c>
      <c r="AK93" s="48" t="s">
        <v>274</v>
      </c>
      <c r="AL93" s="48" t="s">
        <v>273</v>
      </c>
      <c r="AM93" s="48"/>
      <c r="AN93" s="48" t="s">
        <v>273</v>
      </c>
      <c r="AO93" s="48" t="s">
        <v>273</v>
      </c>
      <c r="AP93" s="48" t="s">
        <v>273</v>
      </c>
      <c r="AQ93" s="48" t="s">
        <v>273</v>
      </c>
      <c r="AR93" s="48" t="s">
        <v>273</v>
      </c>
      <c r="AS93" s="48" t="s">
        <v>273</v>
      </c>
      <c r="AT93" s="48" t="s">
        <v>273</v>
      </c>
      <c r="AU93" s="93">
        <v>41000</v>
      </c>
      <c r="AV93" s="93"/>
      <c r="AW93" s="93"/>
      <c r="AX93" s="93"/>
      <c r="AY93" s="93"/>
    </row>
    <row r="94" spans="1:52" ht="16.5" customHeight="1" x14ac:dyDescent="0.15">
      <c r="A94" s="138" t="s">
        <v>1340</v>
      </c>
      <c r="B94" s="140" t="s">
        <v>1341</v>
      </c>
      <c r="C94" s="48" t="s">
        <v>298</v>
      </c>
      <c r="D94" s="62" t="s">
        <v>263</v>
      </c>
      <c r="E94" s="48" t="s">
        <v>264</v>
      </c>
      <c r="F94" s="61">
        <v>42402</v>
      </c>
      <c r="G94" s="61">
        <v>42402</v>
      </c>
      <c r="H94" s="125">
        <v>42468</v>
      </c>
      <c r="I94" s="61" t="s">
        <v>279</v>
      </c>
      <c r="J94" s="87"/>
      <c r="K94" s="62" t="s">
        <v>12</v>
      </c>
      <c r="L94" s="62">
        <v>5</v>
      </c>
      <c r="M94" s="62" t="s">
        <v>471</v>
      </c>
      <c r="N94" s="62" t="s">
        <v>1342</v>
      </c>
      <c r="O94" s="48" t="s">
        <v>473</v>
      </c>
      <c r="P94" s="48" t="s">
        <v>1225</v>
      </c>
      <c r="Q94" s="130" t="s">
        <v>1343</v>
      </c>
      <c r="R94" s="48" t="s">
        <v>399</v>
      </c>
      <c r="S94" s="48" t="s">
        <v>400</v>
      </c>
      <c r="T94" s="48" t="s">
        <v>401</v>
      </c>
      <c r="U94" s="48" t="s">
        <v>1344</v>
      </c>
      <c r="V94" s="122" t="s">
        <v>263</v>
      </c>
      <c r="W94" s="122" t="s">
        <v>263</v>
      </c>
      <c r="X94" s="48" t="s">
        <v>1345</v>
      </c>
      <c r="Y94" s="48" t="s">
        <v>1346</v>
      </c>
      <c r="Z94" s="61"/>
      <c r="AA94" s="48" t="s">
        <v>273</v>
      </c>
      <c r="AB94" s="48" t="s">
        <v>273</v>
      </c>
      <c r="AC94" s="48" t="s">
        <v>273</v>
      </c>
      <c r="AD94" s="48" t="s">
        <v>273</v>
      </c>
      <c r="AE94" s="48" t="s">
        <v>273</v>
      </c>
      <c r="AF94" s="48" t="s">
        <v>273</v>
      </c>
      <c r="AG94" s="48" t="s">
        <v>273</v>
      </c>
      <c r="AH94" s="48" t="s">
        <v>273</v>
      </c>
      <c r="AI94" s="48" t="s">
        <v>273</v>
      </c>
      <c r="AJ94" s="48" t="s">
        <v>273</v>
      </c>
      <c r="AK94" s="48" t="s">
        <v>273</v>
      </c>
      <c r="AL94" s="48" t="s">
        <v>273</v>
      </c>
      <c r="AM94" s="48" t="s">
        <v>273</v>
      </c>
      <c r="AN94" s="48" t="s">
        <v>273</v>
      </c>
      <c r="AO94" s="48" t="s">
        <v>273</v>
      </c>
      <c r="AP94" s="48" t="s">
        <v>273</v>
      </c>
      <c r="AQ94" s="48" t="s">
        <v>273</v>
      </c>
      <c r="AR94" s="48" t="s">
        <v>273</v>
      </c>
      <c r="AS94" s="48" t="s">
        <v>273</v>
      </c>
      <c r="AT94" s="48" t="s">
        <v>273</v>
      </c>
      <c r="AU94" s="93">
        <v>41000</v>
      </c>
      <c r="AV94" s="93"/>
      <c r="AW94" s="93"/>
      <c r="AX94" s="93"/>
      <c r="AY94" s="93"/>
      <c r="AZ94" s="49" t="s">
        <v>1347</v>
      </c>
    </row>
    <row r="95" spans="1:52" ht="16.5" customHeight="1" x14ac:dyDescent="0.15">
      <c r="A95" s="138" t="s">
        <v>1348</v>
      </c>
      <c r="B95" s="140" t="s">
        <v>1349</v>
      </c>
      <c r="C95" s="48" t="s">
        <v>1350</v>
      </c>
      <c r="D95" s="62" t="s">
        <v>263</v>
      </c>
      <c r="E95" s="48" t="s">
        <v>264</v>
      </c>
      <c r="F95" s="61">
        <v>42402</v>
      </c>
      <c r="G95" s="61">
        <v>42402</v>
      </c>
      <c r="H95" s="125">
        <v>42464</v>
      </c>
      <c r="I95" s="61" t="s">
        <v>279</v>
      </c>
      <c r="J95" s="87"/>
      <c r="K95" s="62">
        <v>0</v>
      </c>
      <c r="L95" s="62"/>
      <c r="M95" s="62" t="s">
        <v>471</v>
      </c>
      <c r="N95" s="62" t="s">
        <v>1351</v>
      </c>
      <c r="O95" s="48" t="s">
        <v>502</v>
      </c>
      <c r="P95" s="48" t="s">
        <v>524</v>
      </c>
      <c r="Q95" s="130" t="s">
        <v>1352</v>
      </c>
      <c r="R95" s="48" t="s">
        <v>476</v>
      </c>
      <c r="S95" s="48" t="s">
        <v>477</v>
      </c>
      <c r="T95" s="48" t="s">
        <v>478</v>
      </c>
      <c r="U95" s="48" t="s">
        <v>1353</v>
      </c>
      <c r="V95" s="122" t="s">
        <v>263</v>
      </c>
      <c r="W95" s="122" t="s">
        <v>263</v>
      </c>
      <c r="X95" s="48" t="s">
        <v>1354</v>
      </c>
      <c r="Y95" s="48" t="s">
        <v>1355</v>
      </c>
      <c r="Z95" s="61"/>
      <c r="AA95" s="48" t="s">
        <v>529</v>
      </c>
      <c r="AB95" s="48" t="s">
        <v>1356</v>
      </c>
      <c r="AC95" s="48" t="s">
        <v>273</v>
      </c>
      <c r="AD95" s="48" t="s">
        <v>273</v>
      </c>
      <c r="AE95" s="48" t="s">
        <v>273</v>
      </c>
      <c r="AF95" s="48" t="s">
        <v>273</v>
      </c>
      <c r="AG95" s="48" t="s">
        <v>273</v>
      </c>
      <c r="AH95" s="48" t="s">
        <v>273</v>
      </c>
      <c r="AI95" s="48" t="s">
        <v>273</v>
      </c>
      <c r="AJ95" s="48" t="s">
        <v>273</v>
      </c>
      <c r="AK95" s="48" t="s">
        <v>530</v>
      </c>
      <c r="AL95" s="48" t="s">
        <v>1357</v>
      </c>
      <c r="AM95" s="48" t="s">
        <v>273</v>
      </c>
      <c r="AN95" s="48" t="s">
        <v>273</v>
      </c>
      <c r="AO95" s="48" t="s">
        <v>273</v>
      </c>
      <c r="AP95" s="48" t="s">
        <v>273</v>
      </c>
      <c r="AQ95" s="48" t="s">
        <v>273</v>
      </c>
      <c r="AR95" s="48" t="s">
        <v>273</v>
      </c>
      <c r="AS95" s="48" t="s">
        <v>273</v>
      </c>
      <c r="AT95" s="48" t="s">
        <v>273</v>
      </c>
      <c r="AU95" s="93">
        <v>41000</v>
      </c>
      <c r="AV95" s="93"/>
      <c r="AW95" s="93"/>
      <c r="AX95" s="93"/>
      <c r="AY95" s="93"/>
    </row>
    <row r="96" spans="1:52" ht="16.5" customHeight="1" x14ac:dyDescent="0.15">
      <c r="A96" s="134" t="s">
        <v>1358</v>
      </c>
      <c r="B96" s="136" t="s">
        <v>1359</v>
      </c>
      <c r="C96" s="48" t="s">
        <v>330</v>
      </c>
      <c r="D96" s="62" t="s">
        <v>263</v>
      </c>
      <c r="E96" s="48" t="s">
        <v>273</v>
      </c>
      <c r="F96" s="61">
        <v>42402</v>
      </c>
      <c r="G96" s="61">
        <v>42402</v>
      </c>
      <c r="H96" s="125">
        <v>42446</v>
      </c>
      <c r="I96" s="61" t="s">
        <v>279</v>
      </c>
      <c r="J96" s="87"/>
      <c r="K96" s="62" t="s">
        <v>12</v>
      </c>
      <c r="L96" s="62">
        <v>3</v>
      </c>
      <c r="M96" s="62" t="s">
        <v>1360</v>
      </c>
      <c r="N96" s="62" t="s">
        <v>1361</v>
      </c>
      <c r="O96" s="48" t="s">
        <v>1362</v>
      </c>
      <c r="P96" s="48" t="s">
        <v>524</v>
      </c>
      <c r="Q96" s="48" t="s">
        <v>1363</v>
      </c>
      <c r="R96" s="48" t="s">
        <v>476</v>
      </c>
      <c r="S96" s="48" t="s">
        <v>477</v>
      </c>
      <c r="T96" s="48" t="s">
        <v>478</v>
      </c>
      <c r="U96" s="48" t="s">
        <v>1364</v>
      </c>
      <c r="V96" s="122" t="s">
        <v>263</v>
      </c>
      <c r="W96" s="122" t="s">
        <v>263</v>
      </c>
      <c r="X96" s="48" t="s">
        <v>1365</v>
      </c>
      <c r="Y96" s="48" t="s">
        <v>1366</v>
      </c>
      <c r="Z96" s="61"/>
      <c r="AA96" s="48" t="s">
        <v>562</v>
      </c>
      <c r="AB96" s="48" t="s">
        <v>273</v>
      </c>
      <c r="AC96" s="48" t="s">
        <v>273</v>
      </c>
      <c r="AD96" s="48" t="s">
        <v>273</v>
      </c>
      <c r="AE96" s="48" t="s">
        <v>273</v>
      </c>
      <c r="AF96" s="48" t="s">
        <v>273</v>
      </c>
      <c r="AG96" s="48" t="s">
        <v>273</v>
      </c>
      <c r="AH96" s="48" t="s">
        <v>273</v>
      </c>
      <c r="AI96" s="48" t="s">
        <v>273</v>
      </c>
      <c r="AJ96" s="48" t="s">
        <v>273</v>
      </c>
      <c r="AK96" s="48" t="s">
        <v>564</v>
      </c>
      <c r="AL96" s="48" t="s">
        <v>273</v>
      </c>
      <c r="AM96" s="48" t="s">
        <v>273</v>
      </c>
      <c r="AN96" s="48" t="s">
        <v>273</v>
      </c>
      <c r="AO96" s="48" t="s">
        <v>273</v>
      </c>
      <c r="AP96" s="48" t="s">
        <v>273</v>
      </c>
      <c r="AQ96" s="48" t="s">
        <v>273</v>
      </c>
      <c r="AR96" s="48" t="s">
        <v>273</v>
      </c>
      <c r="AS96" s="48" t="s">
        <v>273</v>
      </c>
      <c r="AT96" s="48" t="s">
        <v>273</v>
      </c>
      <c r="AU96" s="93">
        <v>41000</v>
      </c>
      <c r="AV96" s="93"/>
      <c r="AW96" s="93"/>
      <c r="AX96" s="93"/>
      <c r="AY96" s="93"/>
      <c r="AZ96" s="49" t="s">
        <v>1367</v>
      </c>
    </row>
    <row r="97" spans="1:52" ht="16.5" customHeight="1" x14ac:dyDescent="0.15">
      <c r="A97" s="134" t="s">
        <v>1368</v>
      </c>
      <c r="B97" s="136" t="s">
        <v>1369</v>
      </c>
      <c r="C97" s="48" t="s">
        <v>298</v>
      </c>
      <c r="D97" s="62" t="s">
        <v>1370</v>
      </c>
      <c r="E97" s="48" t="s">
        <v>300</v>
      </c>
      <c r="F97" s="61">
        <v>42403</v>
      </c>
      <c r="G97" s="61">
        <v>42403</v>
      </c>
      <c r="H97" s="125">
        <v>42451</v>
      </c>
      <c r="I97" s="61" t="s">
        <v>279</v>
      </c>
      <c r="J97" s="87"/>
      <c r="K97" s="62" t="s">
        <v>12</v>
      </c>
      <c r="L97" s="62">
        <v>3</v>
      </c>
      <c r="M97" s="62" t="s">
        <v>442</v>
      </c>
      <c r="N97" s="62" t="s">
        <v>1371</v>
      </c>
      <c r="O97" s="48" t="s">
        <v>1372</v>
      </c>
      <c r="P97" s="130" t="s">
        <v>1373</v>
      </c>
      <c r="Q97" s="130" t="s">
        <v>1374</v>
      </c>
      <c r="R97" s="130" t="s">
        <v>1375</v>
      </c>
      <c r="S97" s="130" t="s">
        <v>269</v>
      </c>
      <c r="T97" s="130" t="s">
        <v>270</v>
      </c>
      <c r="U97" s="48" t="s">
        <v>1376</v>
      </c>
      <c r="V97" s="122" t="s">
        <v>263</v>
      </c>
      <c r="W97" s="122" t="s">
        <v>263</v>
      </c>
      <c r="X97" s="48" t="s">
        <v>1377</v>
      </c>
      <c r="Y97" s="48" t="s">
        <v>1378</v>
      </c>
      <c r="Z97" s="61"/>
      <c r="AA97" s="48" t="s">
        <v>453</v>
      </c>
      <c r="AB97" s="48" t="s">
        <v>388</v>
      </c>
      <c r="AC97" s="48" t="s">
        <v>273</v>
      </c>
      <c r="AD97" s="48" t="s">
        <v>273</v>
      </c>
      <c r="AE97" s="48" t="s">
        <v>273</v>
      </c>
      <c r="AF97" s="48" t="s">
        <v>273</v>
      </c>
      <c r="AG97" s="48" t="s">
        <v>273</v>
      </c>
      <c r="AH97" s="48" t="s">
        <v>273</v>
      </c>
      <c r="AI97" s="48" t="s">
        <v>273</v>
      </c>
      <c r="AJ97" s="48" t="s">
        <v>273</v>
      </c>
      <c r="AK97" s="48" t="s">
        <v>454</v>
      </c>
      <c r="AL97" s="48" t="s">
        <v>390</v>
      </c>
      <c r="AM97" s="48" t="s">
        <v>273</v>
      </c>
      <c r="AN97" s="48" t="s">
        <v>273</v>
      </c>
      <c r="AO97" s="48" t="s">
        <v>273</v>
      </c>
      <c r="AP97" s="48" t="s">
        <v>273</v>
      </c>
      <c r="AQ97" s="48" t="s">
        <v>273</v>
      </c>
      <c r="AR97" s="48" t="s">
        <v>273</v>
      </c>
      <c r="AS97" s="48" t="s">
        <v>273</v>
      </c>
      <c r="AT97" s="48" t="s">
        <v>273</v>
      </c>
      <c r="AU97" s="93">
        <v>38169</v>
      </c>
      <c r="AV97" s="93"/>
      <c r="AW97" s="93"/>
      <c r="AX97" s="93"/>
      <c r="AY97" s="93"/>
      <c r="AZ97" s="49" t="s">
        <v>1379</v>
      </c>
    </row>
    <row r="98" spans="1:52" ht="16.5" customHeight="1" x14ac:dyDescent="0.15">
      <c r="A98" s="128" t="s">
        <v>1380</v>
      </c>
      <c r="B98" s="133" t="s">
        <v>1381</v>
      </c>
      <c r="C98" s="48" t="s">
        <v>1382</v>
      </c>
      <c r="D98" s="62" t="s">
        <v>263</v>
      </c>
      <c r="E98" s="48" t="s">
        <v>300</v>
      </c>
      <c r="F98" s="61">
        <v>42403</v>
      </c>
      <c r="G98" s="61">
        <v>42403</v>
      </c>
      <c r="H98" s="125">
        <v>42416</v>
      </c>
      <c r="I98" s="61" t="s">
        <v>279</v>
      </c>
      <c r="J98" s="87"/>
      <c r="K98" s="62" t="s">
        <v>12</v>
      </c>
      <c r="L98" s="62">
        <v>3</v>
      </c>
      <c r="M98" s="62" t="s">
        <v>755</v>
      </c>
      <c r="N98" s="62" t="s">
        <v>1383</v>
      </c>
      <c r="O98" s="48" t="s">
        <v>1384</v>
      </c>
      <c r="P98" s="48" t="s">
        <v>1385</v>
      </c>
      <c r="Q98" s="48" t="s">
        <v>1386</v>
      </c>
      <c r="R98" s="48" t="s">
        <v>1387</v>
      </c>
      <c r="S98" s="48" t="s">
        <v>1388</v>
      </c>
      <c r="T98" s="48" t="s">
        <v>1389</v>
      </c>
      <c r="U98" s="48" t="s">
        <v>900</v>
      </c>
      <c r="V98" s="122" t="s">
        <v>263</v>
      </c>
      <c r="W98" s="122" t="s">
        <v>263</v>
      </c>
      <c r="X98" s="48" t="s">
        <v>901</v>
      </c>
      <c r="Y98" s="48" t="s">
        <v>1390</v>
      </c>
      <c r="Z98" s="61"/>
      <c r="AA98" s="48" t="s">
        <v>1056</v>
      </c>
      <c r="AB98" s="48" t="s">
        <v>1391</v>
      </c>
      <c r="AC98" s="48" t="s">
        <v>1392</v>
      </c>
      <c r="AD98" s="48" t="s">
        <v>1393</v>
      </c>
      <c r="AE98" s="48" t="s">
        <v>291</v>
      </c>
      <c r="AF98" s="48" t="s">
        <v>273</v>
      </c>
      <c r="AG98" s="48" t="s">
        <v>273</v>
      </c>
      <c r="AH98" s="48" t="s">
        <v>273</v>
      </c>
      <c r="AI98" s="48" t="s">
        <v>273</v>
      </c>
      <c r="AJ98" s="48" t="s">
        <v>273</v>
      </c>
      <c r="AK98" s="48" t="s">
        <v>1059</v>
      </c>
      <c r="AL98" s="48" t="s">
        <v>1394</v>
      </c>
      <c r="AM98" s="48" t="s">
        <v>1395</v>
      </c>
      <c r="AN98" s="48" t="s">
        <v>1396</v>
      </c>
      <c r="AO98" s="48" t="s">
        <v>293</v>
      </c>
      <c r="AP98" s="48" t="s">
        <v>273</v>
      </c>
      <c r="AQ98" s="48" t="s">
        <v>273</v>
      </c>
      <c r="AR98" s="48" t="s">
        <v>273</v>
      </c>
      <c r="AS98" s="48" t="s">
        <v>273</v>
      </c>
      <c r="AT98" s="48" t="s">
        <v>273</v>
      </c>
      <c r="AU98" s="93">
        <v>40179</v>
      </c>
      <c r="AV98" s="93"/>
      <c r="AW98" s="93"/>
      <c r="AX98" s="93"/>
      <c r="AY98" s="93"/>
    </row>
    <row r="99" spans="1:52" ht="16.5" customHeight="1" x14ac:dyDescent="0.15">
      <c r="A99" s="128" t="s">
        <v>1397</v>
      </c>
      <c r="B99" s="133" t="s">
        <v>1398</v>
      </c>
      <c r="C99" s="48" t="s">
        <v>1399</v>
      </c>
      <c r="D99" s="62" t="s">
        <v>1400</v>
      </c>
      <c r="E99" s="48" t="s">
        <v>264</v>
      </c>
      <c r="F99" s="61">
        <v>42404</v>
      </c>
      <c r="G99" s="61">
        <v>42404</v>
      </c>
      <c r="H99" s="125">
        <v>42429</v>
      </c>
      <c r="I99" s="61">
        <v>40603</v>
      </c>
      <c r="J99" s="87"/>
      <c r="K99" s="62" t="s">
        <v>12</v>
      </c>
      <c r="L99" s="62">
        <v>3</v>
      </c>
      <c r="M99" s="62" t="s">
        <v>209</v>
      </c>
      <c r="N99" s="62" t="s">
        <v>1401</v>
      </c>
      <c r="O99" s="48" t="s">
        <v>1402</v>
      </c>
      <c r="P99" s="48" t="s">
        <v>1403</v>
      </c>
      <c r="Q99" s="48" t="s">
        <v>1404</v>
      </c>
      <c r="R99" s="48" t="s">
        <v>1405</v>
      </c>
      <c r="S99" s="48" t="s">
        <v>1406</v>
      </c>
      <c r="T99" s="48" t="s">
        <v>1407</v>
      </c>
      <c r="U99" s="48" t="s">
        <v>1408</v>
      </c>
      <c r="V99" s="48" t="s">
        <v>1409</v>
      </c>
      <c r="W99" s="48" t="s">
        <v>1410</v>
      </c>
      <c r="X99" s="48" t="s">
        <v>1411</v>
      </c>
      <c r="Y99" s="48" t="s">
        <v>1412</v>
      </c>
      <c r="Z99" s="61"/>
      <c r="AA99" s="48" t="s">
        <v>272</v>
      </c>
      <c r="AB99" s="48" t="s">
        <v>273</v>
      </c>
      <c r="AC99" s="48" t="s">
        <v>273</v>
      </c>
      <c r="AD99" s="48" t="s">
        <v>273</v>
      </c>
      <c r="AE99" s="48" t="s">
        <v>273</v>
      </c>
      <c r="AF99" s="48" t="s">
        <v>273</v>
      </c>
      <c r="AG99" s="48" t="s">
        <v>273</v>
      </c>
      <c r="AH99" s="48" t="s">
        <v>273</v>
      </c>
      <c r="AI99" s="48" t="s">
        <v>273</v>
      </c>
      <c r="AJ99" s="48" t="s">
        <v>273</v>
      </c>
      <c r="AK99" s="48" t="s">
        <v>274</v>
      </c>
      <c r="AL99" s="48" t="s">
        <v>273</v>
      </c>
      <c r="AM99" s="48" t="s">
        <v>273</v>
      </c>
      <c r="AN99" s="48" t="s">
        <v>273</v>
      </c>
      <c r="AO99" s="48" t="s">
        <v>273</v>
      </c>
      <c r="AP99" s="48" t="s">
        <v>273</v>
      </c>
      <c r="AQ99" s="48" t="s">
        <v>273</v>
      </c>
      <c r="AR99" s="48" t="s">
        <v>273</v>
      </c>
      <c r="AS99" s="48" t="s">
        <v>273</v>
      </c>
      <c r="AT99" s="48" t="s">
        <v>273</v>
      </c>
      <c r="AU99" s="93">
        <v>40575</v>
      </c>
      <c r="AV99" s="93"/>
      <c r="AW99" s="93"/>
      <c r="AX99" s="93"/>
      <c r="AY99" s="93"/>
      <c r="AZ99" s="49" t="s">
        <v>1413</v>
      </c>
    </row>
    <row r="100" spans="1:52" ht="16.5" customHeight="1" x14ac:dyDescent="0.15">
      <c r="A100" s="128" t="s">
        <v>1414</v>
      </c>
      <c r="B100" s="133" t="s">
        <v>1415</v>
      </c>
      <c r="C100" s="48" t="s">
        <v>1416</v>
      </c>
      <c r="D100" s="62" t="s">
        <v>263</v>
      </c>
      <c r="E100" s="48" t="s">
        <v>264</v>
      </c>
      <c r="F100" s="61">
        <v>42404</v>
      </c>
      <c r="G100" s="61">
        <v>42404</v>
      </c>
      <c r="H100" s="125">
        <v>42423</v>
      </c>
      <c r="I100" s="61" t="s">
        <v>279</v>
      </c>
      <c r="J100" s="87"/>
      <c r="K100" s="62" t="s">
        <v>12</v>
      </c>
      <c r="L100" s="62">
        <v>3</v>
      </c>
      <c r="M100" s="62" t="s">
        <v>471</v>
      </c>
      <c r="N100" s="62" t="s">
        <v>1417</v>
      </c>
      <c r="O100" s="48" t="s">
        <v>502</v>
      </c>
      <c r="P100" s="48" t="s">
        <v>1418</v>
      </c>
      <c r="Q100" s="48" t="s">
        <v>1419</v>
      </c>
      <c r="R100" s="48" t="s">
        <v>476</v>
      </c>
      <c r="S100" s="48" t="s">
        <v>477</v>
      </c>
      <c r="T100" s="48" t="s">
        <v>478</v>
      </c>
      <c r="U100" s="48" t="s">
        <v>1420</v>
      </c>
      <c r="V100" s="122" t="s">
        <v>263</v>
      </c>
      <c r="W100" s="122" t="s">
        <v>263</v>
      </c>
      <c r="X100" s="48" t="s">
        <v>1421</v>
      </c>
      <c r="Y100" s="48" t="s">
        <v>1422</v>
      </c>
      <c r="Z100" s="61"/>
      <c r="AA100" s="48" t="s">
        <v>508</v>
      </c>
      <c r="AB100" s="48" t="s">
        <v>273</v>
      </c>
      <c r="AC100" s="48" t="s">
        <v>273</v>
      </c>
      <c r="AD100" s="48" t="s">
        <v>273</v>
      </c>
      <c r="AE100" s="48" t="s">
        <v>273</v>
      </c>
      <c r="AF100" s="48" t="s">
        <v>273</v>
      </c>
      <c r="AG100" s="48" t="s">
        <v>273</v>
      </c>
      <c r="AH100" s="48" t="s">
        <v>273</v>
      </c>
      <c r="AI100" s="48" t="s">
        <v>273</v>
      </c>
      <c r="AJ100" s="48" t="s">
        <v>273</v>
      </c>
      <c r="AK100" s="48" t="s">
        <v>509</v>
      </c>
      <c r="AL100" s="48" t="s">
        <v>273</v>
      </c>
      <c r="AM100" s="48" t="s">
        <v>273</v>
      </c>
      <c r="AN100" s="48" t="s">
        <v>273</v>
      </c>
      <c r="AO100" s="48" t="s">
        <v>273</v>
      </c>
      <c r="AP100" s="48" t="s">
        <v>273</v>
      </c>
      <c r="AQ100" s="48" t="s">
        <v>273</v>
      </c>
      <c r="AR100" s="48" t="s">
        <v>273</v>
      </c>
      <c r="AS100" s="48" t="s">
        <v>273</v>
      </c>
      <c r="AT100" s="48" t="s">
        <v>273</v>
      </c>
      <c r="AU100" s="93">
        <v>41699</v>
      </c>
      <c r="AV100" s="93"/>
      <c r="AW100" s="93"/>
      <c r="AX100" s="93"/>
      <c r="AY100" s="93"/>
    </row>
    <row r="101" spans="1:52" ht="16.5" customHeight="1" x14ac:dyDescent="0.15">
      <c r="A101" s="134" t="s">
        <v>1423</v>
      </c>
      <c r="B101" s="136" t="s">
        <v>1424</v>
      </c>
      <c r="C101" s="48" t="s">
        <v>330</v>
      </c>
      <c r="D101" s="62" t="s">
        <v>263</v>
      </c>
      <c r="E101" s="48" t="s">
        <v>300</v>
      </c>
      <c r="F101" s="61">
        <v>42404</v>
      </c>
      <c r="G101" s="61">
        <v>42404</v>
      </c>
      <c r="H101" s="125">
        <v>42423</v>
      </c>
      <c r="I101" s="61" t="s">
        <v>279</v>
      </c>
      <c r="J101" s="87"/>
      <c r="K101" s="124" t="s">
        <v>263</v>
      </c>
      <c r="L101" s="124" t="s">
        <v>263</v>
      </c>
      <c r="M101" s="62" t="s">
        <v>1360</v>
      </c>
      <c r="N101" s="62" t="s">
        <v>263</v>
      </c>
      <c r="O101" s="48" t="s">
        <v>263</v>
      </c>
      <c r="P101" s="48" t="s">
        <v>1425</v>
      </c>
      <c r="Q101" s="48" t="s">
        <v>1426</v>
      </c>
      <c r="R101" s="48" t="s">
        <v>476</v>
      </c>
      <c r="S101" s="48" t="s">
        <v>477</v>
      </c>
      <c r="T101" s="48" t="s">
        <v>478</v>
      </c>
      <c r="U101" s="48" t="s">
        <v>1427</v>
      </c>
      <c r="V101" s="122" t="s">
        <v>263</v>
      </c>
      <c r="W101" s="122" t="s">
        <v>263</v>
      </c>
      <c r="X101" s="48" t="s">
        <v>1428</v>
      </c>
      <c r="Y101" s="48" t="s">
        <v>1429</v>
      </c>
      <c r="Z101" s="61"/>
      <c r="AA101" s="48" t="s">
        <v>273</v>
      </c>
      <c r="AB101" s="48" t="s">
        <v>273</v>
      </c>
      <c r="AC101" s="48" t="s">
        <v>273</v>
      </c>
      <c r="AD101" s="48" t="s">
        <v>273</v>
      </c>
      <c r="AE101" s="48" t="s">
        <v>273</v>
      </c>
      <c r="AF101" s="48" t="s">
        <v>273</v>
      </c>
      <c r="AG101" s="48" t="s">
        <v>273</v>
      </c>
      <c r="AH101" s="48" t="s">
        <v>273</v>
      </c>
      <c r="AI101" s="48" t="s">
        <v>273</v>
      </c>
      <c r="AJ101" s="48" t="s">
        <v>273</v>
      </c>
      <c r="AK101" s="48" t="s">
        <v>273</v>
      </c>
      <c r="AL101" s="48" t="s">
        <v>273</v>
      </c>
      <c r="AM101" s="48" t="s">
        <v>273</v>
      </c>
      <c r="AN101" s="48" t="s">
        <v>273</v>
      </c>
      <c r="AO101" s="48" t="s">
        <v>273</v>
      </c>
      <c r="AP101" s="48" t="s">
        <v>273</v>
      </c>
      <c r="AQ101" s="48" t="s">
        <v>273</v>
      </c>
      <c r="AR101" s="48" t="s">
        <v>273</v>
      </c>
      <c r="AS101" s="48" t="s">
        <v>273</v>
      </c>
      <c r="AT101" s="48" t="s">
        <v>273</v>
      </c>
      <c r="AU101" s="93" t="s">
        <v>263</v>
      </c>
      <c r="AV101" s="93"/>
      <c r="AW101" s="93"/>
      <c r="AX101" s="93"/>
      <c r="AY101" s="93"/>
      <c r="AZ101" s="49" t="s">
        <v>1430</v>
      </c>
    </row>
    <row r="102" spans="1:52" ht="16.5" customHeight="1" x14ac:dyDescent="0.15">
      <c r="A102" s="134" t="s">
        <v>1431</v>
      </c>
      <c r="B102" s="136" t="s">
        <v>1432</v>
      </c>
      <c r="C102" s="48" t="s">
        <v>1433</v>
      </c>
      <c r="D102" s="62" t="s">
        <v>1434</v>
      </c>
      <c r="E102" s="48" t="s">
        <v>300</v>
      </c>
      <c r="F102" s="61">
        <v>42405</v>
      </c>
      <c r="G102" s="61">
        <v>42405</v>
      </c>
      <c r="H102" s="125">
        <v>42453</v>
      </c>
      <c r="I102" s="61" t="s">
        <v>279</v>
      </c>
      <c r="J102" s="87"/>
      <c r="K102" s="62" t="s">
        <v>12</v>
      </c>
      <c r="L102" s="62">
        <v>3</v>
      </c>
      <c r="M102" s="62" t="s">
        <v>409</v>
      </c>
      <c r="N102" s="62" t="s">
        <v>1435</v>
      </c>
      <c r="O102" s="48" t="s">
        <v>1436</v>
      </c>
      <c r="P102" s="48" t="s">
        <v>1437</v>
      </c>
      <c r="Q102" s="48" t="s">
        <v>1438</v>
      </c>
      <c r="R102" s="48" t="s">
        <v>1439</v>
      </c>
      <c r="S102" s="48" t="s">
        <v>1440</v>
      </c>
      <c r="T102" s="48" t="s">
        <v>1441</v>
      </c>
      <c r="U102" s="48" t="s">
        <v>1442</v>
      </c>
      <c r="V102" s="122" t="s">
        <v>263</v>
      </c>
      <c r="W102" s="122" t="s">
        <v>263</v>
      </c>
      <c r="X102" s="48" t="s">
        <v>1443</v>
      </c>
      <c r="Y102" s="48" t="s">
        <v>1444</v>
      </c>
      <c r="Z102" s="61"/>
      <c r="AA102" s="48" t="s">
        <v>887</v>
      </c>
      <c r="AB102" s="48" t="s">
        <v>273</v>
      </c>
      <c r="AC102" s="48" t="s">
        <v>273</v>
      </c>
      <c r="AD102" s="48" t="s">
        <v>273</v>
      </c>
      <c r="AE102" s="48" t="s">
        <v>273</v>
      </c>
      <c r="AF102" s="48" t="s">
        <v>273</v>
      </c>
      <c r="AG102" s="48" t="s">
        <v>273</v>
      </c>
      <c r="AH102" s="48" t="s">
        <v>273</v>
      </c>
      <c r="AI102" s="48" t="s">
        <v>273</v>
      </c>
      <c r="AJ102" s="48" t="s">
        <v>273</v>
      </c>
      <c r="AK102" s="48" t="s">
        <v>888</v>
      </c>
      <c r="AL102" s="48" t="s">
        <v>273</v>
      </c>
      <c r="AM102" s="48" t="s">
        <v>273</v>
      </c>
      <c r="AN102" s="48" t="s">
        <v>273</v>
      </c>
      <c r="AO102" s="48" t="s">
        <v>273</v>
      </c>
      <c r="AP102" s="48" t="s">
        <v>273</v>
      </c>
      <c r="AQ102" s="48" t="s">
        <v>273</v>
      </c>
      <c r="AR102" s="48" t="s">
        <v>273</v>
      </c>
      <c r="AS102" s="48" t="s">
        <v>273</v>
      </c>
      <c r="AT102" s="48" t="s">
        <v>273</v>
      </c>
      <c r="AU102" s="93">
        <v>39083</v>
      </c>
      <c r="AV102" s="93"/>
      <c r="AW102" s="93"/>
      <c r="AX102" s="93"/>
      <c r="AY102" s="93"/>
      <c r="AZ102" s="49" t="s">
        <v>1445</v>
      </c>
    </row>
    <row r="103" spans="1:52" ht="16.5" customHeight="1" x14ac:dyDescent="0.15">
      <c r="A103" s="128" t="s">
        <v>1446</v>
      </c>
      <c r="B103" s="133" t="s">
        <v>1447</v>
      </c>
      <c r="C103" s="48" t="s">
        <v>1448</v>
      </c>
      <c r="D103" s="62" t="s">
        <v>1449</v>
      </c>
      <c r="E103" s="48" t="s">
        <v>264</v>
      </c>
      <c r="F103" s="61">
        <v>42405</v>
      </c>
      <c r="G103" s="61">
        <v>42405</v>
      </c>
      <c r="H103" s="125">
        <v>42423</v>
      </c>
      <c r="I103" s="61" t="s">
        <v>279</v>
      </c>
      <c r="J103" s="87"/>
      <c r="K103" s="62">
        <v>0</v>
      </c>
      <c r="L103" s="62"/>
      <c r="M103" s="62" t="s">
        <v>209</v>
      </c>
      <c r="N103" s="62" t="s">
        <v>1450</v>
      </c>
      <c r="O103" s="48" t="s">
        <v>1402</v>
      </c>
      <c r="P103" s="48" t="s">
        <v>267</v>
      </c>
      <c r="Q103" s="48" t="s">
        <v>1451</v>
      </c>
      <c r="R103" s="122" t="s">
        <v>263</v>
      </c>
      <c r="S103" s="48" t="s">
        <v>269</v>
      </c>
      <c r="T103" s="48" t="s">
        <v>270</v>
      </c>
      <c r="U103" s="48" t="s">
        <v>1452</v>
      </c>
      <c r="V103" s="122" t="s">
        <v>263</v>
      </c>
      <c r="W103" s="122" t="s">
        <v>263</v>
      </c>
      <c r="X103" s="48" t="s">
        <v>1453</v>
      </c>
      <c r="Y103" s="48" t="s">
        <v>1454</v>
      </c>
      <c r="Z103" s="61"/>
      <c r="AA103" s="48" t="s">
        <v>291</v>
      </c>
      <c r="AB103" s="48" t="s">
        <v>272</v>
      </c>
      <c r="AC103" s="48" t="s">
        <v>1139</v>
      </c>
      <c r="AD103" s="48" t="s">
        <v>273</v>
      </c>
      <c r="AE103" s="48" t="s">
        <v>273</v>
      </c>
      <c r="AF103" s="48" t="s">
        <v>273</v>
      </c>
      <c r="AG103" s="48" t="s">
        <v>273</v>
      </c>
      <c r="AH103" s="48" t="s">
        <v>273</v>
      </c>
      <c r="AI103" s="48" t="s">
        <v>273</v>
      </c>
      <c r="AJ103" s="48" t="s">
        <v>273</v>
      </c>
      <c r="AK103" s="48" t="s">
        <v>293</v>
      </c>
      <c r="AL103" s="48" t="s">
        <v>274</v>
      </c>
      <c r="AM103" s="48" t="s">
        <v>1140</v>
      </c>
      <c r="AN103" s="48" t="s">
        <v>273</v>
      </c>
      <c r="AO103" s="48" t="s">
        <v>273</v>
      </c>
      <c r="AP103" s="48" t="s">
        <v>273</v>
      </c>
      <c r="AQ103" s="48" t="s">
        <v>273</v>
      </c>
      <c r="AR103" s="48" t="s">
        <v>273</v>
      </c>
      <c r="AS103" s="48" t="s">
        <v>273</v>
      </c>
      <c r="AT103" s="48" t="s">
        <v>273</v>
      </c>
      <c r="AU103" s="93">
        <v>40575</v>
      </c>
      <c r="AV103" s="93"/>
      <c r="AW103" s="93"/>
      <c r="AX103" s="93"/>
      <c r="AY103" s="93"/>
    </row>
    <row r="104" spans="1:52" ht="16.5" customHeight="1" x14ac:dyDescent="0.15">
      <c r="A104" s="128" t="s">
        <v>1455</v>
      </c>
      <c r="B104" s="133" t="s">
        <v>1456</v>
      </c>
      <c r="C104" s="48" t="s">
        <v>1457</v>
      </c>
      <c r="D104" s="62" t="s">
        <v>263</v>
      </c>
      <c r="E104" s="48" t="s">
        <v>264</v>
      </c>
      <c r="F104" s="61">
        <v>42405</v>
      </c>
      <c r="G104" s="61">
        <v>42405</v>
      </c>
      <c r="H104" s="125">
        <v>42423</v>
      </c>
      <c r="I104" s="61" t="s">
        <v>1249</v>
      </c>
      <c r="J104" s="87"/>
      <c r="K104" s="62" t="s">
        <v>12</v>
      </c>
      <c r="L104" s="62">
        <v>3</v>
      </c>
      <c r="M104" s="62" t="s">
        <v>680</v>
      </c>
      <c r="N104" s="62" t="s">
        <v>1458</v>
      </c>
      <c r="O104" s="48" t="s">
        <v>1459</v>
      </c>
      <c r="P104" s="48" t="s">
        <v>267</v>
      </c>
      <c r="Q104" s="48" t="s">
        <v>1460</v>
      </c>
      <c r="R104" s="122" t="s">
        <v>263</v>
      </c>
      <c r="S104" s="48" t="s">
        <v>1461</v>
      </c>
      <c r="T104" s="48" t="s">
        <v>1462</v>
      </c>
      <c r="U104" s="48" t="s">
        <v>1463</v>
      </c>
      <c r="V104" s="122" t="s">
        <v>263</v>
      </c>
      <c r="W104" s="122" t="s">
        <v>263</v>
      </c>
      <c r="X104" s="122" t="s">
        <v>263</v>
      </c>
      <c r="Y104" s="122" t="s">
        <v>263</v>
      </c>
      <c r="Z104" s="61"/>
      <c r="AA104" s="48" t="s">
        <v>833</v>
      </c>
      <c r="AB104" s="48" t="s">
        <v>273</v>
      </c>
      <c r="AC104" s="48" t="s">
        <v>273</v>
      </c>
      <c r="AD104" s="48" t="s">
        <v>273</v>
      </c>
      <c r="AE104" s="48" t="s">
        <v>273</v>
      </c>
      <c r="AF104" s="48" t="s">
        <v>273</v>
      </c>
      <c r="AG104" s="48" t="s">
        <v>273</v>
      </c>
      <c r="AH104" s="48" t="s">
        <v>273</v>
      </c>
      <c r="AI104" s="48" t="s">
        <v>273</v>
      </c>
      <c r="AJ104" s="48" t="s">
        <v>273</v>
      </c>
      <c r="AK104" s="48" t="s">
        <v>834</v>
      </c>
      <c r="AL104" s="48" t="s">
        <v>273</v>
      </c>
      <c r="AM104" s="48" t="s">
        <v>273</v>
      </c>
      <c r="AN104" s="48" t="s">
        <v>273</v>
      </c>
      <c r="AO104" s="48" t="s">
        <v>273</v>
      </c>
      <c r="AP104" s="48" t="s">
        <v>273</v>
      </c>
      <c r="AQ104" s="48" t="s">
        <v>273</v>
      </c>
      <c r="AR104" s="48" t="s">
        <v>273</v>
      </c>
      <c r="AS104" s="48" t="s">
        <v>273</v>
      </c>
      <c r="AT104" s="48" t="s">
        <v>273</v>
      </c>
      <c r="AU104" s="93">
        <v>39873</v>
      </c>
      <c r="AV104" s="93"/>
      <c r="AW104" s="93"/>
      <c r="AX104" s="93"/>
      <c r="AY104" s="93"/>
    </row>
    <row r="105" spans="1:52" ht="16.5" customHeight="1" x14ac:dyDescent="0.15">
      <c r="A105" s="128" t="s">
        <v>1464</v>
      </c>
      <c r="B105" s="133" t="s">
        <v>1465</v>
      </c>
      <c r="C105" s="48" t="s">
        <v>1466</v>
      </c>
      <c r="D105" s="62" t="s">
        <v>1467</v>
      </c>
      <c r="E105" s="48" t="s">
        <v>264</v>
      </c>
      <c r="F105" s="61">
        <v>42408</v>
      </c>
      <c r="G105" s="61">
        <v>42408</v>
      </c>
      <c r="H105" s="125">
        <v>42418</v>
      </c>
      <c r="I105" s="61" t="s">
        <v>279</v>
      </c>
      <c r="J105" s="87"/>
      <c r="K105" s="62" t="s">
        <v>12</v>
      </c>
      <c r="L105" s="124" t="s">
        <v>263</v>
      </c>
      <c r="M105" s="62" t="s">
        <v>409</v>
      </c>
      <c r="N105" s="62" t="s">
        <v>1468</v>
      </c>
      <c r="O105" s="48" t="s">
        <v>606</v>
      </c>
      <c r="P105" s="48" t="s">
        <v>1469</v>
      </c>
      <c r="Q105" s="48" t="s">
        <v>1470</v>
      </c>
      <c r="R105" s="122" t="s">
        <v>263</v>
      </c>
      <c r="S105" s="48" t="s">
        <v>269</v>
      </c>
      <c r="T105" s="48" t="s">
        <v>270</v>
      </c>
      <c r="U105" s="48" t="s">
        <v>1471</v>
      </c>
      <c r="V105" s="132" t="s">
        <v>263</v>
      </c>
      <c r="W105" s="132" t="s">
        <v>263</v>
      </c>
      <c r="X105" s="130" t="s">
        <v>1472</v>
      </c>
      <c r="Y105" s="130" t="s">
        <v>1473</v>
      </c>
      <c r="Z105" s="61"/>
      <c r="AA105" s="48" t="s">
        <v>273</v>
      </c>
      <c r="AB105" s="48" t="s">
        <v>273</v>
      </c>
      <c r="AC105" s="48" t="s">
        <v>273</v>
      </c>
      <c r="AD105" s="48" t="s">
        <v>273</v>
      </c>
      <c r="AE105" s="48" t="s">
        <v>273</v>
      </c>
      <c r="AF105" s="48" t="s">
        <v>273</v>
      </c>
      <c r="AG105" s="48" t="s">
        <v>273</v>
      </c>
      <c r="AH105" s="48" t="s">
        <v>273</v>
      </c>
      <c r="AI105" s="48" t="s">
        <v>273</v>
      </c>
      <c r="AJ105" s="48" t="s">
        <v>273</v>
      </c>
      <c r="AK105" s="48" t="s">
        <v>273</v>
      </c>
      <c r="AL105" s="48" t="s">
        <v>273</v>
      </c>
      <c r="AM105" s="48" t="s">
        <v>273</v>
      </c>
      <c r="AN105" s="48" t="s">
        <v>273</v>
      </c>
      <c r="AO105" s="48" t="s">
        <v>273</v>
      </c>
      <c r="AP105" s="48" t="s">
        <v>273</v>
      </c>
      <c r="AQ105" s="48" t="s">
        <v>273</v>
      </c>
      <c r="AR105" s="48" t="s">
        <v>273</v>
      </c>
      <c r="AS105" s="48" t="s">
        <v>273</v>
      </c>
      <c r="AT105" s="48" t="s">
        <v>273</v>
      </c>
      <c r="AU105" s="93">
        <v>40575</v>
      </c>
      <c r="AV105" s="93"/>
      <c r="AW105" s="93"/>
      <c r="AX105" s="93"/>
      <c r="AY105" s="93"/>
      <c r="AZ105" s="49" t="s">
        <v>1474</v>
      </c>
    </row>
    <row r="106" spans="1:52" ht="16.5" customHeight="1" x14ac:dyDescent="0.15">
      <c r="A106" s="128" t="s">
        <v>1475</v>
      </c>
      <c r="B106" s="133" t="s">
        <v>1476</v>
      </c>
      <c r="C106" s="48" t="s">
        <v>1477</v>
      </c>
      <c r="D106" s="62" t="s">
        <v>1478</v>
      </c>
      <c r="E106" s="48" t="s">
        <v>264</v>
      </c>
      <c r="F106" s="61">
        <v>42408</v>
      </c>
      <c r="G106" s="61">
        <v>42408</v>
      </c>
      <c r="H106" s="125">
        <v>42425</v>
      </c>
      <c r="I106" s="61" t="s">
        <v>279</v>
      </c>
      <c r="J106" s="87"/>
      <c r="K106" s="62" t="s">
        <v>12</v>
      </c>
      <c r="L106" s="62">
        <v>3</v>
      </c>
      <c r="M106" s="62" t="s">
        <v>680</v>
      </c>
      <c r="N106" s="62" t="s">
        <v>1479</v>
      </c>
      <c r="O106" s="48" t="s">
        <v>1480</v>
      </c>
      <c r="P106" s="48" t="s">
        <v>1481</v>
      </c>
      <c r="Q106" s="48" t="s">
        <v>1482</v>
      </c>
      <c r="R106" s="48" t="s">
        <v>1483</v>
      </c>
      <c r="S106" s="48" t="s">
        <v>1484</v>
      </c>
      <c r="T106" s="48" t="s">
        <v>1485</v>
      </c>
      <c r="U106" s="48" t="s">
        <v>1486</v>
      </c>
      <c r="V106" s="122" t="s">
        <v>263</v>
      </c>
      <c r="W106" s="122" t="s">
        <v>263</v>
      </c>
      <c r="X106" s="48" t="s">
        <v>1487</v>
      </c>
      <c r="Y106" s="48" t="s">
        <v>1488</v>
      </c>
      <c r="Z106" s="61"/>
      <c r="AA106" s="48" t="s">
        <v>1489</v>
      </c>
      <c r="AB106" s="48" t="s">
        <v>273</v>
      </c>
      <c r="AC106" s="48" t="s">
        <v>273</v>
      </c>
      <c r="AD106" s="48" t="s">
        <v>273</v>
      </c>
      <c r="AE106" s="48" t="s">
        <v>273</v>
      </c>
      <c r="AF106" s="48" t="s">
        <v>273</v>
      </c>
      <c r="AG106" s="48" t="s">
        <v>273</v>
      </c>
      <c r="AH106" s="48" t="s">
        <v>273</v>
      </c>
      <c r="AI106" s="48" t="s">
        <v>273</v>
      </c>
      <c r="AJ106" s="48" t="s">
        <v>273</v>
      </c>
      <c r="AK106" s="48" t="s">
        <v>1490</v>
      </c>
      <c r="AL106" s="48" t="s">
        <v>273</v>
      </c>
      <c r="AM106" s="48" t="s">
        <v>273</v>
      </c>
      <c r="AN106" s="48" t="s">
        <v>273</v>
      </c>
      <c r="AO106" s="48" t="s">
        <v>273</v>
      </c>
      <c r="AP106" s="48" t="s">
        <v>273</v>
      </c>
      <c r="AQ106" s="48" t="s">
        <v>273</v>
      </c>
      <c r="AR106" s="48" t="s">
        <v>273</v>
      </c>
      <c r="AS106" s="48" t="s">
        <v>273</v>
      </c>
      <c r="AT106" s="48" t="s">
        <v>273</v>
      </c>
      <c r="AU106" s="93">
        <v>40787</v>
      </c>
      <c r="AV106" s="93"/>
      <c r="AW106" s="93"/>
      <c r="AX106" s="93"/>
      <c r="AY106" s="93"/>
    </row>
    <row r="107" spans="1:52" ht="16.5" customHeight="1" x14ac:dyDescent="0.15">
      <c r="A107" s="138" t="s">
        <v>1491</v>
      </c>
      <c r="B107" s="140" t="s">
        <v>1492</v>
      </c>
      <c r="C107" s="48" t="s">
        <v>330</v>
      </c>
      <c r="D107" s="62" t="s">
        <v>263</v>
      </c>
      <c r="E107" s="48" t="s">
        <v>273</v>
      </c>
      <c r="F107" s="61">
        <v>42408</v>
      </c>
      <c r="G107" s="61">
        <v>42408</v>
      </c>
      <c r="H107" s="125">
        <v>42500</v>
      </c>
      <c r="I107" s="61" t="s">
        <v>279</v>
      </c>
      <c r="J107" s="87"/>
      <c r="K107" s="62" t="s">
        <v>12</v>
      </c>
      <c r="L107" s="62">
        <v>3</v>
      </c>
      <c r="M107" s="62" t="s">
        <v>394</v>
      </c>
      <c r="N107" s="62" t="s">
        <v>1493</v>
      </c>
      <c r="O107" s="48" t="s">
        <v>396</v>
      </c>
      <c r="P107" s="48" t="s">
        <v>696</v>
      </c>
      <c r="Q107" s="130" t="s">
        <v>1494</v>
      </c>
      <c r="R107" s="48" t="s">
        <v>476</v>
      </c>
      <c r="S107" s="48" t="s">
        <v>477</v>
      </c>
      <c r="T107" s="48" t="s">
        <v>478</v>
      </c>
      <c r="U107" s="48" t="s">
        <v>1495</v>
      </c>
      <c r="V107" s="122" t="s">
        <v>263</v>
      </c>
      <c r="W107" s="122" t="s">
        <v>263</v>
      </c>
      <c r="X107" s="48" t="s">
        <v>1496</v>
      </c>
      <c r="Y107" s="48" t="s">
        <v>1497</v>
      </c>
      <c r="Z107" s="61"/>
      <c r="AA107" s="48" t="s">
        <v>562</v>
      </c>
      <c r="AB107" s="48" t="s">
        <v>518</v>
      </c>
      <c r="AC107" s="48" t="s">
        <v>273</v>
      </c>
      <c r="AD107" s="48" t="s">
        <v>273</v>
      </c>
      <c r="AE107" s="48" t="s">
        <v>273</v>
      </c>
      <c r="AF107" s="48" t="s">
        <v>273</v>
      </c>
      <c r="AG107" s="48" t="s">
        <v>273</v>
      </c>
      <c r="AH107" s="48" t="s">
        <v>273</v>
      </c>
      <c r="AI107" s="48" t="s">
        <v>273</v>
      </c>
      <c r="AJ107" s="48" t="s">
        <v>273</v>
      </c>
      <c r="AK107" s="48" t="s">
        <v>564</v>
      </c>
      <c r="AL107" s="48" t="s">
        <v>519</v>
      </c>
      <c r="AM107" s="48" t="s">
        <v>273</v>
      </c>
      <c r="AN107" s="48" t="s">
        <v>273</v>
      </c>
      <c r="AO107" s="48" t="s">
        <v>273</v>
      </c>
      <c r="AP107" s="48" t="s">
        <v>273</v>
      </c>
      <c r="AQ107" s="48" t="s">
        <v>273</v>
      </c>
      <c r="AR107" s="48" t="s">
        <v>273</v>
      </c>
      <c r="AS107" s="48" t="s">
        <v>273</v>
      </c>
      <c r="AT107" s="48" t="s">
        <v>273</v>
      </c>
      <c r="AU107" s="93">
        <v>39845</v>
      </c>
      <c r="AV107" s="93"/>
      <c r="AW107" s="93"/>
      <c r="AX107" s="93"/>
      <c r="AY107" s="93"/>
    </row>
    <row r="108" spans="1:52" ht="16.5" customHeight="1" x14ac:dyDescent="0.15">
      <c r="A108" s="146" t="s">
        <v>1498</v>
      </c>
      <c r="B108" s="147" t="s">
        <v>1499</v>
      </c>
      <c r="C108" s="48" t="s">
        <v>1500</v>
      </c>
      <c r="D108" s="62" t="s">
        <v>263</v>
      </c>
      <c r="E108" s="48" t="s">
        <v>264</v>
      </c>
      <c r="F108" s="61">
        <v>42408</v>
      </c>
      <c r="G108" s="61">
        <v>42408</v>
      </c>
      <c r="H108" s="125">
        <v>42528</v>
      </c>
      <c r="I108" s="61" t="s">
        <v>1249</v>
      </c>
      <c r="J108" s="87"/>
      <c r="K108" s="62" t="s">
        <v>12</v>
      </c>
      <c r="L108" s="124" t="s">
        <v>263</v>
      </c>
      <c r="M108" s="62" t="s">
        <v>471</v>
      </c>
      <c r="N108" s="62" t="s">
        <v>1501</v>
      </c>
      <c r="O108" s="48" t="s">
        <v>772</v>
      </c>
      <c r="P108" s="48" t="s">
        <v>267</v>
      </c>
      <c r="Q108" s="48" t="s">
        <v>1451</v>
      </c>
      <c r="R108" s="122" t="s">
        <v>263</v>
      </c>
      <c r="S108" s="48" t="s">
        <v>269</v>
      </c>
      <c r="T108" s="48" t="s">
        <v>270</v>
      </c>
      <c r="U108" s="48" t="s">
        <v>1502</v>
      </c>
      <c r="V108" s="122" t="s">
        <v>263</v>
      </c>
      <c r="W108" s="122" t="s">
        <v>263</v>
      </c>
      <c r="X108" s="122" t="s">
        <v>263</v>
      </c>
      <c r="Y108" s="122" t="s">
        <v>263</v>
      </c>
      <c r="Z108" s="61"/>
      <c r="AA108" s="48" t="s">
        <v>508</v>
      </c>
      <c r="AB108" s="48" t="s">
        <v>1356</v>
      </c>
      <c r="AC108" s="48" t="s">
        <v>1158</v>
      </c>
      <c r="AD108" s="48" t="s">
        <v>1503</v>
      </c>
      <c r="AE108" s="48" t="s">
        <v>273</v>
      </c>
      <c r="AF108" s="48" t="s">
        <v>273</v>
      </c>
      <c r="AG108" s="48" t="s">
        <v>273</v>
      </c>
      <c r="AH108" s="48" t="s">
        <v>273</v>
      </c>
      <c r="AI108" s="48" t="s">
        <v>273</v>
      </c>
      <c r="AJ108" s="48" t="s">
        <v>273</v>
      </c>
      <c r="AK108" s="48" t="s">
        <v>509</v>
      </c>
      <c r="AL108" s="48" t="s">
        <v>1357</v>
      </c>
      <c r="AM108" s="48" t="s">
        <v>1160</v>
      </c>
      <c r="AN108" s="48" t="s">
        <v>1504</v>
      </c>
      <c r="AO108" s="48" t="s">
        <v>273</v>
      </c>
      <c r="AP108" s="48" t="s">
        <v>273</v>
      </c>
      <c r="AQ108" s="48" t="s">
        <v>273</v>
      </c>
      <c r="AR108" s="48" t="s">
        <v>273</v>
      </c>
      <c r="AS108" s="48" t="s">
        <v>273</v>
      </c>
      <c r="AT108" s="48" t="s">
        <v>273</v>
      </c>
      <c r="AU108" s="93">
        <v>40330</v>
      </c>
      <c r="AV108" s="93"/>
      <c r="AW108" s="93"/>
      <c r="AX108" s="93"/>
      <c r="AY108" s="93"/>
    </row>
    <row r="109" spans="1:52" ht="16.5" customHeight="1" x14ac:dyDescent="0.15">
      <c r="A109" s="128" t="s">
        <v>1505</v>
      </c>
      <c r="B109" s="133" t="s">
        <v>1506</v>
      </c>
      <c r="C109" s="48" t="s">
        <v>1507</v>
      </c>
      <c r="D109" s="62" t="s">
        <v>1508</v>
      </c>
      <c r="E109" s="48" t="s">
        <v>300</v>
      </c>
      <c r="F109" s="61">
        <v>42409</v>
      </c>
      <c r="G109" s="61">
        <v>42409</v>
      </c>
      <c r="H109" s="125">
        <v>42422</v>
      </c>
      <c r="I109" s="61" t="s">
        <v>279</v>
      </c>
      <c r="J109" s="87"/>
      <c r="K109" s="62" t="s">
        <v>12</v>
      </c>
      <c r="L109" s="124" t="s">
        <v>263</v>
      </c>
      <c r="M109" s="62" t="s">
        <v>209</v>
      </c>
      <c r="N109" s="62" t="s">
        <v>1509</v>
      </c>
      <c r="O109" s="48" t="s">
        <v>316</v>
      </c>
      <c r="P109" s="48" t="s">
        <v>267</v>
      </c>
      <c r="Q109" s="48" t="s">
        <v>622</v>
      </c>
      <c r="R109" s="48" t="s">
        <v>994</v>
      </c>
      <c r="S109" s="48" t="s">
        <v>1510</v>
      </c>
      <c r="T109" s="48" t="s">
        <v>1511</v>
      </c>
      <c r="U109" s="48" t="s">
        <v>1512</v>
      </c>
      <c r="V109" s="122" t="s">
        <v>263</v>
      </c>
      <c r="W109" s="122" t="s">
        <v>263</v>
      </c>
      <c r="X109" s="48" t="s">
        <v>1513</v>
      </c>
      <c r="Y109" s="48" t="s">
        <v>1514</v>
      </c>
      <c r="Z109" s="61"/>
      <c r="AA109" s="48" t="s">
        <v>273</v>
      </c>
      <c r="AB109" s="48" t="s">
        <v>273</v>
      </c>
      <c r="AC109" s="48" t="s">
        <v>273</v>
      </c>
      <c r="AD109" s="48" t="s">
        <v>273</v>
      </c>
      <c r="AE109" s="48" t="s">
        <v>273</v>
      </c>
      <c r="AF109" s="48" t="s">
        <v>273</v>
      </c>
      <c r="AG109" s="48" t="s">
        <v>273</v>
      </c>
      <c r="AH109" s="48" t="s">
        <v>273</v>
      </c>
      <c r="AI109" s="48" t="s">
        <v>273</v>
      </c>
      <c r="AJ109" s="48" t="s">
        <v>273</v>
      </c>
      <c r="AK109" s="48" t="s">
        <v>273</v>
      </c>
      <c r="AL109" s="48" t="s">
        <v>273</v>
      </c>
      <c r="AM109" s="48" t="s">
        <v>273</v>
      </c>
      <c r="AN109" s="48" t="s">
        <v>273</v>
      </c>
      <c r="AO109" s="48" t="s">
        <v>273</v>
      </c>
      <c r="AP109" s="48" t="s">
        <v>273</v>
      </c>
      <c r="AQ109" s="48" t="s">
        <v>273</v>
      </c>
      <c r="AR109" s="48" t="s">
        <v>273</v>
      </c>
      <c r="AS109" s="48" t="s">
        <v>273</v>
      </c>
      <c r="AT109" s="48" t="s">
        <v>273</v>
      </c>
      <c r="AU109" s="93">
        <v>40330</v>
      </c>
      <c r="AV109" s="93"/>
      <c r="AW109" s="93"/>
      <c r="AX109" s="93"/>
      <c r="AY109" s="93"/>
      <c r="AZ109" s="49" t="s">
        <v>1515</v>
      </c>
    </row>
    <row r="110" spans="1:52" ht="16.5" customHeight="1" x14ac:dyDescent="0.15">
      <c r="A110" s="138" t="s">
        <v>1516</v>
      </c>
      <c r="B110" s="140" t="s">
        <v>1517</v>
      </c>
      <c r="C110" s="48" t="s">
        <v>298</v>
      </c>
      <c r="D110" s="62" t="s">
        <v>263</v>
      </c>
      <c r="E110" s="48" t="s">
        <v>273</v>
      </c>
      <c r="F110" s="61">
        <v>42409</v>
      </c>
      <c r="G110" s="61">
        <v>42409</v>
      </c>
      <c r="H110" s="125">
        <v>42473</v>
      </c>
      <c r="I110" s="61" t="s">
        <v>279</v>
      </c>
      <c r="J110" s="87"/>
      <c r="K110" s="62" t="s">
        <v>12</v>
      </c>
      <c r="L110" s="62">
        <v>3</v>
      </c>
      <c r="M110" s="62" t="s">
        <v>394</v>
      </c>
      <c r="N110" s="62" t="s">
        <v>1518</v>
      </c>
      <c r="O110" s="48" t="s">
        <v>396</v>
      </c>
      <c r="P110" s="48" t="s">
        <v>1519</v>
      </c>
      <c r="Q110" s="130" t="s">
        <v>1520</v>
      </c>
      <c r="R110" s="48" t="s">
        <v>399</v>
      </c>
      <c r="S110" s="130" t="s">
        <v>400</v>
      </c>
      <c r="T110" s="130" t="s">
        <v>401</v>
      </c>
      <c r="U110" s="48" t="s">
        <v>1521</v>
      </c>
      <c r="V110" s="122" t="s">
        <v>263</v>
      </c>
      <c r="W110" s="122" t="s">
        <v>263</v>
      </c>
      <c r="X110" s="48" t="s">
        <v>1522</v>
      </c>
      <c r="Y110" s="48" t="s">
        <v>1523</v>
      </c>
      <c r="Z110" s="61"/>
      <c r="AA110" s="48" t="s">
        <v>518</v>
      </c>
      <c r="AB110" s="48" t="s">
        <v>273</v>
      </c>
      <c r="AC110" s="48" t="s">
        <v>273</v>
      </c>
      <c r="AD110" s="48" t="s">
        <v>273</v>
      </c>
      <c r="AE110" s="48" t="s">
        <v>273</v>
      </c>
      <c r="AF110" s="48" t="s">
        <v>273</v>
      </c>
      <c r="AG110" s="48" t="s">
        <v>273</v>
      </c>
      <c r="AH110" s="48" t="s">
        <v>273</v>
      </c>
      <c r="AI110" s="48" t="s">
        <v>273</v>
      </c>
      <c r="AJ110" s="48" t="s">
        <v>273</v>
      </c>
      <c r="AK110" s="48" t="s">
        <v>519</v>
      </c>
      <c r="AL110" s="48" t="s">
        <v>273</v>
      </c>
      <c r="AM110" s="48" t="s">
        <v>273</v>
      </c>
      <c r="AN110" s="48" t="s">
        <v>273</v>
      </c>
      <c r="AO110" s="48" t="s">
        <v>273</v>
      </c>
      <c r="AP110" s="48" t="s">
        <v>273</v>
      </c>
      <c r="AQ110" s="48" t="s">
        <v>273</v>
      </c>
      <c r="AR110" s="48" t="s">
        <v>273</v>
      </c>
      <c r="AS110" s="48" t="s">
        <v>273</v>
      </c>
      <c r="AT110" s="48" t="s">
        <v>273</v>
      </c>
      <c r="AU110" s="93">
        <v>39845</v>
      </c>
      <c r="AV110" s="93"/>
      <c r="AW110" s="93"/>
      <c r="AX110" s="93"/>
      <c r="AY110" s="93"/>
    </row>
    <row r="111" spans="1:52" ht="16.5" customHeight="1" x14ac:dyDescent="0.15">
      <c r="A111" s="138" t="s">
        <v>1524</v>
      </c>
      <c r="B111" s="140" t="s">
        <v>1525</v>
      </c>
      <c r="C111" s="48" t="s">
        <v>298</v>
      </c>
      <c r="D111" s="62" t="s">
        <v>1526</v>
      </c>
      <c r="E111" s="48" t="s">
        <v>300</v>
      </c>
      <c r="F111" s="61">
        <v>42409</v>
      </c>
      <c r="G111" s="61">
        <v>42409</v>
      </c>
      <c r="H111" s="125">
        <v>42479</v>
      </c>
      <c r="I111" s="61" t="s">
        <v>279</v>
      </c>
      <c r="J111" s="87"/>
      <c r="K111" s="62" t="s">
        <v>12</v>
      </c>
      <c r="L111" s="62">
        <v>3</v>
      </c>
      <c r="M111" s="62">
        <v>180</v>
      </c>
      <c r="N111" s="62" t="s">
        <v>1527</v>
      </c>
      <c r="O111" s="48" t="s">
        <v>1528</v>
      </c>
      <c r="P111" s="48" t="s">
        <v>1529</v>
      </c>
      <c r="Q111" s="48" t="s">
        <v>1530</v>
      </c>
      <c r="R111" s="48" t="s">
        <v>1531</v>
      </c>
      <c r="S111" s="48" t="s">
        <v>1532</v>
      </c>
      <c r="T111" s="48" t="s">
        <v>1533</v>
      </c>
      <c r="U111" s="48" t="s">
        <v>1534</v>
      </c>
      <c r="V111" s="48" t="s">
        <v>1535</v>
      </c>
      <c r="W111" s="48" t="s">
        <v>1536</v>
      </c>
      <c r="X111" s="48" t="s">
        <v>1537</v>
      </c>
      <c r="Y111" s="48" t="s">
        <v>1538</v>
      </c>
      <c r="Z111" s="61"/>
      <c r="AA111" s="48" t="s">
        <v>453</v>
      </c>
      <c r="AB111" s="48" t="s">
        <v>389</v>
      </c>
      <c r="AC111" s="48" t="s">
        <v>581</v>
      </c>
      <c r="AD111" s="48" t="s">
        <v>273</v>
      </c>
      <c r="AE111" s="48" t="s">
        <v>273</v>
      </c>
      <c r="AF111" s="48" t="s">
        <v>273</v>
      </c>
      <c r="AG111" s="48" t="s">
        <v>273</v>
      </c>
      <c r="AH111" s="48" t="s">
        <v>273</v>
      </c>
      <c r="AI111" s="48" t="s">
        <v>273</v>
      </c>
      <c r="AJ111" s="48" t="s">
        <v>273</v>
      </c>
      <c r="AK111" s="48" t="s">
        <v>454</v>
      </c>
      <c r="AL111" s="48" t="s">
        <v>391</v>
      </c>
      <c r="AM111" s="48" t="s">
        <v>582</v>
      </c>
      <c r="AN111" s="48" t="s">
        <v>273</v>
      </c>
      <c r="AO111" s="48" t="s">
        <v>273</v>
      </c>
      <c r="AP111" s="48" t="s">
        <v>273</v>
      </c>
      <c r="AQ111" s="48" t="s">
        <v>273</v>
      </c>
      <c r="AR111" s="48" t="s">
        <v>273</v>
      </c>
      <c r="AS111" s="48" t="s">
        <v>273</v>
      </c>
      <c r="AT111" s="48" t="s">
        <v>273</v>
      </c>
      <c r="AU111" s="93">
        <v>36557</v>
      </c>
      <c r="AV111" s="93"/>
      <c r="AW111" s="93"/>
      <c r="AX111" s="93"/>
      <c r="AY111" s="93"/>
    </row>
    <row r="112" spans="1:52" ht="16.5" customHeight="1" x14ac:dyDescent="0.15">
      <c r="A112" s="134" t="s">
        <v>1539</v>
      </c>
      <c r="B112" s="136" t="s">
        <v>1540</v>
      </c>
      <c r="C112" s="48" t="s">
        <v>298</v>
      </c>
      <c r="D112" s="62" t="s">
        <v>1541</v>
      </c>
      <c r="E112" s="48" t="s">
        <v>273</v>
      </c>
      <c r="F112" s="61">
        <v>42410</v>
      </c>
      <c r="G112" s="61">
        <v>42410</v>
      </c>
      <c r="H112" s="125">
        <v>42453</v>
      </c>
      <c r="I112" s="61" t="s">
        <v>279</v>
      </c>
      <c r="J112" s="87"/>
      <c r="K112" s="62" t="s">
        <v>12</v>
      </c>
      <c r="L112" s="124" t="s">
        <v>263</v>
      </c>
      <c r="M112" s="62" t="s">
        <v>209</v>
      </c>
      <c r="N112" s="62" t="s">
        <v>1542</v>
      </c>
      <c r="O112" s="48" t="s">
        <v>744</v>
      </c>
      <c r="P112" s="48" t="s">
        <v>1543</v>
      </c>
      <c r="Q112" s="48" t="s">
        <v>1544</v>
      </c>
      <c r="R112" s="48" t="s">
        <v>1545</v>
      </c>
      <c r="S112" s="48" t="s">
        <v>1546</v>
      </c>
      <c r="T112" s="48" t="s">
        <v>1547</v>
      </c>
      <c r="U112" s="48" t="s">
        <v>1548</v>
      </c>
      <c r="V112" s="122" t="s">
        <v>263</v>
      </c>
      <c r="W112" s="122" t="s">
        <v>263</v>
      </c>
      <c r="X112" s="48" t="s">
        <v>1549</v>
      </c>
      <c r="Y112" s="48" t="s">
        <v>1550</v>
      </c>
      <c r="Z112" s="61"/>
      <c r="AA112" s="48" t="s">
        <v>273</v>
      </c>
      <c r="AB112" s="48" t="s">
        <v>273</v>
      </c>
      <c r="AC112" s="48" t="s">
        <v>273</v>
      </c>
      <c r="AD112" s="48" t="s">
        <v>273</v>
      </c>
      <c r="AE112" s="48" t="s">
        <v>273</v>
      </c>
      <c r="AF112" s="48" t="s">
        <v>273</v>
      </c>
      <c r="AG112" s="48" t="s">
        <v>273</v>
      </c>
      <c r="AH112" s="48" t="s">
        <v>273</v>
      </c>
      <c r="AI112" s="48" t="s">
        <v>273</v>
      </c>
      <c r="AJ112" s="48" t="s">
        <v>273</v>
      </c>
      <c r="AK112" s="48" t="s">
        <v>273</v>
      </c>
      <c r="AL112" s="48" t="s">
        <v>273</v>
      </c>
      <c r="AM112" s="48" t="s">
        <v>273</v>
      </c>
      <c r="AN112" s="48" t="s">
        <v>273</v>
      </c>
      <c r="AO112" s="48" t="s">
        <v>273</v>
      </c>
      <c r="AP112" s="48" t="s">
        <v>273</v>
      </c>
      <c r="AQ112" s="48" t="s">
        <v>273</v>
      </c>
      <c r="AR112" s="48" t="s">
        <v>273</v>
      </c>
      <c r="AS112" s="48" t="s">
        <v>273</v>
      </c>
      <c r="AT112" s="48" t="s">
        <v>273</v>
      </c>
      <c r="AU112" s="93">
        <v>41244</v>
      </c>
      <c r="AV112" s="93"/>
      <c r="AW112" s="93"/>
      <c r="AX112" s="93"/>
      <c r="AY112" s="93"/>
      <c r="AZ112" s="49" t="s">
        <v>1551</v>
      </c>
    </row>
    <row r="113" spans="1:52" ht="16.5" customHeight="1" x14ac:dyDescent="0.15">
      <c r="A113" s="134" t="s">
        <v>1552</v>
      </c>
      <c r="B113" s="136" t="s">
        <v>1553</v>
      </c>
      <c r="C113" s="48" t="s">
        <v>298</v>
      </c>
      <c r="D113" s="62" t="s">
        <v>1554</v>
      </c>
      <c r="E113" s="48" t="s">
        <v>300</v>
      </c>
      <c r="F113" s="61">
        <v>42410</v>
      </c>
      <c r="G113" s="61">
        <v>42410</v>
      </c>
      <c r="H113" s="125">
        <v>42431</v>
      </c>
      <c r="I113" s="61" t="s">
        <v>279</v>
      </c>
      <c r="J113" s="87"/>
      <c r="K113" s="124" t="s">
        <v>263</v>
      </c>
      <c r="L113" s="124" t="s">
        <v>263</v>
      </c>
      <c r="M113" s="62" t="s">
        <v>442</v>
      </c>
      <c r="N113" s="62" t="s">
        <v>1555</v>
      </c>
      <c r="O113" s="48" t="s">
        <v>1111</v>
      </c>
      <c r="P113" s="48" t="s">
        <v>1556</v>
      </c>
      <c r="Q113" s="48" t="s">
        <v>1557</v>
      </c>
      <c r="R113" s="48" t="s">
        <v>1558</v>
      </c>
      <c r="S113" s="48" t="s">
        <v>1559</v>
      </c>
      <c r="T113" s="48" t="s">
        <v>1560</v>
      </c>
      <c r="U113" s="48" t="s">
        <v>1561</v>
      </c>
      <c r="V113" s="48" t="s">
        <v>1562</v>
      </c>
      <c r="W113" s="122" t="s">
        <v>263</v>
      </c>
      <c r="X113" s="48" t="s">
        <v>1563</v>
      </c>
      <c r="Y113" s="48" t="s">
        <v>1564</v>
      </c>
      <c r="Z113" s="61"/>
      <c r="AA113" s="48" t="s">
        <v>849</v>
      </c>
      <c r="AB113" s="48" t="s">
        <v>273</v>
      </c>
      <c r="AC113" s="48" t="s">
        <v>273</v>
      </c>
      <c r="AD113" s="48" t="s">
        <v>273</v>
      </c>
      <c r="AE113" s="48" t="s">
        <v>273</v>
      </c>
      <c r="AF113" s="48" t="s">
        <v>273</v>
      </c>
      <c r="AG113" s="48" t="s">
        <v>273</v>
      </c>
      <c r="AH113" s="48" t="s">
        <v>273</v>
      </c>
      <c r="AI113" s="48" t="s">
        <v>273</v>
      </c>
      <c r="AJ113" s="48" t="s">
        <v>273</v>
      </c>
      <c r="AK113" s="48" t="s">
        <v>850</v>
      </c>
      <c r="AL113" s="48" t="s">
        <v>273</v>
      </c>
      <c r="AM113" s="48" t="s">
        <v>273</v>
      </c>
      <c r="AN113" s="48" t="s">
        <v>273</v>
      </c>
      <c r="AO113" s="48" t="s">
        <v>273</v>
      </c>
      <c r="AP113" s="48" t="s">
        <v>273</v>
      </c>
      <c r="AQ113" s="48" t="s">
        <v>273</v>
      </c>
      <c r="AR113" s="48" t="s">
        <v>273</v>
      </c>
      <c r="AS113" s="48" t="s">
        <v>273</v>
      </c>
      <c r="AT113" s="48" t="s">
        <v>273</v>
      </c>
      <c r="AU113" s="93">
        <v>37773</v>
      </c>
      <c r="AV113" s="93"/>
      <c r="AW113" s="93"/>
      <c r="AX113" s="93"/>
      <c r="AY113" s="93"/>
    </row>
    <row r="114" spans="1:52" ht="16.5" customHeight="1" x14ac:dyDescent="0.15">
      <c r="A114" s="134" t="s">
        <v>1565</v>
      </c>
      <c r="B114" s="136" t="s">
        <v>1566</v>
      </c>
      <c r="C114" s="48" t="s">
        <v>330</v>
      </c>
      <c r="D114" s="62" t="s">
        <v>263</v>
      </c>
      <c r="E114" s="48" t="s">
        <v>300</v>
      </c>
      <c r="F114" s="61">
        <v>42410</v>
      </c>
      <c r="G114" s="61">
        <v>42410</v>
      </c>
      <c r="H114" s="125">
        <v>42436</v>
      </c>
      <c r="I114" s="61" t="s">
        <v>279</v>
      </c>
      <c r="J114" s="87"/>
      <c r="K114" s="62">
        <v>0</v>
      </c>
      <c r="L114" s="62"/>
      <c r="M114" s="62" t="s">
        <v>394</v>
      </c>
      <c r="N114" s="62" t="s">
        <v>1567</v>
      </c>
      <c r="O114" s="48" t="s">
        <v>555</v>
      </c>
      <c r="P114" s="48" t="s">
        <v>1425</v>
      </c>
      <c r="Q114" s="130" t="s">
        <v>1568</v>
      </c>
      <c r="R114" s="48" t="s">
        <v>476</v>
      </c>
      <c r="S114" s="48" t="s">
        <v>477</v>
      </c>
      <c r="T114" s="48" t="s">
        <v>478</v>
      </c>
      <c r="U114" s="48" t="s">
        <v>1569</v>
      </c>
      <c r="V114" s="122" t="s">
        <v>263</v>
      </c>
      <c r="W114" s="122" t="s">
        <v>263</v>
      </c>
      <c r="X114" s="122" t="s">
        <v>263</v>
      </c>
      <c r="Y114" s="122" t="s">
        <v>263</v>
      </c>
      <c r="Z114" s="61"/>
      <c r="AA114" s="48" t="s">
        <v>273</v>
      </c>
      <c r="AB114" s="48" t="s">
        <v>273</v>
      </c>
      <c r="AC114" s="48" t="s">
        <v>273</v>
      </c>
      <c r="AD114" s="48" t="s">
        <v>273</v>
      </c>
      <c r="AE114" s="48" t="s">
        <v>273</v>
      </c>
      <c r="AF114" s="48" t="s">
        <v>273</v>
      </c>
      <c r="AG114" s="48" t="s">
        <v>273</v>
      </c>
      <c r="AH114" s="48" t="s">
        <v>273</v>
      </c>
      <c r="AI114" s="48" t="s">
        <v>273</v>
      </c>
      <c r="AJ114" s="48" t="s">
        <v>273</v>
      </c>
      <c r="AK114" s="48" t="s">
        <v>273</v>
      </c>
      <c r="AL114" s="48" t="s">
        <v>273</v>
      </c>
      <c r="AM114" s="48" t="s">
        <v>273</v>
      </c>
      <c r="AN114" s="48" t="s">
        <v>273</v>
      </c>
      <c r="AO114" s="48" t="s">
        <v>273</v>
      </c>
      <c r="AP114" s="48" t="s">
        <v>273</v>
      </c>
      <c r="AQ114" s="48" t="s">
        <v>273</v>
      </c>
      <c r="AR114" s="48" t="s">
        <v>273</v>
      </c>
      <c r="AS114" s="48" t="s">
        <v>273</v>
      </c>
      <c r="AT114" s="48" t="s">
        <v>273</v>
      </c>
      <c r="AU114" s="93">
        <v>38139</v>
      </c>
      <c r="AV114" s="93"/>
      <c r="AW114" s="93"/>
      <c r="AX114" s="93"/>
      <c r="AY114" s="93"/>
      <c r="AZ114" s="49" t="s">
        <v>767</v>
      </c>
    </row>
    <row r="115" spans="1:52" ht="16.5" customHeight="1" x14ac:dyDescent="0.15">
      <c r="A115" s="144" t="s">
        <v>1570</v>
      </c>
      <c r="B115" s="145" t="s">
        <v>1571</v>
      </c>
      <c r="C115" s="48" t="s">
        <v>330</v>
      </c>
      <c r="D115" s="62" t="s">
        <v>1572</v>
      </c>
      <c r="E115" s="48" t="s">
        <v>300</v>
      </c>
      <c r="F115" s="61">
        <v>42410</v>
      </c>
      <c r="G115" s="61">
        <v>42410</v>
      </c>
      <c r="H115" s="125">
        <v>42515</v>
      </c>
      <c r="I115" s="61" t="s">
        <v>279</v>
      </c>
      <c r="J115" s="87"/>
      <c r="K115" s="124" t="s">
        <v>263</v>
      </c>
      <c r="L115" s="124" t="s">
        <v>263</v>
      </c>
      <c r="M115" s="62" t="s">
        <v>755</v>
      </c>
      <c r="N115" s="62" t="s">
        <v>1573</v>
      </c>
      <c r="O115" s="48" t="s">
        <v>1574</v>
      </c>
      <c r="P115" s="48" t="s">
        <v>1575</v>
      </c>
      <c r="Q115" s="48" t="s">
        <v>1576</v>
      </c>
      <c r="R115" s="48" t="s">
        <v>1577</v>
      </c>
      <c r="S115" s="130" t="s">
        <v>1578</v>
      </c>
      <c r="T115" s="130" t="s">
        <v>1579</v>
      </c>
      <c r="U115" s="48" t="s">
        <v>1580</v>
      </c>
      <c r="V115" s="122" t="s">
        <v>263</v>
      </c>
      <c r="W115" s="122" t="s">
        <v>263</v>
      </c>
      <c r="X115" s="48" t="s">
        <v>1581</v>
      </c>
      <c r="Y115" s="48" t="s">
        <v>1582</v>
      </c>
      <c r="Z115" s="61"/>
      <c r="AA115" s="48" t="s">
        <v>273</v>
      </c>
      <c r="AB115" s="48" t="s">
        <v>273</v>
      </c>
      <c r="AC115" s="48" t="s">
        <v>273</v>
      </c>
      <c r="AD115" s="48" t="s">
        <v>273</v>
      </c>
      <c r="AE115" s="48" t="s">
        <v>273</v>
      </c>
      <c r="AF115" s="48" t="s">
        <v>273</v>
      </c>
      <c r="AG115" s="48" t="s">
        <v>273</v>
      </c>
      <c r="AH115" s="48" t="s">
        <v>273</v>
      </c>
      <c r="AI115" s="48" t="s">
        <v>273</v>
      </c>
      <c r="AJ115" s="48" t="s">
        <v>273</v>
      </c>
      <c r="AK115" s="48" t="s">
        <v>273</v>
      </c>
      <c r="AL115" s="48" t="s">
        <v>273</v>
      </c>
      <c r="AM115" s="48" t="s">
        <v>273</v>
      </c>
      <c r="AN115" s="48" t="s">
        <v>273</v>
      </c>
      <c r="AO115" s="48" t="s">
        <v>273</v>
      </c>
      <c r="AP115" s="48" t="s">
        <v>273</v>
      </c>
      <c r="AQ115" s="48" t="s">
        <v>273</v>
      </c>
      <c r="AR115" s="48" t="s">
        <v>273</v>
      </c>
      <c r="AS115" s="48" t="s">
        <v>273</v>
      </c>
      <c r="AT115" s="48" t="s">
        <v>273</v>
      </c>
      <c r="AU115" s="93">
        <v>38749</v>
      </c>
      <c r="AV115" s="93"/>
      <c r="AW115" s="93"/>
      <c r="AX115" s="93"/>
      <c r="AY115" s="93"/>
      <c r="AZ115" s="49" t="s">
        <v>1583</v>
      </c>
    </row>
    <row r="116" spans="1:52" ht="16.5" customHeight="1" x14ac:dyDescent="0.15">
      <c r="A116" s="134" t="s">
        <v>1584</v>
      </c>
      <c r="B116" s="136" t="s">
        <v>1585</v>
      </c>
      <c r="C116" s="48" t="s">
        <v>1586</v>
      </c>
      <c r="D116" s="62" t="s">
        <v>263</v>
      </c>
      <c r="E116" s="48" t="s">
        <v>264</v>
      </c>
      <c r="F116" s="61">
        <v>42410</v>
      </c>
      <c r="G116" s="61">
        <v>42410</v>
      </c>
      <c r="H116" s="125">
        <v>42431</v>
      </c>
      <c r="I116" s="61" t="s">
        <v>263</v>
      </c>
      <c r="J116" s="87"/>
      <c r="K116" s="62" t="s">
        <v>12</v>
      </c>
      <c r="L116" s="62">
        <v>3</v>
      </c>
      <c r="M116" s="62" t="s">
        <v>755</v>
      </c>
      <c r="N116" s="62" t="s">
        <v>1587</v>
      </c>
      <c r="O116" s="48" t="s">
        <v>792</v>
      </c>
      <c r="P116" s="48" t="s">
        <v>267</v>
      </c>
      <c r="Q116" s="48" t="s">
        <v>892</v>
      </c>
      <c r="R116" s="122" t="s">
        <v>263</v>
      </c>
      <c r="S116" s="48" t="s">
        <v>269</v>
      </c>
      <c r="T116" s="48" t="s">
        <v>270</v>
      </c>
      <c r="U116" s="48" t="s">
        <v>1588</v>
      </c>
      <c r="V116" s="122" t="s">
        <v>263</v>
      </c>
      <c r="W116" s="122" t="s">
        <v>263</v>
      </c>
      <c r="X116" s="122" t="s">
        <v>263</v>
      </c>
      <c r="Y116" s="122" t="s">
        <v>263</v>
      </c>
      <c r="Z116" s="61"/>
      <c r="AA116" s="48" t="s">
        <v>1056</v>
      </c>
      <c r="AB116" s="48" t="s">
        <v>273</v>
      </c>
      <c r="AC116" s="48" t="s">
        <v>273</v>
      </c>
      <c r="AD116" s="48" t="s">
        <v>273</v>
      </c>
      <c r="AE116" s="48" t="s">
        <v>273</v>
      </c>
      <c r="AF116" s="48" t="s">
        <v>273</v>
      </c>
      <c r="AG116" s="48" t="s">
        <v>273</v>
      </c>
      <c r="AH116" s="48" t="s">
        <v>273</v>
      </c>
      <c r="AI116" s="48" t="s">
        <v>273</v>
      </c>
      <c r="AJ116" s="48" t="s">
        <v>273</v>
      </c>
      <c r="AK116" s="48" t="s">
        <v>1059</v>
      </c>
      <c r="AL116" s="48" t="s">
        <v>273</v>
      </c>
      <c r="AM116" s="48" t="s">
        <v>273</v>
      </c>
      <c r="AN116" s="48" t="s">
        <v>273</v>
      </c>
      <c r="AO116" s="48" t="s">
        <v>273</v>
      </c>
      <c r="AP116" s="48" t="s">
        <v>273</v>
      </c>
      <c r="AQ116" s="48" t="s">
        <v>273</v>
      </c>
      <c r="AR116" s="48" t="s">
        <v>273</v>
      </c>
      <c r="AS116" s="48" t="s">
        <v>273</v>
      </c>
      <c r="AT116" s="48" t="s">
        <v>273</v>
      </c>
      <c r="AU116" s="93">
        <v>40238</v>
      </c>
      <c r="AV116" s="93"/>
      <c r="AW116" s="93"/>
      <c r="AX116" s="93"/>
      <c r="AY116" s="93"/>
    </row>
    <row r="117" spans="1:52" ht="16.5" customHeight="1" x14ac:dyDescent="0.15">
      <c r="A117" s="134" t="s">
        <v>1589</v>
      </c>
      <c r="B117" s="136" t="s">
        <v>1590</v>
      </c>
      <c r="C117" s="48" t="s">
        <v>298</v>
      </c>
      <c r="D117" s="62" t="s">
        <v>1591</v>
      </c>
      <c r="E117" s="48" t="s">
        <v>264</v>
      </c>
      <c r="F117" s="61">
        <v>42412</v>
      </c>
      <c r="G117" s="61">
        <v>42412</v>
      </c>
      <c r="H117" s="125">
        <v>42436</v>
      </c>
      <c r="I117" s="61">
        <v>40968</v>
      </c>
      <c r="J117" s="87"/>
      <c r="K117" s="62" t="s">
        <v>12</v>
      </c>
      <c r="L117" s="124" t="s">
        <v>263</v>
      </c>
      <c r="M117" s="62" t="s">
        <v>209</v>
      </c>
      <c r="N117" s="62" t="s">
        <v>1592</v>
      </c>
      <c r="O117" s="48" t="s">
        <v>281</v>
      </c>
      <c r="P117" s="48" t="s">
        <v>1593</v>
      </c>
      <c r="Q117" s="48" t="s">
        <v>1594</v>
      </c>
      <c r="R117" s="48" t="s">
        <v>1595</v>
      </c>
      <c r="S117" s="48" t="s">
        <v>1596</v>
      </c>
      <c r="T117" s="48" t="s">
        <v>1597</v>
      </c>
      <c r="U117" s="48" t="s">
        <v>1598</v>
      </c>
      <c r="V117" s="122" t="s">
        <v>263</v>
      </c>
      <c r="W117" s="48" t="s">
        <v>1599</v>
      </c>
      <c r="X117" s="48" t="s">
        <v>1600</v>
      </c>
      <c r="Y117" s="48" t="s">
        <v>1601</v>
      </c>
      <c r="Z117" s="61"/>
      <c r="AA117" s="48" t="s">
        <v>273</v>
      </c>
      <c r="AB117" s="48" t="s">
        <v>273</v>
      </c>
      <c r="AC117" s="48" t="s">
        <v>273</v>
      </c>
      <c r="AD117" s="48" t="s">
        <v>273</v>
      </c>
      <c r="AE117" s="48" t="s">
        <v>273</v>
      </c>
      <c r="AF117" s="48" t="s">
        <v>273</v>
      </c>
      <c r="AG117" s="48" t="s">
        <v>273</v>
      </c>
      <c r="AH117" s="48" t="s">
        <v>273</v>
      </c>
      <c r="AI117" s="48" t="s">
        <v>273</v>
      </c>
      <c r="AJ117" s="48" t="s">
        <v>273</v>
      </c>
      <c r="AK117" s="48" t="s">
        <v>273</v>
      </c>
      <c r="AL117" s="48" t="s">
        <v>273</v>
      </c>
      <c r="AM117" s="48" t="s">
        <v>273</v>
      </c>
      <c r="AN117" s="48" t="s">
        <v>273</v>
      </c>
      <c r="AO117" s="48" t="s">
        <v>273</v>
      </c>
      <c r="AP117" s="48" t="s">
        <v>273</v>
      </c>
      <c r="AQ117" s="48" t="s">
        <v>273</v>
      </c>
      <c r="AR117" s="48" t="s">
        <v>273</v>
      </c>
      <c r="AS117" s="48" t="s">
        <v>273</v>
      </c>
      <c r="AT117" s="48" t="s">
        <v>273</v>
      </c>
      <c r="AU117" s="93">
        <v>40878</v>
      </c>
      <c r="AV117" s="93"/>
      <c r="AW117" s="93"/>
      <c r="AX117" s="93"/>
      <c r="AY117" s="93"/>
      <c r="AZ117" s="49" t="s">
        <v>1602</v>
      </c>
    </row>
    <row r="118" spans="1:52" ht="16.5" customHeight="1" x14ac:dyDescent="0.15">
      <c r="A118" s="134" t="s">
        <v>1603</v>
      </c>
      <c r="B118" s="136" t="s">
        <v>1604</v>
      </c>
      <c r="C118" s="48" t="s">
        <v>298</v>
      </c>
      <c r="D118" s="62" t="s">
        <v>1605</v>
      </c>
      <c r="E118" s="48" t="s">
        <v>300</v>
      </c>
      <c r="F118" s="61">
        <v>42412</v>
      </c>
      <c r="G118" s="61">
        <v>42412</v>
      </c>
      <c r="H118" s="125">
        <v>42432</v>
      </c>
      <c r="I118" s="61">
        <v>39464</v>
      </c>
      <c r="J118" s="87"/>
      <c r="K118" s="62" t="s">
        <v>12</v>
      </c>
      <c r="L118" s="62">
        <v>3</v>
      </c>
      <c r="M118" s="62" t="s">
        <v>442</v>
      </c>
      <c r="N118" s="62" t="s">
        <v>1606</v>
      </c>
      <c r="O118" s="48" t="s">
        <v>872</v>
      </c>
      <c r="P118" s="48" t="s">
        <v>1607</v>
      </c>
      <c r="Q118" s="48" t="s">
        <v>1608</v>
      </c>
      <c r="R118" s="48" t="s">
        <v>1609</v>
      </c>
      <c r="S118" s="48" t="s">
        <v>1610</v>
      </c>
      <c r="T118" s="48" t="s">
        <v>1611</v>
      </c>
      <c r="U118" s="48" t="s">
        <v>1612</v>
      </c>
      <c r="V118" s="48" t="s">
        <v>1613</v>
      </c>
      <c r="W118" s="48" t="s">
        <v>1614</v>
      </c>
      <c r="X118" s="48" t="s">
        <v>1615</v>
      </c>
      <c r="Y118" s="48" t="s">
        <v>1616</v>
      </c>
      <c r="Z118" s="61"/>
      <c r="AA118" s="48" t="s">
        <v>581</v>
      </c>
      <c r="AB118" s="48" t="s">
        <v>645</v>
      </c>
      <c r="AC118" s="48" t="s">
        <v>453</v>
      </c>
      <c r="AD118" s="48" t="s">
        <v>389</v>
      </c>
      <c r="AE118" s="48" t="s">
        <v>273</v>
      </c>
      <c r="AF118" s="48" t="s">
        <v>273</v>
      </c>
      <c r="AG118" s="48" t="s">
        <v>273</v>
      </c>
      <c r="AH118" s="48" t="s">
        <v>273</v>
      </c>
      <c r="AI118" s="48" t="s">
        <v>273</v>
      </c>
      <c r="AJ118" s="48" t="s">
        <v>273</v>
      </c>
      <c r="AK118" s="48" t="s">
        <v>582</v>
      </c>
      <c r="AL118" s="48" t="s">
        <v>646</v>
      </c>
      <c r="AM118" s="48" t="s">
        <v>454</v>
      </c>
      <c r="AN118" s="48" t="s">
        <v>391</v>
      </c>
      <c r="AO118" s="48" t="s">
        <v>273</v>
      </c>
      <c r="AP118" s="48" t="s">
        <v>273</v>
      </c>
      <c r="AQ118" s="48" t="s">
        <v>273</v>
      </c>
      <c r="AR118" s="48"/>
      <c r="AS118" s="48"/>
      <c r="AT118" s="48" t="s">
        <v>273</v>
      </c>
      <c r="AU118" s="93">
        <v>39264</v>
      </c>
      <c r="AV118" s="93"/>
      <c r="AW118" s="93"/>
      <c r="AX118" s="93"/>
      <c r="AY118" s="93"/>
    </row>
    <row r="119" spans="1:52" ht="16.5" customHeight="1" x14ac:dyDescent="0.15">
      <c r="A119" s="134" t="s">
        <v>1617</v>
      </c>
      <c r="B119" s="136" t="s">
        <v>1618</v>
      </c>
      <c r="C119" s="48" t="s">
        <v>298</v>
      </c>
      <c r="D119" s="62" t="s">
        <v>263</v>
      </c>
      <c r="E119" s="48" t="s">
        <v>300</v>
      </c>
      <c r="F119" s="61">
        <v>42412</v>
      </c>
      <c r="G119" s="61">
        <v>42412</v>
      </c>
      <c r="H119" s="125">
        <v>42451</v>
      </c>
      <c r="I119" s="61" t="s">
        <v>279</v>
      </c>
      <c r="J119" s="87"/>
      <c r="K119" s="62" t="s">
        <v>12</v>
      </c>
      <c r="L119" s="62">
        <v>3</v>
      </c>
      <c r="M119" s="62" t="s">
        <v>442</v>
      </c>
      <c r="N119" s="62" t="s">
        <v>1619</v>
      </c>
      <c r="O119" s="48" t="s">
        <v>570</v>
      </c>
      <c r="P119" s="48" t="s">
        <v>1620</v>
      </c>
      <c r="Q119" s="48" t="s">
        <v>1621</v>
      </c>
      <c r="R119" s="48" t="s">
        <v>1622</v>
      </c>
      <c r="S119" s="48" t="s">
        <v>1623</v>
      </c>
      <c r="T119" s="48" t="s">
        <v>1624</v>
      </c>
      <c r="U119" s="48" t="s">
        <v>1625</v>
      </c>
      <c r="V119" s="122" t="s">
        <v>263</v>
      </c>
      <c r="W119" s="122" t="s">
        <v>263</v>
      </c>
      <c r="X119" s="48" t="s">
        <v>1626</v>
      </c>
      <c r="Y119" s="48" t="s">
        <v>1627</v>
      </c>
      <c r="Z119" s="61"/>
      <c r="AA119" s="48" t="s">
        <v>453</v>
      </c>
      <c r="AB119" s="48" t="s">
        <v>645</v>
      </c>
      <c r="AC119" s="48" t="s">
        <v>581</v>
      </c>
      <c r="AD119" s="48" t="s">
        <v>388</v>
      </c>
      <c r="AE119" s="48" t="s">
        <v>273</v>
      </c>
      <c r="AF119" s="48" t="s">
        <v>273</v>
      </c>
      <c r="AG119" s="48" t="s">
        <v>273</v>
      </c>
      <c r="AH119" s="48" t="s">
        <v>273</v>
      </c>
      <c r="AI119" s="48" t="s">
        <v>273</v>
      </c>
      <c r="AJ119" s="48" t="s">
        <v>273</v>
      </c>
      <c r="AK119" s="48" t="s">
        <v>454</v>
      </c>
      <c r="AL119" s="48" t="s">
        <v>646</v>
      </c>
      <c r="AM119" s="48" t="s">
        <v>582</v>
      </c>
      <c r="AN119" s="48" t="s">
        <v>390</v>
      </c>
      <c r="AO119" s="48" t="s">
        <v>273</v>
      </c>
      <c r="AP119" s="48" t="s">
        <v>273</v>
      </c>
      <c r="AQ119" s="48" t="s">
        <v>273</v>
      </c>
      <c r="AR119" s="48" t="s">
        <v>273</v>
      </c>
      <c r="AS119" s="48" t="s">
        <v>273</v>
      </c>
      <c r="AT119" s="48" t="s">
        <v>273</v>
      </c>
      <c r="AU119" s="93">
        <v>39692</v>
      </c>
      <c r="AV119" s="93"/>
      <c r="AW119" s="93"/>
      <c r="AX119" s="93"/>
      <c r="AY119" s="93"/>
      <c r="AZ119" s="49" t="s">
        <v>1628</v>
      </c>
    </row>
    <row r="120" spans="1:52" ht="16.5" customHeight="1" x14ac:dyDescent="0.15">
      <c r="A120" s="134" t="s">
        <v>1629</v>
      </c>
      <c r="B120" s="136" t="s">
        <v>1630</v>
      </c>
      <c r="C120" s="48" t="s">
        <v>330</v>
      </c>
      <c r="D120" s="62" t="s">
        <v>1631</v>
      </c>
      <c r="E120" s="48" t="s">
        <v>300</v>
      </c>
      <c r="F120" s="61">
        <v>42412</v>
      </c>
      <c r="G120" s="61">
        <v>42412</v>
      </c>
      <c r="H120" s="125">
        <v>42429</v>
      </c>
      <c r="I120" s="61" t="s">
        <v>279</v>
      </c>
      <c r="J120" s="87"/>
      <c r="K120" s="124" t="s">
        <v>263</v>
      </c>
      <c r="L120" s="124" t="s">
        <v>263</v>
      </c>
      <c r="M120" s="62" t="s">
        <v>215</v>
      </c>
      <c r="N120" s="62" t="s">
        <v>1632</v>
      </c>
      <c r="O120" s="48" t="s">
        <v>1633</v>
      </c>
      <c r="P120" s="48" t="s">
        <v>1634</v>
      </c>
      <c r="Q120" s="48" t="s">
        <v>1635</v>
      </c>
      <c r="R120" s="48" t="s">
        <v>1636</v>
      </c>
      <c r="S120" s="48" t="s">
        <v>1637</v>
      </c>
      <c r="T120" s="48" t="s">
        <v>1638</v>
      </c>
      <c r="U120" s="48" t="s">
        <v>1639</v>
      </c>
      <c r="V120" s="122" t="s">
        <v>263</v>
      </c>
      <c r="W120" s="122" t="s">
        <v>263</v>
      </c>
      <c r="X120" s="48" t="s">
        <v>1640</v>
      </c>
      <c r="Y120" s="48" t="s">
        <v>1641</v>
      </c>
      <c r="Z120" s="61"/>
      <c r="AA120" s="48" t="s">
        <v>273</v>
      </c>
      <c r="AB120" s="48" t="s">
        <v>273</v>
      </c>
      <c r="AC120" s="48" t="s">
        <v>273</v>
      </c>
      <c r="AD120" s="48" t="s">
        <v>273</v>
      </c>
      <c r="AE120" s="48" t="s">
        <v>273</v>
      </c>
      <c r="AF120" s="48" t="s">
        <v>273</v>
      </c>
      <c r="AG120" s="48" t="s">
        <v>273</v>
      </c>
      <c r="AH120" s="48" t="s">
        <v>273</v>
      </c>
      <c r="AI120" s="48" t="s">
        <v>273</v>
      </c>
      <c r="AJ120" s="48" t="s">
        <v>273</v>
      </c>
      <c r="AK120" s="48" t="s">
        <v>273</v>
      </c>
      <c r="AL120" s="48" t="s">
        <v>273</v>
      </c>
      <c r="AM120" s="48" t="s">
        <v>273</v>
      </c>
      <c r="AN120" s="48" t="s">
        <v>273</v>
      </c>
      <c r="AO120" s="48" t="s">
        <v>273</v>
      </c>
      <c r="AP120" s="48" t="s">
        <v>273</v>
      </c>
      <c r="AQ120" s="48" t="s">
        <v>273</v>
      </c>
      <c r="AR120" s="48" t="s">
        <v>273</v>
      </c>
      <c r="AS120" s="48" t="s">
        <v>273</v>
      </c>
      <c r="AT120" s="48" t="s">
        <v>273</v>
      </c>
      <c r="AU120" s="93">
        <v>36526</v>
      </c>
      <c r="AV120" s="93"/>
      <c r="AW120" s="93"/>
      <c r="AX120" s="93"/>
      <c r="AY120" s="93"/>
      <c r="AZ120" s="49" t="s">
        <v>1642</v>
      </c>
    </row>
    <row r="121" spans="1:52" ht="16.5" customHeight="1" x14ac:dyDescent="0.15">
      <c r="A121" s="138" t="s">
        <v>1643</v>
      </c>
      <c r="B121" s="140" t="s">
        <v>1644</v>
      </c>
      <c r="C121" s="48" t="s">
        <v>1645</v>
      </c>
      <c r="D121" s="62" t="s">
        <v>1646</v>
      </c>
      <c r="E121" s="48" t="s">
        <v>264</v>
      </c>
      <c r="F121" s="61">
        <v>42415</v>
      </c>
      <c r="G121" s="61">
        <v>42415</v>
      </c>
      <c r="H121" s="125">
        <v>42475</v>
      </c>
      <c r="I121" s="61" t="s">
        <v>279</v>
      </c>
      <c r="J121" s="87"/>
      <c r="K121" s="62" t="s">
        <v>12</v>
      </c>
      <c r="L121" s="62">
        <v>3</v>
      </c>
      <c r="M121" s="62" t="s">
        <v>680</v>
      </c>
      <c r="N121" s="62" t="s">
        <v>1647</v>
      </c>
      <c r="O121" s="48" t="s">
        <v>1648</v>
      </c>
      <c r="P121" s="48" t="s">
        <v>1167</v>
      </c>
      <c r="Q121" s="48" t="s">
        <v>1204</v>
      </c>
      <c r="R121" s="48" t="s">
        <v>1649</v>
      </c>
      <c r="S121" s="48" t="s">
        <v>1650</v>
      </c>
      <c r="T121" s="48" t="s">
        <v>1171</v>
      </c>
      <c r="U121" s="48" t="s">
        <v>1651</v>
      </c>
      <c r="V121" s="48" t="s">
        <v>1652</v>
      </c>
      <c r="W121" s="48" t="s">
        <v>1653</v>
      </c>
      <c r="X121" s="48" t="s">
        <v>1654</v>
      </c>
      <c r="Y121" s="48" t="s">
        <v>1655</v>
      </c>
      <c r="Z121" s="61"/>
      <c r="AA121" s="48" t="s">
        <v>1656</v>
      </c>
      <c r="AB121" s="48" t="s">
        <v>1391</v>
      </c>
      <c r="AC121" s="48" t="s">
        <v>273</v>
      </c>
      <c r="AD121" s="48" t="s">
        <v>273</v>
      </c>
      <c r="AE121" s="48" t="s">
        <v>273</v>
      </c>
      <c r="AF121" s="48" t="s">
        <v>273</v>
      </c>
      <c r="AG121" s="48" t="s">
        <v>273</v>
      </c>
      <c r="AH121" s="48" t="s">
        <v>273</v>
      </c>
      <c r="AI121" s="48" t="s">
        <v>273</v>
      </c>
      <c r="AJ121" s="48" t="s">
        <v>273</v>
      </c>
      <c r="AK121" s="48" t="s">
        <v>1657</v>
      </c>
      <c r="AL121" s="48" t="s">
        <v>1394</v>
      </c>
      <c r="AM121" s="48" t="s">
        <v>273</v>
      </c>
      <c r="AN121" s="48" t="s">
        <v>273</v>
      </c>
      <c r="AO121" s="48" t="s">
        <v>273</v>
      </c>
      <c r="AP121" s="48" t="s">
        <v>273</v>
      </c>
      <c r="AQ121" s="48" t="s">
        <v>273</v>
      </c>
      <c r="AR121" s="48" t="s">
        <v>273</v>
      </c>
      <c r="AS121" s="48" t="s">
        <v>273</v>
      </c>
      <c r="AT121" s="48" t="s">
        <v>273</v>
      </c>
      <c r="AU121" s="93">
        <v>40422</v>
      </c>
      <c r="AV121" s="93"/>
      <c r="AW121" s="93"/>
      <c r="AX121" s="93"/>
      <c r="AY121" s="93"/>
      <c r="AZ121" s="49" t="s">
        <v>1658</v>
      </c>
    </row>
    <row r="122" spans="1:52" ht="16.5" customHeight="1" x14ac:dyDescent="0.15">
      <c r="A122" s="199" t="s">
        <v>1659</v>
      </c>
      <c r="B122" s="209" t="s">
        <v>1660</v>
      </c>
      <c r="C122" s="48" t="s">
        <v>330</v>
      </c>
      <c r="D122" s="62" t="s">
        <v>1661</v>
      </c>
      <c r="E122" s="48" t="s">
        <v>300</v>
      </c>
      <c r="F122" s="61">
        <v>42415</v>
      </c>
      <c r="G122" s="61">
        <v>42415</v>
      </c>
      <c r="H122" s="125">
        <v>42681</v>
      </c>
      <c r="I122" s="61" t="s">
        <v>279</v>
      </c>
      <c r="J122" s="87"/>
      <c r="K122" s="124" t="s">
        <v>332</v>
      </c>
      <c r="L122" s="124" t="s">
        <v>332</v>
      </c>
      <c r="M122" s="62" t="s">
        <v>755</v>
      </c>
      <c r="N122" s="62" t="s">
        <v>1662</v>
      </c>
      <c r="O122" s="48" t="s">
        <v>792</v>
      </c>
      <c r="P122" s="48" t="s">
        <v>1663</v>
      </c>
      <c r="Q122" s="48" t="s">
        <v>1664</v>
      </c>
      <c r="R122" s="48" t="s">
        <v>1665</v>
      </c>
      <c r="S122" s="48" t="s">
        <v>1666</v>
      </c>
      <c r="T122" s="48" t="s">
        <v>1667</v>
      </c>
      <c r="U122" s="48" t="s">
        <v>1668</v>
      </c>
      <c r="V122" s="48" t="s">
        <v>1669</v>
      </c>
      <c r="W122" s="122" t="s">
        <v>332</v>
      </c>
      <c r="X122" s="48" t="s">
        <v>1670</v>
      </c>
      <c r="Y122" s="48" t="s">
        <v>1671</v>
      </c>
      <c r="Z122" s="61"/>
      <c r="AA122" s="48" t="s">
        <v>273</v>
      </c>
      <c r="AB122" s="48" t="s">
        <v>273</v>
      </c>
      <c r="AC122" s="48" t="s">
        <v>273</v>
      </c>
      <c r="AD122" s="48" t="s">
        <v>273</v>
      </c>
      <c r="AE122" s="48" t="s">
        <v>273</v>
      </c>
      <c r="AF122" s="48" t="s">
        <v>273</v>
      </c>
      <c r="AG122" s="48" t="s">
        <v>273</v>
      </c>
      <c r="AH122" s="48" t="s">
        <v>273</v>
      </c>
      <c r="AI122" s="48" t="s">
        <v>273</v>
      </c>
      <c r="AJ122" s="48" t="s">
        <v>273</v>
      </c>
      <c r="AK122" s="48" t="s">
        <v>273</v>
      </c>
      <c r="AL122" s="48" t="s">
        <v>273</v>
      </c>
      <c r="AM122" s="48" t="s">
        <v>273</v>
      </c>
      <c r="AN122" s="48" t="s">
        <v>273</v>
      </c>
      <c r="AO122" s="48" t="s">
        <v>273</v>
      </c>
      <c r="AP122" s="48" t="s">
        <v>273</v>
      </c>
      <c r="AQ122" s="48" t="s">
        <v>273</v>
      </c>
      <c r="AR122" s="48" t="s">
        <v>273</v>
      </c>
      <c r="AS122" s="48" t="s">
        <v>273</v>
      </c>
      <c r="AT122" s="48" t="s">
        <v>273</v>
      </c>
      <c r="AU122" s="93">
        <v>40210</v>
      </c>
      <c r="AV122" s="93"/>
      <c r="AW122" s="93"/>
      <c r="AX122" s="93"/>
      <c r="AY122" s="93"/>
      <c r="AZ122" s="49" t="s">
        <v>1672</v>
      </c>
    </row>
    <row r="123" spans="1:52" ht="16.5" customHeight="1" x14ac:dyDescent="0.15">
      <c r="A123" s="134" t="s">
        <v>1673</v>
      </c>
      <c r="B123" s="136" t="s">
        <v>1674</v>
      </c>
      <c r="C123" s="48" t="s">
        <v>330</v>
      </c>
      <c r="D123" s="62" t="s">
        <v>1675</v>
      </c>
      <c r="E123" s="48" t="s">
        <v>264</v>
      </c>
      <c r="F123" s="61">
        <v>42415</v>
      </c>
      <c r="G123" s="61">
        <v>42415</v>
      </c>
      <c r="H123" s="125">
        <v>42436</v>
      </c>
      <c r="I123" s="61" t="s">
        <v>279</v>
      </c>
      <c r="J123" s="87"/>
      <c r="K123" s="62" t="s">
        <v>12</v>
      </c>
      <c r="L123" s="62">
        <v>3</v>
      </c>
      <c r="M123" s="62" t="s">
        <v>651</v>
      </c>
      <c r="N123" s="62" t="s">
        <v>1676</v>
      </c>
      <c r="O123" s="48" t="s">
        <v>1677</v>
      </c>
      <c r="P123" s="48" t="s">
        <v>1678</v>
      </c>
      <c r="Q123" s="48" t="s">
        <v>1679</v>
      </c>
      <c r="R123" s="48" t="s">
        <v>1680</v>
      </c>
      <c r="S123" s="48" t="s">
        <v>1681</v>
      </c>
      <c r="T123" s="48" t="s">
        <v>1682</v>
      </c>
      <c r="U123" s="48" t="s">
        <v>1683</v>
      </c>
      <c r="V123" s="122" t="s">
        <v>263</v>
      </c>
      <c r="W123" s="122" t="s">
        <v>263</v>
      </c>
      <c r="X123" s="48" t="s">
        <v>1684</v>
      </c>
      <c r="Y123" s="50" t="s">
        <v>1685</v>
      </c>
      <c r="Z123" s="61"/>
      <c r="AA123" s="48" t="s">
        <v>273</v>
      </c>
      <c r="AB123" s="48" t="s">
        <v>273</v>
      </c>
      <c r="AC123" s="48" t="s">
        <v>273</v>
      </c>
      <c r="AD123" s="48" t="s">
        <v>273</v>
      </c>
      <c r="AE123" s="48" t="s">
        <v>273</v>
      </c>
      <c r="AF123" s="48" t="s">
        <v>273</v>
      </c>
      <c r="AG123" s="48" t="s">
        <v>273</v>
      </c>
      <c r="AH123" s="48" t="s">
        <v>273</v>
      </c>
      <c r="AI123" s="48" t="s">
        <v>273</v>
      </c>
      <c r="AJ123" s="48" t="s">
        <v>273</v>
      </c>
      <c r="AK123" s="48" t="s">
        <v>273</v>
      </c>
      <c r="AL123" s="48" t="s">
        <v>273</v>
      </c>
      <c r="AM123" s="48" t="s">
        <v>273</v>
      </c>
      <c r="AN123" s="48" t="s">
        <v>273</v>
      </c>
      <c r="AO123" s="48" t="s">
        <v>273</v>
      </c>
      <c r="AP123" s="48" t="s">
        <v>273</v>
      </c>
      <c r="AQ123" s="48" t="s">
        <v>273</v>
      </c>
      <c r="AR123" s="48" t="s">
        <v>273</v>
      </c>
      <c r="AS123" s="48" t="s">
        <v>273</v>
      </c>
      <c r="AT123" s="48" t="s">
        <v>273</v>
      </c>
      <c r="AU123" s="93">
        <v>41852</v>
      </c>
      <c r="AV123" s="93"/>
      <c r="AW123" s="93"/>
      <c r="AX123" s="93"/>
      <c r="AY123" s="93"/>
      <c r="AZ123" s="49" t="s">
        <v>1686</v>
      </c>
    </row>
    <row r="124" spans="1:52" ht="16.5" customHeight="1" x14ac:dyDescent="0.15">
      <c r="A124" s="144" t="s">
        <v>1687</v>
      </c>
      <c r="B124" s="145" t="s">
        <v>1688</v>
      </c>
      <c r="C124" s="48" t="s">
        <v>298</v>
      </c>
      <c r="D124" s="62" t="s">
        <v>263</v>
      </c>
      <c r="E124" s="48" t="s">
        <v>273</v>
      </c>
      <c r="F124" s="61">
        <v>42415</v>
      </c>
      <c r="G124" s="61">
        <v>42415</v>
      </c>
      <c r="H124" s="125">
        <v>42508</v>
      </c>
      <c r="I124" s="61" t="s">
        <v>279</v>
      </c>
      <c r="J124" s="87"/>
      <c r="K124" s="62" t="s">
        <v>12</v>
      </c>
      <c r="L124" s="62">
        <v>3</v>
      </c>
      <c r="M124" s="62" t="s">
        <v>394</v>
      </c>
      <c r="N124" s="62" t="s">
        <v>1689</v>
      </c>
      <c r="O124" s="48" t="s">
        <v>396</v>
      </c>
      <c r="P124" s="48" t="s">
        <v>734</v>
      </c>
      <c r="Q124" s="48" t="s">
        <v>1690</v>
      </c>
      <c r="R124" s="48" t="s">
        <v>399</v>
      </c>
      <c r="S124" s="130" t="s">
        <v>400</v>
      </c>
      <c r="T124" s="130" t="s">
        <v>401</v>
      </c>
      <c r="U124" s="48" t="s">
        <v>1691</v>
      </c>
      <c r="V124" s="122" t="s">
        <v>263</v>
      </c>
      <c r="W124" s="122" t="s">
        <v>263</v>
      </c>
      <c r="X124" s="48" t="s">
        <v>1692</v>
      </c>
      <c r="Y124" s="48" t="s">
        <v>1693</v>
      </c>
      <c r="Z124" s="61"/>
      <c r="AA124" s="48" t="s">
        <v>701</v>
      </c>
      <c r="AB124" s="48" t="s">
        <v>273</v>
      </c>
      <c r="AC124" s="48" t="s">
        <v>273</v>
      </c>
      <c r="AD124" s="48" t="s">
        <v>273</v>
      </c>
      <c r="AE124" s="48" t="s">
        <v>273</v>
      </c>
      <c r="AF124" s="48" t="s">
        <v>273</v>
      </c>
      <c r="AG124" s="48" t="s">
        <v>273</v>
      </c>
      <c r="AH124" s="48" t="s">
        <v>273</v>
      </c>
      <c r="AI124" s="48" t="s">
        <v>273</v>
      </c>
      <c r="AJ124" s="48" t="s">
        <v>273</v>
      </c>
      <c r="AK124" s="48" t="s">
        <v>702</v>
      </c>
      <c r="AL124" s="48" t="s">
        <v>273</v>
      </c>
      <c r="AM124" s="48" t="s">
        <v>273</v>
      </c>
      <c r="AN124" s="48" t="s">
        <v>273</v>
      </c>
      <c r="AO124" s="48" t="s">
        <v>273</v>
      </c>
      <c r="AP124" s="48" t="s">
        <v>273</v>
      </c>
      <c r="AQ124" s="48" t="s">
        <v>273</v>
      </c>
      <c r="AR124" s="48" t="s">
        <v>273</v>
      </c>
      <c r="AS124" s="48" t="s">
        <v>273</v>
      </c>
      <c r="AT124" s="48" t="s">
        <v>273</v>
      </c>
      <c r="AU124" s="93">
        <v>39114</v>
      </c>
      <c r="AV124" s="93"/>
      <c r="AW124" s="93"/>
      <c r="AX124" s="93"/>
      <c r="AY124" s="93"/>
    </row>
    <row r="125" spans="1:52" ht="16.5" customHeight="1" x14ac:dyDescent="0.15">
      <c r="A125" s="146" t="s">
        <v>1694</v>
      </c>
      <c r="B125" s="147" t="s">
        <v>1695</v>
      </c>
      <c r="C125" s="48" t="s">
        <v>298</v>
      </c>
      <c r="D125" s="62" t="s">
        <v>1696</v>
      </c>
      <c r="E125" s="48" t="s">
        <v>300</v>
      </c>
      <c r="F125" s="61">
        <v>42415</v>
      </c>
      <c r="G125" s="61">
        <v>42415</v>
      </c>
      <c r="H125" s="125">
        <v>42523</v>
      </c>
      <c r="I125" s="61" t="s">
        <v>279</v>
      </c>
      <c r="J125" s="87"/>
      <c r="K125" s="62" t="s">
        <v>14</v>
      </c>
      <c r="L125" s="62">
        <v>3</v>
      </c>
      <c r="M125" s="62" t="s">
        <v>755</v>
      </c>
      <c r="N125" s="62" t="s">
        <v>1697</v>
      </c>
      <c r="O125" s="48" t="s">
        <v>1698</v>
      </c>
      <c r="P125" s="48" t="s">
        <v>1699</v>
      </c>
      <c r="Q125" s="48" t="s">
        <v>1700</v>
      </c>
      <c r="R125" s="48" t="s">
        <v>1701</v>
      </c>
      <c r="S125" s="48" t="s">
        <v>1702</v>
      </c>
      <c r="T125" s="130" t="s">
        <v>1703</v>
      </c>
      <c r="U125" s="48" t="s">
        <v>1704</v>
      </c>
      <c r="V125" s="48" t="s">
        <v>1705</v>
      </c>
      <c r="W125" s="48" t="s">
        <v>1706</v>
      </c>
      <c r="X125" s="48" t="s">
        <v>1707</v>
      </c>
      <c r="Y125" s="48" t="s">
        <v>1708</v>
      </c>
      <c r="Z125" s="61"/>
      <c r="AA125" s="48" t="s">
        <v>1056</v>
      </c>
      <c r="AB125" s="48" t="s">
        <v>1391</v>
      </c>
      <c r="AC125" s="48" t="s">
        <v>273</v>
      </c>
      <c r="AD125" s="48" t="s">
        <v>273</v>
      </c>
      <c r="AE125" s="48" t="s">
        <v>273</v>
      </c>
      <c r="AF125" s="48" t="s">
        <v>273</v>
      </c>
      <c r="AG125" s="48" t="s">
        <v>273</v>
      </c>
      <c r="AH125" s="48" t="s">
        <v>273</v>
      </c>
      <c r="AI125" s="48" t="s">
        <v>273</v>
      </c>
      <c r="AJ125" s="48" t="s">
        <v>273</v>
      </c>
      <c r="AK125" s="48" t="s">
        <v>1059</v>
      </c>
      <c r="AL125" s="48" t="s">
        <v>1394</v>
      </c>
      <c r="AM125" s="48" t="s">
        <v>273</v>
      </c>
      <c r="AN125" s="48" t="s">
        <v>273</v>
      </c>
      <c r="AO125" s="48" t="s">
        <v>273</v>
      </c>
      <c r="AP125" s="48" t="s">
        <v>273</v>
      </c>
      <c r="AQ125" s="48" t="s">
        <v>273</v>
      </c>
      <c r="AR125" s="48" t="s">
        <v>273</v>
      </c>
      <c r="AS125" s="48" t="s">
        <v>273</v>
      </c>
      <c r="AT125" s="48" t="s">
        <v>273</v>
      </c>
      <c r="AU125" s="93">
        <v>39295</v>
      </c>
      <c r="AV125" s="93"/>
      <c r="AW125" s="93"/>
      <c r="AX125" s="93"/>
      <c r="AY125" s="93"/>
    </row>
    <row r="126" spans="1:52" ht="16.5" customHeight="1" x14ac:dyDescent="0.15">
      <c r="A126" s="144" t="s">
        <v>1709</v>
      </c>
      <c r="B126" s="145" t="s">
        <v>1710</v>
      </c>
      <c r="C126" s="48" t="s">
        <v>330</v>
      </c>
      <c r="D126" s="62" t="s">
        <v>1711</v>
      </c>
      <c r="E126" s="48" t="s">
        <v>300</v>
      </c>
      <c r="F126" s="61">
        <v>42415</v>
      </c>
      <c r="G126" s="61">
        <v>42415</v>
      </c>
      <c r="H126" s="125">
        <v>42502</v>
      </c>
      <c r="I126" s="61" t="s">
        <v>279</v>
      </c>
      <c r="J126" s="87"/>
      <c r="K126" s="124" t="s">
        <v>263</v>
      </c>
      <c r="L126" s="124" t="s">
        <v>263</v>
      </c>
      <c r="M126" s="62" t="s">
        <v>1712</v>
      </c>
      <c r="N126" s="62" t="s">
        <v>1713</v>
      </c>
      <c r="O126" s="48" t="s">
        <v>1714</v>
      </c>
      <c r="P126" s="48" t="s">
        <v>1715</v>
      </c>
      <c r="Q126" s="48" t="s">
        <v>1716</v>
      </c>
      <c r="R126" s="48" t="s">
        <v>1717</v>
      </c>
      <c r="S126" s="48" t="s">
        <v>1718</v>
      </c>
      <c r="T126" s="48" t="s">
        <v>1719</v>
      </c>
      <c r="U126" s="48" t="s">
        <v>1720</v>
      </c>
      <c r="V126" s="122" t="s">
        <v>263</v>
      </c>
      <c r="W126" s="122" t="s">
        <v>263</v>
      </c>
      <c r="X126" s="48" t="s">
        <v>1721</v>
      </c>
      <c r="Y126" s="48" t="s">
        <v>1722</v>
      </c>
      <c r="Z126" s="61"/>
      <c r="AA126" s="48" t="s">
        <v>273</v>
      </c>
      <c r="AB126" s="48" t="s">
        <v>273</v>
      </c>
      <c r="AC126" s="48" t="s">
        <v>273</v>
      </c>
      <c r="AD126" s="48" t="s">
        <v>273</v>
      </c>
      <c r="AE126" s="48" t="s">
        <v>273</v>
      </c>
      <c r="AF126" s="48" t="s">
        <v>273</v>
      </c>
      <c r="AG126" s="48" t="s">
        <v>273</v>
      </c>
      <c r="AH126" s="48" t="s">
        <v>273</v>
      </c>
      <c r="AI126" s="48" t="s">
        <v>273</v>
      </c>
      <c r="AJ126" s="48" t="s">
        <v>273</v>
      </c>
      <c r="AK126" s="48" t="s">
        <v>273</v>
      </c>
      <c r="AL126" s="48" t="s">
        <v>273</v>
      </c>
      <c r="AM126" s="48" t="s">
        <v>273</v>
      </c>
      <c r="AN126" s="48" t="s">
        <v>273</v>
      </c>
      <c r="AO126" s="48" t="s">
        <v>273</v>
      </c>
      <c r="AP126" s="48" t="s">
        <v>273</v>
      </c>
      <c r="AQ126" s="48" t="s">
        <v>273</v>
      </c>
      <c r="AR126" s="48" t="s">
        <v>273</v>
      </c>
      <c r="AS126" s="48" t="s">
        <v>273</v>
      </c>
      <c r="AT126" s="48" t="s">
        <v>273</v>
      </c>
      <c r="AU126" s="93">
        <v>40756</v>
      </c>
      <c r="AV126" s="93"/>
      <c r="AW126" s="93"/>
      <c r="AX126" s="93"/>
      <c r="AY126" s="93"/>
      <c r="AZ126" s="49" t="s">
        <v>1723</v>
      </c>
    </row>
    <row r="127" spans="1:52" ht="16.5" customHeight="1" x14ac:dyDescent="0.15">
      <c r="A127" s="138" t="s">
        <v>1724</v>
      </c>
      <c r="B127" s="140" t="s">
        <v>1725</v>
      </c>
      <c r="C127" s="48" t="s">
        <v>330</v>
      </c>
      <c r="D127" s="62" t="s">
        <v>263</v>
      </c>
      <c r="E127" s="48" t="s">
        <v>300</v>
      </c>
      <c r="F127" s="61">
        <v>42415</v>
      </c>
      <c r="G127" s="61">
        <v>42415</v>
      </c>
      <c r="H127" s="125">
        <v>42468</v>
      </c>
      <c r="I127" s="61" t="s">
        <v>279</v>
      </c>
      <c r="J127" s="87"/>
      <c r="K127" s="124" t="s">
        <v>263</v>
      </c>
      <c r="L127" s="124" t="s">
        <v>263</v>
      </c>
      <c r="M127" s="62" t="s">
        <v>394</v>
      </c>
      <c r="N127" s="62" t="s">
        <v>1726</v>
      </c>
      <c r="O127" s="48" t="s">
        <v>555</v>
      </c>
      <c r="P127" s="48" t="s">
        <v>1727</v>
      </c>
      <c r="Q127" s="48" t="s">
        <v>514</v>
      </c>
      <c r="R127" s="48" t="s">
        <v>476</v>
      </c>
      <c r="S127" s="48" t="s">
        <v>477</v>
      </c>
      <c r="T127" s="48" t="s">
        <v>478</v>
      </c>
      <c r="U127" s="48" t="s">
        <v>1728</v>
      </c>
      <c r="V127" s="122" t="s">
        <v>263</v>
      </c>
      <c r="W127" s="122" t="s">
        <v>263</v>
      </c>
      <c r="X127" s="48" t="s">
        <v>1729</v>
      </c>
      <c r="Y127" s="48" t="s">
        <v>1730</v>
      </c>
      <c r="Z127" s="61"/>
      <c r="AA127" s="48" t="s">
        <v>273</v>
      </c>
      <c r="AB127" s="48" t="s">
        <v>273</v>
      </c>
      <c r="AC127" s="48" t="s">
        <v>273</v>
      </c>
      <c r="AD127" s="48" t="s">
        <v>273</v>
      </c>
      <c r="AE127" s="48" t="s">
        <v>273</v>
      </c>
      <c r="AF127" s="48" t="s">
        <v>273</v>
      </c>
      <c r="AG127" s="48" t="s">
        <v>273</v>
      </c>
      <c r="AH127" s="48" t="s">
        <v>273</v>
      </c>
      <c r="AI127" s="48" t="s">
        <v>273</v>
      </c>
      <c r="AJ127" s="48" t="s">
        <v>273</v>
      </c>
      <c r="AK127" s="48" t="s">
        <v>273</v>
      </c>
      <c r="AL127" s="48" t="s">
        <v>273</v>
      </c>
      <c r="AM127" s="48" t="s">
        <v>273</v>
      </c>
      <c r="AN127" s="48" t="s">
        <v>273</v>
      </c>
      <c r="AO127" s="48" t="s">
        <v>273</v>
      </c>
      <c r="AP127" s="48" t="s">
        <v>273</v>
      </c>
      <c r="AQ127" s="48" t="s">
        <v>273</v>
      </c>
      <c r="AR127" s="48" t="s">
        <v>273</v>
      </c>
      <c r="AS127" s="48" t="s">
        <v>273</v>
      </c>
      <c r="AT127" s="48" t="s">
        <v>273</v>
      </c>
      <c r="AU127" s="93">
        <v>38353</v>
      </c>
      <c r="AV127" s="93"/>
      <c r="AW127" s="93"/>
      <c r="AX127" s="93"/>
      <c r="AY127" s="93"/>
      <c r="AZ127" s="49" t="s">
        <v>1731</v>
      </c>
    </row>
    <row r="128" spans="1:52" ht="16.5" customHeight="1" x14ac:dyDescent="0.15">
      <c r="A128" s="128" t="s">
        <v>1732</v>
      </c>
      <c r="B128" s="133" t="s">
        <v>1733</v>
      </c>
      <c r="C128" s="48" t="s">
        <v>1734</v>
      </c>
      <c r="D128" s="62" t="s">
        <v>263</v>
      </c>
      <c r="E128" s="48" t="s">
        <v>300</v>
      </c>
      <c r="F128" s="61">
        <v>42415</v>
      </c>
      <c r="G128" s="61">
        <v>42415</v>
      </c>
      <c r="H128" s="125">
        <v>42429</v>
      </c>
      <c r="I128" s="61" t="s">
        <v>1249</v>
      </c>
      <c r="J128" s="87"/>
      <c r="K128" s="62" t="s">
        <v>9</v>
      </c>
      <c r="L128" s="62">
        <v>3</v>
      </c>
      <c r="M128" s="62" t="s">
        <v>209</v>
      </c>
      <c r="N128" s="62" t="s">
        <v>1735</v>
      </c>
      <c r="O128" s="48" t="s">
        <v>1736</v>
      </c>
      <c r="P128" s="48" t="s">
        <v>267</v>
      </c>
      <c r="Q128" s="48" t="s">
        <v>892</v>
      </c>
      <c r="R128" s="122" t="s">
        <v>263</v>
      </c>
      <c r="S128" s="48" t="s">
        <v>269</v>
      </c>
      <c r="T128" s="48" t="s">
        <v>270</v>
      </c>
      <c r="U128" s="48" t="s">
        <v>1737</v>
      </c>
      <c r="V128" s="122" t="s">
        <v>263</v>
      </c>
      <c r="W128" s="122" t="s">
        <v>263</v>
      </c>
      <c r="X128" s="122" t="s">
        <v>263</v>
      </c>
      <c r="Y128" s="122" t="s">
        <v>263</v>
      </c>
      <c r="Z128" s="61"/>
      <c r="AA128" s="148" t="s">
        <v>546</v>
      </c>
      <c r="AB128" s="148" t="s">
        <v>547</v>
      </c>
      <c r="AC128" s="148" t="s">
        <v>548</v>
      </c>
      <c r="AD128" s="48" t="s">
        <v>273</v>
      </c>
      <c r="AE128" s="48" t="s">
        <v>273</v>
      </c>
      <c r="AF128" s="48" t="s">
        <v>273</v>
      </c>
      <c r="AG128" s="48" t="s">
        <v>273</v>
      </c>
      <c r="AH128" s="48" t="s">
        <v>273</v>
      </c>
      <c r="AI128" s="48" t="s">
        <v>273</v>
      </c>
      <c r="AJ128" s="48" t="s">
        <v>273</v>
      </c>
      <c r="AK128" s="48" t="s">
        <v>549</v>
      </c>
      <c r="AL128" s="48" t="s">
        <v>550</v>
      </c>
      <c r="AM128" s="48" t="s">
        <v>551</v>
      </c>
      <c r="AN128" s="48" t="s">
        <v>273</v>
      </c>
      <c r="AO128" s="48" t="s">
        <v>273</v>
      </c>
      <c r="AP128" s="48" t="s">
        <v>273</v>
      </c>
      <c r="AQ128" s="48" t="s">
        <v>273</v>
      </c>
      <c r="AR128" s="48" t="s">
        <v>273</v>
      </c>
      <c r="AS128" s="48" t="s">
        <v>273</v>
      </c>
      <c r="AT128" s="48" t="s">
        <v>273</v>
      </c>
      <c r="AU128" s="93">
        <v>39569</v>
      </c>
      <c r="AV128" s="93"/>
      <c r="AW128" s="93"/>
      <c r="AX128" s="93"/>
      <c r="AY128" s="93"/>
    </row>
    <row r="129" spans="1:52" ht="16.5" customHeight="1" x14ac:dyDescent="0.15">
      <c r="A129" s="134" t="s">
        <v>1738</v>
      </c>
      <c r="B129" s="136" t="s">
        <v>1739</v>
      </c>
      <c r="C129" s="48" t="s">
        <v>298</v>
      </c>
      <c r="D129" s="62" t="s">
        <v>263</v>
      </c>
      <c r="E129" s="48" t="s">
        <v>273</v>
      </c>
      <c r="F129" s="61">
        <v>42416</v>
      </c>
      <c r="G129" s="61">
        <v>42416</v>
      </c>
      <c r="H129" s="125">
        <v>42439</v>
      </c>
      <c r="I129" s="61" t="s">
        <v>279</v>
      </c>
      <c r="J129" s="87"/>
      <c r="K129" s="62" t="s">
        <v>12</v>
      </c>
      <c r="L129" s="124" t="s">
        <v>263</v>
      </c>
      <c r="M129" s="62" t="s">
        <v>394</v>
      </c>
      <c r="N129" s="62" t="s">
        <v>1740</v>
      </c>
      <c r="O129" s="48" t="s">
        <v>555</v>
      </c>
      <c r="P129" s="48" t="s">
        <v>1741</v>
      </c>
      <c r="Q129" s="130" t="s">
        <v>1742</v>
      </c>
      <c r="R129" s="48" t="s">
        <v>476</v>
      </c>
      <c r="S129" s="48" t="s">
        <v>477</v>
      </c>
      <c r="T129" s="48" t="s">
        <v>478</v>
      </c>
      <c r="U129" s="48" t="s">
        <v>1743</v>
      </c>
      <c r="V129" s="122" t="s">
        <v>263</v>
      </c>
      <c r="W129" s="122" t="s">
        <v>263</v>
      </c>
      <c r="X129" s="48" t="s">
        <v>1744</v>
      </c>
      <c r="Y129" s="48" t="s">
        <v>1745</v>
      </c>
      <c r="Z129" s="61"/>
      <c r="AA129" s="48" t="s">
        <v>273</v>
      </c>
      <c r="AB129" s="48" t="s">
        <v>273</v>
      </c>
      <c r="AC129" s="48" t="s">
        <v>273</v>
      </c>
      <c r="AD129" s="48" t="s">
        <v>273</v>
      </c>
      <c r="AE129" s="48" t="s">
        <v>273</v>
      </c>
      <c r="AF129" s="48" t="s">
        <v>273</v>
      </c>
      <c r="AG129" s="48" t="s">
        <v>273</v>
      </c>
      <c r="AH129" s="48" t="s">
        <v>273</v>
      </c>
      <c r="AI129" s="48" t="s">
        <v>273</v>
      </c>
      <c r="AJ129" s="48" t="s">
        <v>273</v>
      </c>
      <c r="AK129" s="48" t="s">
        <v>273</v>
      </c>
      <c r="AL129" s="48" t="s">
        <v>273</v>
      </c>
      <c r="AM129" s="48" t="s">
        <v>273</v>
      </c>
      <c r="AN129" s="48" t="s">
        <v>273</v>
      </c>
      <c r="AO129" s="48" t="s">
        <v>273</v>
      </c>
      <c r="AP129" s="48" t="s">
        <v>273</v>
      </c>
      <c r="AQ129" s="48" t="s">
        <v>273</v>
      </c>
      <c r="AR129" s="48" t="s">
        <v>273</v>
      </c>
      <c r="AS129" s="48" t="s">
        <v>273</v>
      </c>
      <c r="AT129" s="48" t="s">
        <v>273</v>
      </c>
      <c r="AU129" s="93">
        <v>38292</v>
      </c>
      <c r="AV129" s="93"/>
      <c r="AW129" s="93"/>
      <c r="AX129" s="93"/>
      <c r="AY129" s="93"/>
      <c r="AZ129" s="49" t="s">
        <v>1746</v>
      </c>
    </row>
    <row r="130" spans="1:52" ht="16.5" customHeight="1" x14ac:dyDescent="0.15">
      <c r="A130" s="134" t="s">
        <v>1747</v>
      </c>
      <c r="B130" s="136" t="s">
        <v>1748</v>
      </c>
      <c r="C130" s="48" t="s">
        <v>1749</v>
      </c>
      <c r="D130" s="62" t="s">
        <v>263</v>
      </c>
      <c r="E130" s="48" t="s">
        <v>264</v>
      </c>
      <c r="F130" s="61">
        <v>42416</v>
      </c>
      <c r="G130" s="61">
        <v>42416</v>
      </c>
      <c r="H130" s="125">
        <v>42436</v>
      </c>
      <c r="I130" s="61" t="s">
        <v>279</v>
      </c>
      <c r="J130" s="87"/>
      <c r="K130" s="62" t="s">
        <v>12</v>
      </c>
      <c r="L130" s="62">
        <v>3</v>
      </c>
      <c r="M130" s="62" t="s">
        <v>471</v>
      </c>
      <c r="N130" s="62" t="s">
        <v>1750</v>
      </c>
      <c r="O130" s="48" t="s">
        <v>502</v>
      </c>
      <c r="P130" s="48" t="s">
        <v>707</v>
      </c>
      <c r="Q130" s="130" t="s">
        <v>725</v>
      </c>
      <c r="R130" s="48" t="s">
        <v>476</v>
      </c>
      <c r="S130" s="48" t="s">
        <v>477</v>
      </c>
      <c r="T130" s="48" t="s">
        <v>478</v>
      </c>
      <c r="U130" s="48" t="s">
        <v>1751</v>
      </c>
      <c r="V130" s="122" t="s">
        <v>263</v>
      </c>
      <c r="W130" s="122" t="s">
        <v>263</v>
      </c>
      <c r="X130" s="48" t="s">
        <v>1752</v>
      </c>
      <c r="Y130" s="48" t="s">
        <v>1753</v>
      </c>
      <c r="Z130" s="61"/>
      <c r="AA130" s="48" t="s">
        <v>508</v>
      </c>
      <c r="AB130" s="48" t="s">
        <v>273</v>
      </c>
      <c r="AC130" s="48" t="s">
        <v>273</v>
      </c>
      <c r="AD130" s="48" t="s">
        <v>273</v>
      </c>
      <c r="AE130" s="48" t="s">
        <v>273</v>
      </c>
      <c r="AF130" s="48" t="s">
        <v>273</v>
      </c>
      <c r="AG130" s="48" t="s">
        <v>273</v>
      </c>
      <c r="AH130" s="48" t="s">
        <v>273</v>
      </c>
      <c r="AI130" s="48" t="s">
        <v>273</v>
      </c>
      <c r="AJ130" s="48" t="s">
        <v>273</v>
      </c>
      <c r="AK130" s="48" t="s">
        <v>509</v>
      </c>
      <c r="AL130" s="48" t="s">
        <v>273</v>
      </c>
      <c r="AM130" s="48" t="s">
        <v>273</v>
      </c>
      <c r="AN130" s="48" t="s">
        <v>273</v>
      </c>
      <c r="AO130" s="48" t="s">
        <v>273</v>
      </c>
      <c r="AP130" s="48" t="s">
        <v>273</v>
      </c>
      <c r="AQ130" s="48" t="s">
        <v>273</v>
      </c>
      <c r="AR130" s="48" t="s">
        <v>273</v>
      </c>
      <c r="AS130" s="48" t="s">
        <v>273</v>
      </c>
      <c r="AT130" s="48" t="s">
        <v>273</v>
      </c>
      <c r="AU130" s="93">
        <v>41699</v>
      </c>
      <c r="AV130" s="93"/>
      <c r="AW130" s="93"/>
      <c r="AX130" s="93"/>
      <c r="AY130" s="93"/>
    </row>
    <row r="131" spans="1:52" ht="16.5" customHeight="1" x14ac:dyDescent="0.15">
      <c r="A131" s="134" t="s">
        <v>1754</v>
      </c>
      <c r="B131" s="136" t="s">
        <v>1755</v>
      </c>
      <c r="C131" s="48" t="s">
        <v>298</v>
      </c>
      <c r="D131" s="62" t="s">
        <v>1756</v>
      </c>
      <c r="E131" s="48" t="s">
        <v>300</v>
      </c>
      <c r="F131" s="61">
        <v>42416</v>
      </c>
      <c r="G131" s="61">
        <v>42416</v>
      </c>
      <c r="H131" s="125">
        <v>42439</v>
      </c>
      <c r="I131" s="61">
        <v>39225</v>
      </c>
      <c r="J131" s="87"/>
      <c r="K131" s="62" t="s">
        <v>12</v>
      </c>
      <c r="L131" s="124" t="s">
        <v>263</v>
      </c>
      <c r="M131" s="62" t="s">
        <v>442</v>
      </c>
      <c r="N131" s="62" t="s">
        <v>1757</v>
      </c>
      <c r="O131" s="48" t="s">
        <v>636</v>
      </c>
      <c r="P131" s="48" t="s">
        <v>1758</v>
      </c>
      <c r="Q131" s="48" t="s">
        <v>1759</v>
      </c>
      <c r="R131" s="48" t="s">
        <v>1760</v>
      </c>
      <c r="S131" s="48" t="s">
        <v>1761</v>
      </c>
      <c r="T131" s="48" t="s">
        <v>1762</v>
      </c>
      <c r="U131" s="48" t="s">
        <v>1763</v>
      </c>
      <c r="V131" s="48"/>
      <c r="W131" s="48"/>
      <c r="X131" s="48" t="s">
        <v>1764</v>
      </c>
      <c r="Y131" s="48" t="s">
        <v>1765</v>
      </c>
      <c r="Z131" s="61"/>
      <c r="AA131" s="48" t="s">
        <v>273</v>
      </c>
      <c r="AB131" s="48" t="s">
        <v>273</v>
      </c>
      <c r="AC131" s="48" t="s">
        <v>273</v>
      </c>
      <c r="AD131" s="48" t="s">
        <v>273</v>
      </c>
      <c r="AE131" s="48" t="s">
        <v>273</v>
      </c>
      <c r="AF131" s="48" t="s">
        <v>273</v>
      </c>
      <c r="AG131" s="48" t="s">
        <v>273</v>
      </c>
      <c r="AH131" s="48" t="s">
        <v>273</v>
      </c>
      <c r="AI131" s="48" t="s">
        <v>273</v>
      </c>
      <c r="AJ131" s="48" t="s">
        <v>273</v>
      </c>
      <c r="AK131" s="48" t="s">
        <v>273</v>
      </c>
      <c r="AL131" s="48" t="s">
        <v>273</v>
      </c>
      <c r="AM131" s="48" t="s">
        <v>273</v>
      </c>
      <c r="AN131" s="48" t="s">
        <v>273</v>
      </c>
      <c r="AO131" s="48" t="s">
        <v>273</v>
      </c>
      <c r="AP131" s="48" t="s">
        <v>273</v>
      </c>
      <c r="AQ131" s="48" t="s">
        <v>273</v>
      </c>
      <c r="AR131" s="48" t="s">
        <v>273</v>
      </c>
      <c r="AS131" s="48" t="s">
        <v>273</v>
      </c>
      <c r="AT131" s="48" t="s">
        <v>273</v>
      </c>
      <c r="AU131" s="93">
        <v>39022</v>
      </c>
      <c r="AV131" s="93"/>
      <c r="AW131" s="93"/>
      <c r="AX131" s="93"/>
      <c r="AY131" s="93"/>
      <c r="AZ131" s="49" t="s">
        <v>1746</v>
      </c>
    </row>
    <row r="132" spans="1:52" ht="16.5" customHeight="1" x14ac:dyDescent="0.15">
      <c r="A132" s="134" t="s">
        <v>1766</v>
      </c>
      <c r="B132" s="136" t="s">
        <v>1767</v>
      </c>
      <c r="C132" s="48" t="s">
        <v>298</v>
      </c>
      <c r="D132" s="62" t="s">
        <v>1768</v>
      </c>
      <c r="E132" s="48" t="s">
        <v>264</v>
      </c>
      <c r="F132" s="61">
        <v>42417</v>
      </c>
      <c r="G132" s="61">
        <v>42417</v>
      </c>
      <c r="H132" s="125">
        <v>42436</v>
      </c>
      <c r="I132" s="61" t="s">
        <v>279</v>
      </c>
      <c r="J132" s="87"/>
      <c r="K132" s="62" t="s">
        <v>12</v>
      </c>
      <c r="L132" s="124" t="s">
        <v>263</v>
      </c>
      <c r="M132" s="62" t="s">
        <v>409</v>
      </c>
      <c r="N132" s="62" t="s">
        <v>1769</v>
      </c>
      <c r="O132" s="48" t="s">
        <v>1770</v>
      </c>
      <c r="P132" s="48" t="s">
        <v>1771</v>
      </c>
      <c r="Q132" s="48" t="s">
        <v>1772</v>
      </c>
      <c r="R132" s="48" t="s">
        <v>1773</v>
      </c>
      <c r="S132" s="48" t="s">
        <v>1774</v>
      </c>
      <c r="T132" s="48" t="s">
        <v>1775</v>
      </c>
      <c r="U132" s="48" t="s">
        <v>1776</v>
      </c>
      <c r="V132" s="122" t="s">
        <v>263</v>
      </c>
      <c r="W132" s="122" t="s">
        <v>263</v>
      </c>
      <c r="X132" s="48" t="s">
        <v>1777</v>
      </c>
      <c r="Y132" s="48" t="s">
        <v>1778</v>
      </c>
      <c r="Z132" s="61"/>
      <c r="AA132" s="48" t="s">
        <v>273</v>
      </c>
      <c r="AB132" s="48" t="s">
        <v>273</v>
      </c>
      <c r="AC132" s="48" t="s">
        <v>273</v>
      </c>
      <c r="AD132" s="48" t="s">
        <v>273</v>
      </c>
      <c r="AE132" s="48" t="s">
        <v>273</v>
      </c>
      <c r="AF132" s="48" t="s">
        <v>273</v>
      </c>
      <c r="AG132" s="48" t="s">
        <v>273</v>
      </c>
      <c r="AH132" s="48" t="s">
        <v>273</v>
      </c>
      <c r="AI132" s="48" t="s">
        <v>273</v>
      </c>
      <c r="AJ132" s="48" t="s">
        <v>273</v>
      </c>
      <c r="AK132" s="48" t="s">
        <v>273</v>
      </c>
      <c r="AL132" s="48" t="s">
        <v>273</v>
      </c>
      <c r="AM132" s="48" t="s">
        <v>273</v>
      </c>
      <c r="AN132" s="48" t="s">
        <v>273</v>
      </c>
      <c r="AO132" s="48" t="s">
        <v>273</v>
      </c>
      <c r="AP132" s="48" t="s">
        <v>273</v>
      </c>
      <c r="AQ132" s="48" t="s">
        <v>273</v>
      </c>
      <c r="AR132" s="48" t="s">
        <v>273</v>
      </c>
      <c r="AS132" s="48" t="s">
        <v>273</v>
      </c>
      <c r="AT132" s="48" t="s">
        <v>273</v>
      </c>
      <c r="AU132" s="93">
        <v>41426</v>
      </c>
      <c r="AV132" s="93"/>
      <c r="AW132" s="93"/>
      <c r="AX132" s="93"/>
      <c r="AY132" s="93"/>
      <c r="AZ132" s="49" t="s">
        <v>1779</v>
      </c>
    </row>
    <row r="133" spans="1:52" ht="16.5" customHeight="1" x14ac:dyDescent="0.15">
      <c r="A133" s="134" t="s">
        <v>1780</v>
      </c>
      <c r="B133" s="136" t="s">
        <v>1781</v>
      </c>
      <c r="C133" s="48" t="s">
        <v>298</v>
      </c>
      <c r="D133" s="62" t="s">
        <v>263</v>
      </c>
      <c r="E133" s="48" t="s">
        <v>273</v>
      </c>
      <c r="F133" s="61">
        <v>42417</v>
      </c>
      <c r="G133" s="61">
        <v>42417</v>
      </c>
      <c r="H133" s="125">
        <v>42446</v>
      </c>
      <c r="I133" s="61" t="s">
        <v>279</v>
      </c>
      <c r="J133" s="87"/>
      <c r="K133" s="62" t="s">
        <v>12</v>
      </c>
      <c r="L133" s="62">
        <v>5</v>
      </c>
      <c r="M133" s="62" t="s">
        <v>394</v>
      </c>
      <c r="N133" s="62" t="s">
        <v>1782</v>
      </c>
      <c r="O133" s="48" t="s">
        <v>396</v>
      </c>
      <c r="P133" s="48" t="s">
        <v>524</v>
      </c>
      <c r="Q133" s="48" t="s">
        <v>525</v>
      </c>
      <c r="R133" s="48" t="s">
        <v>476</v>
      </c>
      <c r="S133" s="48" t="s">
        <v>477</v>
      </c>
      <c r="T133" s="48" t="s">
        <v>478</v>
      </c>
      <c r="U133" s="48" t="s">
        <v>1783</v>
      </c>
      <c r="V133" s="122" t="s">
        <v>263</v>
      </c>
      <c r="W133" s="122" t="s">
        <v>263</v>
      </c>
      <c r="X133" s="48" t="s">
        <v>1784</v>
      </c>
      <c r="Y133" s="48" t="s">
        <v>1785</v>
      </c>
      <c r="Z133" s="61"/>
      <c r="AA133" s="48" t="s">
        <v>273</v>
      </c>
      <c r="AB133" s="48" t="s">
        <v>273</v>
      </c>
      <c r="AC133" s="48" t="s">
        <v>273</v>
      </c>
      <c r="AD133" s="48" t="s">
        <v>273</v>
      </c>
      <c r="AE133" s="48" t="s">
        <v>273</v>
      </c>
      <c r="AF133" s="48" t="s">
        <v>273</v>
      </c>
      <c r="AG133" s="48" t="s">
        <v>273</v>
      </c>
      <c r="AH133" s="48" t="s">
        <v>273</v>
      </c>
      <c r="AI133" s="48" t="s">
        <v>273</v>
      </c>
      <c r="AJ133" s="48" t="s">
        <v>273</v>
      </c>
      <c r="AK133" s="48" t="s">
        <v>273</v>
      </c>
      <c r="AL133" s="48" t="s">
        <v>273</v>
      </c>
      <c r="AM133" s="48" t="s">
        <v>273</v>
      </c>
      <c r="AN133" s="48" t="s">
        <v>273</v>
      </c>
      <c r="AO133" s="48" t="s">
        <v>273</v>
      </c>
      <c r="AP133" s="48" t="s">
        <v>273</v>
      </c>
      <c r="AQ133" s="48" t="s">
        <v>273</v>
      </c>
      <c r="AR133" s="48" t="s">
        <v>273</v>
      </c>
      <c r="AS133" s="48" t="s">
        <v>273</v>
      </c>
      <c r="AT133" s="48" t="s">
        <v>273</v>
      </c>
      <c r="AU133" s="93">
        <v>39114</v>
      </c>
      <c r="AV133" s="93"/>
      <c r="AW133" s="93"/>
      <c r="AX133" s="93"/>
      <c r="AY133" s="93"/>
      <c r="AZ133" s="49" t="s">
        <v>1786</v>
      </c>
    </row>
    <row r="134" spans="1:52" ht="16.5" customHeight="1" x14ac:dyDescent="0.15">
      <c r="A134" s="144" t="s">
        <v>1787</v>
      </c>
      <c r="B134" s="145" t="s">
        <v>1788</v>
      </c>
      <c r="C134" s="48" t="s">
        <v>330</v>
      </c>
      <c r="D134" s="62" t="s">
        <v>263</v>
      </c>
      <c r="E134" s="48" t="s">
        <v>273</v>
      </c>
      <c r="F134" s="61">
        <v>42417</v>
      </c>
      <c r="G134" s="61">
        <v>42417</v>
      </c>
      <c r="H134" s="125">
        <v>42502</v>
      </c>
      <c r="I134" s="61" t="s">
        <v>279</v>
      </c>
      <c r="J134" s="87"/>
      <c r="K134" s="62" t="s">
        <v>12</v>
      </c>
      <c r="L134" s="62">
        <v>3</v>
      </c>
      <c r="M134" s="62" t="s">
        <v>394</v>
      </c>
      <c r="N134" s="62" t="s">
        <v>1789</v>
      </c>
      <c r="O134" s="48" t="s">
        <v>396</v>
      </c>
      <c r="P134" s="48" t="s">
        <v>696</v>
      </c>
      <c r="Q134" s="48" t="s">
        <v>697</v>
      </c>
      <c r="R134" s="48" t="s">
        <v>399</v>
      </c>
      <c r="S134" s="130" t="s">
        <v>400</v>
      </c>
      <c r="T134" s="130" t="s">
        <v>401</v>
      </c>
      <c r="U134" s="48" t="s">
        <v>1790</v>
      </c>
      <c r="V134" s="122" t="s">
        <v>263</v>
      </c>
      <c r="W134" s="122" t="s">
        <v>263</v>
      </c>
      <c r="X134" s="48" t="s">
        <v>1791</v>
      </c>
      <c r="Y134" s="48" t="s">
        <v>1792</v>
      </c>
      <c r="Z134" s="61"/>
      <c r="AA134" s="48" t="s">
        <v>561</v>
      </c>
      <c r="AB134" s="48" t="s">
        <v>1793</v>
      </c>
      <c r="AC134" s="48" t="s">
        <v>1195</v>
      </c>
      <c r="AD134" s="48" t="s">
        <v>273</v>
      </c>
      <c r="AE134" s="48" t="s">
        <v>273</v>
      </c>
      <c r="AF134" s="48" t="s">
        <v>273</v>
      </c>
      <c r="AG134" s="48" t="s">
        <v>273</v>
      </c>
      <c r="AH134" s="48" t="s">
        <v>273</v>
      </c>
      <c r="AI134" s="48" t="s">
        <v>273</v>
      </c>
      <c r="AJ134" s="48" t="s">
        <v>273</v>
      </c>
      <c r="AK134" s="48" t="s">
        <v>563</v>
      </c>
      <c r="AL134" s="48" t="s">
        <v>564</v>
      </c>
      <c r="AM134" s="48" t="s">
        <v>1196</v>
      </c>
      <c r="AN134" s="48" t="s">
        <v>273</v>
      </c>
      <c r="AO134" s="48" t="s">
        <v>273</v>
      </c>
      <c r="AP134" s="48" t="s">
        <v>273</v>
      </c>
      <c r="AQ134" s="48" t="s">
        <v>273</v>
      </c>
      <c r="AR134" s="48" t="s">
        <v>273</v>
      </c>
      <c r="AS134" s="48" t="s">
        <v>273</v>
      </c>
      <c r="AT134" s="48" t="s">
        <v>273</v>
      </c>
      <c r="AU134" s="93">
        <v>39630</v>
      </c>
      <c r="AV134" s="93"/>
      <c r="AW134" s="93"/>
      <c r="AX134" s="93"/>
      <c r="AY134" s="93"/>
    </row>
    <row r="135" spans="1:52" ht="16.5" customHeight="1" x14ac:dyDescent="0.15">
      <c r="A135" s="128" t="s">
        <v>1794</v>
      </c>
      <c r="B135" s="133" t="s">
        <v>1795</v>
      </c>
      <c r="C135" s="48" t="s">
        <v>1796</v>
      </c>
      <c r="D135" s="62" t="s">
        <v>1797</v>
      </c>
      <c r="E135" s="48" t="s">
        <v>264</v>
      </c>
      <c r="F135" s="61">
        <v>42418</v>
      </c>
      <c r="G135" s="61">
        <v>42418</v>
      </c>
      <c r="H135" s="125">
        <v>42425</v>
      </c>
      <c r="I135" s="61" t="s">
        <v>279</v>
      </c>
      <c r="J135" s="87"/>
      <c r="K135" s="62" t="s">
        <v>12</v>
      </c>
      <c r="L135" s="124" t="s">
        <v>263</v>
      </c>
      <c r="M135" s="62" t="s">
        <v>651</v>
      </c>
      <c r="N135" s="62" t="s">
        <v>1798</v>
      </c>
      <c r="O135" s="48" t="s">
        <v>1799</v>
      </c>
      <c r="P135" s="48" t="s">
        <v>1800</v>
      </c>
      <c r="Q135" s="48" t="s">
        <v>1801</v>
      </c>
      <c r="R135" s="48"/>
      <c r="S135" s="48" t="s">
        <v>269</v>
      </c>
      <c r="T135" s="48" t="s">
        <v>270</v>
      </c>
      <c r="U135" s="48" t="s">
        <v>1802</v>
      </c>
      <c r="V135" s="48"/>
      <c r="W135" s="48"/>
      <c r="X135" s="48" t="s">
        <v>1803</v>
      </c>
      <c r="Y135" s="48" t="s">
        <v>1804</v>
      </c>
      <c r="Z135" s="61"/>
      <c r="AA135" s="48" t="s">
        <v>273</v>
      </c>
      <c r="AB135" s="48" t="s">
        <v>273</v>
      </c>
      <c r="AC135" s="48" t="s">
        <v>273</v>
      </c>
      <c r="AD135" s="48" t="s">
        <v>273</v>
      </c>
      <c r="AE135" s="48" t="s">
        <v>273</v>
      </c>
      <c r="AF135" s="48" t="s">
        <v>273</v>
      </c>
      <c r="AG135" s="48" t="s">
        <v>273</v>
      </c>
      <c r="AH135" s="48" t="s">
        <v>273</v>
      </c>
      <c r="AI135" s="48" t="s">
        <v>273</v>
      </c>
      <c r="AJ135" s="48" t="s">
        <v>273</v>
      </c>
      <c r="AK135" s="48" t="s">
        <v>273</v>
      </c>
      <c r="AL135" s="48" t="s">
        <v>273</v>
      </c>
      <c r="AM135" s="48" t="s">
        <v>273</v>
      </c>
      <c r="AN135" s="48" t="s">
        <v>273</v>
      </c>
      <c r="AO135" s="48" t="s">
        <v>273</v>
      </c>
      <c r="AP135" s="48" t="s">
        <v>273</v>
      </c>
      <c r="AQ135" s="48" t="s">
        <v>273</v>
      </c>
      <c r="AR135" s="48" t="s">
        <v>273</v>
      </c>
      <c r="AS135" s="48" t="s">
        <v>273</v>
      </c>
      <c r="AT135" s="48" t="s">
        <v>273</v>
      </c>
      <c r="AU135" s="93">
        <v>42125</v>
      </c>
      <c r="AV135" s="93"/>
      <c r="AW135" s="93"/>
      <c r="AX135" s="93"/>
      <c r="AY135" s="93"/>
      <c r="AZ135" s="49" t="s">
        <v>1805</v>
      </c>
    </row>
    <row r="136" spans="1:52" ht="16.5" customHeight="1" x14ac:dyDescent="0.15">
      <c r="A136" s="128" t="s">
        <v>1806</v>
      </c>
      <c r="B136" s="133" t="s">
        <v>1807</v>
      </c>
      <c r="C136" s="48" t="s">
        <v>298</v>
      </c>
      <c r="D136" s="62" t="s">
        <v>1808</v>
      </c>
      <c r="E136" s="48" t="s">
        <v>264</v>
      </c>
      <c r="F136" s="61">
        <v>42418</v>
      </c>
      <c r="G136" s="61">
        <v>42418</v>
      </c>
      <c r="H136" s="125">
        <v>42425</v>
      </c>
      <c r="I136" s="61" t="s">
        <v>279</v>
      </c>
      <c r="J136" s="87"/>
      <c r="K136" s="62" t="s">
        <v>12</v>
      </c>
      <c r="L136" s="124" t="s">
        <v>263</v>
      </c>
      <c r="M136" s="62" t="s">
        <v>651</v>
      </c>
      <c r="N136" s="62" t="s">
        <v>1809</v>
      </c>
      <c r="O136" s="48" t="s">
        <v>1810</v>
      </c>
      <c r="P136" s="48" t="s">
        <v>1811</v>
      </c>
      <c r="Q136" s="48" t="s">
        <v>589</v>
      </c>
      <c r="R136" s="48" t="s">
        <v>1812</v>
      </c>
      <c r="S136" s="48" t="s">
        <v>1813</v>
      </c>
      <c r="T136" s="48" t="s">
        <v>1814</v>
      </c>
      <c r="U136" s="48" t="s">
        <v>1815</v>
      </c>
      <c r="V136" s="48"/>
      <c r="W136" s="48"/>
      <c r="X136" s="48" t="s">
        <v>1816</v>
      </c>
      <c r="Y136" s="48" t="s">
        <v>1817</v>
      </c>
      <c r="Z136" s="61"/>
      <c r="AA136" s="48" t="s">
        <v>273</v>
      </c>
      <c r="AB136" s="48" t="s">
        <v>273</v>
      </c>
      <c r="AC136" s="48" t="s">
        <v>273</v>
      </c>
      <c r="AD136" s="48" t="s">
        <v>273</v>
      </c>
      <c r="AE136" s="48" t="s">
        <v>273</v>
      </c>
      <c r="AF136" s="48" t="s">
        <v>273</v>
      </c>
      <c r="AG136" s="48" t="s">
        <v>273</v>
      </c>
      <c r="AH136" s="48" t="s">
        <v>273</v>
      </c>
      <c r="AI136" s="48" t="s">
        <v>273</v>
      </c>
      <c r="AJ136" s="48" t="s">
        <v>273</v>
      </c>
      <c r="AK136" s="48" t="s">
        <v>273</v>
      </c>
      <c r="AL136" s="48" t="s">
        <v>273</v>
      </c>
      <c r="AM136" s="48" t="s">
        <v>273</v>
      </c>
      <c r="AN136" s="48" t="s">
        <v>273</v>
      </c>
      <c r="AO136" s="48" t="s">
        <v>273</v>
      </c>
      <c r="AP136" s="48" t="s">
        <v>273</v>
      </c>
      <c r="AQ136" s="48" t="s">
        <v>273</v>
      </c>
      <c r="AR136" s="48" t="s">
        <v>273</v>
      </c>
      <c r="AS136" s="48" t="s">
        <v>273</v>
      </c>
      <c r="AT136" s="48" t="s">
        <v>273</v>
      </c>
      <c r="AU136" s="93">
        <v>42036</v>
      </c>
      <c r="AV136" s="93"/>
      <c r="AW136" s="93"/>
      <c r="AX136" s="93"/>
      <c r="AY136" s="93"/>
      <c r="AZ136" s="49" t="s">
        <v>1805</v>
      </c>
    </row>
    <row r="137" spans="1:52" ht="16.5" customHeight="1" x14ac:dyDescent="0.15">
      <c r="A137" s="134" t="s">
        <v>1818</v>
      </c>
      <c r="B137" s="136" t="s">
        <v>1819</v>
      </c>
      <c r="C137" s="48" t="s">
        <v>1820</v>
      </c>
      <c r="D137" s="62" t="s">
        <v>263</v>
      </c>
      <c r="E137" s="48" t="s">
        <v>264</v>
      </c>
      <c r="F137" s="61">
        <v>42418</v>
      </c>
      <c r="G137" s="61">
        <v>42418</v>
      </c>
      <c r="H137" s="125">
        <v>42437</v>
      </c>
      <c r="I137" s="61" t="s">
        <v>263</v>
      </c>
      <c r="J137" s="87"/>
      <c r="K137" s="62">
        <v>0</v>
      </c>
      <c r="L137" s="62"/>
      <c r="M137" s="62" t="s">
        <v>409</v>
      </c>
      <c r="N137" s="62" t="s">
        <v>1821</v>
      </c>
      <c r="O137" s="48" t="s">
        <v>1436</v>
      </c>
      <c r="P137" s="48" t="s">
        <v>267</v>
      </c>
      <c r="Q137" s="48" t="s">
        <v>892</v>
      </c>
      <c r="R137" s="48"/>
      <c r="S137" s="48" t="s">
        <v>269</v>
      </c>
      <c r="T137" s="48" t="s">
        <v>270</v>
      </c>
      <c r="U137" s="48" t="s">
        <v>1822</v>
      </c>
      <c r="V137" s="122" t="s">
        <v>263</v>
      </c>
      <c r="W137" s="122" t="s">
        <v>263</v>
      </c>
      <c r="X137" s="122" t="s">
        <v>263</v>
      </c>
      <c r="Y137" s="122" t="s">
        <v>263</v>
      </c>
      <c r="Z137" s="61"/>
      <c r="AA137" s="48" t="s">
        <v>978</v>
      </c>
      <c r="AB137" s="48" t="s">
        <v>273</v>
      </c>
      <c r="AC137" s="48" t="s">
        <v>273</v>
      </c>
      <c r="AD137" s="48" t="s">
        <v>273</v>
      </c>
      <c r="AE137" s="48" t="s">
        <v>273</v>
      </c>
      <c r="AF137" s="48" t="s">
        <v>273</v>
      </c>
      <c r="AG137" s="48" t="s">
        <v>273</v>
      </c>
      <c r="AH137" s="48" t="s">
        <v>273</v>
      </c>
      <c r="AI137" s="48" t="s">
        <v>273</v>
      </c>
      <c r="AJ137" s="48" t="s">
        <v>273</v>
      </c>
      <c r="AK137" s="48" t="s">
        <v>600</v>
      </c>
      <c r="AL137" s="48" t="s">
        <v>273</v>
      </c>
      <c r="AM137" s="48" t="s">
        <v>273</v>
      </c>
      <c r="AN137" s="48" t="s">
        <v>273</v>
      </c>
      <c r="AO137" s="48" t="s">
        <v>273</v>
      </c>
      <c r="AP137" s="48" t="s">
        <v>273</v>
      </c>
      <c r="AQ137" s="48" t="s">
        <v>273</v>
      </c>
      <c r="AR137" s="48" t="s">
        <v>273</v>
      </c>
      <c r="AS137" s="48" t="s">
        <v>273</v>
      </c>
      <c r="AT137" s="48" t="s">
        <v>273</v>
      </c>
      <c r="AU137" s="93">
        <v>39114</v>
      </c>
      <c r="AV137" s="93"/>
      <c r="AW137" s="93"/>
      <c r="AX137" s="93"/>
      <c r="AY137" s="93"/>
    </row>
    <row r="138" spans="1:52" ht="16.5" customHeight="1" x14ac:dyDescent="0.15">
      <c r="A138" s="134" t="s">
        <v>1823</v>
      </c>
      <c r="B138" s="136" t="s">
        <v>1824</v>
      </c>
      <c r="C138" s="48" t="s">
        <v>330</v>
      </c>
      <c r="D138" s="62" t="s">
        <v>1825</v>
      </c>
      <c r="E138" s="48" t="s">
        <v>300</v>
      </c>
      <c r="F138" s="61">
        <v>42419</v>
      </c>
      <c r="G138" s="61">
        <v>42419</v>
      </c>
      <c r="H138" s="125">
        <v>42444</v>
      </c>
      <c r="I138" s="61" t="s">
        <v>279</v>
      </c>
      <c r="J138" s="87"/>
      <c r="K138" s="62" t="s">
        <v>12</v>
      </c>
      <c r="L138" s="62">
        <v>3</v>
      </c>
      <c r="M138" s="62" t="s">
        <v>362</v>
      </c>
      <c r="N138" s="62" t="s">
        <v>1826</v>
      </c>
      <c r="O138" s="48" t="s">
        <v>1827</v>
      </c>
      <c r="P138" s="48" t="s">
        <v>1828</v>
      </c>
      <c r="Q138" s="48" t="s">
        <v>1829</v>
      </c>
      <c r="R138" s="48" t="s">
        <v>1830</v>
      </c>
      <c r="S138" s="48" t="s">
        <v>1831</v>
      </c>
      <c r="T138" s="130" t="s">
        <v>1832</v>
      </c>
      <c r="U138" s="48" t="s">
        <v>1833</v>
      </c>
      <c r="V138" s="48" t="s">
        <v>1834</v>
      </c>
      <c r="W138" s="48" t="s">
        <v>1835</v>
      </c>
      <c r="X138" s="48" t="s">
        <v>1836</v>
      </c>
      <c r="Y138" s="48" t="s">
        <v>1837</v>
      </c>
      <c r="Z138" s="61"/>
      <c r="AA138" s="48">
        <v>146845641</v>
      </c>
      <c r="AB138" s="48">
        <v>362390905</v>
      </c>
      <c r="AC138" s="48" t="s">
        <v>273</v>
      </c>
      <c r="AD138" s="48" t="s">
        <v>273</v>
      </c>
      <c r="AE138" s="48" t="s">
        <v>273</v>
      </c>
      <c r="AF138" s="48" t="s">
        <v>273</v>
      </c>
      <c r="AG138" s="48" t="s">
        <v>273</v>
      </c>
      <c r="AH138" s="48" t="s">
        <v>273</v>
      </c>
      <c r="AI138" s="48" t="s">
        <v>273</v>
      </c>
      <c r="AJ138" s="48" t="s">
        <v>273</v>
      </c>
      <c r="AK138" s="48" t="s">
        <v>1838</v>
      </c>
      <c r="AL138" s="48" t="s">
        <v>1839</v>
      </c>
      <c r="AM138" s="48" t="s">
        <v>273</v>
      </c>
      <c r="AN138" s="48" t="s">
        <v>273</v>
      </c>
      <c r="AO138" s="48" t="s">
        <v>273</v>
      </c>
      <c r="AP138" s="48" t="s">
        <v>273</v>
      </c>
      <c r="AQ138" s="48" t="s">
        <v>273</v>
      </c>
      <c r="AR138" s="48" t="s">
        <v>273</v>
      </c>
      <c r="AS138" s="48" t="s">
        <v>273</v>
      </c>
      <c r="AT138" s="48" t="s">
        <v>273</v>
      </c>
      <c r="AU138" s="93" t="s">
        <v>263</v>
      </c>
      <c r="AV138" s="93"/>
      <c r="AW138" s="93"/>
      <c r="AX138" s="93"/>
      <c r="AY138" s="93"/>
    </row>
    <row r="139" spans="1:52" ht="16.5" customHeight="1" x14ac:dyDescent="0.15">
      <c r="A139" s="138" t="s">
        <v>1840</v>
      </c>
      <c r="B139" s="140" t="s">
        <v>1841</v>
      </c>
      <c r="C139" s="48" t="s">
        <v>298</v>
      </c>
      <c r="D139" s="62" t="s">
        <v>1842</v>
      </c>
      <c r="E139" s="48" t="s">
        <v>300</v>
      </c>
      <c r="F139" s="61">
        <v>42419</v>
      </c>
      <c r="G139" s="61">
        <v>42419</v>
      </c>
      <c r="H139" s="125">
        <v>42468</v>
      </c>
      <c r="I139" s="61" t="s">
        <v>279</v>
      </c>
      <c r="J139" s="87"/>
      <c r="K139" s="62" t="s">
        <v>12</v>
      </c>
      <c r="L139" s="62">
        <v>3</v>
      </c>
      <c r="M139" s="62" t="s">
        <v>619</v>
      </c>
      <c r="N139" s="62" t="s">
        <v>1843</v>
      </c>
      <c r="O139" s="48" t="s">
        <v>621</v>
      </c>
      <c r="P139" s="48" t="s">
        <v>1844</v>
      </c>
      <c r="Q139" s="48" t="s">
        <v>1845</v>
      </c>
      <c r="R139" s="48" t="s">
        <v>1846</v>
      </c>
      <c r="S139" s="130" t="s">
        <v>1847</v>
      </c>
      <c r="T139" s="130" t="s">
        <v>1848</v>
      </c>
      <c r="U139" s="48" t="s">
        <v>1849</v>
      </c>
      <c r="V139" s="48" t="s">
        <v>1850</v>
      </c>
      <c r="W139" s="48" t="s">
        <v>674</v>
      </c>
      <c r="X139" s="48" t="s">
        <v>1851</v>
      </c>
      <c r="Y139" s="48" t="s">
        <v>1852</v>
      </c>
      <c r="Z139" s="61"/>
      <c r="AA139" s="48" t="s">
        <v>1853</v>
      </c>
      <c r="AB139" s="48" t="s">
        <v>453</v>
      </c>
      <c r="AC139" s="48" t="s">
        <v>645</v>
      </c>
      <c r="AD139" s="48" t="s">
        <v>273</v>
      </c>
      <c r="AE139" s="48" t="s">
        <v>273</v>
      </c>
      <c r="AF139" s="48" t="s">
        <v>273</v>
      </c>
      <c r="AG139" s="48" t="s">
        <v>273</v>
      </c>
      <c r="AH139" s="48" t="s">
        <v>273</v>
      </c>
      <c r="AI139" s="48" t="s">
        <v>273</v>
      </c>
      <c r="AJ139" s="48" t="s">
        <v>273</v>
      </c>
      <c r="AK139" s="48" t="s">
        <v>1854</v>
      </c>
      <c r="AL139" s="48" t="s">
        <v>454</v>
      </c>
      <c r="AM139" s="48" t="s">
        <v>646</v>
      </c>
      <c r="AN139" s="48" t="s">
        <v>273</v>
      </c>
      <c r="AO139" s="48" t="s">
        <v>273</v>
      </c>
      <c r="AP139" s="48" t="s">
        <v>273</v>
      </c>
      <c r="AQ139" s="48" t="s">
        <v>273</v>
      </c>
      <c r="AR139" s="48" t="s">
        <v>273</v>
      </c>
      <c r="AS139" s="48" t="s">
        <v>273</v>
      </c>
      <c r="AT139" s="48" t="s">
        <v>273</v>
      </c>
      <c r="AU139" s="93">
        <v>36708</v>
      </c>
      <c r="AV139" s="93"/>
      <c r="AW139" s="93"/>
      <c r="AX139" s="93"/>
      <c r="AY139" s="93"/>
    </row>
    <row r="140" spans="1:52" ht="16.5" customHeight="1" x14ac:dyDescent="0.15">
      <c r="A140" s="146" t="s">
        <v>1855</v>
      </c>
      <c r="B140" s="147" t="s">
        <v>1856</v>
      </c>
      <c r="C140" s="48" t="s">
        <v>298</v>
      </c>
      <c r="D140" s="62" t="s">
        <v>1857</v>
      </c>
      <c r="E140" s="48" t="s">
        <v>300</v>
      </c>
      <c r="F140" s="61">
        <v>42419</v>
      </c>
      <c r="G140" s="61">
        <v>42419</v>
      </c>
      <c r="H140" s="125">
        <v>42548</v>
      </c>
      <c r="I140" s="61" t="s">
        <v>279</v>
      </c>
      <c r="J140" s="87"/>
      <c r="K140" s="124" t="s">
        <v>263</v>
      </c>
      <c r="L140" s="124" t="s">
        <v>263</v>
      </c>
      <c r="M140" s="62" t="s">
        <v>442</v>
      </c>
      <c r="N140" s="62" t="s">
        <v>1858</v>
      </c>
      <c r="O140" s="48" t="s">
        <v>1111</v>
      </c>
      <c r="P140" s="48" t="s">
        <v>1859</v>
      </c>
      <c r="Q140" s="48" t="s">
        <v>1860</v>
      </c>
      <c r="R140" s="48" t="s">
        <v>1861</v>
      </c>
      <c r="S140" s="48" t="s">
        <v>1862</v>
      </c>
      <c r="T140" s="48" t="s">
        <v>1863</v>
      </c>
      <c r="U140" s="48" t="s">
        <v>1864</v>
      </c>
      <c r="V140" s="48" t="s">
        <v>1865</v>
      </c>
      <c r="W140" s="48" t="s">
        <v>324</v>
      </c>
      <c r="X140" s="48" t="s">
        <v>1866</v>
      </c>
      <c r="Y140" s="48" t="s">
        <v>1867</v>
      </c>
      <c r="Z140" s="61"/>
      <c r="AA140" s="48" t="s">
        <v>273</v>
      </c>
      <c r="AB140" s="48" t="s">
        <v>273</v>
      </c>
      <c r="AC140" s="48" t="s">
        <v>273</v>
      </c>
      <c r="AD140" s="48" t="s">
        <v>273</v>
      </c>
      <c r="AE140" s="48" t="s">
        <v>273</v>
      </c>
      <c r="AF140" s="48" t="s">
        <v>273</v>
      </c>
      <c r="AG140" s="48" t="s">
        <v>273</v>
      </c>
      <c r="AH140" s="48" t="s">
        <v>273</v>
      </c>
      <c r="AI140" s="48" t="s">
        <v>273</v>
      </c>
      <c r="AJ140" s="48" t="s">
        <v>273</v>
      </c>
      <c r="AK140" s="48" t="s">
        <v>273</v>
      </c>
      <c r="AL140" s="48" t="s">
        <v>273</v>
      </c>
      <c r="AM140" s="48" t="s">
        <v>273</v>
      </c>
      <c r="AN140" s="48" t="s">
        <v>273</v>
      </c>
      <c r="AO140" s="48" t="s">
        <v>273</v>
      </c>
      <c r="AP140" s="48" t="s">
        <v>273</v>
      </c>
      <c r="AQ140" s="48" t="s">
        <v>273</v>
      </c>
      <c r="AR140" s="48" t="s">
        <v>273</v>
      </c>
      <c r="AS140" s="48" t="s">
        <v>273</v>
      </c>
      <c r="AT140" s="48" t="s">
        <v>273</v>
      </c>
      <c r="AU140" s="93">
        <v>37591</v>
      </c>
      <c r="AV140" s="93"/>
      <c r="AW140" s="93"/>
      <c r="AX140" s="93"/>
      <c r="AY140" s="93"/>
      <c r="AZ140" s="49" t="s">
        <v>1868</v>
      </c>
    </row>
    <row r="141" spans="1:52" ht="16.5" customHeight="1" x14ac:dyDescent="0.15">
      <c r="A141" s="134" t="s">
        <v>1869</v>
      </c>
      <c r="B141" s="136" t="s">
        <v>1870</v>
      </c>
      <c r="C141" s="48" t="s">
        <v>1871</v>
      </c>
      <c r="D141" s="62" t="s">
        <v>263</v>
      </c>
      <c r="E141" s="48" t="s">
        <v>264</v>
      </c>
      <c r="F141" s="61">
        <v>42422</v>
      </c>
      <c r="G141" s="61">
        <v>42422</v>
      </c>
      <c r="H141" s="125">
        <v>42439</v>
      </c>
      <c r="I141" s="61" t="s">
        <v>1249</v>
      </c>
      <c r="J141" s="87"/>
      <c r="K141" s="62" t="s">
        <v>12</v>
      </c>
      <c r="L141" s="62">
        <v>3</v>
      </c>
      <c r="M141" s="62" t="s">
        <v>209</v>
      </c>
      <c r="N141" s="62" t="s">
        <v>1872</v>
      </c>
      <c r="O141" s="48" t="s">
        <v>1873</v>
      </c>
      <c r="P141" s="48" t="s">
        <v>267</v>
      </c>
      <c r="Q141" s="48" t="s">
        <v>1460</v>
      </c>
      <c r="R141" s="122" t="s">
        <v>263</v>
      </c>
      <c r="S141" s="48" t="s">
        <v>269</v>
      </c>
      <c r="T141" s="48" t="s">
        <v>270</v>
      </c>
      <c r="U141" s="48" t="s">
        <v>1874</v>
      </c>
      <c r="V141" s="122" t="s">
        <v>263</v>
      </c>
      <c r="W141" s="122" t="s">
        <v>263</v>
      </c>
      <c r="X141" s="122" t="s">
        <v>263</v>
      </c>
      <c r="Y141" s="122" t="s">
        <v>263</v>
      </c>
      <c r="Z141" s="61"/>
      <c r="AA141" s="48" t="s">
        <v>327</v>
      </c>
      <c r="AB141" s="48" t="s">
        <v>273</v>
      </c>
      <c r="AC141" s="48" t="s">
        <v>273</v>
      </c>
      <c r="AD141" s="48" t="s">
        <v>273</v>
      </c>
      <c r="AE141" s="48" t="s">
        <v>273</v>
      </c>
      <c r="AF141" s="48" t="s">
        <v>273</v>
      </c>
      <c r="AG141" s="48" t="s">
        <v>273</v>
      </c>
      <c r="AH141" s="48" t="s">
        <v>273</v>
      </c>
      <c r="AI141" s="48" t="s">
        <v>273</v>
      </c>
      <c r="AJ141" s="48" t="s">
        <v>273</v>
      </c>
      <c r="AK141" s="48" t="s">
        <v>274</v>
      </c>
      <c r="AL141" s="48" t="s">
        <v>273</v>
      </c>
      <c r="AM141" s="48" t="s">
        <v>273</v>
      </c>
      <c r="AN141" s="48" t="s">
        <v>273</v>
      </c>
      <c r="AO141" s="48" t="s">
        <v>273</v>
      </c>
      <c r="AP141" s="48" t="s">
        <v>273</v>
      </c>
      <c r="AQ141" s="48" t="s">
        <v>273</v>
      </c>
      <c r="AR141" s="48" t="s">
        <v>273</v>
      </c>
      <c r="AS141" s="48" t="s">
        <v>273</v>
      </c>
      <c r="AT141" s="48" t="s">
        <v>273</v>
      </c>
      <c r="AU141" s="93">
        <v>39479</v>
      </c>
      <c r="AV141" s="93"/>
      <c r="AW141" s="93"/>
      <c r="AX141" s="93"/>
      <c r="AY141" s="93"/>
    </row>
    <row r="142" spans="1:52" ht="16.5" customHeight="1" x14ac:dyDescent="0.15">
      <c r="A142" s="134" t="s">
        <v>1875</v>
      </c>
      <c r="B142" s="136" t="s">
        <v>1876</v>
      </c>
      <c r="C142" s="48" t="s">
        <v>298</v>
      </c>
      <c r="D142" s="62" t="s">
        <v>1877</v>
      </c>
      <c r="E142" s="48" t="s">
        <v>300</v>
      </c>
      <c r="F142" s="61">
        <v>42422</v>
      </c>
      <c r="G142" s="61">
        <v>42422</v>
      </c>
      <c r="H142" s="125">
        <v>42451</v>
      </c>
      <c r="I142" s="61" t="s">
        <v>279</v>
      </c>
      <c r="J142" s="87"/>
      <c r="K142" s="62" t="s">
        <v>12</v>
      </c>
      <c r="L142" s="62">
        <v>3</v>
      </c>
      <c r="M142" s="62">
        <v>180</v>
      </c>
      <c r="N142" s="62" t="s">
        <v>1878</v>
      </c>
      <c r="O142" s="48" t="s">
        <v>1528</v>
      </c>
      <c r="P142" s="48" t="s">
        <v>1879</v>
      </c>
      <c r="Q142" s="48" t="s">
        <v>1880</v>
      </c>
      <c r="R142" s="48" t="s">
        <v>1881</v>
      </c>
      <c r="S142" s="48" t="s">
        <v>1882</v>
      </c>
      <c r="T142" s="48" t="s">
        <v>1883</v>
      </c>
      <c r="U142" s="48" t="s">
        <v>1884</v>
      </c>
      <c r="V142" s="48" t="s">
        <v>1885</v>
      </c>
      <c r="W142" s="48" t="s">
        <v>1886</v>
      </c>
      <c r="X142" s="48" t="s">
        <v>1887</v>
      </c>
      <c r="Y142" s="48" t="s">
        <v>1888</v>
      </c>
      <c r="Z142" s="61"/>
      <c r="AA142" s="48" t="s">
        <v>388</v>
      </c>
      <c r="AB142" s="48" t="s">
        <v>453</v>
      </c>
      <c r="AC142" s="48" t="s">
        <v>645</v>
      </c>
      <c r="AD142" s="48" t="s">
        <v>389</v>
      </c>
      <c r="AE142" s="48" t="s">
        <v>581</v>
      </c>
      <c r="AF142" s="48" t="s">
        <v>273</v>
      </c>
      <c r="AG142" s="48" t="s">
        <v>273</v>
      </c>
      <c r="AH142" s="48" t="s">
        <v>273</v>
      </c>
      <c r="AI142" s="48" t="s">
        <v>273</v>
      </c>
      <c r="AJ142" s="48" t="s">
        <v>273</v>
      </c>
      <c r="AK142" s="48" t="s">
        <v>390</v>
      </c>
      <c r="AL142" s="48" t="s">
        <v>454</v>
      </c>
      <c r="AM142" s="48" t="s">
        <v>646</v>
      </c>
      <c r="AN142" s="48" t="s">
        <v>391</v>
      </c>
      <c r="AO142" s="48" t="s">
        <v>582</v>
      </c>
      <c r="AP142" s="48" t="s">
        <v>273</v>
      </c>
      <c r="AQ142" s="48" t="s">
        <v>273</v>
      </c>
      <c r="AR142" s="48" t="s">
        <v>273</v>
      </c>
      <c r="AS142" s="48" t="s">
        <v>273</v>
      </c>
      <c r="AT142" s="48" t="s">
        <v>273</v>
      </c>
      <c r="AU142" s="93">
        <v>36586</v>
      </c>
      <c r="AV142" s="93"/>
      <c r="AW142" s="93"/>
      <c r="AX142" s="93"/>
      <c r="AY142" s="93"/>
      <c r="AZ142" s="49" t="s">
        <v>1889</v>
      </c>
    </row>
    <row r="143" spans="1:52" ht="16.5" customHeight="1" x14ac:dyDescent="0.15">
      <c r="A143" s="134" t="s">
        <v>1890</v>
      </c>
      <c r="B143" s="136" t="s">
        <v>1891</v>
      </c>
      <c r="C143" s="48" t="s">
        <v>298</v>
      </c>
      <c r="D143" s="62" t="s">
        <v>263</v>
      </c>
      <c r="E143" s="48" t="s">
        <v>300</v>
      </c>
      <c r="F143" s="61">
        <v>42422</v>
      </c>
      <c r="G143" s="61">
        <v>42422</v>
      </c>
      <c r="H143" s="125">
        <v>42438</v>
      </c>
      <c r="I143" s="61" t="s">
        <v>279</v>
      </c>
      <c r="J143" s="87"/>
      <c r="K143" s="62" t="s">
        <v>12</v>
      </c>
      <c r="L143" s="62">
        <v>3</v>
      </c>
      <c r="M143" s="62" t="s">
        <v>1892</v>
      </c>
      <c r="N143" s="62" t="s">
        <v>1893</v>
      </c>
      <c r="O143" s="48" t="s">
        <v>1894</v>
      </c>
      <c r="P143" s="48" t="s">
        <v>1895</v>
      </c>
      <c r="Q143" s="48" t="s">
        <v>1896</v>
      </c>
      <c r="R143" s="48" t="s">
        <v>1897</v>
      </c>
      <c r="S143" s="48" t="s">
        <v>1898</v>
      </c>
      <c r="T143" s="48" t="s">
        <v>1899</v>
      </c>
      <c r="U143" s="48" t="s">
        <v>1900</v>
      </c>
      <c r="V143" s="48"/>
      <c r="W143" s="48" t="s">
        <v>1901</v>
      </c>
      <c r="X143" s="48" t="s">
        <v>689</v>
      </c>
      <c r="Y143" s="48" t="s">
        <v>690</v>
      </c>
      <c r="Z143" s="61"/>
      <c r="AA143" s="48" t="s">
        <v>581</v>
      </c>
      <c r="AB143" s="48" t="s">
        <v>645</v>
      </c>
      <c r="AC143" s="48" t="s">
        <v>453</v>
      </c>
      <c r="AD143" s="48" t="s">
        <v>388</v>
      </c>
      <c r="AE143" s="48" t="s">
        <v>273</v>
      </c>
      <c r="AF143" s="48" t="s">
        <v>273</v>
      </c>
      <c r="AG143" s="48" t="s">
        <v>273</v>
      </c>
      <c r="AH143" s="48" t="s">
        <v>273</v>
      </c>
      <c r="AI143" s="48" t="s">
        <v>273</v>
      </c>
      <c r="AJ143" s="48" t="s">
        <v>273</v>
      </c>
      <c r="AK143" s="48" t="s">
        <v>582</v>
      </c>
      <c r="AL143" s="48" t="s">
        <v>646</v>
      </c>
      <c r="AM143" s="48" t="s">
        <v>454</v>
      </c>
      <c r="AN143" s="48" t="s">
        <v>390</v>
      </c>
      <c r="AO143" s="48" t="s">
        <v>273</v>
      </c>
      <c r="AP143" s="48" t="s">
        <v>273</v>
      </c>
      <c r="AQ143" s="48" t="s">
        <v>273</v>
      </c>
      <c r="AR143" s="48" t="s">
        <v>273</v>
      </c>
      <c r="AS143" s="48" t="s">
        <v>273</v>
      </c>
      <c r="AT143" s="48" t="s">
        <v>273</v>
      </c>
      <c r="AU143" s="93">
        <v>38657</v>
      </c>
      <c r="AV143" s="93"/>
      <c r="AW143" s="93"/>
      <c r="AX143" s="93"/>
      <c r="AY143" s="93"/>
    </row>
    <row r="144" spans="1:52" ht="16.5" customHeight="1" x14ac:dyDescent="0.15">
      <c r="A144" s="134" t="s">
        <v>1902</v>
      </c>
      <c r="B144" s="136" t="s">
        <v>1903</v>
      </c>
      <c r="C144" s="48" t="s">
        <v>298</v>
      </c>
      <c r="D144" s="62" t="s">
        <v>1904</v>
      </c>
      <c r="E144" s="48" t="s">
        <v>300</v>
      </c>
      <c r="F144" s="61">
        <v>42422</v>
      </c>
      <c r="G144" s="61">
        <v>42422</v>
      </c>
      <c r="H144" s="125">
        <v>42437</v>
      </c>
      <c r="I144" s="61" t="s">
        <v>279</v>
      </c>
      <c r="J144" s="87"/>
      <c r="K144" s="62" t="s">
        <v>12</v>
      </c>
      <c r="L144" s="124" t="s">
        <v>263</v>
      </c>
      <c r="M144" s="62" t="s">
        <v>755</v>
      </c>
      <c r="N144" s="62" t="s">
        <v>1905</v>
      </c>
      <c r="O144" s="48" t="s">
        <v>1906</v>
      </c>
      <c r="P144" s="48" t="s">
        <v>1907</v>
      </c>
      <c r="Q144" s="48" t="s">
        <v>1845</v>
      </c>
      <c r="R144" s="48" t="s">
        <v>1908</v>
      </c>
      <c r="S144" s="48" t="s">
        <v>1909</v>
      </c>
      <c r="T144" s="48" t="s">
        <v>1910</v>
      </c>
      <c r="U144" s="48" t="s">
        <v>1911</v>
      </c>
      <c r="V144" s="122" t="s">
        <v>263</v>
      </c>
      <c r="W144" s="122" t="s">
        <v>263</v>
      </c>
      <c r="X144" s="48" t="s">
        <v>1912</v>
      </c>
      <c r="Y144" s="48" t="s">
        <v>1913</v>
      </c>
      <c r="Z144" s="61"/>
      <c r="AA144" s="48" t="s">
        <v>273</v>
      </c>
      <c r="AB144" s="48" t="s">
        <v>273</v>
      </c>
      <c r="AC144" s="48" t="s">
        <v>273</v>
      </c>
      <c r="AD144" s="48" t="s">
        <v>273</v>
      </c>
      <c r="AE144" s="48" t="s">
        <v>273</v>
      </c>
      <c r="AF144" s="48" t="s">
        <v>273</v>
      </c>
      <c r="AG144" s="48" t="s">
        <v>273</v>
      </c>
      <c r="AH144" s="48" t="s">
        <v>273</v>
      </c>
      <c r="AI144" s="48" t="s">
        <v>273</v>
      </c>
      <c r="AJ144" s="48" t="s">
        <v>273</v>
      </c>
      <c r="AK144" s="48" t="s">
        <v>273</v>
      </c>
      <c r="AL144" s="48" t="s">
        <v>273</v>
      </c>
      <c r="AM144" s="48" t="s">
        <v>273</v>
      </c>
      <c r="AN144" s="48" t="s">
        <v>273</v>
      </c>
      <c r="AO144" s="48" t="s">
        <v>273</v>
      </c>
      <c r="AP144" s="48" t="s">
        <v>273</v>
      </c>
      <c r="AQ144" s="48" t="s">
        <v>273</v>
      </c>
      <c r="AR144" s="48" t="s">
        <v>273</v>
      </c>
      <c r="AS144" s="48" t="s">
        <v>273</v>
      </c>
      <c r="AT144" s="48" t="s">
        <v>273</v>
      </c>
      <c r="AU144" s="93">
        <v>38412</v>
      </c>
      <c r="AV144" s="93"/>
      <c r="AW144" s="93"/>
      <c r="AX144" s="93"/>
      <c r="AY144" s="93"/>
      <c r="AZ144" s="49" t="s">
        <v>420</v>
      </c>
    </row>
    <row r="145" spans="1:52" ht="16.5" customHeight="1" x14ac:dyDescent="0.15">
      <c r="A145" s="134" t="s">
        <v>1914</v>
      </c>
      <c r="B145" s="136" t="s">
        <v>1915</v>
      </c>
      <c r="C145" s="48" t="s">
        <v>298</v>
      </c>
      <c r="D145" s="62" t="s">
        <v>1916</v>
      </c>
      <c r="E145" s="48" t="s">
        <v>300</v>
      </c>
      <c r="F145" s="61">
        <v>42422</v>
      </c>
      <c r="G145" s="61">
        <v>42422</v>
      </c>
      <c r="H145" s="125">
        <v>42437</v>
      </c>
      <c r="I145" s="61">
        <v>42089</v>
      </c>
      <c r="J145" s="87"/>
      <c r="K145" s="62" t="s">
        <v>12</v>
      </c>
      <c r="L145" s="124" t="s">
        <v>263</v>
      </c>
      <c r="M145" s="62" t="s">
        <v>1917</v>
      </c>
      <c r="N145" s="62" t="s">
        <v>1918</v>
      </c>
      <c r="O145" s="48" t="s">
        <v>1919</v>
      </c>
      <c r="P145" s="48" t="s">
        <v>1920</v>
      </c>
      <c r="Q145" s="48" t="s">
        <v>1921</v>
      </c>
      <c r="R145" s="48" t="s">
        <v>1922</v>
      </c>
      <c r="S145" s="48" t="s">
        <v>1923</v>
      </c>
      <c r="T145" s="48" t="s">
        <v>1924</v>
      </c>
      <c r="U145" s="48" t="s">
        <v>1925</v>
      </c>
      <c r="V145" s="122" t="s">
        <v>263</v>
      </c>
      <c r="W145" s="122" t="s">
        <v>263</v>
      </c>
      <c r="X145" s="48" t="s">
        <v>1926</v>
      </c>
      <c r="Y145" s="48" t="s">
        <v>1927</v>
      </c>
      <c r="Z145" s="61"/>
      <c r="AA145" s="48" t="s">
        <v>273</v>
      </c>
      <c r="AB145" s="48" t="s">
        <v>273</v>
      </c>
      <c r="AC145" s="48" t="s">
        <v>273</v>
      </c>
      <c r="AD145" s="48" t="s">
        <v>273</v>
      </c>
      <c r="AE145" s="48" t="s">
        <v>273</v>
      </c>
      <c r="AF145" s="48" t="s">
        <v>273</v>
      </c>
      <c r="AG145" s="48" t="s">
        <v>273</v>
      </c>
      <c r="AH145" s="48" t="s">
        <v>273</v>
      </c>
      <c r="AI145" s="48" t="s">
        <v>273</v>
      </c>
      <c r="AJ145" s="48" t="s">
        <v>273</v>
      </c>
      <c r="AK145" s="48" t="s">
        <v>273</v>
      </c>
      <c r="AL145" s="48" t="s">
        <v>273</v>
      </c>
      <c r="AM145" s="48" t="s">
        <v>273</v>
      </c>
      <c r="AN145" s="48" t="s">
        <v>273</v>
      </c>
      <c r="AO145" s="48" t="s">
        <v>273</v>
      </c>
      <c r="AP145" s="48" t="s">
        <v>273</v>
      </c>
      <c r="AQ145" s="48" t="s">
        <v>273</v>
      </c>
      <c r="AR145" s="48" t="s">
        <v>273</v>
      </c>
      <c r="AS145" s="48" t="s">
        <v>273</v>
      </c>
      <c r="AT145" s="48" t="s">
        <v>273</v>
      </c>
      <c r="AU145" s="93">
        <v>41944</v>
      </c>
      <c r="AV145" s="93"/>
      <c r="AW145" s="93"/>
      <c r="AX145" s="93"/>
      <c r="AY145" s="93"/>
      <c r="AZ145" s="49" t="s">
        <v>1928</v>
      </c>
    </row>
    <row r="146" spans="1:52" ht="16.5" customHeight="1" x14ac:dyDescent="0.15">
      <c r="A146" s="182" t="s">
        <v>1929</v>
      </c>
      <c r="B146" s="183" t="s">
        <v>1930</v>
      </c>
      <c r="C146" s="48" t="s">
        <v>330</v>
      </c>
      <c r="D146" s="62" t="s">
        <v>1931</v>
      </c>
      <c r="E146" s="48" t="s">
        <v>300</v>
      </c>
      <c r="F146" s="61">
        <v>42422</v>
      </c>
      <c r="G146" s="61">
        <v>42422</v>
      </c>
      <c r="H146" s="125">
        <v>42674</v>
      </c>
      <c r="I146" s="61" t="s">
        <v>279</v>
      </c>
      <c r="J146" s="87"/>
      <c r="K146" s="124" t="s">
        <v>332</v>
      </c>
      <c r="L146" s="124" t="s">
        <v>332</v>
      </c>
      <c r="M146" s="62" t="s">
        <v>442</v>
      </c>
      <c r="N146" s="62" t="s">
        <v>1932</v>
      </c>
      <c r="O146" s="48" t="s">
        <v>1280</v>
      </c>
      <c r="P146" s="48" t="s">
        <v>1933</v>
      </c>
      <c r="Q146" s="48" t="s">
        <v>1742</v>
      </c>
      <c r="R146" s="48" t="s">
        <v>1934</v>
      </c>
      <c r="S146" s="48" t="s">
        <v>1935</v>
      </c>
      <c r="T146" s="48" t="s">
        <v>1936</v>
      </c>
      <c r="U146" s="48" t="s">
        <v>1937</v>
      </c>
      <c r="V146" s="48"/>
      <c r="W146" s="122"/>
      <c r="X146" s="48" t="s">
        <v>1938</v>
      </c>
      <c r="Y146" s="48" t="s">
        <v>1939</v>
      </c>
      <c r="Z146" s="61"/>
      <c r="AA146" s="48" t="s">
        <v>273</v>
      </c>
      <c r="AB146" s="48" t="s">
        <v>273</v>
      </c>
      <c r="AC146" s="48" t="s">
        <v>273</v>
      </c>
      <c r="AD146" s="48" t="s">
        <v>273</v>
      </c>
      <c r="AE146" s="48" t="s">
        <v>273</v>
      </c>
      <c r="AF146" s="48" t="s">
        <v>273</v>
      </c>
      <c r="AG146" s="48" t="s">
        <v>273</v>
      </c>
      <c r="AH146" s="48" t="s">
        <v>273</v>
      </c>
      <c r="AI146" s="48" t="s">
        <v>273</v>
      </c>
      <c r="AJ146" s="48" t="s">
        <v>273</v>
      </c>
      <c r="AK146" s="48" t="s">
        <v>273</v>
      </c>
      <c r="AL146" s="48" t="s">
        <v>273</v>
      </c>
      <c r="AM146" s="48" t="s">
        <v>273</v>
      </c>
      <c r="AN146" s="48" t="s">
        <v>273</v>
      </c>
      <c r="AO146" s="48" t="s">
        <v>273</v>
      </c>
      <c r="AP146" s="48" t="s">
        <v>273</v>
      </c>
      <c r="AQ146" s="48" t="s">
        <v>273</v>
      </c>
      <c r="AR146" s="48" t="s">
        <v>273</v>
      </c>
      <c r="AS146" s="48" t="s">
        <v>273</v>
      </c>
      <c r="AT146" s="48" t="s">
        <v>273</v>
      </c>
      <c r="AU146" s="93">
        <v>38869</v>
      </c>
      <c r="AV146" s="93"/>
      <c r="AW146" s="93"/>
      <c r="AX146" s="93"/>
      <c r="AY146" s="93"/>
      <c r="AZ146" s="49" t="s">
        <v>1940</v>
      </c>
    </row>
    <row r="147" spans="1:52" ht="16.5" customHeight="1" x14ac:dyDescent="0.15">
      <c r="A147" s="151" t="s">
        <v>1941</v>
      </c>
      <c r="B147" s="152" t="s">
        <v>1942</v>
      </c>
      <c r="C147" s="48" t="s">
        <v>330</v>
      </c>
      <c r="D147" s="62" t="s">
        <v>1943</v>
      </c>
      <c r="E147" s="48" t="s">
        <v>300</v>
      </c>
      <c r="F147" s="61">
        <v>42422</v>
      </c>
      <c r="G147" s="61">
        <v>42422</v>
      </c>
      <c r="H147" s="125">
        <v>42578</v>
      </c>
      <c r="I147" s="61" t="s">
        <v>279</v>
      </c>
      <c r="J147" s="87"/>
      <c r="K147" s="124" t="s">
        <v>263</v>
      </c>
      <c r="L147" s="124" t="s">
        <v>263</v>
      </c>
      <c r="M147" s="62" t="s">
        <v>1944</v>
      </c>
      <c r="N147" s="62" t="s">
        <v>1945</v>
      </c>
      <c r="O147" s="48" t="s">
        <v>1946</v>
      </c>
      <c r="P147" s="48" t="s">
        <v>267</v>
      </c>
      <c r="Q147" s="48" t="s">
        <v>1947</v>
      </c>
      <c r="R147" s="48" t="s">
        <v>1948</v>
      </c>
      <c r="S147" s="48" t="s">
        <v>1949</v>
      </c>
      <c r="T147" s="48" t="s">
        <v>1950</v>
      </c>
      <c r="U147" s="48" t="s">
        <v>1951</v>
      </c>
      <c r="V147" s="122" t="s">
        <v>263</v>
      </c>
      <c r="W147" s="122" t="s">
        <v>263</v>
      </c>
      <c r="X147" s="48" t="s">
        <v>1411</v>
      </c>
      <c r="Y147" s="48" t="s">
        <v>1952</v>
      </c>
      <c r="Z147" s="61"/>
      <c r="AA147" s="48" t="s">
        <v>273</v>
      </c>
      <c r="AB147" s="48" t="s">
        <v>273</v>
      </c>
      <c r="AC147" s="48" t="s">
        <v>273</v>
      </c>
      <c r="AD147" s="48" t="s">
        <v>273</v>
      </c>
      <c r="AE147" s="48" t="s">
        <v>273</v>
      </c>
      <c r="AF147" s="48" t="s">
        <v>273</v>
      </c>
      <c r="AG147" s="48" t="s">
        <v>273</v>
      </c>
      <c r="AH147" s="48" t="s">
        <v>273</v>
      </c>
      <c r="AI147" s="48" t="s">
        <v>273</v>
      </c>
      <c r="AJ147" s="48" t="s">
        <v>273</v>
      </c>
      <c r="AK147" s="48" t="s">
        <v>273</v>
      </c>
      <c r="AL147" s="48" t="s">
        <v>273</v>
      </c>
      <c r="AM147" s="48" t="s">
        <v>273</v>
      </c>
      <c r="AN147" s="48" t="s">
        <v>273</v>
      </c>
      <c r="AO147" s="48" t="s">
        <v>273</v>
      </c>
      <c r="AP147" s="48" t="s">
        <v>273</v>
      </c>
      <c r="AQ147" s="48" t="s">
        <v>273</v>
      </c>
      <c r="AR147" s="48" t="s">
        <v>273</v>
      </c>
      <c r="AS147" s="48" t="s">
        <v>273</v>
      </c>
      <c r="AT147" s="48" t="s">
        <v>273</v>
      </c>
      <c r="AU147" s="93">
        <v>40513</v>
      </c>
      <c r="AV147" s="93"/>
      <c r="AW147" s="93"/>
      <c r="AX147" s="93"/>
      <c r="AY147" s="93"/>
    </row>
    <row r="148" spans="1:52" ht="16.5" customHeight="1" x14ac:dyDescent="0.15">
      <c r="A148" s="134" t="s">
        <v>1953</v>
      </c>
      <c r="B148" s="136" t="s">
        <v>1954</v>
      </c>
      <c r="C148" s="48" t="s">
        <v>1955</v>
      </c>
      <c r="D148" s="124" t="s">
        <v>263</v>
      </c>
      <c r="E148" s="48" t="s">
        <v>264</v>
      </c>
      <c r="F148" s="61">
        <v>42424</v>
      </c>
      <c r="G148" s="61">
        <v>42424</v>
      </c>
      <c r="H148" s="125">
        <v>42436</v>
      </c>
      <c r="I148" s="61" t="s">
        <v>279</v>
      </c>
      <c r="J148" s="87"/>
      <c r="K148" s="62" t="s">
        <v>12</v>
      </c>
      <c r="L148" s="62">
        <v>3</v>
      </c>
      <c r="M148" s="62" t="s">
        <v>236</v>
      </c>
      <c r="N148" s="62" t="s">
        <v>1956</v>
      </c>
      <c r="O148" s="48" t="s">
        <v>348</v>
      </c>
      <c r="P148" s="48" t="s">
        <v>267</v>
      </c>
      <c r="Q148" s="48" t="s">
        <v>892</v>
      </c>
      <c r="R148" s="122" t="s">
        <v>263</v>
      </c>
      <c r="S148" s="48" t="s">
        <v>269</v>
      </c>
      <c r="T148" s="48" t="s">
        <v>270</v>
      </c>
      <c r="U148" s="48" t="s">
        <v>1957</v>
      </c>
      <c r="V148" s="122" t="s">
        <v>263</v>
      </c>
      <c r="W148" s="122" t="s">
        <v>263</v>
      </c>
      <c r="X148" s="122" t="s">
        <v>263</v>
      </c>
      <c r="Y148" s="122" t="s">
        <v>263</v>
      </c>
      <c r="Z148" s="61"/>
      <c r="AA148" s="48" t="s">
        <v>1958</v>
      </c>
      <c r="AB148" s="48" t="s">
        <v>273</v>
      </c>
      <c r="AC148" s="48" t="s">
        <v>273</v>
      </c>
      <c r="AD148" s="48" t="s">
        <v>273</v>
      </c>
      <c r="AE148" s="48" t="s">
        <v>273</v>
      </c>
      <c r="AF148" s="48" t="s">
        <v>273</v>
      </c>
      <c r="AG148" s="48" t="s">
        <v>273</v>
      </c>
      <c r="AH148" s="48" t="s">
        <v>273</v>
      </c>
      <c r="AI148" s="48" t="s">
        <v>273</v>
      </c>
      <c r="AJ148" s="48" t="s">
        <v>273</v>
      </c>
      <c r="AK148" s="48" t="s">
        <v>1959</v>
      </c>
      <c r="AL148" s="48" t="s">
        <v>273</v>
      </c>
      <c r="AM148" s="48" t="s">
        <v>273</v>
      </c>
      <c r="AN148" s="48" t="s">
        <v>273</v>
      </c>
      <c r="AO148" s="48" t="s">
        <v>273</v>
      </c>
      <c r="AP148" s="48" t="s">
        <v>273</v>
      </c>
      <c r="AQ148" s="48" t="s">
        <v>273</v>
      </c>
      <c r="AR148" s="48" t="s">
        <v>273</v>
      </c>
      <c r="AS148" s="48" t="s">
        <v>273</v>
      </c>
      <c r="AT148" s="48" t="s">
        <v>273</v>
      </c>
      <c r="AU148" s="93">
        <v>40940</v>
      </c>
      <c r="AV148" s="93"/>
      <c r="AW148" s="93"/>
      <c r="AX148" s="93"/>
      <c r="AY148" s="93"/>
    </row>
    <row r="149" spans="1:52" ht="16.5" customHeight="1" x14ac:dyDescent="0.15">
      <c r="A149" s="134" t="s">
        <v>1960</v>
      </c>
      <c r="B149" s="136" t="s">
        <v>1961</v>
      </c>
      <c r="C149" s="48" t="s">
        <v>298</v>
      </c>
      <c r="D149" s="62" t="s">
        <v>1962</v>
      </c>
      <c r="E149" s="48" t="s">
        <v>300</v>
      </c>
      <c r="F149" s="61">
        <v>42424</v>
      </c>
      <c r="G149" s="61">
        <v>42424</v>
      </c>
      <c r="H149" s="125">
        <v>42439</v>
      </c>
      <c r="I149" s="61" t="s">
        <v>279</v>
      </c>
      <c r="J149" s="87"/>
      <c r="K149" s="62" t="s">
        <v>12</v>
      </c>
      <c r="L149" s="62">
        <v>3</v>
      </c>
      <c r="M149" s="62" t="s">
        <v>442</v>
      </c>
      <c r="N149" s="62" t="s">
        <v>1963</v>
      </c>
      <c r="O149" s="48" t="s">
        <v>1964</v>
      </c>
      <c r="P149" s="48" t="s">
        <v>1965</v>
      </c>
      <c r="Q149" s="48" t="s">
        <v>1966</v>
      </c>
      <c r="R149" s="48" t="s">
        <v>1967</v>
      </c>
      <c r="S149" s="48" t="s">
        <v>1968</v>
      </c>
      <c r="T149" s="48" t="s">
        <v>1969</v>
      </c>
      <c r="U149" s="48" t="s">
        <v>1970</v>
      </c>
      <c r="V149" s="48" t="s">
        <v>1971</v>
      </c>
      <c r="W149" s="48" t="s">
        <v>1972</v>
      </c>
      <c r="X149" s="48" t="s">
        <v>1973</v>
      </c>
      <c r="Y149" s="48" t="s">
        <v>1974</v>
      </c>
      <c r="Z149" s="61"/>
      <c r="AA149" s="48" t="s">
        <v>581</v>
      </c>
      <c r="AB149" s="48" t="s">
        <v>273</v>
      </c>
      <c r="AC149" s="48" t="s">
        <v>273</v>
      </c>
      <c r="AD149" s="48" t="s">
        <v>273</v>
      </c>
      <c r="AE149" s="48" t="s">
        <v>273</v>
      </c>
      <c r="AF149" s="48" t="s">
        <v>273</v>
      </c>
      <c r="AG149" s="48" t="s">
        <v>273</v>
      </c>
      <c r="AH149" s="48" t="s">
        <v>273</v>
      </c>
      <c r="AI149" s="48" t="s">
        <v>273</v>
      </c>
      <c r="AJ149" s="48" t="s">
        <v>273</v>
      </c>
      <c r="AK149" s="48" t="s">
        <v>582</v>
      </c>
      <c r="AL149" s="48" t="s">
        <v>273</v>
      </c>
      <c r="AM149" s="48" t="s">
        <v>273</v>
      </c>
      <c r="AN149" s="48" t="s">
        <v>273</v>
      </c>
      <c r="AO149" s="48" t="s">
        <v>273</v>
      </c>
      <c r="AP149" s="48" t="s">
        <v>273</v>
      </c>
      <c r="AQ149" s="48" t="s">
        <v>273</v>
      </c>
      <c r="AR149" s="48" t="s">
        <v>273</v>
      </c>
      <c r="AS149" s="48" t="s">
        <v>273</v>
      </c>
      <c r="AT149" s="48" t="s">
        <v>273</v>
      </c>
      <c r="AU149" s="93">
        <v>38078</v>
      </c>
      <c r="AV149" s="93"/>
      <c r="AW149" s="93"/>
      <c r="AX149" s="93"/>
      <c r="AY149" s="93"/>
    </row>
    <row r="150" spans="1:52" ht="16.5" customHeight="1" x14ac:dyDescent="0.15">
      <c r="A150" s="144" t="s">
        <v>1975</v>
      </c>
      <c r="B150" s="145" t="s">
        <v>1976</v>
      </c>
      <c r="C150" s="48" t="s">
        <v>298</v>
      </c>
      <c r="D150" s="62" t="s">
        <v>1977</v>
      </c>
      <c r="E150" s="48" t="s">
        <v>300</v>
      </c>
      <c r="F150" s="61">
        <v>42424</v>
      </c>
      <c r="G150" s="61">
        <v>42424</v>
      </c>
      <c r="H150" s="125">
        <v>42500</v>
      </c>
      <c r="I150" s="61" t="s">
        <v>279</v>
      </c>
      <c r="J150" s="87"/>
      <c r="K150" s="62" t="s">
        <v>12</v>
      </c>
      <c r="L150" s="62">
        <v>3</v>
      </c>
      <c r="M150" s="62" t="s">
        <v>409</v>
      </c>
      <c r="N150" s="62" t="s">
        <v>1978</v>
      </c>
      <c r="O150" s="48" t="s">
        <v>1979</v>
      </c>
      <c r="P150" s="48" t="s">
        <v>1980</v>
      </c>
      <c r="Q150" s="48" t="s">
        <v>1017</v>
      </c>
      <c r="R150" s="48" t="s">
        <v>1981</v>
      </c>
      <c r="S150" s="48" t="s">
        <v>1982</v>
      </c>
      <c r="T150" s="48" t="s">
        <v>1983</v>
      </c>
      <c r="U150" s="48" t="s">
        <v>1984</v>
      </c>
      <c r="V150" s="122" t="s">
        <v>263</v>
      </c>
      <c r="W150" s="122" t="s">
        <v>263</v>
      </c>
      <c r="X150" s="48" t="s">
        <v>1985</v>
      </c>
      <c r="Y150" s="48" t="s">
        <v>1986</v>
      </c>
      <c r="Z150" s="61"/>
      <c r="AA150" s="48" t="s">
        <v>978</v>
      </c>
      <c r="AB150" s="48" t="s">
        <v>291</v>
      </c>
      <c r="AC150" s="48" t="s">
        <v>1987</v>
      </c>
      <c r="AD150" s="48" t="s">
        <v>273</v>
      </c>
      <c r="AE150" s="48" t="s">
        <v>273</v>
      </c>
      <c r="AF150" s="48" t="s">
        <v>273</v>
      </c>
      <c r="AG150" s="48" t="s">
        <v>273</v>
      </c>
      <c r="AH150" s="48" t="s">
        <v>273</v>
      </c>
      <c r="AI150" s="48" t="s">
        <v>273</v>
      </c>
      <c r="AJ150" s="48" t="s">
        <v>273</v>
      </c>
      <c r="AK150" s="48" t="s">
        <v>600</v>
      </c>
      <c r="AL150" s="48" t="s">
        <v>293</v>
      </c>
      <c r="AM150" s="48" t="s">
        <v>1988</v>
      </c>
      <c r="AN150" s="48" t="s">
        <v>273</v>
      </c>
      <c r="AO150" s="48" t="s">
        <v>273</v>
      </c>
      <c r="AP150" s="48" t="s">
        <v>273</v>
      </c>
      <c r="AQ150" s="48" t="s">
        <v>273</v>
      </c>
      <c r="AR150" s="48" t="s">
        <v>273</v>
      </c>
      <c r="AS150" s="48" t="s">
        <v>273</v>
      </c>
      <c r="AT150" s="48" t="s">
        <v>273</v>
      </c>
      <c r="AU150" s="93">
        <v>39203</v>
      </c>
      <c r="AV150" s="93"/>
      <c r="AW150" s="93"/>
      <c r="AX150" s="93"/>
      <c r="AY150" s="93"/>
      <c r="AZ150" s="49" t="s">
        <v>1989</v>
      </c>
    </row>
    <row r="151" spans="1:52" ht="16.5" customHeight="1" x14ac:dyDescent="0.15">
      <c r="A151" s="128" t="s">
        <v>1990</v>
      </c>
      <c r="B151" s="133" t="s">
        <v>1991</v>
      </c>
      <c r="C151" s="48" t="s">
        <v>330</v>
      </c>
      <c r="D151" s="62" t="s">
        <v>1992</v>
      </c>
      <c r="E151" s="48" t="s">
        <v>300</v>
      </c>
      <c r="F151" s="61">
        <v>42424</v>
      </c>
      <c r="G151" s="61">
        <v>42424</v>
      </c>
      <c r="H151" s="125">
        <v>42426</v>
      </c>
      <c r="I151" s="61" t="s">
        <v>279</v>
      </c>
      <c r="J151" s="87"/>
      <c r="K151" s="62" t="s">
        <v>12</v>
      </c>
      <c r="L151" s="124" t="s">
        <v>263</v>
      </c>
      <c r="M151" s="62" t="s">
        <v>209</v>
      </c>
      <c r="N151" s="62" t="s">
        <v>1993</v>
      </c>
      <c r="O151" s="48" t="s">
        <v>1994</v>
      </c>
      <c r="P151" s="130" t="s">
        <v>1995</v>
      </c>
      <c r="Q151" s="130" t="s">
        <v>725</v>
      </c>
      <c r="R151" s="130" t="s">
        <v>1996</v>
      </c>
      <c r="S151" s="130" t="s">
        <v>1997</v>
      </c>
      <c r="T151" s="130" t="s">
        <v>1998</v>
      </c>
      <c r="U151" s="48" t="s">
        <v>1999</v>
      </c>
      <c r="V151" s="48"/>
      <c r="W151" s="48"/>
      <c r="X151" s="48" t="s">
        <v>2000</v>
      </c>
      <c r="Y151" s="48" t="s">
        <v>2001</v>
      </c>
      <c r="Z151" s="61"/>
      <c r="AA151" s="48" t="s">
        <v>273</v>
      </c>
      <c r="AB151" s="48" t="s">
        <v>273</v>
      </c>
      <c r="AC151" s="48" t="s">
        <v>273</v>
      </c>
      <c r="AD151" s="48" t="s">
        <v>273</v>
      </c>
      <c r="AE151" s="48" t="s">
        <v>273</v>
      </c>
      <c r="AF151" s="48" t="s">
        <v>273</v>
      </c>
      <c r="AG151" s="48" t="s">
        <v>273</v>
      </c>
      <c r="AH151" s="48" t="s">
        <v>273</v>
      </c>
      <c r="AI151" s="48" t="s">
        <v>273</v>
      </c>
      <c r="AJ151" s="48" t="s">
        <v>273</v>
      </c>
      <c r="AK151" s="48" t="s">
        <v>273</v>
      </c>
      <c r="AL151" s="48" t="s">
        <v>273</v>
      </c>
      <c r="AM151" s="48" t="s">
        <v>273</v>
      </c>
      <c r="AN151" s="48" t="s">
        <v>273</v>
      </c>
      <c r="AO151" s="48" t="s">
        <v>273</v>
      </c>
      <c r="AP151" s="48" t="s">
        <v>273</v>
      </c>
      <c r="AQ151" s="48" t="s">
        <v>273</v>
      </c>
      <c r="AR151" s="48" t="s">
        <v>273</v>
      </c>
      <c r="AS151" s="48" t="s">
        <v>273</v>
      </c>
      <c r="AT151" s="48" t="s">
        <v>273</v>
      </c>
      <c r="AU151" s="93">
        <v>41426</v>
      </c>
      <c r="AV151" s="93"/>
      <c r="AW151" s="93"/>
      <c r="AX151" s="93"/>
      <c r="AY151" s="93"/>
      <c r="AZ151" s="49" t="s">
        <v>2002</v>
      </c>
    </row>
    <row r="152" spans="1:52" ht="16.5" customHeight="1" x14ac:dyDescent="0.15">
      <c r="A152" s="211" t="s">
        <v>2003</v>
      </c>
      <c r="B152" s="47" t="s">
        <v>2004</v>
      </c>
      <c r="C152" s="48" t="e">
        <f ca="1">INDIRECT("'["&amp;$C$1&amp;".xls]"&amp;$B152&amp;"'!$i$7")</f>
        <v>#REF!</v>
      </c>
      <c r="D152" s="62" t="e">
        <f ca="1">INDIRECT("'["&amp;$C$1&amp;".xls]"&amp;$B152&amp;"'!$b$7")</f>
        <v>#REF!</v>
      </c>
      <c r="E152" s="48" t="e">
        <f ca="1">IF(INDIRECT("'["&amp;$C$1&amp;".xls]"&amp;$B152&amp;"'!$i$2")="","",INDIRECT("'["&amp;$C$1&amp;".xls]"&amp;$B152&amp;"'!$i$2"))</f>
        <v>#REF!</v>
      </c>
      <c r="F152" s="61" t="e">
        <f ca="1">INDIRECT("'["&amp;$C$1&amp;".xls]"&amp;$B152&amp;"'!$b$2")</f>
        <v>#REF!</v>
      </c>
      <c r="G152" s="61" t="e">
        <f ca="1">INDIRECT("'["&amp;$C$1&amp;".xls]"&amp;$B152&amp;"'!$a$20")</f>
        <v>#REF!</v>
      </c>
      <c r="H152" s="88" t="e">
        <f ca="1">INDIRECT("'["&amp;$C$1&amp;".xls]"&amp;$B152&amp;"'!$Q$22")</f>
        <v>#REF!</v>
      </c>
      <c r="I152" s="61" t="e">
        <f ca="1">INDIRECT("'["&amp;$C$1&amp;".xls]"&amp;$B152&amp;"'!$f$6")</f>
        <v>#REF!</v>
      </c>
      <c r="J152" s="87"/>
      <c r="K152" s="124" t="s">
        <v>332</v>
      </c>
      <c r="L152" s="124" t="s">
        <v>332</v>
      </c>
      <c r="M152" s="62" t="e">
        <f ca="1">INDIRECT("'["&amp;$C$1&amp;".xls]"&amp;$B152&amp;"'!$f$4")</f>
        <v>#REF!</v>
      </c>
      <c r="N152" s="62" t="e">
        <f ca="1">INDIRECT("'["&amp;$C$1&amp;".xls]"&amp;$B152&amp;"'!$i$4")</f>
        <v>#REF!</v>
      </c>
      <c r="O152" s="48" t="e">
        <f ca="1">INDIRECT("'["&amp;$C$1&amp;".xls]"&amp;$B152&amp;"'!$l$4")</f>
        <v>#REF!</v>
      </c>
      <c r="P152" s="48" t="e">
        <f ca="1">INDIRECT("'["&amp;$C$1&amp;".xls]"&amp;$B152&amp;"'!$b$5")</f>
        <v>#REF!</v>
      </c>
      <c r="Q152" s="48" t="e">
        <f ca="1">INDIRECT("'["&amp;$C$1&amp;".xls]"&amp;$B152&amp;"'!$f$5")</f>
        <v>#REF!</v>
      </c>
      <c r="R152" s="48" t="s">
        <v>2005</v>
      </c>
      <c r="S152" s="48" t="e">
        <f ca="1">INDIRECT("'["&amp;$C$1&amp;".xls]"&amp;$B152&amp;"'!$i$5")</f>
        <v>#REF!</v>
      </c>
      <c r="T152" s="48" t="e">
        <f ca="1">INDIRECT("'["&amp;$C$1&amp;".xls]"&amp;$B152&amp;"'!$l$5")</f>
        <v>#REF!</v>
      </c>
      <c r="U152" s="48" t="e">
        <f ca="1">INDIRECT("'["&amp;$C$1&amp;".xls]"&amp;$B152&amp;"'!$b$4")</f>
        <v>#REF!</v>
      </c>
      <c r="V152" s="122" t="s">
        <v>332</v>
      </c>
      <c r="W152" s="122" t="s">
        <v>332</v>
      </c>
      <c r="X152" s="48" t="s">
        <v>2006</v>
      </c>
      <c r="Y152" s="48" t="s">
        <v>2007</v>
      </c>
      <c r="Z152" s="61"/>
      <c r="AA152" s="48" t="e">
        <f ca="1">IF(INDIRECT("'["&amp;$C$1&amp;".xls]"&amp;$B152&amp;"'!$P$25")="","",IF(INDIRECT("'["&amp;$C$1&amp;".xls]"&amp;$B152&amp;"'!$O$25")="済み",INDIRECT("'["&amp;$C$1&amp;".xls]"&amp;$B152&amp;"'!$P$25"),""))</f>
        <v>#REF!</v>
      </c>
      <c r="AB152" s="48" t="e">
        <f ca="1">IF(INDIRECT("'["&amp;$C$1&amp;".xls]"&amp;$B152&amp;"'!$P$26")="","",IF(INDIRECT("'["&amp;$C$1&amp;".xls]"&amp;$B152&amp;"'!$O$26")="済み",INDIRECT("'["&amp;$C$1&amp;".xls]"&amp;$B152&amp;"'!$P$26"),""))</f>
        <v>#REF!</v>
      </c>
      <c r="AC152" s="48" t="e">
        <f ca="1">IF(INDIRECT("'["&amp;$C$1&amp;".xls]"&amp;$B152&amp;"'!$P$27")="","",IF(INDIRECT("'["&amp;$C$1&amp;".xls]"&amp;$B152&amp;"'!$O$27")="済み",INDIRECT("'["&amp;$C$1&amp;".xls]"&amp;$B152&amp;"'!$P$27"),""))</f>
        <v>#REF!</v>
      </c>
      <c r="AD152" s="48" t="e">
        <f ca="1">IF(INDIRECT("'["&amp;$C$1&amp;".xls]"&amp;$B152&amp;"'!$P$28")="","",IF(INDIRECT("'["&amp;$C$1&amp;".xls]"&amp;$B152&amp;"'!$O$28")="済み",INDIRECT("'["&amp;$C$1&amp;".xls]"&amp;$B152&amp;"'!$P$28"),""))</f>
        <v>#REF!</v>
      </c>
      <c r="AE152" s="48" t="e">
        <f ca="1">IF(INDIRECT("'["&amp;$C$1&amp;".xls]"&amp;$B152&amp;"'!$P$29")="","",IF(INDIRECT("'["&amp;$C$1&amp;".xls]"&amp;$B152&amp;"'!$O$29")="済み",INDIRECT("'["&amp;$C$1&amp;".xls]"&amp;$B152&amp;"'!$P$29"),""))</f>
        <v>#REF!</v>
      </c>
      <c r="AF152" s="48" t="e">
        <f ca="1">IF(INDIRECT("'["&amp;$C$1&amp;".xls]"&amp;$B152&amp;"'!$P$30")="","",IF(INDIRECT("'["&amp;$C$1&amp;".xls]"&amp;$B152&amp;"'!$O$30")="済み",INDIRECT("'["&amp;$C$1&amp;".xls]"&amp;$B152&amp;"'!$P$30"),""))</f>
        <v>#REF!</v>
      </c>
      <c r="AG152" s="48" t="e">
        <f ca="1">IF(INDIRECT("'["&amp;$C$1&amp;".xls]"&amp;$B152&amp;"'!$P$31")="","",IF(INDIRECT("'["&amp;$C$1&amp;".xls]"&amp;$B152&amp;"'!$O$31")="済み",INDIRECT("'["&amp;$C$1&amp;".xls]"&amp;$B152&amp;"'!$P$31"),""))</f>
        <v>#REF!</v>
      </c>
      <c r="AH152" s="48" t="e">
        <f ca="1">IF(INDIRECT("'["&amp;$C$1&amp;".xls]"&amp;$B152&amp;"'!$P$32")="","",IF(INDIRECT("'["&amp;$C$1&amp;".xls]"&amp;$B152&amp;"'!$O$32")="済み",INDIRECT("'["&amp;$C$1&amp;".xls]"&amp;$B152&amp;"'!$P$32"),""))</f>
        <v>#REF!</v>
      </c>
      <c r="AI152" s="48" t="e">
        <f ca="1">IF(INDIRECT("'["&amp;$C$1&amp;".xls]"&amp;$B152&amp;"'!$P$33")="","",IF(INDIRECT("'["&amp;$C$1&amp;".xls]"&amp;$B152&amp;"'!$O$33")="済み",INDIRECT("'["&amp;$C$1&amp;".xls]"&amp;$B152&amp;"'!$P$33"),""))</f>
        <v>#REF!</v>
      </c>
      <c r="AJ152" s="48" t="e">
        <f ca="1">IF(INDIRECT("'["&amp;$C$1&amp;".xls]"&amp;$B152&amp;"'!$P$34")="","",IF(INDIRECT("'["&amp;$C$1&amp;".xls]"&amp;$B152&amp;"'!$O$34")="済み",INDIRECT("'["&amp;$C$1&amp;".xls]"&amp;$B152&amp;"'!$P$34"),""))</f>
        <v>#REF!</v>
      </c>
      <c r="AK152" s="48" t="e">
        <f ca="1">IF(INDIRECT("'["&amp;$C$1&amp;".xls]"&amp;$B152&amp;"'!$T25")="","",IF(INDIRECT("'["&amp;$C$1&amp;".xls]"&amp;$B152&amp;"'!$O$25")="済み",INDIRECT("'["&amp;$C$1&amp;".xls]"&amp;$B152&amp;"'!$T$25"),""))</f>
        <v>#REF!</v>
      </c>
      <c r="AL152" s="48" t="e">
        <f ca="1">IF(INDIRECT("'["&amp;$C$1&amp;".xls]"&amp;$B152&amp;"'!$T26")="","",IF(INDIRECT("'["&amp;$C$1&amp;".xls]"&amp;$B152&amp;"'!$O$26")="済み",INDIRECT("'["&amp;$C$1&amp;".xls]"&amp;$B152&amp;"'!$T$26"),""))</f>
        <v>#REF!</v>
      </c>
      <c r="AM152" s="48" t="e">
        <f ca="1">IF(INDIRECT("'["&amp;$C$1&amp;".xls]"&amp;$B152&amp;"'!$T27")="","",IF(INDIRECT("'["&amp;$C$1&amp;".xls]"&amp;$B152&amp;"'!$O$27")="済み",INDIRECT("'["&amp;$C$1&amp;".xls]"&amp;$B152&amp;"'!$T$27"),""))</f>
        <v>#REF!</v>
      </c>
      <c r="AN152" s="48" t="e">
        <f ca="1">IF(INDIRECT("'["&amp;$C$1&amp;".xls]"&amp;$B152&amp;"'!$T28")="","",IF(INDIRECT("'["&amp;$C$1&amp;".xls]"&amp;$B152&amp;"'!$O$28")="済み",INDIRECT("'["&amp;$C$1&amp;".xls]"&amp;$B152&amp;"'!$T$28"),""))</f>
        <v>#REF!</v>
      </c>
      <c r="AO152" s="48" t="e">
        <f ca="1">IF(INDIRECT("'["&amp;$C$1&amp;".xls]"&amp;$B152&amp;"'!$T29")="","",IF(INDIRECT("'["&amp;$C$1&amp;".xls]"&amp;$B152&amp;"'!$O$29")="済み",INDIRECT("'["&amp;$C$1&amp;".xls]"&amp;$B152&amp;"'!$T$29"),""))</f>
        <v>#REF!</v>
      </c>
      <c r="AP152" s="48" t="e">
        <f ca="1">IF(INDIRECT("'["&amp;$C$1&amp;".xls]"&amp;$B152&amp;"'!$T30")="","",IF(INDIRECT("'["&amp;$C$1&amp;".xls]"&amp;$B152&amp;"'!$O$30")="済み",INDIRECT("'["&amp;$C$1&amp;".xls]"&amp;$B152&amp;"'!$T$30"),""))</f>
        <v>#REF!</v>
      </c>
      <c r="AQ152" s="48" t="e">
        <f ca="1">IF(INDIRECT("'["&amp;$C$1&amp;".xls]"&amp;$B152&amp;"'!$T31")="","",IF(INDIRECT("'["&amp;$C$1&amp;".xls]"&amp;$B152&amp;"'!$O$31")="済み",INDIRECT("'["&amp;$C$1&amp;".xls]"&amp;$B152&amp;"'!$T$31"),""))</f>
        <v>#REF!</v>
      </c>
      <c r="AR152" s="48" t="e">
        <f ca="1">IF(INDIRECT("'["&amp;$C$1&amp;".xls]"&amp;$B152&amp;"'!$T32")="","",IF(INDIRECT("'["&amp;$C$1&amp;".xls]"&amp;$B152&amp;"'!$O$32")="済み",INDIRECT("'["&amp;$C$1&amp;".xls]"&amp;$B152&amp;"'!$T$32"),""))</f>
        <v>#REF!</v>
      </c>
      <c r="AS152" s="48" t="e">
        <f ca="1">IF(INDIRECT("'["&amp;$C$1&amp;".xls]"&amp;$B152&amp;"'!$T33")="","",IF(INDIRECT("'["&amp;$C$1&amp;".xls]"&amp;$B152&amp;"'!$O$33")="済み",INDIRECT("'["&amp;$C$1&amp;".xls]"&amp;$B152&amp;"'!$T$33"),""))</f>
        <v>#REF!</v>
      </c>
      <c r="AT152" s="48" t="e">
        <f ca="1">IF(INDIRECT("'["&amp;$C$1&amp;".xls]"&amp;$B152&amp;"'!$T34")="","",IF(INDIRECT("'["&amp;$C$1&amp;".xls]"&amp;$B152&amp;"'!$O$34")="済み",INDIRECT("'["&amp;$C$1&amp;".xls]"&amp;$B152&amp;"'!$T$34"),""))</f>
        <v>#REF!</v>
      </c>
      <c r="AU152" s="93" t="e">
        <f ca="1">INDIRECT("'["&amp;$C$1&amp;".xls]"&amp;$B152&amp;"'!$B$6")</f>
        <v>#REF!</v>
      </c>
      <c r="AV152" s="93"/>
      <c r="AW152" s="93"/>
      <c r="AX152" s="93"/>
      <c r="AY152" s="93"/>
      <c r="AZ152" s="49" t="s">
        <v>2008</v>
      </c>
    </row>
    <row r="153" spans="1:52" ht="16.5" customHeight="1" x14ac:dyDescent="0.15">
      <c r="A153" s="134" t="s">
        <v>2009</v>
      </c>
      <c r="B153" s="136" t="s">
        <v>2010</v>
      </c>
      <c r="C153" s="48" t="s">
        <v>298</v>
      </c>
      <c r="D153" s="62" t="s">
        <v>2011</v>
      </c>
      <c r="E153" s="48" t="s">
        <v>264</v>
      </c>
      <c r="F153" s="61">
        <v>42424</v>
      </c>
      <c r="G153" s="61">
        <v>42424</v>
      </c>
      <c r="H153" s="125">
        <v>42432</v>
      </c>
      <c r="I153" s="61" t="s">
        <v>279</v>
      </c>
      <c r="J153" s="87"/>
      <c r="K153" s="62" t="s">
        <v>12</v>
      </c>
      <c r="L153" s="62">
        <v>3</v>
      </c>
      <c r="M153" s="62" t="s">
        <v>2012</v>
      </c>
      <c r="N153" s="62" t="s">
        <v>2013</v>
      </c>
      <c r="O153" s="48" t="s">
        <v>263</v>
      </c>
      <c r="P153" s="48" t="s">
        <v>267</v>
      </c>
      <c r="Q153" s="48" t="s">
        <v>622</v>
      </c>
      <c r="R153" s="48" t="s">
        <v>2014</v>
      </c>
      <c r="S153" s="48" t="s">
        <v>1510</v>
      </c>
      <c r="T153" s="48" t="s">
        <v>1511</v>
      </c>
      <c r="U153" s="48" t="s">
        <v>2015</v>
      </c>
      <c r="V153" s="122" t="s">
        <v>263</v>
      </c>
      <c r="W153" s="122" t="s">
        <v>263</v>
      </c>
      <c r="X153" s="48" t="s">
        <v>2016</v>
      </c>
      <c r="Y153" s="48" t="s">
        <v>2017</v>
      </c>
      <c r="Z153" s="61"/>
      <c r="AA153" s="48" t="s">
        <v>2018</v>
      </c>
      <c r="AB153" s="48" t="s">
        <v>273</v>
      </c>
      <c r="AC153" s="48" t="s">
        <v>273</v>
      </c>
      <c r="AD153" s="48" t="s">
        <v>273</v>
      </c>
      <c r="AE153" s="48" t="s">
        <v>273</v>
      </c>
      <c r="AF153" s="48" t="s">
        <v>273</v>
      </c>
      <c r="AG153" s="48" t="s">
        <v>273</v>
      </c>
      <c r="AH153" s="48" t="s">
        <v>273</v>
      </c>
      <c r="AI153" s="48" t="s">
        <v>273</v>
      </c>
      <c r="AJ153" s="48" t="s">
        <v>273</v>
      </c>
      <c r="AK153" s="48" t="s">
        <v>2019</v>
      </c>
      <c r="AL153" s="48" t="s">
        <v>273</v>
      </c>
      <c r="AM153" s="48" t="s">
        <v>273</v>
      </c>
      <c r="AN153" s="48" t="s">
        <v>273</v>
      </c>
      <c r="AO153" s="48" t="s">
        <v>273</v>
      </c>
      <c r="AP153" s="48" t="s">
        <v>273</v>
      </c>
      <c r="AQ153" s="48" t="s">
        <v>273</v>
      </c>
      <c r="AR153" s="48" t="s">
        <v>273</v>
      </c>
      <c r="AS153" s="48" t="s">
        <v>273</v>
      </c>
      <c r="AT153" s="48" t="s">
        <v>273</v>
      </c>
      <c r="AU153" s="93" t="s">
        <v>263</v>
      </c>
      <c r="AV153" s="93"/>
      <c r="AW153" s="93"/>
      <c r="AX153" s="93"/>
      <c r="AY153" s="93"/>
    </row>
    <row r="154" spans="1:52" ht="16.5" customHeight="1" x14ac:dyDescent="0.15">
      <c r="A154" s="134" t="s">
        <v>2020</v>
      </c>
      <c r="B154" s="136" t="s">
        <v>2021</v>
      </c>
      <c r="C154" s="48" t="s">
        <v>298</v>
      </c>
      <c r="D154" s="62" t="s">
        <v>2022</v>
      </c>
      <c r="E154" s="48" t="s">
        <v>264</v>
      </c>
      <c r="F154" s="61">
        <v>42425</v>
      </c>
      <c r="G154" s="61">
        <v>42425</v>
      </c>
      <c r="H154" s="125">
        <v>42447</v>
      </c>
      <c r="I154" s="61" t="s">
        <v>279</v>
      </c>
      <c r="J154" s="87"/>
      <c r="K154" s="62" t="s">
        <v>12</v>
      </c>
      <c r="L154" s="124" t="s">
        <v>263</v>
      </c>
      <c r="M154" s="62" t="s">
        <v>409</v>
      </c>
      <c r="N154" s="62" t="s">
        <v>2023</v>
      </c>
      <c r="O154" s="48" t="s">
        <v>535</v>
      </c>
      <c r="P154" s="48" t="s">
        <v>2024</v>
      </c>
      <c r="Q154" s="48" t="s">
        <v>2025</v>
      </c>
      <c r="R154" s="48" t="s">
        <v>2026</v>
      </c>
      <c r="S154" s="48" t="s">
        <v>2027</v>
      </c>
      <c r="T154" s="48" t="s">
        <v>2028</v>
      </c>
      <c r="U154" s="48" t="s">
        <v>2029</v>
      </c>
      <c r="V154" s="122" t="s">
        <v>263</v>
      </c>
      <c r="W154" s="48" t="s">
        <v>2030</v>
      </c>
      <c r="X154" s="48" t="s">
        <v>2031</v>
      </c>
      <c r="Y154" s="48" t="s">
        <v>2032</v>
      </c>
      <c r="Z154" s="61"/>
      <c r="AA154" s="48" t="s">
        <v>273</v>
      </c>
      <c r="AB154" s="48" t="s">
        <v>273</v>
      </c>
      <c r="AC154" s="48" t="s">
        <v>273</v>
      </c>
      <c r="AD154" s="48" t="s">
        <v>273</v>
      </c>
      <c r="AE154" s="48" t="s">
        <v>273</v>
      </c>
      <c r="AF154" s="48" t="s">
        <v>273</v>
      </c>
      <c r="AG154" s="48" t="s">
        <v>273</v>
      </c>
      <c r="AH154" s="48" t="s">
        <v>273</v>
      </c>
      <c r="AI154" s="48" t="s">
        <v>273</v>
      </c>
      <c r="AJ154" s="48" t="s">
        <v>273</v>
      </c>
      <c r="AK154" s="48" t="s">
        <v>273</v>
      </c>
      <c r="AL154" s="48" t="s">
        <v>273</v>
      </c>
      <c r="AM154" s="48" t="s">
        <v>273</v>
      </c>
      <c r="AN154" s="48" t="s">
        <v>273</v>
      </c>
      <c r="AO154" s="48" t="s">
        <v>273</v>
      </c>
      <c r="AP154" s="48" t="s">
        <v>273</v>
      </c>
      <c r="AQ154" s="48" t="s">
        <v>273</v>
      </c>
      <c r="AR154" s="48" t="s">
        <v>273</v>
      </c>
      <c r="AS154" s="48" t="s">
        <v>273</v>
      </c>
      <c r="AT154" s="48" t="s">
        <v>273</v>
      </c>
      <c r="AU154" s="93">
        <v>41244</v>
      </c>
      <c r="AV154" s="93"/>
      <c r="AW154" s="93"/>
      <c r="AX154" s="93"/>
      <c r="AY154" s="93"/>
      <c r="AZ154" s="49" t="s">
        <v>2033</v>
      </c>
    </row>
    <row r="155" spans="1:52" ht="16.5" customHeight="1" x14ac:dyDescent="0.15">
      <c r="A155" s="153" t="s">
        <v>2034</v>
      </c>
      <c r="B155" s="154" t="s">
        <v>2035</v>
      </c>
      <c r="C155" s="48" t="s">
        <v>330</v>
      </c>
      <c r="D155" s="62" t="s">
        <v>2036</v>
      </c>
      <c r="E155" s="48" t="s">
        <v>300</v>
      </c>
      <c r="F155" s="61">
        <v>42425</v>
      </c>
      <c r="G155" s="61">
        <v>42425</v>
      </c>
      <c r="H155" s="125">
        <v>42607</v>
      </c>
      <c r="I155" s="61" t="s">
        <v>279</v>
      </c>
      <c r="J155" s="87"/>
      <c r="K155" s="124" t="s">
        <v>263</v>
      </c>
      <c r="L155" s="124" t="s">
        <v>263</v>
      </c>
      <c r="M155" s="62" t="s">
        <v>409</v>
      </c>
      <c r="N155" s="62" t="s">
        <v>2037</v>
      </c>
      <c r="O155" s="48" t="s">
        <v>587</v>
      </c>
      <c r="P155" s="48" t="s">
        <v>1080</v>
      </c>
      <c r="Q155" s="48" t="s">
        <v>1081</v>
      </c>
      <c r="R155" s="48" t="s">
        <v>1545</v>
      </c>
      <c r="S155" s="48" t="s">
        <v>1083</v>
      </c>
      <c r="T155" s="48" t="s">
        <v>1084</v>
      </c>
      <c r="U155" s="48" t="s">
        <v>2038</v>
      </c>
      <c r="V155" s="48" t="s">
        <v>2039</v>
      </c>
      <c r="W155" s="48" t="s">
        <v>2040</v>
      </c>
      <c r="X155" s="48" t="s">
        <v>1088</v>
      </c>
      <c r="Y155" s="48" t="s">
        <v>1089</v>
      </c>
      <c r="Z155" s="61"/>
      <c r="AA155" s="48" t="s">
        <v>273</v>
      </c>
      <c r="AB155" s="48" t="s">
        <v>273</v>
      </c>
      <c r="AC155" s="48" t="s">
        <v>273</v>
      </c>
      <c r="AD155" s="48" t="s">
        <v>273</v>
      </c>
      <c r="AE155" s="48" t="s">
        <v>273</v>
      </c>
      <c r="AF155" s="48" t="s">
        <v>273</v>
      </c>
      <c r="AG155" s="48" t="s">
        <v>273</v>
      </c>
      <c r="AH155" s="48" t="s">
        <v>273</v>
      </c>
      <c r="AI155" s="48" t="s">
        <v>273</v>
      </c>
      <c r="AJ155" s="48" t="s">
        <v>273</v>
      </c>
      <c r="AK155" s="48" t="s">
        <v>273</v>
      </c>
      <c r="AL155" s="48" t="s">
        <v>273</v>
      </c>
      <c r="AM155" s="48" t="s">
        <v>273</v>
      </c>
      <c r="AN155" s="48" t="s">
        <v>273</v>
      </c>
      <c r="AO155" s="48" t="s">
        <v>273</v>
      </c>
      <c r="AP155" s="48" t="s">
        <v>273</v>
      </c>
      <c r="AQ155" s="48" t="s">
        <v>273</v>
      </c>
      <c r="AR155" s="48" t="s">
        <v>273</v>
      </c>
      <c r="AS155" s="48" t="s">
        <v>273</v>
      </c>
      <c r="AT155" s="48" t="s">
        <v>273</v>
      </c>
      <c r="AU155" s="93">
        <v>39387</v>
      </c>
      <c r="AV155" s="93"/>
      <c r="AW155" s="93"/>
      <c r="AX155" s="93"/>
      <c r="AY155" s="93"/>
      <c r="AZ155" s="49" t="s">
        <v>2041</v>
      </c>
    </row>
    <row r="156" spans="1:52" ht="16.5" customHeight="1" x14ac:dyDescent="0.15">
      <c r="A156" s="134" t="s">
        <v>2042</v>
      </c>
      <c r="B156" s="136" t="s">
        <v>2043</v>
      </c>
      <c r="C156" s="48" t="s">
        <v>298</v>
      </c>
      <c r="D156" s="62" t="s">
        <v>2044</v>
      </c>
      <c r="E156" s="48" t="s">
        <v>300</v>
      </c>
      <c r="F156" s="61">
        <v>42425</v>
      </c>
      <c r="G156" s="61">
        <v>42425</v>
      </c>
      <c r="H156" s="125">
        <v>42445</v>
      </c>
      <c r="I156" s="61" t="s">
        <v>279</v>
      </c>
      <c r="J156" s="87"/>
      <c r="K156" s="62" t="s">
        <v>12</v>
      </c>
      <c r="L156" s="62">
        <v>5</v>
      </c>
      <c r="M156" s="62" t="s">
        <v>409</v>
      </c>
      <c r="N156" s="62" t="s">
        <v>2045</v>
      </c>
      <c r="O156" s="48" t="s">
        <v>2046</v>
      </c>
      <c r="P156" s="48" t="s">
        <v>2047</v>
      </c>
      <c r="Q156" s="48" t="s">
        <v>1635</v>
      </c>
      <c r="R156" s="48" t="s">
        <v>2048</v>
      </c>
      <c r="S156" s="48" t="s">
        <v>2049</v>
      </c>
      <c r="T156" s="48" t="s">
        <v>2050</v>
      </c>
      <c r="U156" s="48" t="s">
        <v>2051</v>
      </c>
      <c r="V156" s="122" t="s">
        <v>263</v>
      </c>
      <c r="W156" s="122" t="s">
        <v>263</v>
      </c>
      <c r="X156" s="48" t="s">
        <v>2052</v>
      </c>
      <c r="Y156" s="48" t="s">
        <v>2053</v>
      </c>
      <c r="Z156" s="61"/>
      <c r="AA156" s="48" t="s">
        <v>782</v>
      </c>
      <c r="AB156" s="48" t="s">
        <v>2054</v>
      </c>
      <c r="AC156" s="48" t="s">
        <v>291</v>
      </c>
      <c r="AD156" s="48" t="s">
        <v>781</v>
      </c>
      <c r="AE156" s="48" t="s">
        <v>273</v>
      </c>
      <c r="AF156" s="48" t="s">
        <v>273</v>
      </c>
      <c r="AG156" s="48" t="s">
        <v>273</v>
      </c>
      <c r="AH156" s="48" t="s">
        <v>273</v>
      </c>
      <c r="AI156" s="48" t="s">
        <v>273</v>
      </c>
      <c r="AJ156" s="48" t="s">
        <v>273</v>
      </c>
      <c r="AK156" s="48" t="s">
        <v>786</v>
      </c>
      <c r="AL156" s="48" t="s">
        <v>2055</v>
      </c>
      <c r="AM156" s="48" t="s">
        <v>293</v>
      </c>
      <c r="AN156" s="48" t="s">
        <v>785</v>
      </c>
      <c r="AO156" s="48" t="s">
        <v>273</v>
      </c>
      <c r="AP156" s="48" t="s">
        <v>273</v>
      </c>
      <c r="AQ156" s="48" t="s">
        <v>273</v>
      </c>
      <c r="AR156" s="48" t="s">
        <v>273</v>
      </c>
      <c r="AS156" s="48" t="s">
        <v>273</v>
      </c>
      <c r="AT156" s="48" t="s">
        <v>273</v>
      </c>
      <c r="AU156" s="93">
        <v>38565</v>
      </c>
      <c r="AV156" s="93"/>
      <c r="AW156" s="93"/>
      <c r="AX156" s="93"/>
      <c r="AY156" s="93"/>
      <c r="AZ156" s="49" t="s">
        <v>2056</v>
      </c>
    </row>
    <row r="157" spans="1:52" ht="16.5" customHeight="1" x14ac:dyDescent="0.15">
      <c r="A157" s="134" t="s">
        <v>2057</v>
      </c>
      <c r="B157" s="136" t="s">
        <v>2058</v>
      </c>
      <c r="C157" s="48" t="s">
        <v>2059</v>
      </c>
      <c r="D157" s="62" t="s">
        <v>2060</v>
      </c>
      <c r="E157" s="48" t="s">
        <v>300</v>
      </c>
      <c r="F157" s="61">
        <v>42426</v>
      </c>
      <c r="G157" s="61">
        <v>42426</v>
      </c>
      <c r="H157" s="125">
        <v>42453</v>
      </c>
      <c r="I157" s="61" t="s">
        <v>279</v>
      </c>
      <c r="J157" s="87"/>
      <c r="K157" s="62" t="s">
        <v>12</v>
      </c>
      <c r="L157" s="62">
        <v>5</v>
      </c>
      <c r="M157" s="62" t="s">
        <v>409</v>
      </c>
      <c r="N157" s="62" t="s">
        <v>2061</v>
      </c>
      <c r="O157" s="48" t="s">
        <v>535</v>
      </c>
      <c r="P157" s="48" t="s">
        <v>637</v>
      </c>
      <c r="Q157" s="48" t="s">
        <v>2062</v>
      </c>
      <c r="R157" s="48" t="s">
        <v>639</v>
      </c>
      <c r="S157" s="48" t="s">
        <v>640</v>
      </c>
      <c r="T157" s="48" t="s">
        <v>641</v>
      </c>
      <c r="U157" s="48" t="s">
        <v>2063</v>
      </c>
      <c r="V157" s="48"/>
      <c r="W157" s="48"/>
      <c r="X157" s="48" t="s">
        <v>2064</v>
      </c>
      <c r="Y157" s="48" t="s">
        <v>2065</v>
      </c>
      <c r="Z157" s="61"/>
      <c r="AA157" s="48" t="s">
        <v>273</v>
      </c>
      <c r="AB157" s="48" t="s">
        <v>273</v>
      </c>
      <c r="AC157" s="48" t="s">
        <v>273</v>
      </c>
      <c r="AD157" s="48" t="s">
        <v>273</v>
      </c>
      <c r="AE157" s="48" t="s">
        <v>273</v>
      </c>
      <c r="AF157" s="48" t="s">
        <v>273</v>
      </c>
      <c r="AG157" s="48" t="s">
        <v>273</v>
      </c>
      <c r="AH157" s="48" t="s">
        <v>273</v>
      </c>
      <c r="AI157" s="48" t="s">
        <v>273</v>
      </c>
      <c r="AJ157" s="48" t="s">
        <v>273</v>
      </c>
      <c r="AK157" s="48" t="s">
        <v>273</v>
      </c>
      <c r="AL157" s="48" t="s">
        <v>273</v>
      </c>
      <c r="AM157" s="48" t="s">
        <v>273</v>
      </c>
      <c r="AN157" s="48" t="s">
        <v>273</v>
      </c>
      <c r="AO157" s="48" t="s">
        <v>273</v>
      </c>
      <c r="AP157" s="48" t="s">
        <v>273</v>
      </c>
      <c r="AQ157" s="48" t="s">
        <v>273</v>
      </c>
      <c r="AR157" s="48" t="s">
        <v>273</v>
      </c>
      <c r="AS157" s="48" t="s">
        <v>273</v>
      </c>
      <c r="AT157" s="48" t="s">
        <v>273</v>
      </c>
      <c r="AU157" s="93">
        <v>40848</v>
      </c>
      <c r="AV157" s="93"/>
      <c r="AW157" s="93"/>
      <c r="AX157" s="93"/>
      <c r="AY157" s="93"/>
      <c r="AZ157" s="49" t="s">
        <v>2066</v>
      </c>
    </row>
    <row r="158" spans="1:52" ht="16.5" customHeight="1" x14ac:dyDescent="0.15">
      <c r="A158" s="134" t="s">
        <v>2067</v>
      </c>
      <c r="B158" s="136" t="s">
        <v>2068</v>
      </c>
      <c r="C158" s="48" t="s">
        <v>2069</v>
      </c>
      <c r="D158" s="62" t="s">
        <v>2060</v>
      </c>
      <c r="E158" s="48" t="s">
        <v>300</v>
      </c>
      <c r="F158" s="61">
        <v>42426</v>
      </c>
      <c r="G158" s="61">
        <v>42426</v>
      </c>
      <c r="H158" s="125">
        <v>42453</v>
      </c>
      <c r="I158" s="61" t="s">
        <v>279</v>
      </c>
      <c r="J158" s="87"/>
      <c r="K158" s="62" t="s">
        <v>12</v>
      </c>
      <c r="L158" s="62">
        <v>5</v>
      </c>
      <c r="M158" s="62" t="s">
        <v>409</v>
      </c>
      <c r="N158" s="62" t="s">
        <v>2070</v>
      </c>
      <c r="O158" s="48" t="s">
        <v>535</v>
      </c>
      <c r="P158" s="48" t="s">
        <v>637</v>
      </c>
      <c r="Q158" s="48" t="s">
        <v>2062</v>
      </c>
      <c r="R158" s="48" t="s">
        <v>639</v>
      </c>
      <c r="S158" s="48" t="s">
        <v>640</v>
      </c>
      <c r="T158" s="48" t="s">
        <v>641</v>
      </c>
      <c r="U158" s="48" t="s">
        <v>2071</v>
      </c>
      <c r="V158" s="48"/>
      <c r="W158" s="48"/>
      <c r="X158" s="48" t="s">
        <v>2064</v>
      </c>
      <c r="Y158" s="48" t="s">
        <v>2065</v>
      </c>
      <c r="Z158" s="61"/>
      <c r="AA158" s="48" t="s">
        <v>273</v>
      </c>
      <c r="AB158" s="48" t="s">
        <v>273</v>
      </c>
      <c r="AC158" s="48" t="s">
        <v>273</v>
      </c>
      <c r="AD158" s="48" t="s">
        <v>273</v>
      </c>
      <c r="AE158" s="48" t="s">
        <v>273</v>
      </c>
      <c r="AF158" s="48" t="s">
        <v>273</v>
      </c>
      <c r="AG158" s="48" t="s">
        <v>273</v>
      </c>
      <c r="AH158" s="48" t="s">
        <v>273</v>
      </c>
      <c r="AI158" s="48" t="s">
        <v>273</v>
      </c>
      <c r="AJ158" s="48" t="s">
        <v>273</v>
      </c>
      <c r="AK158" s="48" t="s">
        <v>273</v>
      </c>
      <c r="AL158" s="48" t="s">
        <v>273</v>
      </c>
      <c r="AM158" s="48" t="s">
        <v>273</v>
      </c>
      <c r="AN158" s="48" t="s">
        <v>273</v>
      </c>
      <c r="AO158" s="48" t="s">
        <v>273</v>
      </c>
      <c r="AP158" s="48" t="s">
        <v>273</v>
      </c>
      <c r="AQ158" s="48" t="s">
        <v>273</v>
      </c>
      <c r="AR158" s="48" t="s">
        <v>273</v>
      </c>
      <c r="AS158" s="48" t="s">
        <v>273</v>
      </c>
      <c r="AT158" s="48" t="s">
        <v>273</v>
      </c>
      <c r="AU158" s="93">
        <v>40848</v>
      </c>
      <c r="AV158" s="93"/>
      <c r="AW158" s="93"/>
      <c r="AX158" s="93"/>
      <c r="AY158" s="93"/>
      <c r="AZ158" s="49" t="s">
        <v>2072</v>
      </c>
    </row>
    <row r="159" spans="1:52" ht="16.5" customHeight="1" x14ac:dyDescent="0.15">
      <c r="A159" s="146" t="s">
        <v>2073</v>
      </c>
      <c r="B159" s="147" t="s">
        <v>2074</v>
      </c>
      <c r="C159" s="48" t="s">
        <v>298</v>
      </c>
      <c r="D159" s="62" t="s">
        <v>2075</v>
      </c>
      <c r="E159" s="48" t="s">
        <v>300</v>
      </c>
      <c r="F159" s="61">
        <v>42426</v>
      </c>
      <c r="G159" s="61">
        <v>42426</v>
      </c>
      <c r="H159" s="125">
        <v>42536</v>
      </c>
      <c r="I159" s="61">
        <v>39356</v>
      </c>
      <c r="J159" s="87"/>
      <c r="K159" s="62" t="s">
        <v>14</v>
      </c>
      <c r="L159" s="62">
        <v>3</v>
      </c>
      <c r="M159" s="62" t="s">
        <v>442</v>
      </c>
      <c r="N159" s="62" t="s">
        <v>2076</v>
      </c>
      <c r="O159" s="48" t="s">
        <v>872</v>
      </c>
      <c r="P159" s="48" t="s">
        <v>2077</v>
      </c>
      <c r="Q159" s="48" t="s">
        <v>1097</v>
      </c>
      <c r="R159" s="48" t="s">
        <v>1098</v>
      </c>
      <c r="S159" s="48" t="s">
        <v>1099</v>
      </c>
      <c r="T159" s="48" t="s">
        <v>1100</v>
      </c>
      <c r="U159" s="48" t="s">
        <v>2078</v>
      </c>
      <c r="V159" s="122" t="s">
        <v>263</v>
      </c>
      <c r="W159" s="122" t="s">
        <v>263</v>
      </c>
      <c r="X159" s="48" t="s">
        <v>1104</v>
      </c>
      <c r="Y159" s="48" t="s">
        <v>1105</v>
      </c>
      <c r="Z159" s="61"/>
      <c r="AA159" s="48" t="s">
        <v>645</v>
      </c>
      <c r="AB159" s="48" t="s">
        <v>273</v>
      </c>
      <c r="AC159" s="48" t="s">
        <v>273</v>
      </c>
      <c r="AD159" s="48" t="s">
        <v>273</v>
      </c>
      <c r="AE159" s="48" t="s">
        <v>273</v>
      </c>
      <c r="AF159" s="48" t="s">
        <v>273</v>
      </c>
      <c r="AG159" s="48" t="s">
        <v>273</v>
      </c>
      <c r="AH159" s="48" t="s">
        <v>273</v>
      </c>
      <c r="AI159" s="48" t="s">
        <v>273</v>
      </c>
      <c r="AJ159" s="48" t="s">
        <v>273</v>
      </c>
      <c r="AK159" s="48" t="s">
        <v>646</v>
      </c>
      <c r="AL159" s="48" t="s">
        <v>273</v>
      </c>
      <c r="AM159" s="48" t="s">
        <v>273</v>
      </c>
      <c r="AN159" s="48" t="s">
        <v>273</v>
      </c>
      <c r="AO159" s="48" t="s">
        <v>273</v>
      </c>
      <c r="AP159" s="48" t="s">
        <v>273</v>
      </c>
      <c r="AQ159" s="48" t="s">
        <v>273</v>
      </c>
      <c r="AR159" s="48" t="s">
        <v>273</v>
      </c>
      <c r="AS159" s="48" t="s">
        <v>273</v>
      </c>
      <c r="AT159" s="48" t="s">
        <v>273</v>
      </c>
      <c r="AU159" s="93">
        <v>39173</v>
      </c>
      <c r="AV159" s="93"/>
      <c r="AW159" s="93"/>
      <c r="AX159" s="93"/>
      <c r="AY159" s="93"/>
    </row>
    <row r="160" spans="1:52" ht="16.5" customHeight="1" x14ac:dyDescent="0.15">
      <c r="A160" s="146" t="s">
        <v>2079</v>
      </c>
      <c r="B160" s="147" t="s">
        <v>2080</v>
      </c>
      <c r="C160" s="48" t="s">
        <v>298</v>
      </c>
      <c r="D160" s="62" t="s">
        <v>2081</v>
      </c>
      <c r="E160" s="48" t="s">
        <v>300</v>
      </c>
      <c r="F160" s="61">
        <v>42426</v>
      </c>
      <c r="G160" s="61">
        <v>42426</v>
      </c>
      <c r="H160" s="125">
        <v>42545</v>
      </c>
      <c r="I160" s="61" t="s">
        <v>279</v>
      </c>
      <c r="J160" s="87"/>
      <c r="K160" s="62" t="s">
        <v>14</v>
      </c>
      <c r="L160" s="124">
        <v>3</v>
      </c>
      <c r="M160" s="62" t="s">
        <v>409</v>
      </c>
      <c r="N160" s="62" t="s">
        <v>2082</v>
      </c>
      <c r="O160" s="48" t="s">
        <v>606</v>
      </c>
      <c r="P160" s="48" t="s">
        <v>2083</v>
      </c>
      <c r="Q160" s="48" t="s">
        <v>2084</v>
      </c>
      <c r="R160" s="48" t="s">
        <v>2085</v>
      </c>
      <c r="S160" s="48" t="s">
        <v>2086</v>
      </c>
      <c r="T160" s="48" t="s">
        <v>2087</v>
      </c>
      <c r="U160" s="48" t="s">
        <v>2088</v>
      </c>
      <c r="V160" s="122" t="s">
        <v>263</v>
      </c>
      <c r="W160" s="48" t="s">
        <v>2089</v>
      </c>
      <c r="X160" s="48" t="s">
        <v>2086</v>
      </c>
      <c r="Y160" s="48" t="s">
        <v>2090</v>
      </c>
      <c r="Z160" s="61"/>
      <c r="AA160" s="48" t="s">
        <v>357</v>
      </c>
      <c r="AB160" s="48" t="s">
        <v>1958</v>
      </c>
      <c r="AC160" s="48" t="s">
        <v>1391</v>
      </c>
      <c r="AD160" s="48" t="s">
        <v>291</v>
      </c>
      <c r="AE160" s="48" t="s">
        <v>273</v>
      </c>
      <c r="AF160" s="48" t="s">
        <v>273</v>
      </c>
      <c r="AG160" s="48" t="s">
        <v>273</v>
      </c>
      <c r="AH160" s="48" t="s">
        <v>273</v>
      </c>
      <c r="AI160" s="48" t="s">
        <v>273</v>
      </c>
      <c r="AJ160" s="48" t="s">
        <v>273</v>
      </c>
      <c r="AK160" s="48" t="s">
        <v>2091</v>
      </c>
      <c r="AL160" s="48" t="s">
        <v>2092</v>
      </c>
      <c r="AM160" s="48" t="s">
        <v>1394</v>
      </c>
      <c r="AN160" s="48" t="s">
        <v>293</v>
      </c>
      <c r="AO160" s="48" t="s">
        <v>273</v>
      </c>
      <c r="AP160" s="48" t="s">
        <v>273</v>
      </c>
      <c r="AQ160" s="48" t="s">
        <v>273</v>
      </c>
      <c r="AR160" s="48" t="s">
        <v>273</v>
      </c>
      <c r="AS160" s="48" t="s">
        <v>273</v>
      </c>
      <c r="AT160" s="48" t="s">
        <v>273</v>
      </c>
      <c r="AU160" s="93">
        <v>40179</v>
      </c>
      <c r="AV160" s="93"/>
      <c r="AW160" s="93"/>
      <c r="AX160" s="93"/>
      <c r="AY160" s="93"/>
      <c r="AZ160" s="49" t="s">
        <v>2093</v>
      </c>
    </row>
    <row r="161" spans="1:52" ht="16.5" customHeight="1" x14ac:dyDescent="0.15">
      <c r="A161" s="134" t="s">
        <v>2094</v>
      </c>
      <c r="B161" s="136" t="s">
        <v>2095</v>
      </c>
      <c r="C161" s="48" t="s">
        <v>298</v>
      </c>
      <c r="D161" s="62" t="s">
        <v>263</v>
      </c>
      <c r="E161" s="48" t="s">
        <v>300</v>
      </c>
      <c r="F161" s="61">
        <v>42426</v>
      </c>
      <c r="G161" s="61">
        <v>42426</v>
      </c>
      <c r="H161" s="125">
        <v>42452</v>
      </c>
      <c r="I161" s="61" t="s">
        <v>279</v>
      </c>
      <c r="J161" s="87"/>
      <c r="K161" s="62" t="s">
        <v>12</v>
      </c>
      <c r="L161" s="62">
        <v>3</v>
      </c>
      <c r="M161" s="62" t="s">
        <v>471</v>
      </c>
      <c r="N161" s="62" t="s">
        <v>2096</v>
      </c>
      <c r="O161" s="48" t="s">
        <v>1153</v>
      </c>
      <c r="P161" s="48" t="s">
        <v>734</v>
      </c>
      <c r="Q161" s="48" t="s">
        <v>971</v>
      </c>
      <c r="R161" s="48" t="s">
        <v>476</v>
      </c>
      <c r="S161" s="48" t="s">
        <v>477</v>
      </c>
      <c r="T161" s="48" t="s">
        <v>478</v>
      </c>
      <c r="U161" s="48" t="s">
        <v>2097</v>
      </c>
      <c r="V161" s="122" t="s">
        <v>263</v>
      </c>
      <c r="W161" s="122" t="s">
        <v>263</v>
      </c>
      <c r="X161" s="48" t="s">
        <v>2098</v>
      </c>
      <c r="Y161" s="48" t="s">
        <v>2099</v>
      </c>
      <c r="Z161" s="61"/>
      <c r="AA161" s="48" t="s">
        <v>508</v>
      </c>
      <c r="AB161" s="48" t="s">
        <v>783</v>
      </c>
      <c r="AC161" s="48" t="s">
        <v>273</v>
      </c>
      <c r="AD161" s="48" t="s">
        <v>273</v>
      </c>
      <c r="AE161" s="48" t="s">
        <v>273</v>
      </c>
      <c r="AF161" s="48" t="s">
        <v>273</v>
      </c>
      <c r="AG161" s="48" t="s">
        <v>273</v>
      </c>
      <c r="AH161" s="48" t="s">
        <v>273</v>
      </c>
      <c r="AI161" s="48" t="s">
        <v>273</v>
      </c>
      <c r="AJ161" s="48" t="s">
        <v>273</v>
      </c>
      <c r="AK161" s="48" t="s">
        <v>509</v>
      </c>
      <c r="AL161" s="48" t="s">
        <v>787</v>
      </c>
      <c r="AM161" s="48" t="s">
        <v>273</v>
      </c>
      <c r="AN161" s="48" t="s">
        <v>273</v>
      </c>
      <c r="AO161" s="48" t="s">
        <v>273</v>
      </c>
      <c r="AP161" s="48" t="s">
        <v>273</v>
      </c>
      <c r="AQ161" s="48" t="s">
        <v>273</v>
      </c>
      <c r="AR161" s="48" t="s">
        <v>273</v>
      </c>
      <c r="AS161" s="48" t="s">
        <v>273</v>
      </c>
      <c r="AT161" s="48" t="s">
        <v>273</v>
      </c>
      <c r="AU161" s="93">
        <v>40148</v>
      </c>
      <c r="AV161" s="93"/>
      <c r="AW161" s="93"/>
      <c r="AX161" s="93"/>
      <c r="AY161" s="93"/>
    </row>
    <row r="162" spans="1:52" ht="16.5" customHeight="1" x14ac:dyDescent="0.15">
      <c r="A162" s="138" t="s">
        <v>2100</v>
      </c>
      <c r="B162" s="140" t="s">
        <v>2101</v>
      </c>
      <c r="C162" s="48" t="s">
        <v>330</v>
      </c>
      <c r="D162" s="62" t="s">
        <v>263</v>
      </c>
      <c r="E162" s="48" t="s">
        <v>300</v>
      </c>
      <c r="F162" s="61">
        <v>42426</v>
      </c>
      <c r="G162" s="61">
        <v>42426</v>
      </c>
      <c r="H162" s="125">
        <v>42465</v>
      </c>
      <c r="I162" s="61" t="s">
        <v>279</v>
      </c>
      <c r="J162" s="87"/>
      <c r="K162" s="124" t="s">
        <v>263</v>
      </c>
      <c r="L162" s="124" t="s">
        <v>263</v>
      </c>
      <c r="M162" s="62" t="s">
        <v>755</v>
      </c>
      <c r="N162" s="62" t="s">
        <v>2102</v>
      </c>
      <c r="O162" s="48" t="s">
        <v>2103</v>
      </c>
      <c r="P162" s="48" t="s">
        <v>2104</v>
      </c>
      <c r="Q162" s="48" t="s">
        <v>2105</v>
      </c>
      <c r="R162" s="48" t="s">
        <v>2106</v>
      </c>
      <c r="S162" s="48" t="s">
        <v>2107</v>
      </c>
      <c r="T162" s="48" t="s">
        <v>2108</v>
      </c>
      <c r="U162" s="48" t="s">
        <v>2109</v>
      </c>
      <c r="V162" s="122" t="s">
        <v>263</v>
      </c>
      <c r="W162" s="122" t="s">
        <v>263</v>
      </c>
      <c r="X162" s="48" t="s">
        <v>2110</v>
      </c>
      <c r="Y162" s="48" t="s">
        <v>2111</v>
      </c>
      <c r="Z162" s="61"/>
      <c r="AA162" s="48" t="s">
        <v>273</v>
      </c>
      <c r="AB162" s="48" t="s">
        <v>273</v>
      </c>
      <c r="AC162" s="48" t="s">
        <v>273</v>
      </c>
      <c r="AD162" s="48" t="s">
        <v>273</v>
      </c>
      <c r="AE162" s="48" t="s">
        <v>273</v>
      </c>
      <c r="AF162" s="48" t="s">
        <v>273</v>
      </c>
      <c r="AG162" s="48" t="s">
        <v>273</v>
      </c>
      <c r="AH162" s="48" t="s">
        <v>273</v>
      </c>
      <c r="AI162" s="48" t="s">
        <v>273</v>
      </c>
      <c r="AJ162" s="48" t="s">
        <v>273</v>
      </c>
      <c r="AK162" s="48" t="s">
        <v>273</v>
      </c>
      <c r="AL162" s="48" t="s">
        <v>273</v>
      </c>
      <c r="AM162" s="48" t="s">
        <v>273</v>
      </c>
      <c r="AN162" s="48" t="s">
        <v>273</v>
      </c>
      <c r="AO162" s="48" t="s">
        <v>273</v>
      </c>
      <c r="AP162" s="48" t="s">
        <v>273</v>
      </c>
      <c r="AQ162" s="48" t="s">
        <v>273</v>
      </c>
      <c r="AR162" s="48" t="s">
        <v>273</v>
      </c>
      <c r="AS162" s="48" t="s">
        <v>273</v>
      </c>
      <c r="AT162" s="48" t="s">
        <v>273</v>
      </c>
      <c r="AU162" s="93">
        <v>38961</v>
      </c>
      <c r="AV162" s="93"/>
      <c r="AW162" s="93"/>
      <c r="AX162" s="93"/>
      <c r="AY162" s="93"/>
      <c r="AZ162" s="49" t="s">
        <v>767</v>
      </c>
    </row>
    <row r="163" spans="1:52" ht="16.5" customHeight="1" x14ac:dyDescent="0.15">
      <c r="A163" s="138" t="s">
        <v>2112</v>
      </c>
      <c r="B163" s="140" t="s">
        <v>2113</v>
      </c>
      <c r="C163" s="48" t="s">
        <v>2114</v>
      </c>
      <c r="D163" s="62" t="s">
        <v>263</v>
      </c>
      <c r="E163" s="48" t="s">
        <v>300</v>
      </c>
      <c r="F163" s="61">
        <v>42426</v>
      </c>
      <c r="G163" s="61">
        <v>42426</v>
      </c>
      <c r="H163" s="125">
        <v>42464</v>
      </c>
      <c r="I163" s="61" t="s">
        <v>279</v>
      </c>
      <c r="J163" s="87"/>
      <c r="K163" s="62" t="s">
        <v>12</v>
      </c>
      <c r="L163" s="62">
        <v>3</v>
      </c>
      <c r="M163" s="62" t="s">
        <v>1360</v>
      </c>
      <c r="N163" s="62" t="s">
        <v>2115</v>
      </c>
      <c r="O163" s="48" t="s">
        <v>2116</v>
      </c>
      <c r="P163" s="48" t="s">
        <v>1425</v>
      </c>
      <c r="Q163" s="48" t="s">
        <v>971</v>
      </c>
      <c r="R163" s="48" t="s">
        <v>476</v>
      </c>
      <c r="S163" s="48" t="s">
        <v>477</v>
      </c>
      <c r="T163" s="48" t="s">
        <v>478</v>
      </c>
      <c r="U163" s="48" t="s">
        <v>2097</v>
      </c>
      <c r="V163" s="122" t="s">
        <v>263</v>
      </c>
      <c r="W163" s="122" t="s">
        <v>263</v>
      </c>
      <c r="X163" s="48" t="s">
        <v>2098</v>
      </c>
      <c r="Y163" s="48" t="s">
        <v>2099</v>
      </c>
      <c r="Z163" s="61"/>
      <c r="AA163" s="48" t="s">
        <v>562</v>
      </c>
      <c r="AB163" s="48" t="s">
        <v>2117</v>
      </c>
      <c r="AC163" s="48" t="s">
        <v>273</v>
      </c>
      <c r="AD163" s="48" t="s">
        <v>273</v>
      </c>
      <c r="AE163" s="48" t="s">
        <v>273</v>
      </c>
      <c r="AF163" s="48" t="s">
        <v>273</v>
      </c>
      <c r="AG163" s="48" t="s">
        <v>273</v>
      </c>
      <c r="AH163" s="48" t="s">
        <v>273</v>
      </c>
      <c r="AI163" s="48" t="s">
        <v>273</v>
      </c>
      <c r="AJ163" s="48" t="s">
        <v>273</v>
      </c>
      <c r="AK163" s="48" t="s">
        <v>564</v>
      </c>
      <c r="AL163" s="48" t="s">
        <v>2118</v>
      </c>
      <c r="AM163" s="48" t="s">
        <v>273</v>
      </c>
      <c r="AN163" s="48" t="s">
        <v>273</v>
      </c>
      <c r="AO163" s="48" t="s">
        <v>273</v>
      </c>
      <c r="AP163" s="48" t="s">
        <v>273</v>
      </c>
      <c r="AQ163" s="48" t="s">
        <v>273</v>
      </c>
      <c r="AR163" s="48" t="s">
        <v>273</v>
      </c>
      <c r="AS163" s="48" t="s">
        <v>273</v>
      </c>
      <c r="AT163" s="48" t="s">
        <v>273</v>
      </c>
      <c r="AU163" s="93">
        <v>38626</v>
      </c>
      <c r="AV163" s="93"/>
      <c r="AW163" s="93"/>
      <c r="AX163" s="93"/>
      <c r="AY163" s="93"/>
    </row>
    <row r="164" spans="1:52" ht="16.5" customHeight="1" x14ac:dyDescent="0.15">
      <c r="A164" s="199" t="s">
        <v>2119</v>
      </c>
      <c r="B164" s="209" t="s">
        <v>2120</v>
      </c>
      <c r="C164" s="48" t="s">
        <v>330</v>
      </c>
      <c r="D164" s="62" t="s">
        <v>2121</v>
      </c>
      <c r="E164" s="48" t="s">
        <v>300</v>
      </c>
      <c r="F164" s="61">
        <v>42429</v>
      </c>
      <c r="G164" s="61">
        <v>42429</v>
      </c>
      <c r="H164" s="125">
        <v>42676</v>
      </c>
      <c r="I164" s="61" t="s">
        <v>279</v>
      </c>
      <c r="J164" s="87"/>
      <c r="K164" s="124" t="s">
        <v>332</v>
      </c>
      <c r="L164" s="124" t="s">
        <v>332</v>
      </c>
      <c r="M164" s="62">
        <v>180</v>
      </c>
      <c r="N164" s="62" t="s">
        <v>2122</v>
      </c>
      <c r="O164" s="48" t="s">
        <v>377</v>
      </c>
      <c r="P164" s="48" t="s">
        <v>2123</v>
      </c>
      <c r="Q164" s="48" t="s">
        <v>2124</v>
      </c>
      <c r="R164" s="48" t="s">
        <v>2125</v>
      </c>
      <c r="S164" s="48" t="s">
        <v>2126</v>
      </c>
      <c r="T164" s="48" t="s">
        <v>2127</v>
      </c>
      <c r="U164" s="48" t="s">
        <v>2128</v>
      </c>
      <c r="V164" s="122" t="s">
        <v>332</v>
      </c>
      <c r="W164" s="122" t="s">
        <v>332</v>
      </c>
      <c r="X164" s="48" t="s">
        <v>2129</v>
      </c>
      <c r="Y164" s="48" t="s">
        <v>2130</v>
      </c>
      <c r="Z164" s="61"/>
      <c r="AA164" s="48" t="s">
        <v>273</v>
      </c>
      <c r="AB164" s="48" t="s">
        <v>273</v>
      </c>
      <c r="AC164" s="48" t="s">
        <v>273</v>
      </c>
      <c r="AD164" s="48" t="s">
        <v>273</v>
      </c>
      <c r="AE164" s="48" t="s">
        <v>273</v>
      </c>
      <c r="AF164" s="48" t="s">
        <v>273</v>
      </c>
      <c r="AG164" s="48" t="s">
        <v>273</v>
      </c>
      <c r="AH164" s="48" t="s">
        <v>273</v>
      </c>
      <c r="AI164" s="48" t="s">
        <v>273</v>
      </c>
      <c r="AJ164" s="48" t="s">
        <v>273</v>
      </c>
      <c r="AK164" s="48" t="s">
        <v>273</v>
      </c>
      <c r="AL164" s="48" t="s">
        <v>273</v>
      </c>
      <c r="AM164" s="48" t="s">
        <v>273</v>
      </c>
      <c r="AN164" s="48" t="s">
        <v>273</v>
      </c>
      <c r="AO164" s="48" t="s">
        <v>273</v>
      </c>
      <c r="AP164" s="48" t="s">
        <v>273</v>
      </c>
      <c r="AQ164" s="48" t="s">
        <v>273</v>
      </c>
      <c r="AR164" s="48" t="s">
        <v>273</v>
      </c>
      <c r="AS164" s="48" t="s">
        <v>273</v>
      </c>
      <c r="AT164" s="48" t="s">
        <v>273</v>
      </c>
      <c r="AU164" s="93">
        <v>36647</v>
      </c>
      <c r="AV164" s="93"/>
      <c r="AW164" s="93"/>
      <c r="AX164" s="93"/>
      <c r="AY164" s="93"/>
      <c r="AZ164" s="49" t="s">
        <v>2131</v>
      </c>
    </row>
    <row r="165" spans="1:52" ht="16.5" customHeight="1" x14ac:dyDescent="0.15">
      <c r="A165" s="134" t="s">
        <v>2132</v>
      </c>
      <c r="B165" s="136" t="s">
        <v>2133</v>
      </c>
      <c r="C165" s="48" t="s">
        <v>298</v>
      </c>
      <c r="D165" s="62" t="s">
        <v>263</v>
      </c>
      <c r="E165" s="48" t="s">
        <v>264</v>
      </c>
      <c r="F165" s="61">
        <v>42429</v>
      </c>
      <c r="G165" s="61">
        <v>42429</v>
      </c>
      <c r="H165" s="125">
        <v>42430</v>
      </c>
      <c r="I165" s="61" t="s">
        <v>279</v>
      </c>
      <c r="J165" s="87"/>
      <c r="K165" s="62" t="s">
        <v>12</v>
      </c>
      <c r="L165" s="124" t="s">
        <v>263</v>
      </c>
      <c r="M165" s="62" t="s">
        <v>209</v>
      </c>
      <c r="N165" s="62" t="s">
        <v>2134</v>
      </c>
      <c r="O165" s="48" t="s">
        <v>2135</v>
      </c>
      <c r="P165" s="48" t="s">
        <v>267</v>
      </c>
      <c r="Q165" s="48" t="s">
        <v>2136</v>
      </c>
      <c r="R165" s="48" t="s">
        <v>2137</v>
      </c>
      <c r="S165" s="130" t="s">
        <v>2138</v>
      </c>
      <c r="T165" s="130" t="s">
        <v>2139</v>
      </c>
      <c r="U165" s="48" t="s">
        <v>2140</v>
      </c>
      <c r="V165" s="122" t="s">
        <v>263</v>
      </c>
      <c r="W165" s="122" t="s">
        <v>263</v>
      </c>
      <c r="X165" s="48" t="s">
        <v>2141</v>
      </c>
      <c r="Y165" s="48" t="s">
        <v>2142</v>
      </c>
      <c r="Z165" s="61"/>
      <c r="AA165" s="48" t="s">
        <v>273</v>
      </c>
      <c r="AB165" s="48" t="s">
        <v>273</v>
      </c>
      <c r="AC165" s="48" t="s">
        <v>273</v>
      </c>
      <c r="AD165" s="48" t="s">
        <v>273</v>
      </c>
      <c r="AE165" s="48" t="s">
        <v>273</v>
      </c>
      <c r="AF165" s="48" t="s">
        <v>273</v>
      </c>
      <c r="AG165" s="48" t="s">
        <v>273</v>
      </c>
      <c r="AH165" s="48" t="s">
        <v>273</v>
      </c>
      <c r="AI165" s="48" t="s">
        <v>273</v>
      </c>
      <c r="AJ165" s="48" t="s">
        <v>273</v>
      </c>
      <c r="AK165" s="48" t="s">
        <v>273</v>
      </c>
      <c r="AL165" s="48" t="s">
        <v>273</v>
      </c>
      <c r="AM165" s="48" t="s">
        <v>273</v>
      </c>
      <c r="AN165" s="48" t="s">
        <v>273</v>
      </c>
      <c r="AO165" s="48" t="s">
        <v>273</v>
      </c>
      <c r="AP165" s="48" t="s">
        <v>273</v>
      </c>
      <c r="AQ165" s="48" t="s">
        <v>273</v>
      </c>
      <c r="AR165" s="48" t="s">
        <v>273</v>
      </c>
      <c r="AS165" s="48" t="s">
        <v>273</v>
      </c>
      <c r="AT165" s="48" t="s">
        <v>273</v>
      </c>
      <c r="AU165" s="93">
        <v>42217</v>
      </c>
      <c r="AV165" s="93"/>
      <c r="AW165" s="93"/>
      <c r="AX165" s="93"/>
      <c r="AY165" s="93"/>
      <c r="AZ165" s="49" t="s">
        <v>2143</v>
      </c>
    </row>
    <row r="166" spans="1:52" ht="16.5" customHeight="1" x14ac:dyDescent="0.15">
      <c r="A166" s="138" t="s">
        <v>2144</v>
      </c>
      <c r="B166" s="140" t="s">
        <v>2145</v>
      </c>
      <c r="C166" s="48" t="s">
        <v>2146</v>
      </c>
      <c r="D166" s="62" t="s">
        <v>2147</v>
      </c>
      <c r="E166" s="48" t="s">
        <v>264</v>
      </c>
      <c r="F166" s="61">
        <v>42430</v>
      </c>
      <c r="G166" s="61">
        <v>42430</v>
      </c>
      <c r="H166" s="125">
        <v>42473</v>
      </c>
      <c r="I166" s="61">
        <v>42064</v>
      </c>
      <c r="J166" s="87"/>
      <c r="K166" s="62" t="s">
        <v>12</v>
      </c>
      <c r="L166" s="62">
        <v>3</v>
      </c>
      <c r="M166" s="62" t="s">
        <v>651</v>
      </c>
      <c r="N166" s="62" t="s">
        <v>2148</v>
      </c>
      <c r="O166" s="48" t="s">
        <v>1810</v>
      </c>
      <c r="P166" s="48" t="s">
        <v>2149</v>
      </c>
      <c r="Q166" s="48" t="s">
        <v>2150</v>
      </c>
      <c r="R166" s="48" t="s">
        <v>2151</v>
      </c>
      <c r="S166" s="48" t="s">
        <v>2152</v>
      </c>
      <c r="T166" s="48" t="s">
        <v>2153</v>
      </c>
      <c r="U166" s="48" t="s">
        <v>2154</v>
      </c>
      <c r="V166" s="48" t="s">
        <v>2155</v>
      </c>
      <c r="W166" s="48" t="s">
        <v>1410</v>
      </c>
      <c r="X166" s="48" t="s">
        <v>2156</v>
      </c>
      <c r="Y166" s="48" t="s">
        <v>2157</v>
      </c>
      <c r="Z166" s="61"/>
      <c r="AA166" s="48" t="s">
        <v>1139</v>
      </c>
      <c r="AB166" s="48" t="s">
        <v>273</v>
      </c>
      <c r="AC166" s="48" t="s">
        <v>273</v>
      </c>
      <c r="AD166" s="48" t="s">
        <v>273</v>
      </c>
      <c r="AE166" s="48" t="s">
        <v>273</v>
      </c>
      <c r="AF166" s="48" t="s">
        <v>273</v>
      </c>
      <c r="AG166" s="48" t="s">
        <v>273</v>
      </c>
      <c r="AH166" s="48" t="s">
        <v>273</v>
      </c>
      <c r="AI166" s="48" t="s">
        <v>273</v>
      </c>
      <c r="AJ166" s="48" t="s">
        <v>273</v>
      </c>
      <c r="AK166" s="48" t="s">
        <v>1140</v>
      </c>
      <c r="AL166" s="48" t="s">
        <v>273</v>
      </c>
      <c r="AM166" s="48" t="s">
        <v>273</v>
      </c>
      <c r="AN166" s="48" t="s">
        <v>273</v>
      </c>
      <c r="AO166" s="48" t="s">
        <v>273</v>
      </c>
      <c r="AP166" s="48" t="s">
        <v>273</v>
      </c>
      <c r="AQ166" s="48" t="s">
        <v>273</v>
      </c>
      <c r="AR166" s="48" t="s">
        <v>273</v>
      </c>
      <c r="AS166" s="48" t="s">
        <v>273</v>
      </c>
      <c r="AT166" s="48" t="s">
        <v>273</v>
      </c>
      <c r="AU166" s="93">
        <v>42036</v>
      </c>
      <c r="AV166" s="93"/>
      <c r="AW166" s="93"/>
      <c r="AX166" s="93"/>
      <c r="AY166" s="93"/>
    </row>
    <row r="167" spans="1:52" ht="16.5" customHeight="1" x14ac:dyDescent="0.15">
      <c r="A167" s="146" t="s">
        <v>2158</v>
      </c>
      <c r="B167" s="147" t="s">
        <v>2159</v>
      </c>
      <c r="C167" s="48" t="s">
        <v>330</v>
      </c>
      <c r="D167" s="62" t="s">
        <v>263</v>
      </c>
      <c r="E167" s="48" t="s">
        <v>300</v>
      </c>
      <c r="F167" s="61">
        <v>42430</v>
      </c>
      <c r="G167" s="61">
        <v>42430</v>
      </c>
      <c r="H167" s="125">
        <v>42528</v>
      </c>
      <c r="I167" s="61">
        <v>39391</v>
      </c>
      <c r="J167" s="87"/>
      <c r="K167" s="124" t="s">
        <v>263</v>
      </c>
      <c r="L167" s="124" t="s">
        <v>263</v>
      </c>
      <c r="M167" s="62" t="s">
        <v>394</v>
      </c>
      <c r="N167" s="62" t="s">
        <v>2160</v>
      </c>
      <c r="O167" s="48" t="s">
        <v>396</v>
      </c>
      <c r="P167" s="48" t="s">
        <v>2161</v>
      </c>
      <c r="Q167" s="130" t="s">
        <v>2162</v>
      </c>
      <c r="R167" s="48" t="s">
        <v>476</v>
      </c>
      <c r="S167" s="48" t="s">
        <v>477</v>
      </c>
      <c r="T167" s="48" t="s">
        <v>478</v>
      </c>
      <c r="U167" s="48" t="s">
        <v>2128</v>
      </c>
      <c r="V167" s="122" t="s">
        <v>263</v>
      </c>
      <c r="W167" s="122" t="s">
        <v>263</v>
      </c>
      <c r="X167" s="48" t="s">
        <v>2129</v>
      </c>
      <c r="Y167" s="48" t="s">
        <v>2130</v>
      </c>
      <c r="Z167" s="61"/>
      <c r="AA167" s="48" t="s">
        <v>273</v>
      </c>
      <c r="AB167" s="48" t="s">
        <v>273</v>
      </c>
      <c r="AC167" s="48" t="s">
        <v>273</v>
      </c>
      <c r="AD167" s="48" t="s">
        <v>273</v>
      </c>
      <c r="AE167" s="48" t="s">
        <v>273</v>
      </c>
      <c r="AF167" s="48" t="s">
        <v>273</v>
      </c>
      <c r="AG167" s="48" t="s">
        <v>273</v>
      </c>
      <c r="AH167" s="48" t="s">
        <v>273</v>
      </c>
      <c r="AI167" s="48" t="s">
        <v>273</v>
      </c>
      <c r="AJ167" s="48" t="s">
        <v>273</v>
      </c>
      <c r="AK167" s="48" t="s">
        <v>273</v>
      </c>
      <c r="AL167" s="48" t="s">
        <v>273</v>
      </c>
      <c r="AM167" s="48" t="s">
        <v>273</v>
      </c>
      <c r="AN167" s="48" t="s">
        <v>273</v>
      </c>
      <c r="AO167" s="48" t="s">
        <v>273</v>
      </c>
      <c r="AP167" s="48" t="s">
        <v>273</v>
      </c>
      <c r="AQ167" s="48" t="s">
        <v>273</v>
      </c>
      <c r="AR167" s="48" t="s">
        <v>273</v>
      </c>
      <c r="AS167" s="48" t="s">
        <v>273</v>
      </c>
      <c r="AT167" s="48" t="s">
        <v>273</v>
      </c>
      <c r="AU167" s="93">
        <v>39264</v>
      </c>
      <c r="AV167" s="93"/>
      <c r="AW167" s="93"/>
      <c r="AX167" s="93"/>
      <c r="AY167" s="93"/>
      <c r="AZ167" s="49" t="s">
        <v>2163</v>
      </c>
    </row>
    <row r="168" spans="1:52" ht="16.5" customHeight="1" x14ac:dyDescent="0.15">
      <c r="A168" s="199" t="s">
        <v>2164</v>
      </c>
      <c r="B168" s="209" t="s">
        <v>2165</v>
      </c>
      <c r="C168" s="48" t="s">
        <v>330</v>
      </c>
      <c r="D168" s="62" t="s">
        <v>2166</v>
      </c>
      <c r="E168" s="48" t="s">
        <v>300</v>
      </c>
      <c r="F168" s="61">
        <v>42430</v>
      </c>
      <c r="G168" s="61">
        <v>42430</v>
      </c>
      <c r="H168" s="125">
        <v>42696</v>
      </c>
      <c r="I168" s="61" t="s">
        <v>279</v>
      </c>
      <c r="J168" s="87"/>
      <c r="K168" s="124" t="s">
        <v>332</v>
      </c>
      <c r="L168" s="124" t="s">
        <v>332</v>
      </c>
      <c r="M168" s="62">
        <v>180</v>
      </c>
      <c r="N168" s="62" t="s">
        <v>2167</v>
      </c>
      <c r="O168" s="48" t="s">
        <v>2168</v>
      </c>
      <c r="P168" s="48" t="s">
        <v>2169</v>
      </c>
      <c r="Q168" s="48" t="s">
        <v>971</v>
      </c>
      <c r="R168" s="48" t="s">
        <v>2170</v>
      </c>
      <c r="S168" s="48" t="s">
        <v>2171</v>
      </c>
      <c r="T168" s="48" t="s">
        <v>2172</v>
      </c>
      <c r="U168" s="48" t="s">
        <v>2173</v>
      </c>
      <c r="V168" s="48" t="s">
        <v>2174</v>
      </c>
      <c r="W168" s="48" t="s">
        <v>2175</v>
      </c>
      <c r="X168" s="48" t="s">
        <v>2176</v>
      </c>
      <c r="Y168" s="48" t="s">
        <v>2170</v>
      </c>
      <c r="Z168" s="61"/>
      <c r="AA168" s="48" t="s">
        <v>273</v>
      </c>
      <c r="AB168" s="48" t="s">
        <v>273</v>
      </c>
      <c r="AC168" s="48" t="s">
        <v>273</v>
      </c>
      <c r="AD168" s="48" t="s">
        <v>273</v>
      </c>
      <c r="AE168" s="48" t="s">
        <v>273</v>
      </c>
      <c r="AF168" s="48" t="s">
        <v>273</v>
      </c>
      <c r="AG168" s="48" t="s">
        <v>273</v>
      </c>
      <c r="AH168" s="48" t="s">
        <v>273</v>
      </c>
      <c r="AI168" s="48" t="s">
        <v>273</v>
      </c>
      <c r="AJ168" s="48" t="s">
        <v>273</v>
      </c>
      <c r="AK168" s="48" t="s">
        <v>273</v>
      </c>
      <c r="AL168" s="48" t="s">
        <v>273</v>
      </c>
      <c r="AM168" s="48" t="s">
        <v>273</v>
      </c>
      <c r="AN168" s="48" t="s">
        <v>273</v>
      </c>
      <c r="AO168" s="48" t="s">
        <v>273</v>
      </c>
      <c r="AP168" s="48" t="s">
        <v>273</v>
      </c>
      <c r="AQ168" s="48" t="s">
        <v>273</v>
      </c>
      <c r="AR168" s="48" t="s">
        <v>273</v>
      </c>
      <c r="AS168" s="48" t="s">
        <v>273</v>
      </c>
      <c r="AT168" s="48" t="s">
        <v>273</v>
      </c>
      <c r="AU168" s="93">
        <v>36617</v>
      </c>
      <c r="AV168" s="93"/>
      <c r="AW168" s="93"/>
      <c r="AX168" s="93"/>
      <c r="AY168" s="93"/>
      <c r="AZ168" s="49" t="s">
        <v>2177</v>
      </c>
    </row>
    <row r="169" spans="1:52" ht="16.5" customHeight="1" x14ac:dyDescent="0.15">
      <c r="A169" s="134" t="s">
        <v>2178</v>
      </c>
      <c r="B169" s="136" t="s">
        <v>2179</v>
      </c>
      <c r="C169" s="48" t="s">
        <v>2180</v>
      </c>
      <c r="D169" s="62" t="s">
        <v>263</v>
      </c>
      <c r="E169" s="48" t="s">
        <v>264</v>
      </c>
      <c r="F169" s="61">
        <v>42430</v>
      </c>
      <c r="G169" s="61">
        <v>42430</v>
      </c>
      <c r="H169" s="125">
        <v>42440</v>
      </c>
      <c r="I169" s="61" t="s">
        <v>1249</v>
      </c>
      <c r="J169" s="87"/>
      <c r="K169" s="62" t="s">
        <v>12</v>
      </c>
      <c r="L169" s="62">
        <v>3</v>
      </c>
      <c r="M169" s="62" t="s">
        <v>651</v>
      </c>
      <c r="N169" s="62" t="s">
        <v>2181</v>
      </c>
      <c r="O169" s="48" t="s">
        <v>1065</v>
      </c>
      <c r="P169" s="48" t="s">
        <v>267</v>
      </c>
      <c r="Q169" s="48" t="s">
        <v>622</v>
      </c>
      <c r="R169" s="122" t="s">
        <v>263</v>
      </c>
      <c r="S169" s="48" t="s">
        <v>269</v>
      </c>
      <c r="T169" s="48" t="s">
        <v>270</v>
      </c>
      <c r="U169" s="48" t="s">
        <v>2182</v>
      </c>
      <c r="V169" s="122" t="s">
        <v>263</v>
      </c>
      <c r="W169" s="122" t="s">
        <v>263</v>
      </c>
      <c r="X169" s="122" t="s">
        <v>263</v>
      </c>
      <c r="Y169" s="122" t="s">
        <v>263</v>
      </c>
      <c r="Z169" s="61"/>
      <c r="AA169" s="48" t="s">
        <v>962</v>
      </c>
      <c r="AB169" s="48" t="s">
        <v>273</v>
      </c>
      <c r="AC169" s="48" t="s">
        <v>273</v>
      </c>
      <c r="AD169" s="48" t="s">
        <v>273</v>
      </c>
      <c r="AE169" s="48" t="s">
        <v>273</v>
      </c>
      <c r="AF169" s="48" t="s">
        <v>273</v>
      </c>
      <c r="AG169" s="48" t="s">
        <v>273</v>
      </c>
      <c r="AH169" s="48" t="s">
        <v>273</v>
      </c>
      <c r="AI169" s="48" t="s">
        <v>273</v>
      </c>
      <c r="AJ169" s="48" t="s">
        <v>273</v>
      </c>
      <c r="AK169" s="48" t="s">
        <v>963</v>
      </c>
      <c r="AL169" s="48" t="s">
        <v>273</v>
      </c>
      <c r="AM169" s="48" t="s">
        <v>273</v>
      </c>
      <c r="AN169" s="48" t="s">
        <v>273</v>
      </c>
      <c r="AO169" s="48" t="s">
        <v>273</v>
      </c>
      <c r="AP169" s="48" t="s">
        <v>273</v>
      </c>
      <c r="AQ169" s="48" t="s">
        <v>273</v>
      </c>
      <c r="AR169" s="48" t="s">
        <v>273</v>
      </c>
      <c r="AS169" s="48" t="s">
        <v>273</v>
      </c>
      <c r="AT169" s="48" t="s">
        <v>273</v>
      </c>
      <c r="AU169" s="93">
        <v>41426</v>
      </c>
      <c r="AV169" s="93"/>
      <c r="AW169" s="93"/>
      <c r="AX169" s="93"/>
      <c r="AY169" s="93"/>
    </row>
    <row r="170" spans="1:52" ht="16.5" customHeight="1" x14ac:dyDescent="0.15">
      <c r="A170" s="134" t="s">
        <v>2183</v>
      </c>
      <c r="B170" s="136" t="s">
        <v>2184</v>
      </c>
      <c r="C170" s="48" t="s">
        <v>2185</v>
      </c>
      <c r="D170" s="62" t="s">
        <v>263</v>
      </c>
      <c r="E170" s="48" t="s">
        <v>264</v>
      </c>
      <c r="F170" s="61">
        <v>42430</v>
      </c>
      <c r="G170" s="61">
        <v>42430</v>
      </c>
      <c r="H170" s="125">
        <v>42439</v>
      </c>
      <c r="I170" s="61" t="s">
        <v>279</v>
      </c>
      <c r="J170" s="87"/>
      <c r="K170" s="62" t="s">
        <v>12</v>
      </c>
      <c r="L170" s="62">
        <v>3</v>
      </c>
      <c r="M170" s="62" t="s">
        <v>209</v>
      </c>
      <c r="N170" s="62" t="s">
        <v>2186</v>
      </c>
      <c r="O170" s="48" t="s">
        <v>281</v>
      </c>
      <c r="P170" s="48" t="s">
        <v>267</v>
      </c>
      <c r="Q170" s="48" t="s">
        <v>263</v>
      </c>
      <c r="R170" s="122" t="s">
        <v>263</v>
      </c>
      <c r="S170" s="48" t="s">
        <v>269</v>
      </c>
      <c r="T170" s="48" t="s">
        <v>270</v>
      </c>
      <c r="U170" s="48" t="s">
        <v>2187</v>
      </c>
      <c r="V170" s="122" t="s">
        <v>263</v>
      </c>
      <c r="W170" s="122" t="s">
        <v>263</v>
      </c>
      <c r="X170" s="122" t="s">
        <v>263</v>
      </c>
      <c r="Y170" s="122" t="s">
        <v>263</v>
      </c>
      <c r="Z170" s="61"/>
      <c r="AA170" s="48" t="s">
        <v>327</v>
      </c>
      <c r="AB170" s="48" t="s">
        <v>273</v>
      </c>
      <c r="AC170" s="48" t="s">
        <v>273</v>
      </c>
      <c r="AD170" s="48" t="s">
        <v>273</v>
      </c>
      <c r="AE170" s="48" t="s">
        <v>273</v>
      </c>
      <c r="AF170" s="48" t="s">
        <v>273</v>
      </c>
      <c r="AG170" s="48" t="s">
        <v>273</v>
      </c>
      <c r="AH170" s="48" t="s">
        <v>273</v>
      </c>
      <c r="AI170" s="48" t="s">
        <v>273</v>
      </c>
      <c r="AJ170" s="48" t="s">
        <v>273</v>
      </c>
      <c r="AK170" s="48" t="s">
        <v>274</v>
      </c>
      <c r="AL170" s="48" t="s">
        <v>273</v>
      </c>
      <c r="AM170" s="48" t="s">
        <v>273</v>
      </c>
      <c r="AN170" s="48" t="s">
        <v>273</v>
      </c>
      <c r="AO170" s="48" t="s">
        <v>273</v>
      </c>
      <c r="AP170" s="48" t="s">
        <v>273</v>
      </c>
      <c r="AQ170" s="48" t="s">
        <v>273</v>
      </c>
      <c r="AR170" s="48" t="s">
        <v>273</v>
      </c>
      <c r="AS170" s="48" t="s">
        <v>273</v>
      </c>
      <c r="AT170" s="48" t="s">
        <v>273</v>
      </c>
      <c r="AU170" s="93">
        <v>41000</v>
      </c>
      <c r="AV170" s="93"/>
      <c r="AW170" s="93"/>
      <c r="AX170" s="93"/>
      <c r="AY170" s="93"/>
    </row>
    <row r="171" spans="1:52" ht="16.5" customHeight="1" x14ac:dyDescent="0.15">
      <c r="A171" s="134" t="s">
        <v>2188</v>
      </c>
      <c r="B171" s="136" t="s">
        <v>2189</v>
      </c>
      <c r="C171" s="48" t="s">
        <v>2190</v>
      </c>
      <c r="D171" s="62" t="s">
        <v>263</v>
      </c>
      <c r="E171" s="48" t="s">
        <v>264</v>
      </c>
      <c r="F171" s="61">
        <v>42430</v>
      </c>
      <c r="G171" s="61">
        <v>42430</v>
      </c>
      <c r="H171" s="125">
        <v>42443</v>
      </c>
      <c r="I171" s="61" t="s">
        <v>263</v>
      </c>
      <c r="J171" s="87"/>
      <c r="K171" s="62" t="s">
        <v>12</v>
      </c>
      <c r="L171" s="62">
        <v>3</v>
      </c>
      <c r="M171" s="62" t="s">
        <v>209</v>
      </c>
      <c r="N171" s="62" t="s">
        <v>2191</v>
      </c>
      <c r="O171" s="48" t="s">
        <v>2192</v>
      </c>
      <c r="P171" s="48" t="s">
        <v>267</v>
      </c>
      <c r="Q171" s="48" t="s">
        <v>268</v>
      </c>
      <c r="R171" s="122" t="s">
        <v>263</v>
      </c>
      <c r="S171" s="48" t="s">
        <v>269</v>
      </c>
      <c r="T171" s="48" t="s">
        <v>270</v>
      </c>
      <c r="U171" s="48" t="s">
        <v>2193</v>
      </c>
      <c r="V171" s="122" t="s">
        <v>263</v>
      </c>
      <c r="W171" s="122" t="s">
        <v>263</v>
      </c>
      <c r="X171" s="122" t="s">
        <v>263</v>
      </c>
      <c r="Y171" s="122" t="s">
        <v>263</v>
      </c>
      <c r="Z171" s="61"/>
      <c r="AA171" s="48" t="s">
        <v>327</v>
      </c>
      <c r="AB171" s="48" t="s">
        <v>273</v>
      </c>
      <c r="AC171" s="48" t="s">
        <v>273</v>
      </c>
      <c r="AD171" s="48" t="s">
        <v>273</v>
      </c>
      <c r="AE171" s="48" t="s">
        <v>273</v>
      </c>
      <c r="AF171" s="48" t="s">
        <v>273</v>
      </c>
      <c r="AG171" s="48" t="s">
        <v>273</v>
      </c>
      <c r="AH171" s="48" t="s">
        <v>273</v>
      </c>
      <c r="AI171" s="48" t="s">
        <v>273</v>
      </c>
      <c r="AJ171" s="48" t="s">
        <v>273</v>
      </c>
      <c r="AK171" s="48" t="s">
        <v>274</v>
      </c>
      <c r="AL171" s="48" t="s">
        <v>273</v>
      </c>
      <c r="AM171" s="48" t="s">
        <v>273</v>
      </c>
      <c r="AN171" s="48" t="s">
        <v>273</v>
      </c>
      <c r="AO171" s="48" t="s">
        <v>273</v>
      </c>
      <c r="AP171" s="48" t="s">
        <v>273</v>
      </c>
      <c r="AQ171" s="48" t="s">
        <v>273</v>
      </c>
      <c r="AR171" s="48" t="s">
        <v>273</v>
      </c>
      <c r="AS171" s="48" t="s">
        <v>273</v>
      </c>
      <c r="AT171" s="48" t="s">
        <v>273</v>
      </c>
      <c r="AU171" s="93">
        <v>41699</v>
      </c>
      <c r="AV171" s="93"/>
      <c r="AW171" s="93"/>
      <c r="AX171" s="93"/>
      <c r="AY171" s="93"/>
    </row>
    <row r="172" spans="1:52" ht="16.5" customHeight="1" x14ac:dyDescent="0.15">
      <c r="A172" s="146" t="s">
        <v>2194</v>
      </c>
      <c r="B172" s="147" t="s">
        <v>2195</v>
      </c>
      <c r="C172" s="48" t="s">
        <v>298</v>
      </c>
      <c r="D172" s="62" t="s">
        <v>2196</v>
      </c>
      <c r="E172" s="48" t="s">
        <v>300</v>
      </c>
      <c r="F172" s="61">
        <v>42431</v>
      </c>
      <c r="G172" s="61">
        <v>42431</v>
      </c>
      <c r="H172" s="125">
        <v>42528</v>
      </c>
      <c r="I172" s="61">
        <v>39535</v>
      </c>
      <c r="J172" s="87"/>
      <c r="K172" s="62" t="s">
        <v>14</v>
      </c>
      <c r="L172" s="62">
        <v>3</v>
      </c>
      <c r="M172" s="62" t="s">
        <v>442</v>
      </c>
      <c r="N172" s="62" t="s">
        <v>2197</v>
      </c>
      <c r="O172" s="48" t="s">
        <v>636</v>
      </c>
      <c r="P172" s="48" t="s">
        <v>2198</v>
      </c>
      <c r="Q172" s="48" t="s">
        <v>2199</v>
      </c>
      <c r="R172" s="48" t="s">
        <v>2200</v>
      </c>
      <c r="S172" s="48" t="s">
        <v>2201</v>
      </c>
      <c r="T172" s="48" t="s">
        <v>2202</v>
      </c>
      <c r="U172" s="48" t="s">
        <v>2203</v>
      </c>
      <c r="V172" s="48" t="s">
        <v>2204</v>
      </c>
      <c r="W172" s="48" t="s">
        <v>2205</v>
      </c>
      <c r="X172" s="48" t="s">
        <v>2206</v>
      </c>
      <c r="Y172" s="48" t="s">
        <v>2207</v>
      </c>
      <c r="Z172" s="61"/>
      <c r="AA172" s="48" t="s">
        <v>453</v>
      </c>
      <c r="AB172" s="48" t="s">
        <v>581</v>
      </c>
      <c r="AC172" s="48" t="s">
        <v>273</v>
      </c>
      <c r="AD172" s="48" t="s">
        <v>273</v>
      </c>
      <c r="AE172" s="48" t="s">
        <v>273</v>
      </c>
      <c r="AF172" s="48" t="s">
        <v>273</v>
      </c>
      <c r="AG172" s="48" t="s">
        <v>273</v>
      </c>
      <c r="AH172" s="48" t="s">
        <v>273</v>
      </c>
      <c r="AI172" s="48" t="s">
        <v>273</v>
      </c>
      <c r="AJ172" s="48" t="s">
        <v>273</v>
      </c>
      <c r="AK172" s="48" t="s">
        <v>454</v>
      </c>
      <c r="AL172" s="48" t="s">
        <v>582</v>
      </c>
      <c r="AM172" s="48" t="s">
        <v>273</v>
      </c>
      <c r="AN172" s="48" t="s">
        <v>273</v>
      </c>
      <c r="AO172" s="48" t="s">
        <v>273</v>
      </c>
      <c r="AP172" s="48" t="s">
        <v>273</v>
      </c>
      <c r="AQ172" s="48" t="s">
        <v>273</v>
      </c>
      <c r="AR172" s="48" t="s">
        <v>273</v>
      </c>
      <c r="AS172" s="48" t="s">
        <v>273</v>
      </c>
      <c r="AT172" s="48" t="s">
        <v>273</v>
      </c>
      <c r="AU172" s="93">
        <v>39326</v>
      </c>
      <c r="AV172" s="93"/>
      <c r="AW172" s="93"/>
      <c r="AX172" s="93"/>
      <c r="AY172" s="93"/>
    </row>
    <row r="173" spans="1:52" ht="16.5" customHeight="1" x14ac:dyDescent="0.15">
      <c r="A173" s="134" t="s">
        <v>2208</v>
      </c>
      <c r="B173" s="136" t="s">
        <v>2209</v>
      </c>
      <c r="C173" s="48" t="s">
        <v>2210</v>
      </c>
      <c r="D173" s="62" t="s">
        <v>263</v>
      </c>
      <c r="E173" s="48" t="s">
        <v>264</v>
      </c>
      <c r="F173" s="61">
        <v>42431</v>
      </c>
      <c r="G173" s="61">
        <v>42431</v>
      </c>
      <c r="H173" s="125">
        <v>42452</v>
      </c>
      <c r="I173" s="61" t="s">
        <v>279</v>
      </c>
      <c r="J173" s="87"/>
      <c r="K173" s="62" t="s">
        <v>12</v>
      </c>
      <c r="L173" s="62">
        <v>3</v>
      </c>
      <c r="M173" s="62" t="s">
        <v>471</v>
      </c>
      <c r="N173" s="62" t="s">
        <v>2211</v>
      </c>
      <c r="O173" s="48" t="s">
        <v>473</v>
      </c>
      <c r="P173" s="48" t="s">
        <v>1425</v>
      </c>
      <c r="Q173" s="48" t="s">
        <v>1716</v>
      </c>
      <c r="R173" s="48" t="s">
        <v>476</v>
      </c>
      <c r="S173" s="48" t="s">
        <v>477</v>
      </c>
      <c r="T173" s="48" t="s">
        <v>478</v>
      </c>
      <c r="U173" s="48" t="s">
        <v>2212</v>
      </c>
      <c r="V173" s="122" t="s">
        <v>263</v>
      </c>
      <c r="W173" s="122" t="s">
        <v>263</v>
      </c>
      <c r="X173" s="48" t="s">
        <v>2213</v>
      </c>
      <c r="Y173" s="48" t="s">
        <v>2214</v>
      </c>
      <c r="Z173" s="61"/>
      <c r="AA173" s="48" t="s">
        <v>1356</v>
      </c>
      <c r="AB173" s="129" t="s">
        <v>2215</v>
      </c>
      <c r="AC173" s="48" t="s">
        <v>273</v>
      </c>
      <c r="AD173" s="48" t="s">
        <v>273</v>
      </c>
      <c r="AE173" s="48" t="s">
        <v>273</v>
      </c>
      <c r="AF173" s="48" t="s">
        <v>273</v>
      </c>
      <c r="AG173" s="48" t="s">
        <v>273</v>
      </c>
      <c r="AH173" s="48" t="s">
        <v>273</v>
      </c>
      <c r="AI173" s="48" t="s">
        <v>273</v>
      </c>
      <c r="AJ173" s="48" t="s">
        <v>273</v>
      </c>
      <c r="AK173" s="48" t="s">
        <v>1357</v>
      </c>
      <c r="AL173" s="48" t="s">
        <v>2216</v>
      </c>
      <c r="AM173" s="48" t="s">
        <v>273</v>
      </c>
      <c r="AN173" s="48" t="s">
        <v>273</v>
      </c>
      <c r="AO173" s="48" t="s">
        <v>273</v>
      </c>
      <c r="AP173" s="48" t="s">
        <v>273</v>
      </c>
      <c r="AQ173" s="48" t="s">
        <v>273</v>
      </c>
      <c r="AR173" s="48" t="s">
        <v>273</v>
      </c>
      <c r="AS173" s="48" t="s">
        <v>273</v>
      </c>
      <c r="AT173" s="48" t="s">
        <v>273</v>
      </c>
      <c r="AU173" s="93">
        <v>41000</v>
      </c>
      <c r="AV173" s="93"/>
      <c r="AW173" s="93"/>
      <c r="AX173" s="93"/>
      <c r="AY173" s="93"/>
    </row>
    <row r="174" spans="1:52" ht="16.5" customHeight="1" x14ac:dyDescent="0.15">
      <c r="A174" s="138" t="s">
        <v>2217</v>
      </c>
      <c r="B174" s="140" t="s">
        <v>2218</v>
      </c>
      <c r="C174" s="48" t="s">
        <v>298</v>
      </c>
      <c r="D174" s="62" t="s">
        <v>263</v>
      </c>
      <c r="E174" s="48" t="s">
        <v>273</v>
      </c>
      <c r="F174" s="61">
        <v>42431</v>
      </c>
      <c r="G174" s="61">
        <v>42431</v>
      </c>
      <c r="H174" s="125">
        <v>42475</v>
      </c>
      <c r="I174" s="61" t="s">
        <v>279</v>
      </c>
      <c r="J174" s="87"/>
      <c r="K174" s="62" t="s">
        <v>12</v>
      </c>
      <c r="L174" s="62">
        <v>3</v>
      </c>
      <c r="M174" s="62" t="s">
        <v>394</v>
      </c>
      <c r="N174" s="62" t="s">
        <v>2219</v>
      </c>
      <c r="O174" s="48" t="s">
        <v>396</v>
      </c>
      <c r="P174" s="48" t="s">
        <v>524</v>
      </c>
      <c r="Q174" s="48" t="s">
        <v>880</v>
      </c>
      <c r="R174" s="48" t="s">
        <v>476</v>
      </c>
      <c r="S174" s="48" t="s">
        <v>477</v>
      </c>
      <c r="T174" s="48" t="s">
        <v>478</v>
      </c>
      <c r="U174" s="48" t="s">
        <v>2220</v>
      </c>
      <c r="V174" s="122" t="s">
        <v>263</v>
      </c>
      <c r="W174" s="122" t="s">
        <v>263</v>
      </c>
      <c r="X174" s="48" t="s">
        <v>495</v>
      </c>
      <c r="Y174" s="48" t="s">
        <v>2221</v>
      </c>
      <c r="Z174" s="61"/>
      <c r="AA174" s="48" t="s">
        <v>701</v>
      </c>
      <c r="AB174" s="48" t="s">
        <v>273</v>
      </c>
      <c r="AC174" s="48" t="s">
        <v>273</v>
      </c>
      <c r="AD174" s="48" t="s">
        <v>273</v>
      </c>
      <c r="AE174" s="48" t="s">
        <v>273</v>
      </c>
      <c r="AF174" s="48" t="s">
        <v>273</v>
      </c>
      <c r="AG174" s="48" t="s">
        <v>273</v>
      </c>
      <c r="AH174" s="48" t="s">
        <v>273</v>
      </c>
      <c r="AI174" s="48" t="s">
        <v>273</v>
      </c>
      <c r="AJ174" s="48" t="s">
        <v>273</v>
      </c>
      <c r="AK174" s="48" t="s">
        <v>702</v>
      </c>
      <c r="AL174" s="48" t="s">
        <v>273</v>
      </c>
      <c r="AM174" s="48" t="s">
        <v>273</v>
      </c>
      <c r="AN174" s="48" t="s">
        <v>273</v>
      </c>
      <c r="AO174" s="48" t="s">
        <v>273</v>
      </c>
      <c r="AP174" s="48" t="s">
        <v>273</v>
      </c>
      <c r="AQ174" s="48" t="s">
        <v>273</v>
      </c>
      <c r="AR174" s="48" t="s">
        <v>273</v>
      </c>
      <c r="AS174" s="48" t="s">
        <v>273</v>
      </c>
      <c r="AT174" s="48" t="s">
        <v>273</v>
      </c>
      <c r="AU174" s="93">
        <v>39479</v>
      </c>
      <c r="AV174" s="93"/>
      <c r="AW174" s="93"/>
      <c r="AX174" s="93"/>
      <c r="AY174" s="93"/>
    </row>
    <row r="175" spans="1:52" ht="16.5" customHeight="1" x14ac:dyDescent="0.15">
      <c r="A175" s="138" t="s">
        <v>2222</v>
      </c>
      <c r="B175" s="140" t="s">
        <v>2223</v>
      </c>
      <c r="C175" s="48" t="s">
        <v>330</v>
      </c>
      <c r="D175" s="62" t="s">
        <v>2224</v>
      </c>
      <c r="E175" s="48" t="s">
        <v>300</v>
      </c>
      <c r="F175" s="61">
        <v>42431</v>
      </c>
      <c r="G175" s="61">
        <v>42431</v>
      </c>
      <c r="H175" s="125">
        <v>42474</v>
      </c>
      <c r="I175" s="61" t="s">
        <v>279</v>
      </c>
      <c r="J175" s="87"/>
      <c r="K175" s="124" t="s">
        <v>263</v>
      </c>
      <c r="L175" s="124" t="s">
        <v>263</v>
      </c>
      <c r="M175" s="62" t="s">
        <v>442</v>
      </c>
      <c r="N175" s="62" t="s">
        <v>2225</v>
      </c>
      <c r="O175" s="48" t="s">
        <v>1166</v>
      </c>
      <c r="P175" s="48" t="s">
        <v>2047</v>
      </c>
      <c r="Q175" s="48" t="s">
        <v>2226</v>
      </c>
      <c r="R175" s="48" t="s">
        <v>2227</v>
      </c>
      <c r="S175" s="48" t="s">
        <v>2228</v>
      </c>
      <c r="T175" s="48" t="s">
        <v>2229</v>
      </c>
      <c r="U175" s="48" t="s">
        <v>2230</v>
      </c>
      <c r="V175" s="48" t="s">
        <v>2231</v>
      </c>
      <c r="W175" s="48" t="s">
        <v>2232</v>
      </c>
      <c r="X175" s="48" t="s">
        <v>2233</v>
      </c>
      <c r="Y175" s="48" t="s">
        <v>2234</v>
      </c>
      <c r="Z175" s="61"/>
      <c r="AA175" s="48" t="s">
        <v>273</v>
      </c>
      <c r="AB175" s="48" t="s">
        <v>273</v>
      </c>
      <c r="AC175" s="48" t="s">
        <v>273</v>
      </c>
      <c r="AD175" s="48" t="s">
        <v>273</v>
      </c>
      <c r="AE175" s="48" t="s">
        <v>273</v>
      </c>
      <c r="AF175" s="48" t="s">
        <v>273</v>
      </c>
      <c r="AG175" s="48" t="s">
        <v>273</v>
      </c>
      <c r="AH175" s="48" t="s">
        <v>273</v>
      </c>
      <c r="AI175" s="48" t="s">
        <v>273</v>
      </c>
      <c r="AJ175" s="48" t="s">
        <v>273</v>
      </c>
      <c r="AK175" s="48" t="s">
        <v>273</v>
      </c>
      <c r="AL175" s="48" t="s">
        <v>273</v>
      </c>
      <c r="AM175" s="48" t="s">
        <v>273</v>
      </c>
      <c r="AN175" s="48" t="s">
        <v>273</v>
      </c>
      <c r="AO175" s="48" t="s">
        <v>273</v>
      </c>
      <c r="AP175" s="48" t="s">
        <v>273</v>
      </c>
      <c r="AQ175" s="48" t="s">
        <v>273</v>
      </c>
      <c r="AR175" s="48" t="s">
        <v>273</v>
      </c>
      <c r="AS175" s="48" t="s">
        <v>273</v>
      </c>
      <c r="AT175" s="48" t="s">
        <v>273</v>
      </c>
      <c r="AU175" s="93">
        <v>38139</v>
      </c>
      <c r="AV175" s="93"/>
      <c r="AW175" s="93"/>
      <c r="AX175" s="93"/>
      <c r="AY175" s="93"/>
      <c r="AZ175" s="49" t="s">
        <v>2235</v>
      </c>
    </row>
    <row r="176" spans="1:52" ht="16.5" customHeight="1" x14ac:dyDescent="0.15">
      <c r="A176" s="138" t="s">
        <v>2236</v>
      </c>
      <c r="B176" s="140" t="s">
        <v>2237</v>
      </c>
      <c r="C176" s="48" t="s">
        <v>2238</v>
      </c>
      <c r="D176" s="62" t="s">
        <v>263</v>
      </c>
      <c r="E176" s="48" t="s">
        <v>264</v>
      </c>
      <c r="F176" s="61">
        <v>42431</v>
      </c>
      <c r="G176" s="61">
        <v>42431</v>
      </c>
      <c r="H176" s="125">
        <v>42485</v>
      </c>
      <c r="I176" s="61" t="s">
        <v>279</v>
      </c>
      <c r="J176" s="87"/>
      <c r="K176" s="62" t="s">
        <v>12</v>
      </c>
      <c r="L176" s="62">
        <v>3</v>
      </c>
      <c r="M176" s="62" t="s">
        <v>471</v>
      </c>
      <c r="N176" s="62" t="s">
        <v>2239</v>
      </c>
      <c r="O176" s="48" t="s">
        <v>2240</v>
      </c>
      <c r="P176" s="48" t="s">
        <v>1191</v>
      </c>
      <c r="Q176" s="48" t="s">
        <v>2241</v>
      </c>
      <c r="R176" s="48" t="s">
        <v>399</v>
      </c>
      <c r="S176" s="48" t="s">
        <v>400</v>
      </c>
      <c r="T176" s="48" t="s">
        <v>401</v>
      </c>
      <c r="U176" s="48" t="s">
        <v>2242</v>
      </c>
      <c r="V176" s="122" t="s">
        <v>263</v>
      </c>
      <c r="W176" s="122" t="s">
        <v>263</v>
      </c>
      <c r="X176" s="48" t="s">
        <v>2243</v>
      </c>
      <c r="Y176" s="48" t="s">
        <v>2244</v>
      </c>
      <c r="Z176" s="61"/>
      <c r="AA176" s="48" t="s">
        <v>529</v>
      </c>
      <c r="AB176" s="48" t="s">
        <v>508</v>
      </c>
      <c r="AC176" s="48" t="s">
        <v>273</v>
      </c>
      <c r="AD176" s="48" t="s">
        <v>273</v>
      </c>
      <c r="AE176" s="48" t="s">
        <v>273</v>
      </c>
      <c r="AF176" s="48" t="s">
        <v>273</v>
      </c>
      <c r="AG176" s="48" t="s">
        <v>273</v>
      </c>
      <c r="AH176" s="48" t="s">
        <v>273</v>
      </c>
      <c r="AI176" s="48" t="s">
        <v>273</v>
      </c>
      <c r="AJ176" s="48" t="s">
        <v>273</v>
      </c>
      <c r="AK176" s="48" t="s">
        <v>530</v>
      </c>
      <c r="AL176" s="48" t="s">
        <v>509</v>
      </c>
      <c r="AM176" s="48" t="s">
        <v>273</v>
      </c>
      <c r="AN176" s="48" t="s">
        <v>273</v>
      </c>
      <c r="AO176" s="48" t="s">
        <v>273</v>
      </c>
      <c r="AP176" s="48" t="s">
        <v>273</v>
      </c>
      <c r="AQ176" s="48" t="s">
        <v>273</v>
      </c>
      <c r="AR176" s="48" t="s">
        <v>273</v>
      </c>
      <c r="AS176" s="48" t="s">
        <v>273</v>
      </c>
      <c r="AT176" s="48" t="s">
        <v>273</v>
      </c>
      <c r="AU176" s="93">
        <v>40756</v>
      </c>
      <c r="AV176" s="93"/>
      <c r="AW176" s="93"/>
      <c r="AX176" s="93"/>
      <c r="AY176" s="93"/>
    </row>
    <row r="177" spans="1:52" ht="16.5" customHeight="1" x14ac:dyDescent="0.15">
      <c r="A177" s="134" t="s">
        <v>2245</v>
      </c>
      <c r="B177" s="136" t="s">
        <v>2246</v>
      </c>
      <c r="C177" s="48" t="s">
        <v>2247</v>
      </c>
      <c r="D177" s="62" t="s">
        <v>2248</v>
      </c>
      <c r="E177" s="48" t="s">
        <v>264</v>
      </c>
      <c r="F177" s="61">
        <v>42431</v>
      </c>
      <c r="G177" s="61">
        <v>42431</v>
      </c>
      <c r="H177" s="125">
        <v>42451</v>
      </c>
      <c r="I177" s="61" t="s">
        <v>279</v>
      </c>
      <c r="J177" s="87"/>
      <c r="K177" s="62" t="s">
        <v>12</v>
      </c>
      <c r="L177" s="62">
        <v>3</v>
      </c>
      <c r="M177" s="62" t="s">
        <v>209</v>
      </c>
      <c r="N177" s="62" t="s">
        <v>2249</v>
      </c>
      <c r="O177" s="48" t="s">
        <v>1994</v>
      </c>
      <c r="P177" s="48" t="s">
        <v>2250</v>
      </c>
      <c r="Q177" s="48" t="s">
        <v>2251</v>
      </c>
      <c r="R177" s="48" t="s">
        <v>2252</v>
      </c>
      <c r="S177" s="48" t="s">
        <v>2253</v>
      </c>
      <c r="T177" s="48" t="s">
        <v>2254</v>
      </c>
      <c r="U177" s="48" t="s">
        <v>2255</v>
      </c>
      <c r="V177" s="48" t="s">
        <v>2256</v>
      </c>
      <c r="W177" s="122" t="s">
        <v>263</v>
      </c>
      <c r="X177" s="48" t="s">
        <v>2257</v>
      </c>
      <c r="Y177" s="48" t="s">
        <v>2258</v>
      </c>
      <c r="Z177" s="61"/>
      <c r="AA177" s="48" t="s">
        <v>2259</v>
      </c>
      <c r="AB177" s="48" t="s">
        <v>273</v>
      </c>
      <c r="AC177" s="48" t="s">
        <v>273</v>
      </c>
      <c r="AD177" s="48" t="s">
        <v>273</v>
      </c>
      <c r="AE177" s="48" t="s">
        <v>273</v>
      </c>
      <c r="AF177" s="48" t="s">
        <v>273</v>
      </c>
      <c r="AG177" s="48" t="s">
        <v>273</v>
      </c>
      <c r="AH177" s="48" t="s">
        <v>273</v>
      </c>
      <c r="AI177" s="48" t="s">
        <v>273</v>
      </c>
      <c r="AJ177" s="48" t="s">
        <v>273</v>
      </c>
      <c r="AK177" s="48" t="s">
        <v>2260</v>
      </c>
      <c r="AL177" s="48" t="s">
        <v>273</v>
      </c>
      <c r="AM177" s="48" t="s">
        <v>273</v>
      </c>
      <c r="AN177" s="48" t="s">
        <v>273</v>
      </c>
      <c r="AO177" s="48" t="s">
        <v>273</v>
      </c>
      <c r="AP177" s="48" t="s">
        <v>273</v>
      </c>
      <c r="AQ177" s="48" t="s">
        <v>273</v>
      </c>
      <c r="AR177" s="48" t="s">
        <v>273</v>
      </c>
      <c r="AS177" s="48" t="s">
        <v>273</v>
      </c>
      <c r="AT177" s="48" t="s">
        <v>273</v>
      </c>
      <c r="AU177" s="93">
        <v>41579</v>
      </c>
      <c r="AV177" s="93"/>
      <c r="AW177" s="93"/>
      <c r="AX177" s="93"/>
      <c r="AY177" s="93"/>
      <c r="AZ177" s="49" t="s">
        <v>2261</v>
      </c>
    </row>
    <row r="178" spans="1:52" ht="16.5" customHeight="1" x14ac:dyDescent="0.15">
      <c r="A178" s="134" t="s">
        <v>2262</v>
      </c>
      <c r="B178" s="136" t="s">
        <v>2263</v>
      </c>
      <c r="C178" s="48" t="s">
        <v>330</v>
      </c>
      <c r="D178" s="62" t="s">
        <v>2264</v>
      </c>
      <c r="E178" s="48" t="s">
        <v>300</v>
      </c>
      <c r="F178" s="61">
        <v>42431</v>
      </c>
      <c r="G178" s="61">
        <v>42431</v>
      </c>
      <c r="H178" s="125">
        <v>42452</v>
      </c>
      <c r="I178" s="61" t="s">
        <v>279</v>
      </c>
      <c r="J178" s="87"/>
      <c r="K178" s="62" t="s">
        <v>12</v>
      </c>
      <c r="L178" s="124" t="s">
        <v>263</v>
      </c>
      <c r="M178" s="62" t="s">
        <v>2265</v>
      </c>
      <c r="N178" s="62" t="s">
        <v>2266</v>
      </c>
      <c r="O178" s="48" t="s">
        <v>2267</v>
      </c>
      <c r="P178" s="48" t="s">
        <v>2268</v>
      </c>
      <c r="Q178" s="48" t="s">
        <v>2269</v>
      </c>
      <c r="R178" s="48" t="s">
        <v>2270</v>
      </c>
      <c r="S178" s="48" t="s">
        <v>2271</v>
      </c>
      <c r="T178" s="48" t="s">
        <v>2272</v>
      </c>
      <c r="U178" s="48" t="s">
        <v>2273</v>
      </c>
      <c r="V178" s="48"/>
      <c r="W178" s="48"/>
      <c r="X178" s="48" t="s">
        <v>2274</v>
      </c>
      <c r="Y178" s="48" t="s">
        <v>2275</v>
      </c>
      <c r="Z178" s="61"/>
      <c r="AA178" s="48" t="s">
        <v>273</v>
      </c>
      <c r="AB178" s="48" t="s">
        <v>273</v>
      </c>
      <c r="AC178" s="48" t="s">
        <v>273</v>
      </c>
      <c r="AD178" s="48" t="s">
        <v>273</v>
      </c>
      <c r="AE178" s="48" t="s">
        <v>273</v>
      </c>
      <c r="AF178" s="48" t="s">
        <v>273</v>
      </c>
      <c r="AG178" s="48" t="s">
        <v>273</v>
      </c>
      <c r="AH178" s="48" t="s">
        <v>273</v>
      </c>
      <c r="AI178" s="48" t="s">
        <v>273</v>
      </c>
      <c r="AJ178" s="48" t="s">
        <v>273</v>
      </c>
      <c r="AK178" s="48" t="s">
        <v>273</v>
      </c>
      <c r="AL178" s="48" t="s">
        <v>273</v>
      </c>
      <c r="AM178" s="48" t="s">
        <v>273</v>
      </c>
      <c r="AN178" s="48" t="s">
        <v>273</v>
      </c>
      <c r="AO178" s="48" t="s">
        <v>273</v>
      </c>
      <c r="AP178" s="48" t="s">
        <v>273</v>
      </c>
      <c r="AQ178" s="48" t="s">
        <v>273</v>
      </c>
      <c r="AR178" s="48" t="s">
        <v>273</v>
      </c>
      <c r="AS178" s="48" t="s">
        <v>273</v>
      </c>
      <c r="AT178" s="48" t="s">
        <v>273</v>
      </c>
      <c r="AU178" s="93">
        <v>41487</v>
      </c>
      <c r="AV178" s="93"/>
      <c r="AW178" s="93"/>
      <c r="AX178" s="93"/>
      <c r="AY178" s="93"/>
      <c r="AZ178" s="49" t="s">
        <v>2276</v>
      </c>
    </row>
    <row r="179" spans="1:52" ht="16.5" customHeight="1" x14ac:dyDescent="0.15">
      <c r="A179" s="146" t="s">
        <v>2277</v>
      </c>
      <c r="B179" s="147" t="s">
        <v>2278</v>
      </c>
      <c r="C179" s="48" t="s">
        <v>298</v>
      </c>
      <c r="D179" s="62" t="s">
        <v>2279</v>
      </c>
      <c r="E179" s="48" t="s">
        <v>300</v>
      </c>
      <c r="F179" s="61">
        <v>42432</v>
      </c>
      <c r="G179" s="61">
        <v>42432</v>
      </c>
      <c r="H179" s="125">
        <v>42544</v>
      </c>
      <c r="I179" s="61" t="s">
        <v>279</v>
      </c>
      <c r="J179" s="87"/>
      <c r="K179" s="62" t="s">
        <v>14</v>
      </c>
      <c r="L179" s="62">
        <v>3</v>
      </c>
      <c r="M179" s="62" t="s">
        <v>680</v>
      </c>
      <c r="N179" s="62" t="s">
        <v>2280</v>
      </c>
      <c r="O179" s="48" t="s">
        <v>2281</v>
      </c>
      <c r="P179" s="48" t="s">
        <v>2282</v>
      </c>
      <c r="Q179" s="48" t="s">
        <v>2283</v>
      </c>
      <c r="R179" s="48" t="s">
        <v>2284</v>
      </c>
      <c r="S179" s="48" t="s">
        <v>2285</v>
      </c>
      <c r="T179" s="48" t="s">
        <v>2286</v>
      </c>
      <c r="U179" s="48" t="s">
        <v>2287</v>
      </c>
      <c r="V179" s="48" t="s">
        <v>2288</v>
      </c>
      <c r="W179" s="48" t="s">
        <v>2289</v>
      </c>
      <c r="X179" s="48" t="s">
        <v>2290</v>
      </c>
      <c r="Y179" s="48" t="s">
        <v>2291</v>
      </c>
      <c r="Z179" s="61"/>
      <c r="AA179" s="48" t="s">
        <v>2292</v>
      </c>
      <c r="AB179" s="48" t="s">
        <v>2293</v>
      </c>
      <c r="AC179" s="48" t="s">
        <v>273</v>
      </c>
      <c r="AD179" s="48" t="s">
        <v>273</v>
      </c>
      <c r="AE179" s="48" t="s">
        <v>273</v>
      </c>
      <c r="AF179" s="48" t="s">
        <v>273</v>
      </c>
      <c r="AG179" s="48" t="s">
        <v>273</v>
      </c>
      <c r="AH179" s="48" t="s">
        <v>273</v>
      </c>
      <c r="AI179" s="48" t="s">
        <v>273</v>
      </c>
      <c r="AJ179" s="48" t="s">
        <v>273</v>
      </c>
      <c r="AK179" s="48" t="s">
        <v>692</v>
      </c>
      <c r="AL179" s="48" t="s">
        <v>2294</v>
      </c>
      <c r="AM179" s="48" t="s">
        <v>273</v>
      </c>
      <c r="AN179" s="48" t="s">
        <v>273</v>
      </c>
      <c r="AO179" s="48" t="s">
        <v>273</v>
      </c>
      <c r="AP179" s="48" t="s">
        <v>273</v>
      </c>
      <c r="AQ179" s="48" t="s">
        <v>273</v>
      </c>
      <c r="AR179" s="48" t="s">
        <v>273</v>
      </c>
      <c r="AS179" s="48" t="s">
        <v>273</v>
      </c>
      <c r="AT179" s="48" t="s">
        <v>273</v>
      </c>
      <c r="AU179" s="93">
        <v>40118</v>
      </c>
      <c r="AV179" s="93"/>
      <c r="AW179" s="93"/>
      <c r="AX179" s="93"/>
      <c r="AY179" s="93"/>
      <c r="AZ179" s="49" t="s">
        <v>2295</v>
      </c>
    </row>
    <row r="180" spans="1:52" ht="16.5" customHeight="1" x14ac:dyDescent="0.15">
      <c r="A180" s="134" t="s">
        <v>2296</v>
      </c>
      <c r="B180" s="136" t="s">
        <v>2297</v>
      </c>
      <c r="C180" s="48" t="s">
        <v>330</v>
      </c>
      <c r="D180" s="62" t="s">
        <v>2298</v>
      </c>
      <c r="E180" s="48" t="s">
        <v>300</v>
      </c>
      <c r="F180" s="61">
        <v>42432</v>
      </c>
      <c r="G180" s="61">
        <v>42432</v>
      </c>
      <c r="H180" s="125">
        <v>42457</v>
      </c>
      <c r="I180" s="61" t="s">
        <v>279</v>
      </c>
      <c r="J180" s="87"/>
      <c r="K180" s="62" t="s">
        <v>12</v>
      </c>
      <c r="L180" s="124" t="s">
        <v>263</v>
      </c>
      <c r="M180" s="62" t="s">
        <v>442</v>
      </c>
      <c r="N180" s="62" t="s">
        <v>569</v>
      </c>
      <c r="O180" s="48" t="s">
        <v>570</v>
      </c>
      <c r="P180" s="48" t="s">
        <v>571</v>
      </c>
      <c r="Q180" s="48" t="s">
        <v>572</v>
      </c>
      <c r="R180" s="48" t="s">
        <v>573</v>
      </c>
      <c r="S180" s="48" t="s">
        <v>574</v>
      </c>
      <c r="T180" s="48" t="s">
        <v>575</v>
      </c>
      <c r="U180" s="48" t="s">
        <v>576</v>
      </c>
      <c r="V180" s="122" t="s">
        <v>263</v>
      </c>
      <c r="W180" s="122" t="s">
        <v>263</v>
      </c>
      <c r="X180" s="48" t="s">
        <v>579</v>
      </c>
      <c r="Y180" s="48" t="s">
        <v>580</v>
      </c>
      <c r="Z180" s="61"/>
      <c r="AA180" s="48" t="s">
        <v>273</v>
      </c>
      <c r="AB180" s="48" t="s">
        <v>273</v>
      </c>
      <c r="AC180" s="48" t="s">
        <v>273</v>
      </c>
      <c r="AD180" s="48" t="s">
        <v>273</v>
      </c>
      <c r="AE180" s="48" t="s">
        <v>273</v>
      </c>
      <c r="AF180" s="48" t="s">
        <v>273</v>
      </c>
      <c r="AG180" s="48" t="s">
        <v>273</v>
      </c>
      <c r="AH180" s="48" t="s">
        <v>273</v>
      </c>
      <c r="AI180" s="48" t="s">
        <v>273</v>
      </c>
      <c r="AJ180" s="48" t="s">
        <v>273</v>
      </c>
      <c r="AK180" s="48" t="s">
        <v>273</v>
      </c>
      <c r="AL180" s="48" t="s">
        <v>273</v>
      </c>
      <c r="AM180" s="48" t="s">
        <v>273</v>
      </c>
      <c r="AN180" s="48" t="s">
        <v>273</v>
      </c>
      <c r="AO180" s="48" t="s">
        <v>273</v>
      </c>
      <c r="AP180" s="48" t="s">
        <v>273</v>
      </c>
      <c r="AQ180" s="48" t="s">
        <v>273</v>
      </c>
      <c r="AR180" s="48" t="s">
        <v>273</v>
      </c>
      <c r="AS180" s="48" t="s">
        <v>273</v>
      </c>
      <c r="AT180" s="48" t="s">
        <v>273</v>
      </c>
      <c r="AU180" s="93">
        <v>39814</v>
      </c>
      <c r="AV180" s="93"/>
      <c r="AW180" s="93"/>
      <c r="AX180" s="93"/>
      <c r="AY180" s="93"/>
      <c r="AZ180" s="49" t="s">
        <v>2299</v>
      </c>
    </row>
    <row r="181" spans="1:52" ht="16.5" customHeight="1" x14ac:dyDescent="0.15">
      <c r="A181" s="151" t="s">
        <v>2300</v>
      </c>
      <c r="B181" s="152" t="s">
        <v>2301</v>
      </c>
      <c r="C181" s="48" t="s">
        <v>298</v>
      </c>
      <c r="D181" s="62" t="s">
        <v>263</v>
      </c>
      <c r="E181" s="48" t="s">
        <v>300</v>
      </c>
      <c r="F181" s="61">
        <v>42432</v>
      </c>
      <c r="G181" s="61">
        <v>42432</v>
      </c>
      <c r="H181" s="125">
        <v>42564</v>
      </c>
      <c r="I181" s="61" t="s">
        <v>279</v>
      </c>
      <c r="J181" s="87"/>
      <c r="K181" s="62" t="s">
        <v>16</v>
      </c>
      <c r="L181" s="62">
        <v>3</v>
      </c>
      <c r="M181" s="62" t="s">
        <v>362</v>
      </c>
      <c r="N181" s="62" t="s">
        <v>2302</v>
      </c>
      <c r="O181" s="48" t="s">
        <v>263</v>
      </c>
      <c r="P181" s="48" t="s">
        <v>2303</v>
      </c>
      <c r="Q181" s="48" t="s">
        <v>2304</v>
      </c>
      <c r="R181" s="48" t="s">
        <v>2305</v>
      </c>
      <c r="S181" s="48" t="s">
        <v>2306</v>
      </c>
      <c r="T181" s="48" t="s">
        <v>2307</v>
      </c>
      <c r="U181" s="48" t="s">
        <v>2308</v>
      </c>
      <c r="V181" s="122" t="s">
        <v>263</v>
      </c>
      <c r="W181" s="48" t="s">
        <v>2309</v>
      </c>
      <c r="X181" s="48" t="s">
        <v>2310</v>
      </c>
      <c r="Y181" s="48" t="s">
        <v>2311</v>
      </c>
      <c r="Z181" s="61"/>
      <c r="AA181" s="48" t="s">
        <v>2312</v>
      </c>
      <c r="AB181" s="48">
        <v>386311103</v>
      </c>
      <c r="AC181" s="48">
        <v>871905269</v>
      </c>
      <c r="AD181" s="48" t="s">
        <v>273</v>
      </c>
      <c r="AE181" s="48" t="s">
        <v>273</v>
      </c>
      <c r="AF181" s="48" t="s">
        <v>273</v>
      </c>
      <c r="AG181" s="48" t="s">
        <v>273</v>
      </c>
      <c r="AH181" s="48" t="s">
        <v>273</v>
      </c>
      <c r="AI181" s="48" t="s">
        <v>273</v>
      </c>
      <c r="AJ181" s="48" t="s">
        <v>273</v>
      </c>
      <c r="AK181" s="48" t="s">
        <v>2313</v>
      </c>
      <c r="AL181" s="48" t="s">
        <v>2314</v>
      </c>
      <c r="AM181" s="48" t="s">
        <v>2315</v>
      </c>
      <c r="AN181" s="48" t="s">
        <v>273</v>
      </c>
      <c r="AO181" s="48" t="s">
        <v>273</v>
      </c>
      <c r="AP181" s="48" t="s">
        <v>273</v>
      </c>
      <c r="AQ181" s="48" t="s">
        <v>273</v>
      </c>
      <c r="AR181" s="48" t="s">
        <v>273</v>
      </c>
      <c r="AS181" s="48" t="s">
        <v>273</v>
      </c>
      <c r="AT181" s="48" t="s">
        <v>273</v>
      </c>
      <c r="AU181" s="93" t="s">
        <v>263</v>
      </c>
      <c r="AV181" s="93"/>
      <c r="AW181" s="93"/>
      <c r="AX181" s="93"/>
      <c r="AY181" s="93"/>
    </row>
    <row r="182" spans="1:52" ht="16.5" customHeight="1" x14ac:dyDescent="0.15">
      <c r="A182" s="134" t="s">
        <v>2316</v>
      </c>
      <c r="B182" s="136" t="s">
        <v>2317</v>
      </c>
      <c r="C182" s="48" t="s">
        <v>298</v>
      </c>
      <c r="D182" s="62" t="s">
        <v>2318</v>
      </c>
      <c r="E182" s="48" t="s">
        <v>300</v>
      </c>
      <c r="F182" s="61">
        <v>42432</v>
      </c>
      <c r="G182" s="61">
        <v>42432</v>
      </c>
      <c r="H182" s="125">
        <v>42439</v>
      </c>
      <c r="I182" s="61" t="s">
        <v>279</v>
      </c>
      <c r="J182" s="87"/>
      <c r="K182" s="62" t="s">
        <v>12</v>
      </c>
      <c r="L182" s="124" t="s">
        <v>263</v>
      </c>
      <c r="M182" s="62" t="s">
        <v>409</v>
      </c>
      <c r="N182" s="62" t="s">
        <v>2319</v>
      </c>
      <c r="O182" s="48" t="s">
        <v>2320</v>
      </c>
      <c r="P182" s="130" t="s">
        <v>267</v>
      </c>
      <c r="Q182" s="130" t="s">
        <v>2321</v>
      </c>
      <c r="R182" s="130" t="s">
        <v>2322</v>
      </c>
      <c r="S182" s="130" t="s">
        <v>269</v>
      </c>
      <c r="T182" s="130" t="s">
        <v>270</v>
      </c>
      <c r="U182" s="48" t="s">
        <v>2323</v>
      </c>
      <c r="V182" s="48" t="s">
        <v>2324</v>
      </c>
      <c r="W182" s="122" t="s">
        <v>263</v>
      </c>
      <c r="X182" s="48" t="s">
        <v>2325</v>
      </c>
      <c r="Y182" s="48" t="s">
        <v>2326</v>
      </c>
      <c r="Z182" s="61"/>
      <c r="AA182" s="48" t="s">
        <v>273</v>
      </c>
      <c r="AB182" s="48" t="s">
        <v>273</v>
      </c>
      <c r="AC182" s="48" t="s">
        <v>273</v>
      </c>
      <c r="AD182" s="48" t="s">
        <v>273</v>
      </c>
      <c r="AE182" s="48" t="s">
        <v>273</v>
      </c>
      <c r="AF182" s="48" t="s">
        <v>273</v>
      </c>
      <c r="AG182" s="48" t="s">
        <v>273</v>
      </c>
      <c r="AH182" s="48" t="s">
        <v>273</v>
      </c>
      <c r="AI182" s="48" t="s">
        <v>273</v>
      </c>
      <c r="AJ182" s="48" t="s">
        <v>273</v>
      </c>
      <c r="AK182" s="48" t="s">
        <v>273</v>
      </c>
      <c r="AL182" s="48" t="s">
        <v>273</v>
      </c>
      <c r="AM182" s="48" t="s">
        <v>273</v>
      </c>
      <c r="AN182" s="48" t="s">
        <v>273</v>
      </c>
      <c r="AO182" s="48" t="s">
        <v>273</v>
      </c>
      <c r="AP182" s="48" t="s">
        <v>273</v>
      </c>
      <c r="AQ182" s="48" t="s">
        <v>273</v>
      </c>
      <c r="AR182" s="48" t="s">
        <v>273</v>
      </c>
      <c r="AS182" s="48" t="s">
        <v>273</v>
      </c>
      <c r="AT182" s="48" t="s">
        <v>273</v>
      </c>
      <c r="AU182" s="93">
        <v>38961</v>
      </c>
      <c r="AV182" s="93"/>
      <c r="AW182" s="93"/>
      <c r="AX182" s="93"/>
      <c r="AY182" s="93"/>
      <c r="AZ182" s="49" t="s">
        <v>2327</v>
      </c>
    </row>
    <row r="183" spans="1:52" ht="16.5" customHeight="1" x14ac:dyDescent="0.15">
      <c r="A183" s="138" t="s">
        <v>2328</v>
      </c>
      <c r="B183" s="140" t="s">
        <v>2329</v>
      </c>
      <c r="C183" s="48" t="s">
        <v>2330</v>
      </c>
      <c r="D183" s="62" t="s">
        <v>2331</v>
      </c>
      <c r="E183" s="48" t="s">
        <v>300</v>
      </c>
      <c r="F183" s="61">
        <v>42432</v>
      </c>
      <c r="G183" s="61">
        <v>42432</v>
      </c>
      <c r="H183" s="125">
        <v>42475</v>
      </c>
      <c r="I183" s="61" t="s">
        <v>279</v>
      </c>
      <c r="J183" s="87"/>
      <c r="K183" s="62" t="s">
        <v>12</v>
      </c>
      <c r="L183" s="62">
        <v>3</v>
      </c>
      <c r="M183" s="62" t="s">
        <v>209</v>
      </c>
      <c r="N183" s="62" t="s">
        <v>2332</v>
      </c>
      <c r="O183" s="48" t="s">
        <v>2333</v>
      </c>
      <c r="P183" s="48" t="s">
        <v>1029</v>
      </c>
      <c r="Q183" s="48" t="s">
        <v>2334</v>
      </c>
      <c r="R183" s="48" t="s">
        <v>2335</v>
      </c>
      <c r="S183" s="48" t="s">
        <v>1032</v>
      </c>
      <c r="T183" s="48" t="s">
        <v>1033</v>
      </c>
      <c r="U183" s="48" t="s">
        <v>2336</v>
      </c>
      <c r="V183" s="48" t="s">
        <v>2337</v>
      </c>
      <c r="W183" s="48" t="s">
        <v>2338</v>
      </c>
      <c r="X183" s="48" t="s">
        <v>2339</v>
      </c>
      <c r="Y183" s="48" t="s">
        <v>2340</v>
      </c>
      <c r="Z183" s="61"/>
      <c r="AA183" s="48" t="s">
        <v>2259</v>
      </c>
      <c r="AB183" s="48" t="s">
        <v>273</v>
      </c>
      <c r="AC183" s="48" t="s">
        <v>273</v>
      </c>
      <c r="AD183" s="48" t="s">
        <v>273</v>
      </c>
      <c r="AE183" s="48" t="s">
        <v>273</v>
      </c>
      <c r="AF183" s="48" t="s">
        <v>273</v>
      </c>
      <c r="AG183" s="48" t="s">
        <v>273</v>
      </c>
      <c r="AH183" s="48" t="s">
        <v>273</v>
      </c>
      <c r="AI183" s="48" t="s">
        <v>273</v>
      </c>
      <c r="AJ183" s="48" t="s">
        <v>273</v>
      </c>
      <c r="AK183" s="48" t="s">
        <v>2260</v>
      </c>
      <c r="AL183" s="48" t="s">
        <v>273</v>
      </c>
      <c r="AM183" s="48" t="s">
        <v>273</v>
      </c>
      <c r="AN183" s="48" t="s">
        <v>273</v>
      </c>
      <c r="AO183" s="48" t="s">
        <v>273</v>
      </c>
      <c r="AP183" s="48" t="s">
        <v>273</v>
      </c>
      <c r="AQ183" s="48" t="s">
        <v>273</v>
      </c>
      <c r="AR183" s="48" t="s">
        <v>273</v>
      </c>
      <c r="AS183" s="48" t="s">
        <v>273</v>
      </c>
      <c r="AT183" s="48" t="s">
        <v>273</v>
      </c>
      <c r="AU183" s="93">
        <v>40210</v>
      </c>
      <c r="AV183" s="93"/>
      <c r="AW183" s="93"/>
      <c r="AX183" s="93"/>
      <c r="AY183" s="93"/>
    </row>
    <row r="184" spans="1:52" ht="16.5" customHeight="1" x14ac:dyDescent="0.15">
      <c r="A184" s="146" t="s">
        <v>2341</v>
      </c>
      <c r="B184" s="147" t="s">
        <v>2342</v>
      </c>
      <c r="C184" s="48" t="s">
        <v>298</v>
      </c>
      <c r="D184" s="62" t="s">
        <v>2343</v>
      </c>
      <c r="E184" s="48" t="s">
        <v>300</v>
      </c>
      <c r="F184" s="61">
        <v>42432</v>
      </c>
      <c r="G184" s="61">
        <v>42432</v>
      </c>
      <c r="H184" s="125">
        <v>42535</v>
      </c>
      <c r="I184" s="61" t="s">
        <v>279</v>
      </c>
      <c r="J184" s="87"/>
      <c r="K184" s="62" t="s">
        <v>14</v>
      </c>
      <c r="L184" s="62">
        <v>3</v>
      </c>
      <c r="M184" s="62" t="s">
        <v>362</v>
      </c>
      <c r="N184" s="62" t="s">
        <v>2344</v>
      </c>
      <c r="O184" s="48" t="s">
        <v>263</v>
      </c>
      <c r="P184" s="48" t="s">
        <v>2345</v>
      </c>
      <c r="Q184" s="48" t="s">
        <v>2346</v>
      </c>
      <c r="R184" s="48" t="s">
        <v>2335</v>
      </c>
      <c r="S184" s="48" t="s">
        <v>1032</v>
      </c>
      <c r="T184" s="48" t="s">
        <v>1033</v>
      </c>
      <c r="U184" s="48" t="s">
        <v>2347</v>
      </c>
      <c r="V184" s="122" t="s">
        <v>263</v>
      </c>
      <c r="W184" s="48" t="s">
        <v>2348</v>
      </c>
      <c r="X184" s="48" t="s">
        <v>2349</v>
      </c>
      <c r="Y184" s="48" t="s">
        <v>2350</v>
      </c>
      <c r="Z184" s="61"/>
      <c r="AA184" s="48">
        <v>146845641</v>
      </c>
      <c r="AB184" s="48">
        <v>362390905</v>
      </c>
      <c r="AC184" s="48" t="s">
        <v>273</v>
      </c>
      <c r="AD184" s="48" t="s">
        <v>273</v>
      </c>
      <c r="AE184" s="48" t="s">
        <v>273</v>
      </c>
      <c r="AF184" s="48" t="s">
        <v>273</v>
      </c>
      <c r="AG184" s="48" t="s">
        <v>273</v>
      </c>
      <c r="AH184" s="48" t="s">
        <v>273</v>
      </c>
      <c r="AI184" s="48" t="s">
        <v>273</v>
      </c>
      <c r="AJ184" s="48" t="s">
        <v>273</v>
      </c>
      <c r="AK184" s="48" t="s">
        <v>2351</v>
      </c>
      <c r="AL184" s="48" t="s">
        <v>2352</v>
      </c>
      <c r="AM184" s="48" t="s">
        <v>273</v>
      </c>
      <c r="AN184" s="48" t="s">
        <v>273</v>
      </c>
      <c r="AO184" s="48" t="s">
        <v>273</v>
      </c>
      <c r="AP184" s="48" t="s">
        <v>273</v>
      </c>
      <c r="AQ184" s="48" t="s">
        <v>273</v>
      </c>
      <c r="AR184" s="48" t="s">
        <v>273</v>
      </c>
      <c r="AS184" s="48" t="s">
        <v>273</v>
      </c>
      <c r="AT184" s="48" t="s">
        <v>273</v>
      </c>
      <c r="AU184" s="93" t="s">
        <v>263</v>
      </c>
      <c r="AV184" s="93"/>
      <c r="AW184" s="93"/>
      <c r="AX184" s="93"/>
      <c r="AY184" s="93"/>
    </row>
    <row r="185" spans="1:52" ht="16.5" customHeight="1" x14ac:dyDescent="0.15">
      <c r="A185" s="134" t="s">
        <v>2353</v>
      </c>
      <c r="B185" s="136" t="s">
        <v>2354</v>
      </c>
      <c r="C185" s="48" t="s">
        <v>330</v>
      </c>
      <c r="D185" s="62" t="s">
        <v>2355</v>
      </c>
      <c r="E185" s="48" t="s">
        <v>300</v>
      </c>
      <c r="F185" s="61">
        <v>42432</v>
      </c>
      <c r="G185" s="61">
        <v>42432</v>
      </c>
      <c r="H185" s="125">
        <v>42452</v>
      </c>
      <c r="I185" s="61" t="s">
        <v>279</v>
      </c>
      <c r="J185" s="87"/>
      <c r="K185" s="62" t="s">
        <v>12</v>
      </c>
      <c r="L185" s="124" t="s">
        <v>263</v>
      </c>
      <c r="M185" s="62" t="s">
        <v>755</v>
      </c>
      <c r="N185" s="62" t="s">
        <v>2356</v>
      </c>
      <c r="O185" s="48" t="s">
        <v>792</v>
      </c>
      <c r="P185" s="48" t="s">
        <v>1575</v>
      </c>
      <c r="Q185" s="48" t="s">
        <v>2357</v>
      </c>
      <c r="R185" s="48" t="s">
        <v>2358</v>
      </c>
      <c r="S185" s="48" t="s">
        <v>1578</v>
      </c>
      <c r="T185" s="48" t="s">
        <v>2359</v>
      </c>
      <c r="U185" s="48" t="s">
        <v>2360</v>
      </c>
      <c r="V185" s="48" t="s">
        <v>2361</v>
      </c>
      <c r="W185" s="48" t="s">
        <v>2362</v>
      </c>
      <c r="X185" s="48" t="s">
        <v>2363</v>
      </c>
      <c r="Y185" s="48" t="s">
        <v>2364</v>
      </c>
      <c r="Z185" s="61"/>
      <c r="AA185" s="48" t="s">
        <v>273</v>
      </c>
      <c r="AB185" s="48" t="s">
        <v>273</v>
      </c>
      <c r="AC185" s="48" t="s">
        <v>273</v>
      </c>
      <c r="AD185" s="48" t="s">
        <v>273</v>
      </c>
      <c r="AE185" s="48" t="s">
        <v>273</v>
      </c>
      <c r="AF185" s="48" t="s">
        <v>273</v>
      </c>
      <c r="AG185" s="48" t="s">
        <v>273</v>
      </c>
      <c r="AH185" s="48" t="s">
        <v>273</v>
      </c>
      <c r="AI185" s="48" t="s">
        <v>273</v>
      </c>
      <c r="AJ185" s="48" t="s">
        <v>273</v>
      </c>
      <c r="AK185" s="48" t="s">
        <v>273</v>
      </c>
      <c r="AL185" s="48" t="s">
        <v>273</v>
      </c>
      <c r="AM185" s="48" t="s">
        <v>273</v>
      </c>
      <c r="AN185" s="48" t="s">
        <v>273</v>
      </c>
      <c r="AO185" s="48" t="s">
        <v>273</v>
      </c>
      <c r="AP185" s="48" t="s">
        <v>273</v>
      </c>
      <c r="AQ185" s="48" t="s">
        <v>273</v>
      </c>
      <c r="AR185" s="48" t="s">
        <v>273</v>
      </c>
      <c r="AS185" s="48" t="s">
        <v>273</v>
      </c>
      <c r="AT185" s="48" t="s">
        <v>273</v>
      </c>
      <c r="AU185" s="93">
        <v>39845</v>
      </c>
      <c r="AV185" s="93"/>
      <c r="AW185" s="93"/>
      <c r="AX185" s="93"/>
      <c r="AY185" s="93"/>
      <c r="AZ185" s="49" t="s">
        <v>2365</v>
      </c>
    </row>
    <row r="186" spans="1:52" ht="16.5" customHeight="1" x14ac:dyDescent="0.15">
      <c r="A186" s="146" t="s">
        <v>2366</v>
      </c>
      <c r="B186" s="147" t="s">
        <v>2367</v>
      </c>
      <c r="C186" s="48" t="s">
        <v>2368</v>
      </c>
      <c r="D186" s="62" t="s">
        <v>2369</v>
      </c>
      <c r="E186" s="48" t="s">
        <v>264</v>
      </c>
      <c r="F186" s="61">
        <v>42433</v>
      </c>
      <c r="G186" s="61">
        <v>42433</v>
      </c>
      <c r="H186" s="125">
        <v>42534</v>
      </c>
      <c r="I186" s="61" t="s">
        <v>279</v>
      </c>
      <c r="J186" s="87"/>
      <c r="K186" s="150" t="s">
        <v>14</v>
      </c>
      <c r="L186" s="124" t="s">
        <v>263</v>
      </c>
      <c r="M186" s="62" t="s">
        <v>2370</v>
      </c>
      <c r="N186" s="62" t="s">
        <v>2371</v>
      </c>
      <c r="O186" s="48" t="s">
        <v>2372</v>
      </c>
      <c r="P186" s="48" t="s">
        <v>2373</v>
      </c>
      <c r="Q186" s="48" t="s">
        <v>1386</v>
      </c>
      <c r="R186" s="48" t="s">
        <v>1387</v>
      </c>
      <c r="S186" s="48" t="s">
        <v>1388</v>
      </c>
      <c r="T186" s="48" t="s">
        <v>1389</v>
      </c>
      <c r="U186" s="48" t="s">
        <v>900</v>
      </c>
      <c r="V186" s="48" t="s">
        <v>2374</v>
      </c>
      <c r="W186" s="48" t="s">
        <v>1614</v>
      </c>
      <c r="X186" s="48" t="s">
        <v>901</v>
      </c>
      <c r="Y186" s="48" t="s">
        <v>1390</v>
      </c>
      <c r="Z186" s="61"/>
      <c r="AA186" s="48" t="s">
        <v>2372</v>
      </c>
      <c r="AB186" s="48" t="s">
        <v>273</v>
      </c>
      <c r="AC186" s="48" t="s">
        <v>273</v>
      </c>
      <c r="AD186" s="48" t="s">
        <v>273</v>
      </c>
      <c r="AE186" s="48" t="s">
        <v>273</v>
      </c>
      <c r="AF186" s="48" t="s">
        <v>273</v>
      </c>
      <c r="AG186" s="48" t="s">
        <v>273</v>
      </c>
      <c r="AH186" s="48" t="s">
        <v>273</v>
      </c>
      <c r="AI186" s="48" t="s">
        <v>273</v>
      </c>
      <c r="AJ186" s="48" t="s">
        <v>273</v>
      </c>
      <c r="AK186" s="48" t="s">
        <v>2375</v>
      </c>
      <c r="AL186" s="48" t="s">
        <v>273</v>
      </c>
      <c r="AM186" s="48" t="s">
        <v>273</v>
      </c>
      <c r="AN186" s="48" t="s">
        <v>273</v>
      </c>
      <c r="AO186" s="48" t="s">
        <v>273</v>
      </c>
      <c r="AP186" s="48" t="s">
        <v>273</v>
      </c>
      <c r="AQ186" s="48" t="s">
        <v>273</v>
      </c>
      <c r="AR186" s="48" t="s">
        <v>273</v>
      </c>
      <c r="AS186" s="48" t="s">
        <v>273</v>
      </c>
      <c r="AT186" s="48" t="s">
        <v>273</v>
      </c>
      <c r="AU186" s="93">
        <v>42064</v>
      </c>
      <c r="AV186" s="93"/>
      <c r="AW186" s="93"/>
      <c r="AX186" s="93"/>
      <c r="AY186" s="93"/>
    </row>
    <row r="187" spans="1:52" ht="16.5" customHeight="1" x14ac:dyDescent="0.15">
      <c r="A187" s="134" t="s">
        <v>2376</v>
      </c>
      <c r="B187" s="136" t="s">
        <v>2377</v>
      </c>
      <c r="C187" s="48" t="s">
        <v>2378</v>
      </c>
      <c r="D187" s="62" t="s">
        <v>263</v>
      </c>
      <c r="E187" s="48" t="s">
        <v>300</v>
      </c>
      <c r="F187" s="61">
        <v>42433</v>
      </c>
      <c r="G187" s="61">
        <v>42433</v>
      </c>
      <c r="H187" s="125">
        <v>42454</v>
      </c>
      <c r="I187" s="61" t="s">
        <v>279</v>
      </c>
      <c r="J187" s="87"/>
      <c r="K187" s="62" t="s">
        <v>12</v>
      </c>
      <c r="L187" s="62">
        <v>5</v>
      </c>
      <c r="M187" s="62" t="s">
        <v>209</v>
      </c>
      <c r="N187" s="62" t="s">
        <v>2379</v>
      </c>
      <c r="O187" s="48" t="s">
        <v>1873</v>
      </c>
      <c r="P187" s="48" t="s">
        <v>2380</v>
      </c>
      <c r="Q187" s="48" t="s">
        <v>1226</v>
      </c>
      <c r="R187" s="48" t="s">
        <v>2381</v>
      </c>
      <c r="S187" s="48" t="s">
        <v>2382</v>
      </c>
      <c r="T187" s="48" t="s">
        <v>2383</v>
      </c>
      <c r="U187" s="48" t="s">
        <v>2384</v>
      </c>
      <c r="V187" s="122" t="s">
        <v>263</v>
      </c>
      <c r="W187" s="122" t="s">
        <v>263</v>
      </c>
      <c r="X187" s="122" t="s">
        <v>263</v>
      </c>
      <c r="Y187" s="122" t="s">
        <v>263</v>
      </c>
      <c r="Z187" s="61"/>
      <c r="AA187" s="48" t="s">
        <v>272</v>
      </c>
      <c r="AB187" s="48" t="s">
        <v>291</v>
      </c>
      <c r="AC187" s="48" t="s">
        <v>781</v>
      </c>
      <c r="AD187" s="48" t="s">
        <v>782</v>
      </c>
      <c r="AE187" s="48" t="s">
        <v>273</v>
      </c>
      <c r="AF187" s="48" t="s">
        <v>273</v>
      </c>
      <c r="AG187" s="48" t="s">
        <v>273</v>
      </c>
      <c r="AH187" s="48" t="s">
        <v>273</v>
      </c>
      <c r="AI187" s="48" t="s">
        <v>273</v>
      </c>
      <c r="AJ187" s="48" t="s">
        <v>273</v>
      </c>
      <c r="AK187" s="48" t="s">
        <v>274</v>
      </c>
      <c r="AL187" s="48" t="s">
        <v>293</v>
      </c>
      <c r="AM187" s="48" t="s">
        <v>785</v>
      </c>
      <c r="AN187" s="48" t="s">
        <v>786</v>
      </c>
      <c r="AO187" s="48" t="s">
        <v>273</v>
      </c>
      <c r="AP187" s="48" t="s">
        <v>273</v>
      </c>
      <c r="AQ187" s="48" t="s">
        <v>273</v>
      </c>
      <c r="AR187" s="48" t="s">
        <v>273</v>
      </c>
      <c r="AS187" s="48" t="s">
        <v>273</v>
      </c>
      <c r="AT187" s="48" t="s">
        <v>273</v>
      </c>
      <c r="AU187" s="93">
        <v>39417</v>
      </c>
      <c r="AV187" s="93"/>
      <c r="AW187" s="93"/>
      <c r="AX187" s="93"/>
      <c r="AY187" s="93"/>
    </row>
    <row r="188" spans="1:52" ht="16.5" customHeight="1" x14ac:dyDescent="0.15">
      <c r="A188" s="138" t="s">
        <v>2385</v>
      </c>
      <c r="B188" s="140" t="s">
        <v>2386</v>
      </c>
      <c r="C188" s="48" t="s">
        <v>298</v>
      </c>
      <c r="D188" s="62" t="s">
        <v>2387</v>
      </c>
      <c r="E188" s="48" t="s">
        <v>300</v>
      </c>
      <c r="F188" s="61">
        <v>42436</v>
      </c>
      <c r="G188" s="61">
        <v>42436</v>
      </c>
      <c r="H188" s="125">
        <v>42468</v>
      </c>
      <c r="I188" s="61" t="s">
        <v>279</v>
      </c>
      <c r="J188" s="87"/>
      <c r="K188" s="62" t="s">
        <v>12</v>
      </c>
      <c r="L188" s="62">
        <v>3</v>
      </c>
      <c r="M188" s="62" t="s">
        <v>409</v>
      </c>
      <c r="N188" s="62" t="s">
        <v>2388</v>
      </c>
      <c r="O188" s="48" t="s">
        <v>606</v>
      </c>
      <c r="P188" s="48" t="s">
        <v>1167</v>
      </c>
      <c r="Q188" s="48" t="s">
        <v>2389</v>
      </c>
      <c r="R188" s="48" t="s">
        <v>2390</v>
      </c>
      <c r="S188" s="48" t="s">
        <v>1170</v>
      </c>
      <c r="T188" s="48" t="s">
        <v>1171</v>
      </c>
      <c r="U188" s="48" t="s">
        <v>2391</v>
      </c>
      <c r="V188" s="48" t="s">
        <v>2392</v>
      </c>
      <c r="W188" s="48" t="s">
        <v>2030</v>
      </c>
      <c r="X188" s="48" t="s">
        <v>2393</v>
      </c>
      <c r="Y188" s="48" t="s">
        <v>2394</v>
      </c>
      <c r="Z188" s="61"/>
      <c r="AA188" s="48" t="s">
        <v>978</v>
      </c>
      <c r="AB188" s="48" t="s">
        <v>291</v>
      </c>
      <c r="AC188" s="48" t="s">
        <v>273</v>
      </c>
      <c r="AD188" s="48" t="s">
        <v>273</v>
      </c>
      <c r="AE188" s="48" t="s">
        <v>273</v>
      </c>
      <c r="AF188" s="48" t="s">
        <v>273</v>
      </c>
      <c r="AG188" s="48" t="s">
        <v>273</v>
      </c>
      <c r="AH188" s="48" t="s">
        <v>273</v>
      </c>
      <c r="AI188" s="48" t="s">
        <v>273</v>
      </c>
      <c r="AJ188" s="48" t="s">
        <v>273</v>
      </c>
      <c r="AK188" s="48" t="s">
        <v>600</v>
      </c>
      <c r="AL188" s="48" t="s">
        <v>293</v>
      </c>
      <c r="AM188" s="48" t="s">
        <v>273</v>
      </c>
      <c r="AN188" s="48" t="s">
        <v>273</v>
      </c>
      <c r="AO188" s="48" t="s">
        <v>273</v>
      </c>
      <c r="AP188" s="48" t="s">
        <v>273</v>
      </c>
      <c r="AQ188" s="48" t="s">
        <v>273</v>
      </c>
      <c r="AR188" s="48" t="s">
        <v>273</v>
      </c>
      <c r="AS188" s="48" t="s">
        <v>273</v>
      </c>
      <c r="AT188" s="48" t="s">
        <v>273</v>
      </c>
      <c r="AU188" s="93">
        <v>39845</v>
      </c>
      <c r="AV188" s="93"/>
      <c r="AW188" s="93"/>
      <c r="AX188" s="93"/>
      <c r="AY188" s="93"/>
    </row>
    <row r="189" spans="1:52" ht="16.5" customHeight="1" x14ac:dyDescent="0.15">
      <c r="A189" s="138" t="s">
        <v>2395</v>
      </c>
      <c r="B189" s="140" t="s">
        <v>2396</v>
      </c>
      <c r="C189" s="48" t="s">
        <v>298</v>
      </c>
      <c r="D189" s="62" t="s">
        <v>263</v>
      </c>
      <c r="E189" s="48" t="s">
        <v>300</v>
      </c>
      <c r="F189" s="61">
        <v>42436</v>
      </c>
      <c r="G189" s="61">
        <v>42436</v>
      </c>
      <c r="H189" s="125">
        <v>42482</v>
      </c>
      <c r="I189" s="61" t="s">
        <v>279</v>
      </c>
      <c r="J189" s="87"/>
      <c r="K189" s="62" t="s">
        <v>12</v>
      </c>
      <c r="L189" s="62">
        <v>3</v>
      </c>
      <c r="M189" s="62" t="s">
        <v>471</v>
      </c>
      <c r="N189" s="62" t="s">
        <v>2397</v>
      </c>
      <c r="O189" s="48" t="s">
        <v>772</v>
      </c>
      <c r="P189" s="48" t="s">
        <v>2398</v>
      </c>
      <c r="Q189" s="48" t="s">
        <v>2399</v>
      </c>
      <c r="R189" s="48" t="s">
        <v>2400</v>
      </c>
      <c r="S189" s="48" t="s">
        <v>2401</v>
      </c>
      <c r="T189" s="48" t="s">
        <v>2402</v>
      </c>
      <c r="U189" s="48" t="s">
        <v>2403</v>
      </c>
      <c r="V189" s="122" t="s">
        <v>263</v>
      </c>
      <c r="W189" s="122" t="s">
        <v>263</v>
      </c>
      <c r="X189" s="122" t="s">
        <v>263</v>
      </c>
      <c r="Y189" s="122" t="s">
        <v>263</v>
      </c>
      <c r="Z189" s="61"/>
      <c r="AA189" s="48" t="s">
        <v>508</v>
      </c>
      <c r="AB189" s="48" t="s">
        <v>2404</v>
      </c>
      <c r="AC189" s="48" t="s">
        <v>273</v>
      </c>
      <c r="AD189" s="48" t="s">
        <v>273</v>
      </c>
      <c r="AE189" s="48" t="s">
        <v>273</v>
      </c>
      <c r="AF189" s="48" t="s">
        <v>273</v>
      </c>
      <c r="AG189" s="48" t="s">
        <v>273</v>
      </c>
      <c r="AH189" s="48" t="s">
        <v>273</v>
      </c>
      <c r="AI189" s="48" t="s">
        <v>273</v>
      </c>
      <c r="AJ189" s="48" t="s">
        <v>273</v>
      </c>
      <c r="AK189" s="48" t="s">
        <v>509</v>
      </c>
      <c r="AL189" s="48" t="s">
        <v>2405</v>
      </c>
      <c r="AM189" s="48" t="s">
        <v>273</v>
      </c>
      <c r="AN189" s="48" t="s">
        <v>273</v>
      </c>
      <c r="AO189" s="48" t="s">
        <v>273</v>
      </c>
      <c r="AP189" s="48" t="s">
        <v>273</v>
      </c>
      <c r="AQ189" s="48" t="s">
        <v>273</v>
      </c>
      <c r="AR189" s="48" t="s">
        <v>273</v>
      </c>
      <c r="AS189" s="48" t="s">
        <v>273</v>
      </c>
      <c r="AT189" s="48" t="s">
        <v>273</v>
      </c>
      <c r="AU189" s="93">
        <v>40330</v>
      </c>
      <c r="AV189" s="93"/>
      <c r="AW189" s="93"/>
      <c r="AX189" s="93"/>
      <c r="AY189" s="93"/>
      <c r="AZ189" s="49" t="s">
        <v>2406</v>
      </c>
    </row>
    <row r="190" spans="1:52" ht="16.5" customHeight="1" x14ac:dyDescent="0.15">
      <c r="A190" s="138" t="s">
        <v>2407</v>
      </c>
      <c r="B190" s="140" t="s">
        <v>2408</v>
      </c>
      <c r="C190" s="48" t="s">
        <v>2409</v>
      </c>
      <c r="D190" s="62" t="s">
        <v>2410</v>
      </c>
      <c r="E190" s="48" t="s">
        <v>264</v>
      </c>
      <c r="F190" s="61">
        <v>42436</v>
      </c>
      <c r="G190" s="61">
        <v>42436</v>
      </c>
      <c r="H190" s="125">
        <v>42471</v>
      </c>
      <c r="I190" s="61">
        <v>40724</v>
      </c>
      <c r="J190" s="87"/>
      <c r="K190" s="62">
        <v>0</v>
      </c>
      <c r="L190" s="62"/>
      <c r="M190" s="62" t="s">
        <v>209</v>
      </c>
      <c r="N190" s="62" t="s">
        <v>2411</v>
      </c>
      <c r="O190" s="48" t="s">
        <v>2412</v>
      </c>
      <c r="P190" s="48" t="s">
        <v>2413</v>
      </c>
      <c r="Q190" s="48" t="s">
        <v>2414</v>
      </c>
      <c r="R190" s="48" t="s">
        <v>2415</v>
      </c>
      <c r="S190" s="48" t="s">
        <v>1831</v>
      </c>
      <c r="T190" s="48" t="s">
        <v>1832</v>
      </c>
      <c r="U190" s="48" t="s">
        <v>2416</v>
      </c>
      <c r="V190" s="122" t="s">
        <v>263</v>
      </c>
      <c r="W190" s="122" t="s">
        <v>263</v>
      </c>
      <c r="X190" s="48" t="s">
        <v>2417</v>
      </c>
      <c r="Y190" s="48" t="s">
        <v>2418</v>
      </c>
      <c r="Z190" s="61"/>
      <c r="AA190" s="48" t="s">
        <v>327</v>
      </c>
      <c r="AB190" s="48" t="s">
        <v>273</v>
      </c>
      <c r="AC190" s="48" t="s">
        <v>273</v>
      </c>
      <c r="AD190" s="48" t="s">
        <v>273</v>
      </c>
      <c r="AE190" s="48" t="s">
        <v>273</v>
      </c>
      <c r="AF190" s="48" t="s">
        <v>273</v>
      </c>
      <c r="AG190" s="48" t="s">
        <v>273</v>
      </c>
      <c r="AH190" s="48" t="s">
        <v>273</v>
      </c>
      <c r="AI190" s="48" t="s">
        <v>273</v>
      </c>
      <c r="AJ190" s="48" t="s">
        <v>273</v>
      </c>
      <c r="AK190" s="48" t="s">
        <v>274</v>
      </c>
      <c r="AL190" s="48" t="s">
        <v>273</v>
      </c>
      <c r="AM190" s="48" t="s">
        <v>273</v>
      </c>
      <c r="AN190" s="48" t="s">
        <v>273</v>
      </c>
      <c r="AO190" s="48" t="s">
        <v>273</v>
      </c>
      <c r="AP190" s="48" t="s">
        <v>273</v>
      </c>
      <c r="AQ190" s="48" t="s">
        <v>273</v>
      </c>
      <c r="AR190" s="48" t="s">
        <v>273</v>
      </c>
      <c r="AS190" s="48" t="s">
        <v>273</v>
      </c>
      <c r="AT190" s="48" t="s">
        <v>273</v>
      </c>
      <c r="AU190" s="93">
        <v>40664</v>
      </c>
      <c r="AV190" s="93"/>
      <c r="AW190" s="93"/>
      <c r="AX190" s="93"/>
      <c r="AY190" s="93"/>
    </row>
    <row r="191" spans="1:52" ht="16.5" customHeight="1" x14ac:dyDescent="0.15">
      <c r="A191" s="134" t="s">
        <v>2419</v>
      </c>
      <c r="B191" s="136" t="s">
        <v>2420</v>
      </c>
      <c r="C191" s="48" t="s">
        <v>330</v>
      </c>
      <c r="D191" s="62" t="s">
        <v>2421</v>
      </c>
      <c r="E191" s="48" t="s">
        <v>273</v>
      </c>
      <c r="F191" s="61">
        <v>42436</v>
      </c>
      <c r="G191" s="61">
        <v>42436</v>
      </c>
      <c r="H191" s="125">
        <v>42458</v>
      </c>
      <c r="I191" s="61" t="s">
        <v>279</v>
      </c>
      <c r="J191" s="87"/>
      <c r="K191" s="124" t="s">
        <v>263</v>
      </c>
      <c r="L191" s="124" t="s">
        <v>263</v>
      </c>
      <c r="M191" s="62" t="s">
        <v>2422</v>
      </c>
      <c r="N191" s="62" t="s">
        <v>2423</v>
      </c>
      <c r="O191" s="48" t="s">
        <v>2424</v>
      </c>
      <c r="P191" s="48" t="s">
        <v>2425</v>
      </c>
      <c r="Q191" s="48" t="s">
        <v>1716</v>
      </c>
      <c r="R191" s="48" t="s">
        <v>2426</v>
      </c>
      <c r="S191" s="48" t="s">
        <v>2427</v>
      </c>
      <c r="T191" s="48" t="s">
        <v>2428</v>
      </c>
      <c r="U191" s="48" t="s">
        <v>2429</v>
      </c>
      <c r="V191" s="48" t="s">
        <v>2430</v>
      </c>
      <c r="W191" s="122" t="s">
        <v>263</v>
      </c>
      <c r="X191" s="48" t="s">
        <v>2431</v>
      </c>
      <c r="Y191" s="48" t="s">
        <v>2432</v>
      </c>
      <c r="Z191" s="61"/>
      <c r="AA191" s="48" t="s">
        <v>273</v>
      </c>
      <c r="AB191" s="48" t="s">
        <v>273</v>
      </c>
      <c r="AC191" s="48" t="s">
        <v>273</v>
      </c>
      <c r="AD191" s="48" t="s">
        <v>273</v>
      </c>
      <c r="AE191" s="48" t="s">
        <v>273</v>
      </c>
      <c r="AF191" s="48" t="s">
        <v>273</v>
      </c>
      <c r="AG191" s="48" t="s">
        <v>273</v>
      </c>
      <c r="AH191" s="48" t="s">
        <v>273</v>
      </c>
      <c r="AI191" s="48" t="s">
        <v>273</v>
      </c>
      <c r="AJ191" s="48" t="s">
        <v>273</v>
      </c>
      <c r="AK191" s="48" t="s">
        <v>273</v>
      </c>
      <c r="AL191" s="48" t="s">
        <v>273</v>
      </c>
      <c r="AM191" s="48" t="s">
        <v>273</v>
      </c>
      <c r="AN191" s="48" t="s">
        <v>273</v>
      </c>
      <c r="AO191" s="48" t="s">
        <v>273</v>
      </c>
      <c r="AP191" s="48" t="s">
        <v>273</v>
      </c>
      <c r="AQ191" s="48" t="s">
        <v>273</v>
      </c>
      <c r="AR191" s="48" t="s">
        <v>273</v>
      </c>
      <c r="AS191" s="48" t="s">
        <v>273</v>
      </c>
      <c r="AT191" s="48" t="s">
        <v>273</v>
      </c>
      <c r="AU191" s="93">
        <v>38412</v>
      </c>
      <c r="AV191" s="93"/>
      <c r="AW191" s="93"/>
      <c r="AX191" s="93"/>
      <c r="AY191" s="93"/>
      <c r="AZ191" s="49" t="s">
        <v>2433</v>
      </c>
    </row>
    <row r="192" spans="1:52" ht="16.5" customHeight="1" x14ac:dyDescent="0.15">
      <c r="A192" s="144" t="s">
        <v>2434</v>
      </c>
      <c r="B192" s="145" t="s">
        <v>2435</v>
      </c>
      <c r="C192" s="48" t="s">
        <v>2436</v>
      </c>
      <c r="D192" s="62" t="s">
        <v>263</v>
      </c>
      <c r="E192" s="48" t="s">
        <v>264</v>
      </c>
      <c r="F192" s="61">
        <v>42436</v>
      </c>
      <c r="G192" s="61">
        <v>42436</v>
      </c>
      <c r="H192" s="125">
        <v>42500</v>
      </c>
      <c r="I192" s="61" t="s">
        <v>279</v>
      </c>
      <c r="J192" s="87"/>
      <c r="K192" s="62" t="s">
        <v>12</v>
      </c>
      <c r="L192" s="62">
        <v>3</v>
      </c>
      <c r="M192" s="62" t="s">
        <v>2437</v>
      </c>
      <c r="N192" s="62" t="s">
        <v>2438</v>
      </c>
      <c r="O192" s="48" t="s">
        <v>2439</v>
      </c>
      <c r="P192" s="48" t="s">
        <v>267</v>
      </c>
      <c r="Q192" s="48" t="s">
        <v>2440</v>
      </c>
      <c r="R192" s="48" t="s">
        <v>2441</v>
      </c>
      <c r="S192" s="130" t="s">
        <v>2442</v>
      </c>
      <c r="T192" s="130" t="s">
        <v>2443</v>
      </c>
      <c r="U192" s="48" t="s">
        <v>2444</v>
      </c>
      <c r="V192" s="122" t="s">
        <v>263</v>
      </c>
      <c r="W192" s="122" t="s">
        <v>263</v>
      </c>
      <c r="X192" s="48" t="s">
        <v>2445</v>
      </c>
      <c r="Y192" s="48" t="s">
        <v>2446</v>
      </c>
      <c r="Z192" s="61"/>
      <c r="AA192" s="48" t="s">
        <v>2447</v>
      </c>
      <c r="AB192" s="48" t="s">
        <v>2448</v>
      </c>
      <c r="AC192" s="48" t="s">
        <v>273</v>
      </c>
      <c r="AD192" s="48" t="s">
        <v>273</v>
      </c>
      <c r="AE192" s="48" t="s">
        <v>273</v>
      </c>
      <c r="AF192" s="48" t="s">
        <v>273</v>
      </c>
      <c r="AG192" s="48" t="s">
        <v>273</v>
      </c>
      <c r="AH192" s="48" t="s">
        <v>273</v>
      </c>
      <c r="AI192" s="48" t="s">
        <v>273</v>
      </c>
      <c r="AJ192" s="48" t="s">
        <v>273</v>
      </c>
      <c r="AK192" s="48" t="s">
        <v>2449</v>
      </c>
      <c r="AL192" s="48" t="s">
        <v>2450</v>
      </c>
      <c r="AM192" s="48" t="s">
        <v>273</v>
      </c>
      <c r="AN192" s="48" t="s">
        <v>273</v>
      </c>
      <c r="AO192" s="48" t="s">
        <v>273</v>
      </c>
      <c r="AP192" s="48" t="s">
        <v>273</v>
      </c>
      <c r="AQ192" s="48" t="s">
        <v>273</v>
      </c>
      <c r="AR192" s="48" t="s">
        <v>273</v>
      </c>
      <c r="AS192" s="48" t="s">
        <v>273</v>
      </c>
      <c r="AT192" s="48" t="s">
        <v>273</v>
      </c>
      <c r="AU192" s="93">
        <v>42005</v>
      </c>
      <c r="AV192" s="93"/>
      <c r="AW192" s="93"/>
      <c r="AX192" s="93"/>
      <c r="AY192" s="93"/>
    </row>
    <row r="193" spans="1:52" ht="16.5" customHeight="1" x14ac:dyDescent="0.15">
      <c r="A193" s="121" t="s">
        <v>2451</v>
      </c>
      <c r="B193" s="137" t="s">
        <v>2452</v>
      </c>
      <c r="C193" s="48" t="e">
        <f ca="1">INDIRECT("'["&amp;$C$1&amp;".xls]"&amp;$B193&amp;"'!$i$7")</f>
        <v>#REF!</v>
      </c>
      <c r="D193" s="62" t="e">
        <f ca="1">INDIRECT("'["&amp;$C$1&amp;".xls]"&amp;$B193&amp;"'!$b$7")</f>
        <v>#REF!</v>
      </c>
      <c r="E193" s="48" t="e">
        <f ca="1">IF(INDIRECT("'["&amp;$C$1&amp;".xls]"&amp;$B193&amp;"'!$i$2")="","",INDIRECT("'["&amp;$C$1&amp;".xls]"&amp;$B193&amp;"'!$i$2"))</f>
        <v>#REF!</v>
      </c>
      <c r="F193" s="61" t="e">
        <f ca="1">INDIRECT("'["&amp;$C$1&amp;".xls]"&amp;$B193&amp;"'!$b$2")</f>
        <v>#REF!</v>
      </c>
      <c r="G193" s="61" t="e">
        <f ca="1">INDIRECT("'["&amp;$C$1&amp;".xls]"&amp;$B193&amp;"'!$a$20")</f>
        <v>#REF!</v>
      </c>
      <c r="H193" s="88" t="e">
        <f ca="1">INDIRECT("'["&amp;$C$1&amp;".xls]"&amp;$B193&amp;"'!$Q$22")</f>
        <v>#REF!</v>
      </c>
      <c r="I193" s="61" t="e">
        <f ca="1">INDIRECT("'["&amp;$C$1&amp;".xls]"&amp;$B193&amp;"'!$f$6")</f>
        <v>#REF!</v>
      </c>
      <c r="J193" s="87"/>
      <c r="K193" s="62" t="e">
        <f ca="1">INDIRECT("'["&amp;$C$1&amp;".xls]"&amp;$B193&amp;"'!$f$25")</f>
        <v>#REF!</v>
      </c>
      <c r="L193" s="62"/>
      <c r="M193" s="62" t="e">
        <f ca="1">INDIRECT("'["&amp;$C$1&amp;".xls]"&amp;$B193&amp;"'!$f$4")</f>
        <v>#REF!</v>
      </c>
      <c r="N193" s="62" t="e">
        <f ca="1">INDIRECT("'["&amp;$C$1&amp;".xls]"&amp;$B193&amp;"'!$i$4")</f>
        <v>#REF!</v>
      </c>
      <c r="O193" s="48" t="e">
        <f ca="1">INDIRECT("'["&amp;$C$1&amp;".xls]"&amp;$B193&amp;"'!$l$4")</f>
        <v>#REF!</v>
      </c>
      <c r="P193" s="48" t="e">
        <f ca="1">INDIRECT("'["&amp;$C$1&amp;".xls]"&amp;$B193&amp;"'!$b$5")</f>
        <v>#REF!</v>
      </c>
      <c r="Q193" s="48" t="e">
        <f ca="1">INDIRECT("'["&amp;$C$1&amp;".xls]"&amp;$B193&amp;"'!$f$5")</f>
        <v>#REF!</v>
      </c>
      <c r="R193" s="48"/>
      <c r="S193" s="48" t="e">
        <f ca="1">INDIRECT("'["&amp;$C$1&amp;".xls]"&amp;$B193&amp;"'!$i$5")</f>
        <v>#REF!</v>
      </c>
      <c r="T193" s="48" t="e">
        <f ca="1">INDIRECT("'["&amp;$C$1&amp;".xls]"&amp;$B193&amp;"'!$l$5")</f>
        <v>#REF!</v>
      </c>
      <c r="U193" s="48" t="e">
        <f ca="1">INDIRECT("'["&amp;$C$1&amp;".xls]"&amp;$B193&amp;"'!$b$4")</f>
        <v>#REF!</v>
      </c>
      <c r="V193" s="48"/>
      <c r="W193" s="48"/>
      <c r="X193" s="48" t="s">
        <v>2453</v>
      </c>
      <c r="Y193" s="48" t="s">
        <v>2454</v>
      </c>
      <c r="Z193" s="61"/>
      <c r="AA193" s="48" t="e">
        <f ca="1">IF(INDIRECT("'["&amp;$C$1&amp;".xls]"&amp;$B193&amp;"'!$P$25")="","",IF(INDIRECT("'["&amp;$C$1&amp;".xls]"&amp;$B193&amp;"'!$O$25")="済み",INDIRECT("'["&amp;$C$1&amp;".xls]"&amp;$B193&amp;"'!$P$25"),""))</f>
        <v>#REF!</v>
      </c>
      <c r="AB193" s="48" t="e">
        <f ca="1">IF(INDIRECT("'["&amp;$C$1&amp;".xls]"&amp;$B193&amp;"'!$P$26")="","",IF(INDIRECT("'["&amp;$C$1&amp;".xls]"&amp;$B193&amp;"'!$O$26")="済み",INDIRECT("'["&amp;$C$1&amp;".xls]"&amp;$B193&amp;"'!$P$26"),""))</f>
        <v>#REF!</v>
      </c>
      <c r="AC193" s="48" t="e">
        <f ca="1">IF(INDIRECT("'["&amp;$C$1&amp;".xls]"&amp;$B193&amp;"'!$P$27")="","",IF(INDIRECT("'["&amp;$C$1&amp;".xls]"&amp;$B193&amp;"'!$O$27")="済み",INDIRECT("'["&amp;$C$1&amp;".xls]"&amp;$B193&amp;"'!$P$27"),""))</f>
        <v>#REF!</v>
      </c>
      <c r="AD193" s="48" t="e">
        <f ca="1">IF(INDIRECT("'["&amp;$C$1&amp;".xls]"&amp;$B193&amp;"'!$P$28")="","",IF(INDIRECT("'["&amp;$C$1&amp;".xls]"&amp;$B193&amp;"'!$O$28")="済み",INDIRECT("'["&amp;$C$1&amp;".xls]"&amp;$B193&amp;"'!$P$28"),""))</f>
        <v>#REF!</v>
      </c>
      <c r="AE193" s="48" t="e">
        <f ca="1">IF(INDIRECT("'["&amp;$C$1&amp;".xls]"&amp;$B193&amp;"'!$P$29")="","",IF(INDIRECT("'["&amp;$C$1&amp;".xls]"&amp;$B193&amp;"'!$O$29")="済み",INDIRECT("'["&amp;$C$1&amp;".xls]"&amp;$B193&amp;"'!$P$29"),""))</f>
        <v>#REF!</v>
      </c>
      <c r="AF193" s="48" t="e">
        <f ca="1">IF(INDIRECT("'["&amp;$C$1&amp;".xls]"&amp;$B193&amp;"'!$P$30")="","",IF(INDIRECT("'["&amp;$C$1&amp;".xls]"&amp;$B193&amp;"'!$O$30")="済み",INDIRECT("'["&amp;$C$1&amp;".xls]"&amp;$B193&amp;"'!$P$30"),""))</f>
        <v>#REF!</v>
      </c>
      <c r="AG193" s="48" t="e">
        <f ca="1">IF(INDIRECT("'["&amp;$C$1&amp;".xls]"&amp;$B193&amp;"'!$P$31")="","",IF(INDIRECT("'["&amp;$C$1&amp;".xls]"&amp;$B193&amp;"'!$O$31")="済み",INDIRECT("'["&amp;$C$1&amp;".xls]"&amp;$B193&amp;"'!$P$31"),""))</f>
        <v>#REF!</v>
      </c>
      <c r="AH193" s="48" t="e">
        <f ca="1">IF(INDIRECT("'["&amp;$C$1&amp;".xls]"&amp;$B193&amp;"'!$P$32")="","",IF(INDIRECT("'["&amp;$C$1&amp;".xls]"&amp;$B193&amp;"'!$O$32")="済み",INDIRECT("'["&amp;$C$1&amp;".xls]"&amp;$B193&amp;"'!$P$32"),""))</f>
        <v>#REF!</v>
      </c>
      <c r="AI193" s="48" t="e">
        <f ca="1">IF(INDIRECT("'["&amp;$C$1&amp;".xls]"&amp;$B193&amp;"'!$P$33")="","",IF(INDIRECT("'["&amp;$C$1&amp;".xls]"&amp;$B193&amp;"'!$O$33")="済み",INDIRECT("'["&amp;$C$1&amp;".xls]"&amp;$B193&amp;"'!$P$33"),""))</f>
        <v>#REF!</v>
      </c>
      <c r="AJ193" s="48" t="e">
        <f ca="1">IF(INDIRECT("'["&amp;$C$1&amp;".xls]"&amp;$B193&amp;"'!$P$34")="","",IF(INDIRECT("'["&amp;$C$1&amp;".xls]"&amp;$B193&amp;"'!$O$34")="済み",INDIRECT("'["&amp;$C$1&amp;".xls]"&amp;$B193&amp;"'!$P$34"),""))</f>
        <v>#REF!</v>
      </c>
      <c r="AK193" s="48" t="e">
        <f ca="1">IF(INDIRECT("'["&amp;$C$1&amp;".xls]"&amp;$B193&amp;"'!$T25")="","",IF(INDIRECT("'["&amp;$C$1&amp;".xls]"&amp;$B193&amp;"'!$O$25")="済み",INDIRECT("'["&amp;$C$1&amp;".xls]"&amp;$B193&amp;"'!$T$25"),""))</f>
        <v>#REF!</v>
      </c>
      <c r="AL193" s="48" t="e">
        <f ca="1">IF(INDIRECT("'["&amp;$C$1&amp;".xls]"&amp;$B193&amp;"'!$T26")="","",IF(INDIRECT("'["&amp;$C$1&amp;".xls]"&amp;$B193&amp;"'!$O$26")="済み",INDIRECT("'["&amp;$C$1&amp;".xls]"&amp;$B193&amp;"'!$T$26"),""))</f>
        <v>#REF!</v>
      </c>
      <c r="AM193" s="48" t="e">
        <f ca="1">IF(INDIRECT("'["&amp;$C$1&amp;".xls]"&amp;$B193&amp;"'!$T27")="","",IF(INDIRECT("'["&amp;$C$1&amp;".xls]"&amp;$B193&amp;"'!$O$27")="済み",INDIRECT("'["&amp;$C$1&amp;".xls]"&amp;$B193&amp;"'!$T$27"),""))</f>
        <v>#REF!</v>
      </c>
      <c r="AN193" s="48" t="e">
        <f ca="1">IF(INDIRECT("'["&amp;$C$1&amp;".xls]"&amp;$B193&amp;"'!$T28")="","",IF(INDIRECT("'["&amp;$C$1&amp;".xls]"&amp;$B193&amp;"'!$O$28")="済み",INDIRECT("'["&amp;$C$1&amp;".xls]"&amp;$B193&amp;"'!$T$28"),""))</f>
        <v>#REF!</v>
      </c>
      <c r="AO193" s="48" t="e">
        <f ca="1">IF(INDIRECT("'["&amp;$C$1&amp;".xls]"&amp;$B193&amp;"'!$T29")="","",IF(INDIRECT("'["&amp;$C$1&amp;".xls]"&amp;$B193&amp;"'!$O$29")="済み",INDIRECT("'["&amp;$C$1&amp;".xls]"&amp;$B193&amp;"'!$T$29"),""))</f>
        <v>#REF!</v>
      </c>
      <c r="AP193" s="48" t="e">
        <f ca="1">IF(INDIRECT("'["&amp;$C$1&amp;".xls]"&amp;$B193&amp;"'!$T30")="","",IF(INDIRECT("'["&amp;$C$1&amp;".xls]"&amp;$B193&amp;"'!$O$30")="済み",INDIRECT("'["&amp;$C$1&amp;".xls]"&amp;$B193&amp;"'!$T$30"),""))</f>
        <v>#REF!</v>
      </c>
      <c r="AQ193" s="48" t="e">
        <f ca="1">IF(INDIRECT("'["&amp;$C$1&amp;".xls]"&amp;$B193&amp;"'!$T31")="","",IF(INDIRECT("'["&amp;$C$1&amp;".xls]"&amp;$B193&amp;"'!$O$31")="済み",INDIRECT("'["&amp;$C$1&amp;".xls]"&amp;$B193&amp;"'!$T$31"),""))</f>
        <v>#REF!</v>
      </c>
      <c r="AR193" s="48" t="e">
        <f ca="1">IF(INDIRECT("'["&amp;$C$1&amp;".xls]"&amp;$B193&amp;"'!$T32")="","",IF(INDIRECT("'["&amp;$C$1&amp;".xls]"&amp;$B193&amp;"'!$O$32")="済み",INDIRECT("'["&amp;$C$1&amp;".xls]"&amp;$B193&amp;"'!$T$32"),""))</f>
        <v>#REF!</v>
      </c>
      <c r="AS193" s="48" t="e">
        <f ca="1">IF(INDIRECT("'["&amp;$C$1&amp;".xls]"&amp;$B193&amp;"'!$T33")="","",IF(INDIRECT("'["&amp;$C$1&amp;".xls]"&amp;$B193&amp;"'!$O$33")="済み",INDIRECT("'["&amp;$C$1&amp;".xls]"&amp;$B193&amp;"'!$T$33"),""))</f>
        <v>#REF!</v>
      </c>
      <c r="AT193" s="48" t="e">
        <f ca="1">IF(INDIRECT("'["&amp;$C$1&amp;".xls]"&amp;$B193&amp;"'!$T34")="","",IF(INDIRECT("'["&amp;$C$1&amp;".xls]"&amp;$B193&amp;"'!$O$34")="済み",INDIRECT("'["&amp;$C$1&amp;".xls]"&amp;$B193&amp;"'!$T$34"),""))</f>
        <v>#REF!</v>
      </c>
      <c r="AU193" s="93" t="e">
        <f ca="1">INDIRECT("'["&amp;$C$1&amp;".xls]"&amp;$B193&amp;"'!$B$6")</f>
        <v>#REF!</v>
      </c>
      <c r="AV193" s="93"/>
      <c r="AW193" s="93"/>
      <c r="AX193" s="93"/>
      <c r="AY193" s="93"/>
    </row>
    <row r="194" spans="1:52" ht="16.5" customHeight="1" x14ac:dyDescent="0.15">
      <c r="A194" s="134" t="s">
        <v>2455</v>
      </c>
      <c r="B194" s="136" t="s">
        <v>2456</v>
      </c>
      <c r="C194" s="48" t="s">
        <v>298</v>
      </c>
      <c r="D194" s="62" t="s">
        <v>2457</v>
      </c>
      <c r="E194" s="48" t="s">
        <v>300</v>
      </c>
      <c r="F194" s="61">
        <v>42437</v>
      </c>
      <c r="G194" s="61">
        <v>42437</v>
      </c>
      <c r="H194" s="125">
        <v>42459</v>
      </c>
      <c r="I194" s="61">
        <v>40248</v>
      </c>
      <c r="J194" s="87"/>
      <c r="K194" s="62" t="s">
        <v>12</v>
      </c>
      <c r="L194" s="62">
        <v>3</v>
      </c>
      <c r="M194" s="62" t="s">
        <v>442</v>
      </c>
      <c r="N194" s="62" t="s">
        <v>2458</v>
      </c>
      <c r="O194" s="48" t="s">
        <v>570</v>
      </c>
      <c r="P194" s="48" t="s">
        <v>1373</v>
      </c>
      <c r="Q194" s="48" t="s">
        <v>2459</v>
      </c>
      <c r="R194" s="48" t="s">
        <v>2460</v>
      </c>
      <c r="S194" s="48" t="s">
        <v>2461</v>
      </c>
      <c r="T194" s="48" t="s">
        <v>2462</v>
      </c>
      <c r="U194" s="48" t="s">
        <v>2463</v>
      </c>
      <c r="V194" s="48" t="s">
        <v>2464</v>
      </c>
      <c r="W194" s="48" t="s">
        <v>2465</v>
      </c>
      <c r="X194" s="48" t="s">
        <v>2466</v>
      </c>
      <c r="Y194" s="48" t="s">
        <v>2467</v>
      </c>
      <c r="Z194" s="61"/>
      <c r="AA194" s="48" t="s">
        <v>581</v>
      </c>
      <c r="AB194" s="48" t="s">
        <v>849</v>
      </c>
      <c r="AC194" s="48" t="s">
        <v>273</v>
      </c>
      <c r="AD194" s="48" t="s">
        <v>273</v>
      </c>
      <c r="AE194" s="48" t="s">
        <v>273</v>
      </c>
      <c r="AF194" s="48" t="s">
        <v>273</v>
      </c>
      <c r="AG194" s="48" t="s">
        <v>273</v>
      </c>
      <c r="AH194" s="48" t="s">
        <v>273</v>
      </c>
      <c r="AI194" s="48" t="s">
        <v>273</v>
      </c>
      <c r="AJ194" s="48" t="s">
        <v>273</v>
      </c>
      <c r="AK194" s="48" t="s">
        <v>582</v>
      </c>
      <c r="AL194" s="48" t="s">
        <v>850</v>
      </c>
      <c r="AM194" s="48" t="s">
        <v>273</v>
      </c>
      <c r="AN194" s="48" t="s">
        <v>273</v>
      </c>
      <c r="AO194" s="48" t="s">
        <v>273</v>
      </c>
      <c r="AP194" s="48" t="s">
        <v>273</v>
      </c>
      <c r="AQ194" s="48" t="s">
        <v>273</v>
      </c>
      <c r="AR194" s="48" t="s">
        <v>273</v>
      </c>
      <c r="AS194" s="48" t="s">
        <v>273</v>
      </c>
      <c r="AT194" s="48" t="s">
        <v>273</v>
      </c>
      <c r="AU194" s="93">
        <v>39783</v>
      </c>
      <c r="AV194" s="93"/>
      <c r="AW194" s="93"/>
      <c r="AX194" s="93"/>
      <c r="AY194" s="93"/>
    </row>
    <row r="195" spans="1:52" ht="16.5" customHeight="1" x14ac:dyDescent="0.15">
      <c r="A195" s="146" t="s">
        <v>2468</v>
      </c>
      <c r="B195" s="147" t="s">
        <v>2469</v>
      </c>
      <c r="C195" s="48" t="s">
        <v>2470</v>
      </c>
      <c r="D195" s="62" t="s">
        <v>2471</v>
      </c>
      <c r="E195" s="48" t="s">
        <v>264</v>
      </c>
      <c r="F195" s="61">
        <v>42437</v>
      </c>
      <c r="G195" s="61">
        <v>42437</v>
      </c>
      <c r="H195" s="125">
        <v>42530</v>
      </c>
      <c r="I195" s="61" t="s">
        <v>279</v>
      </c>
      <c r="J195" s="87"/>
      <c r="K195" s="62" t="s">
        <v>14</v>
      </c>
      <c r="L195" s="62">
        <v>3</v>
      </c>
      <c r="M195" s="62" t="s">
        <v>209</v>
      </c>
      <c r="N195" s="62" t="s">
        <v>2472</v>
      </c>
      <c r="O195" s="48" t="s">
        <v>1402</v>
      </c>
      <c r="P195" s="48" t="s">
        <v>2473</v>
      </c>
      <c r="Q195" s="48" t="s">
        <v>1404</v>
      </c>
      <c r="R195" s="48" t="s">
        <v>2474</v>
      </c>
      <c r="S195" s="48" t="s">
        <v>2475</v>
      </c>
      <c r="T195" s="48" t="s">
        <v>2476</v>
      </c>
      <c r="U195" s="48" t="s">
        <v>2477</v>
      </c>
      <c r="V195" s="122" t="s">
        <v>263</v>
      </c>
      <c r="W195" s="48" t="s">
        <v>2478</v>
      </c>
      <c r="X195" s="48" t="s">
        <v>2479</v>
      </c>
      <c r="Y195" s="48" t="s">
        <v>2480</v>
      </c>
      <c r="Z195" s="61"/>
      <c r="AA195" s="48" t="s">
        <v>272</v>
      </c>
      <c r="AB195" s="48" t="s">
        <v>273</v>
      </c>
      <c r="AC195" s="48" t="s">
        <v>273</v>
      </c>
      <c r="AD195" s="48" t="s">
        <v>273</v>
      </c>
      <c r="AE195" s="48" t="s">
        <v>273</v>
      </c>
      <c r="AF195" s="48" t="s">
        <v>273</v>
      </c>
      <c r="AG195" s="48" t="s">
        <v>273</v>
      </c>
      <c r="AH195" s="48" t="s">
        <v>273</v>
      </c>
      <c r="AI195" s="48" t="s">
        <v>273</v>
      </c>
      <c r="AJ195" s="48" t="s">
        <v>273</v>
      </c>
      <c r="AK195" s="48" t="s">
        <v>274</v>
      </c>
      <c r="AL195" s="48" t="s">
        <v>273</v>
      </c>
      <c r="AM195" s="48" t="s">
        <v>273</v>
      </c>
      <c r="AN195" s="48" t="s">
        <v>273</v>
      </c>
      <c r="AO195" s="48" t="s">
        <v>273</v>
      </c>
      <c r="AP195" s="48" t="s">
        <v>273</v>
      </c>
      <c r="AQ195" s="48" t="s">
        <v>273</v>
      </c>
      <c r="AR195" s="48" t="s">
        <v>273</v>
      </c>
      <c r="AS195" s="48" t="s">
        <v>273</v>
      </c>
      <c r="AT195" s="48" t="s">
        <v>273</v>
      </c>
      <c r="AU195" s="93">
        <v>40575</v>
      </c>
      <c r="AV195" s="93"/>
      <c r="AW195" s="93"/>
      <c r="AX195" s="93"/>
      <c r="AY195" s="93"/>
      <c r="AZ195" s="49" t="s">
        <v>2481</v>
      </c>
    </row>
    <row r="196" spans="1:52" ht="16.5" customHeight="1" x14ac:dyDescent="0.15">
      <c r="A196" s="146" t="s">
        <v>2482</v>
      </c>
      <c r="B196" s="147" t="s">
        <v>2483</v>
      </c>
      <c r="C196" s="48" t="s">
        <v>298</v>
      </c>
      <c r="D196" s="62" t="s">
        <v>2484</v>
      </c>
      <c r="E196" s="48" t="s">
        <v>300</v>
      </c>
      <c r="F196" s="61">
        <v>42437</v>
      </c>
      <c r="G196" s="61">
        <v>42437</v>
      </c>
      <c r="H196" s="125">
        <v>42536</v>
      </c>
      <c r="I196" s="61" t="s">
        <v>279</v>
      </c>
      <c r="J196" s="87"/>
      <c r="K196" s="62" t="s">
        <v>14</v>
      </c>
      <c r="L196" s="62">
        <v>3</v>
      </c>
      <c r="M196" s="62">
        <v>180</v>
      </c>
      <c r="N196" s="62" t="s">
        <v>2485</v>
      </c>
      <c r="O196" s="48" t="s">
        <v>1528</v>
      </c>
      <c r="P196" s="48" t="s">
        <v>1699</v>
      </c>
      <c r="Q196" s="48" t="s">
        <v>2486</v>
      </c>
      <c r="R196" s="48" t="s">
        <v>1701</v>
      </c>
      <c r="S196" s="48" t="s">
        <v>1702</v>
      </c>
      <c r="T196" s="130" t="s">
        <v>1703</v>
      </c>
      <c r="U196" s="48" t="s">
        <v>2487</v>
      </c>
      <c r="V196" s="122" t="s">
        <v>263</v>
      </c>
      <c r="W196" s="48" t="s">
        <v>2488</v>
      </c>
      <c r="X196" s="48" t="s">
        <v>2489</v>
      </c>
      <c r="Y196" s="48" t="s">
        <v>2490</v>
      </c>
      <c r="Z196" s="61"/>
      <c r="AA196" s="48" t="s">
        <v>2491</v>
      </c>
      <c r="AB196" s="48" t="s">
        <v>2492</v>
      </c>
      <c r="AC196" s="48" t="s">
        <v>2493</v>
      </c>
      <c r="AD196" s="48" t="s">
        <v>2494</v>
      </c>
      <c r="AE196" s="48" t="s">
        <v>2495</v>
      </c>
      <c r="AF196" s="48" t="s">
        <v>273</v>
      </c>
      <c r="AG196" s="48" t="s">
        <v>273</v>
      </c>
      <c r="AH196" s="48" t="s">
        <v>273</v>
      </c>
      <c r="AI196" s="48" t="s">
        <v>273</v>
      </c>
      <c r="AJ196" s="48" t="s">
        <v>273</v>
      </c>
      <c r="AK196" s="48" t="s">
        <v>1394</v>
      </c>
      <c r="AL196" s="48" t="s">
        <v>2496</v>
      </c>
      <c r="AM196" s="48" t="s">
        <v>646</v>
      </c>
      <c r="AN196" s="48" t="s">
        <v>454</v>
      </c>
      <c r="AO196" s="48" t="s">
        <v>582</v>
      </c>
      <c r="AP196" s="48" t="s">
        <v>273</v>
      </c>
      <c r="AQ196" s="48" t="s">
        <v>273</v>
      </c>
      <c r="AR196" s="48" t="s">
        <v>273</v>
      </c>
      <c r="AS196" s="48" t="s">
        <v>273</v>
      </c>
      <c r="AT196" s="48" t="s">
        <v>273</v>
      </c>
      <c r="AU196" s="93">
        <v>36586</v>
      </c>
      <c r="AV196" s="93"/>
      <c r="AW196" s="93"/>
      <c r="AX196" s="93"/>
      <c r="AY196" s="93"/>
    </row>
    <row r="197" spans="1:52" ht="16.5" customHeight="1" x14ac:dyDescent="0.15">
      <c r="A197" s="138" t="s">
        <v>2497</v>
      </c>
      <c r="B197" s="140" t="s">
        <v>2498</v>
      </c>
      <c r="C197" s="48" t="s">
        <v>2499</v>
      </c>
      <c r="D197" s="62" t="s">
        <v>263</v>
      </c>
      <c r="E197" s="48" t="s">
        <v>264</v>
      </c>
      <c r="F197" s="61">
        <v>42437</v>
      </c>
      <c r="G197" s="61">
        <v>42437</v>
      </c>
      <c r="H197" s="125">
        <v>42485</v>
      </c>
      <c r="I197" s="61">
        <v>41760</v>
      </c>
      <c r="J197" s="87"/>
      <c r="K197" s="62" t="s">
        <v>12</v>
      </c>
      <c r="L197" s="62">
        <v>3</v>
      </c>
      <c r="M197" s="62" t="s">
        <v>471</v>
      </c>
      <c r="N197" s="62" t="s">
        <v>2500</v>
      </c>
      <c r="O197" s="48" t="s">
        <v>502</v>
      </c>
      <c r="P197" s="48" t="s">
        <v>696</v>
      </c>
      <c r="Q197" s="130" t="s">
        <v>1494</v>
      </c>
      <c r="R197" s="48" t="s">
        <v>399</v>
      </c>
      <c r="S197" s="48" t="s">
        <v>400</v>
      </c>
      <c r="T197" s="48" t="s">
        <v>401</v>
      </c>
      <c r="U197" s="48" t="s">
        <v>2501</v>
      </c>
      <c r="V197" s="122" t="s">
        <v>263</v>
      </c>
      <c r="W197" s="122" t="s">
        <v>263</v>
      </c>
      <c r="X197" s="48" t="s">
        <v>2502</v>
      </c>
      <c r="Y197" s="48" t="s">
        <v>2503</v>
      </c>
      <c r="Z197" s="61"/>
      <c r="AA197" s="48" t="s">
        <v>508</v>
      </c>
      <c r="AB197" s="48" t="s">
        <v>529</v>
      </c>
      <c r="AC197" s="48" t="s">
        <v>1356</v>
      </c>
      <c r="AD197" s="48" t="s">
        <v>273</v>
      </c>
      <c r="AE197" s="48" t="s">
        <v>273</v>
      </c>
      <c r="AF197" s="48" t="s">
        <v>273</v>
      </c>
      <c r="AG197" s="48" t="s">
        <v>273</v>
      </c>
      <c r="AH197" s="48" t="s">
        <v>273</v>
      </c>
      <c r="AI197" s="48" t="s">
        <v>273</v>
      </c>
      <c r="AJ197" s="48" t="s">
        <v>273</v>
      </c>
      <c r="AK197" s="48" t="s">
        <v>509</v>
      </c>
      <c r="AL197" s="48" t="s">
        <v>530</v>
      </c>
      <c r="AM197" s="48" t="s">
        <v>1357</v>
      </c>
      <c r="AN197" s="48" t="s">
        <v>273</v>
      </c>
      <c r="AO197" s="48" t="s">
        <v>273</v>
      </c>
      <c r="AP197" s="48" t="s">
        <v>273</v>
      </c>
      <c r="AQ197" s="48" t="s">
        <v>273</v>
      </c>
      <c r="AR197" s="48" t="s">
        <v>273</v>
      </c>
      <c r="AS197" s="48" t="s">
        <v>273</v>
      </c>
      <c r="AT197" s="48" t="s">
        <v>273</v>
      </c>
      <c r="AU197" s="93">
        <v>41579</v>
      </c>
      <c r="AV197" s="93"/>
      <c r="AW197" s="93"/>
      <c r="AX197" s="93"/>
      <c r="AY197" s="93"/>
    </row>
    <row r="198" spans="1:52" ht="16.5" customHeight="1" x14ac:dyDescent="0.15">
      <c r="A198" s="182" t="s">
        <v>2504</v>
      </c>
      <c r="B198" s="183" t="s">
        <v>2505</v>
      </c>
      <c r="C198" s="48" t="s">
        <v>330</v>
      </c>
      <c r="D198" s="62" t="s">
        <v>263</v>
      </c>
      <c r="E198" s="48" t="s">
        <v>273</v>
      </c>
      <c r="F198" s="61">
        <v>42437</v>
      </c>
      <c r="G198" s="61">
        <v>42437</v>
      </c>
      <c r="H198" s="125">
        <v>42669</v>
      </c>
      <c r="I198" s="61" t="s">
        <v>279</v>
      </c>
      <c r="J198" s="87"/>
      <c r="K198" s="62" t="s">
        <v>2506</v>
      </c>
      <c r="L198" s="62">
        <v>3</v>
      </c>
      <c r="M198" s="62" t="s">
        <v>394</v>
      </c>
      <c r="N198" s="62" t="s">
        <v>2507</v>
      </c>
      <c r="O198" s="48" t="s">
        <v>555</v>
      </c>
      <c r="P198" s="48" t="s">
        <v>524</v>
      </c>
      <c r="Q198" s="130" t="s">
        <v>1363</v>
      </c>
      <c r="R198" s="48" t="s">
        <v>399</v>
      </c>
      <c r="S198" s="48" t="s">
        <v>477</v>
      </c>
      <c r="T198" s="48" t="s">
        <v>478</v>
      </c>
      <c r="U198" s="48" t="s">
        <v>2508</v>
      </c>
      <c r="V198" s="122" t="s">
        <v>263</v>
      </c>
      <c r="W198" s="122" t="s">
        <v>263</v>
      </c>
      <c r="X198" s="48" t="s">
        <v>2509</v>
      </c>
      <c r="Y198" s="48" t="s">
        <v>2510</v>
      </c>
      <c r="Z198" s="61"/>
      <c r="AA198" s="48" t="s">
        <v>518</v>
      </c>
      <c r="AB198" s="48" t="s">
        <v>273</v>
      </c>
      <c r="AC198" s="48" t="s">
        <v>273</v>
      </c>
      <c r="AD198" s="48" t="s">
        <v>273</v>
      </c>
      <c r="AE198" s="48" t="s">
        <v>273</v>
      </c>
      <c r="AF198" s="48" t="s">
        <v>273</v>
      </c>
      <c r="AG198" s="48" t="s">
        <v>273</v>
      </c>
      <c r="AH198" s="48" t="s">
        <v>273</v>
      </c>
      <c r="AI198" s="48" t="s">
        <v>273</v>
      </c>
      <c r="AJ198" s="48" t="s">
        <v>273</v>
      </c>
      <c r="AK198" s="48" t="s">
        <v>519</v>
      </c>
      <c r="AL198" s="48" t="s">
        <v>273</v>
      </c>
      <c r="AM198" s="48" t="s">
        <v>273</v>
      </c>
      <c r="AN198" s="48" t="s">
        <v>273</v>
      </c>
      <c r="AO198" s="48" t="s">
        <v>273</v>
      </c>
      <c r="AP198" s="48" t="s">
        <v>273</v>
      </c>
      <c r="AQ198" s="48" t="s">
        <v>273</v>
      </c>
      <c r="AR198" s="48" t="s">
        <v>273</v>
      </c>
      <c r="AS198" s="48" t="s">
        <v>273</v>
      </c>
      <c r="AT198" s="48" t="s">
        <v>273</v>
      </c>
      <c r="AU198" s="93">
        <v>38261</v>
      </c>
      <c r="AV198" s="93"/>
      <c r="AW198" s="93"/>
      <c r="AX198" s="93"/>
      <c r="AY198" s="93"/>
    </row>
    <row r="199" spans="1:52" ht="16.5" customHeight="1" x14ac:dyDescent="0.15">
      <c r="A199" s="138" t="s">
        <v>2511</v>
      </c>
      <c r="B199" s="140" t="s">
        <v>2512</v>
      </c>
      <c r="C199" s="48" t="s">
        <v>330</v>
      </c>
      <c r="D199" s="62" t="s">
        <v>263</v>
      </c>
      <c r="E199" s="48" t="s">
        <v>300</v>
      </c>
      <c r="F199" s="61">
        <v>42439</v>
      </c>
      <c r="G199" s="61">
        <v>42439</v>
      </c>
      <c r="H199" s="125">
        <v>42464</v>
      </c>
      <c r="I199" s="61">
        <v>39716</v>
      </c>
      <c r="J199" s="87"/>
      <c r="K199" s="124" t="s">
        <v>263</v>
      </c>
      <c r="L199" s="124" t="s">
        <v>263</v>
      </c>
      <c r="M199" s="62" t="s">
        <v>394</v>
      </c>
      <c r="N199" s="62" t="s">
        <v>2513</v>
      </c>
      <c r="O199" s="48" t="s">
        <v>396</v>
      </c>
      <c r="P199" s="48" t="s">
        <v>1425</v>
      </c>
      <c r="Q199" s="130" t="s">
        <v>1426</v>
      </c>
      <c r="R199" s="48" t="s">
        <v>399</v>
      </c>
      <c r="S199" s="48" t="s">
        <v>400</v>
      </c>
      <c r="T199" s="48" t="s">
        <v>401</v>
      </c>
      <c r="U199" s="48" t="s">
        <v>2514</v>
      </c>
      <c r="V199" s="122" t="s">
        <v>263</v>
      </c>
      <c r="W199" s="122" t="s">
        <v>263</v>
      </c>
      <c r="X199" s="48" t="s">
        <v>1428</v>
      </c>
      <c r="Y199" s="48" t="s">
        <v>1429</v>
      </c>
      <c r="Z199" s="61"/>
      <c r="AA199" s="48" t="s">
        <v>273</v>
      </c>
      <c r="AB199" s="48" t="s">
        <v>273</v>
      </c>
      <c r="AC199" s="48" t="s">
        <v>273</v>
      </c>
      <c r="AD199" s="48" t="s">
        <v>273</v>
      </c>
      <c r="AE199" s="48" t="s">
        <v>273</v>
      </c>
      <c r="AF199" s="48" t="s">
        <v>273</v>
      </c>
      <c r="AG199" s="48" t="s">
        <v>273</v>
      </c>
      <c r="AH199" s="48" t="s">
        <v>273</v>
      </c>
      <c r="AI199" s="48" t="s">
        <v>273</v>
      </c>
      <c r="AJ199" s="48" t="s">
        <v>273</v>
      </c>
      <c r="AK199" s="48" t="s">
        <v>273</v>
      </c>
      <c r="AL199" s="48" t="s">
        <v>273</v>
      </c>
      <c r="AM199" s="48" t="s">
        <v>273</v>
      </c>
      <c r="AN199" s="48" t="s">
        <v>273</v>
      </c>
      <c r="AO199" s="48" t="s">
        <v>273</v>
      </c>
      <c r="AP199" s="48" t="s">
        <v>273</v>
      </c>
      <c r="AQ199" s="48" t="s">
        <v>273</v>
      </c>
      <c r="AR199" s="48" t="s">
        <v>273</v>
      </c>
      <c r="AS199" s="48" t="s">
        <v>273</v>
      </c>
      <c r="AT199" s="48" t="s">
        <v>273</v>
      </c>
      <c r="AU199" s="93">
        <v>39630</v>
      </c>
      <c r="AV199" s="93"/>
      <c r="AW199" s="93"/>
      <c r="AX199" s="93"/>
      <c r="AY199" s="93"/>
      <c r="AZ199" s="49" t="s">
        <v>2515</v>
      </c>
    </row>
    <row r="200" spans="1:52" ht="16.5" customHeight="1" x14ac:dyDescent="0.15">
      <c r="A200" s="138" t="s">
        <v>2516</v>
      </c>
      <c r="B200" s="140" t="s">
        <v>2517</v>
      </c>
      <c r="C200" s="48" t="s">
        <v>330</v>
      </c>
      <c r="D200" s="62" t="s">
        <v>263</v>
      </c>
      <c r="E200" s="48" t="s">
        <v>300</v>
      </c>
      <c r="F200" s="61">
        <v>42439</v>
      </c>
      <c r="G200" s="61">
        <v>42439</v>
      </c>
      <c r="H200" s="125">
        <v>42464</v>
      </c>
      <c r="I200" s="61">
        <v>38967</v>
      </c>
      <c r="J200" s="87"/>
      <c r="K200" s="124" t="s">
        <v>263</v>
      </c>
      <c r="L200" s="124" t="s">
        <v>263</v>
      </c>
      <c r="M200" s="62" t="s">
        <v>394</v>
      </c>
      <c r="N200" s="62" t="s">
        <v>2518</v>
      </c>
      <c r="O200" s="48" t="s">
        <v>555</v>
      </c>
      <c r="P200" s="48" t="s">
        <v>1425</v>
      </c>
      <c r="Q200" s="130" t="s">
        <v>1426</v>
      </c>
      <c r="R200" s="48" t="s">
        <v>399</v>
      </c>
      <c r="S200" s="48" t="s">
        <v>400</v>
      </c>
      <c r="T200" s="48" t="s">
        <v>401</v>
      </c>
      <c r="U200" s="48" t="s">
        <v>2519</v>
      </c>
      <c r="V200" s="122" t="s">
        <v>263</v>
      </c>
      <c r="W200" s="122" t="s">
        <v>263</v>
      </c>
      <c r="X200" s="48" t="s">
        <v>1428</v>
      </c>
      <c r="Y200" s="48" t="s">
        <v>1429</v>
      </c>
      <c r="Z200" s="61"/>
      <c r="AA200" s="48" t="s">
        <v>273</v>
      </c>
      <c r="AB200" s="48" t="s">
        <v>273</v>
      </c>
      <c r="AC200" s="48" t="s">
        <v>273</v>
      </c>
      <c r="AD200" s="48" t="s">
        <v>273</v>
      </c>
      <c r="AE200" s="48" t="s">
        <v>273</v>
      </c>
      <c r="AF200" s="48" t="s">
        <v>273</v>
      </c>
      <c r="AG200" s="48" t="s">
        <v>273</v>
      </c>
      <c r="AH200" s="48" t="s">
        <v>273</v>
      </c>
      <c r="AI200" s="48" t="s">
        <v>273</v>
      </c>
      <c r="AJ200" s="48" t="s">
        <v>273</v>
      </c>
      <c r="AK200" s="48" t="s">
        <v>273</v>
      </c>
      <c r="AL200" s="48" t="s">
        <v>273</v>
      </c>
      <c r="AM200" s="48" t="s">
        <v>273</v>
      </c>
      <c r="AN200" s="48" t="s">
        <v>273</v>
      </c>
      <c r="AO200" s="48" t="s">
        <v>273</v>
      </c>
      <c r="AP200" s="48" t="s">
        <v>273</v>
      </c>
      <c r="AQ200" s="48" t="s">
        <v>273</v>
      </c>
      <c r="AR200" s="48" t="s">
        <v>273</v>
      </c>
      <c r="AS200" s="48" t="s">
        <v>273</v>
      </c>
      <c r="AT200" s="48" t="s">
        <v>273</v>
      </c>
      <c r="AU200" s="93">
        <v>38718</v>
      </c>
      <c r="AV200" s="93"/>
      <c r="AW200" s="93"/>
      <c r="AX200" s="93"/>
      <c r="AY200" s="93"/>
      <c r="AZ200" s="49" t="s">
        <v>2515</v>
      </c>
    </row>
    <row r="201" spans="1:52" ht="16.5" customHeight="1" x14ac:dyDescent="0.15">
      <c r="A201" s="138" t="s">
        <v>2520</v>
      </c>
      <c r="B201" s="140" t="s">
        <v>2521</v>
      </c>
      <c r="C201" s="48" t="s">
        <v>330</v>
      </c>
      <c r="D201" s="62" t="s">
        <v>263</v>
      </c>
      <c r="E201" s="48" t="s">
        <v>273</v>
      </c>
      <c r="F201" s="61">
        <v>42439</v>
      </c>
      <c r="G201" s="61">
        <v>42439</v>
      </c>
      <c r="H201" s="125">
        <v>42472</v>
      </c>
      <c r="I201" s="61">
        <v>38702</v>
      </c>
      <c r="J201" s="87"/>
      <c r="K201" s="124" t="s">
        <v>263</v>
      </c>
      <c r="L201" s="124" t="s">
        <v>263</v>
      </c>
      <c r="M201" s="62" t="s">
        <v>394</v>
      </c>
      <c r="N201" s="62" t="s">
        <v>2522</v>
      </c>
      <c r="O201" s="48" t="s">
        <v>555</v>
      </c>
      <c r="P201" s="48" t="s">
        <v>1741</v>
      </c>
      <c r="Q201" s="130" t="s">
        <v>2523</v>
      </c>
      <c r="R201" s="48" t="s">
        <v>399</v>
      </c>
      <c r="S201" s="48" t="s">
        <v>400</v>
      </c>
      <c r="T201" s="48" t="s">
        <v>401</v>
      </c>
      <c r="U201" s="48" t="s">
        <v>2524</v>
      </c>
      <c r="V201" s="122" t="s">
        <v>263</v>
      </c>
      <c r="W201" s="122" t="s">
        <v>263</v>
      </c>
      <c r="X201" s="48" t="s">
        <v>2525</v>
      </c>
      <c r="Y201" s="48" t="s">
        <v>2526</v>
      </c>
      <c r="Z201" s="61"/>
      <c r="AA201" s="48" t="s">
        <v>273</v>
      </c>
      <c r="AB201" s="48" t="s">
        <v>273</v>
      </c>
      <c r="AC201" s="48" t="s">
        <v>273</v>
      </c>
      <c r="AD201" s="48" t="s">
        <v>273</v>
      </c>
      <c r="AE201" s="48" t="s">
        <v>273</v>
      </c>
      <c r="AF201" s="48" t="s">
        <v>273</v>
      </c>
      <c r="AG201" s="48" t="s">
        <v>273</v>
      </c>
      <c r="AH201" s="48" t="s">
        <v>273</v>
      </c>
      <c r="AI201" s="48" t="s">
        <v>273</v>
      </c>
      <c r="AJ201" s="48" t="s">
        <v>273</v>
      </c>
      <c r="AK201" s="48" t="s">
        <v>273</v>
      </c>
      <c r="AL201" s="48" t="s">
        <v>273</v>
      </c>
      <c r="AM201" s="48" t="s">
        <v>273</v>
      </c>
      <c r="AN201" s="48" t="s">
        <v>273</v>
      </c>
      <c r="AO201" s="48" t="s">
        <v>273</v>
      </c>
      <c r="AP201" s="48" t="s">
        <v>273</v>
      </c>
      <c r="AQ201" s="48" t="s">
        <v>273</v>
      </c>
      <c r="AR201" s="48" t="s">
        <v>273</v>
      </c>
      <c r="AS201" s="48" t="s">
        <v>273</v>
      </c>
      <c r="AT201" s="48" t="s">
        <v>273</v>
      </c>
      <c r="AU201" s="93">
        <v>38718</v>
      </c>
      <c r="AV201" s="93"/>
      <c r="AW201" s="93"/>
      <c r="AX201" s="93"/>
      <c r="AY201" s="93"/>
      <c r="AZ201" s="49" t="s">
        <v>2527</v>
      </c>
    </row>
    <row r="202" spans="1:52" ht="16.5" customHeight="1" x14ac:dyDescent="0.15">
      <c r="A202" s="138" t="s">
        <v>2528</v>
      </c>
      <c r="B202" s="140" t="s">
        <v>2529</v>
      </c>
      <c r="C202" s="48" t="s">
        <v>330</v>
      </c>
      <c r="D202" s="62" t="s">
        <v>2530</v>
      </c>
      <c r="E202" s="48" t="s">
        <v>300</v>
      </c>
      <c r="F202" s="61">
        <v>42440</v>
      </c>
      <c r="G202" s="61">
        <v>42440</v>
      </c>
      <c r="H202" s="125">
        <v>42473</v>
      </c>
      <c r="I202" s="61" t="s">
        <v>279</v>
      </c>
      <c r="J202" s="87"/>
      <c r="K202" s="62" t="s">
        <v>12</v>
      </c>
      <c r="L202" s="62">
        <v>3</v>
      </c>
      <c r="M202" s="62" t="s">
        <v>362</v>
      </c>
      <c r="N202" s="62" t="s">
        <v>2531</v>
      </c>
      <c r="O202" s="48" t="s">
        <v>1249</v>
      </c>
      <c r="P202" s="48" t="s">
        <v>2532</v>
      </c>
      <c r="Q202" s="48" t="s">
        <v>654</v>
      </c>
      <c r="R202" s="48" t="s">
        <v>430</v>
      </c>
      <c r="S202" s="48" t="s">
        <v>431</v>
      </c>
      <c r="T202" s="48" t="s">
        <v>432</v>
      </c>
      <c r="U202" s="48" t="s">
        <v>2533</v>
      </c>
      <c r="V202" s="122" t="s">
        <v>263</v>
      </c>
      <c r="W202" s="48" t="s">
        <v>2534</v>
      </c>
      <c r="X202" s="48" t="s">
        <v>434</v>
      </c>
      <c r="Y202" s="48" t="s">
        <v>435</v>
      </c>
      <c r="Z202" s="61"/>
      <c r="AA202" s="48" t="s">
        <v>273</v>
      </c>
      <c r="AB202" s="48" t="s">
        <v>273</v>
      </c>
      <c r="AC202" s="48" t="s">
        <v>273</v>
      </c>
      <c r="AD202" s="48" t="s">
        <v>273</v>
      </c>
      <c r="AE202" s="48" t="s">
        <v>273</v>
      </c>
      <c r="AF202" s="48" t="s">
        <v>273</v>
      </c>
      <c r="AG202" s="48" t="s">
        <v>273</v>
      </c>
      <c r="AH202" s="48" t="s">
        <v>273</v>
      </c>
      <c r="AI202" s="48" t="s">
        <v>273</v>
      </c>
      <c r="AJ202" s="48" t="s">
        <v>273</v>
      </c>
      <c r="AK202" s="48" t="s">
        <v>273</v>
      </c>
      <c r="AL202" s="48" t="s">
        <v>273</v>
      </c>
      <c r="AM202" s="48" t="s">
        <v>273</v>
      </c>
      <c r="AN202" s="48" t="s">
        <v>273</v>
      </c>
      <c r="AO202" s="48" t="s">
        <v>273</v>
      </c>
      <c r="AP202" s="48" t="s">
        <v>273</v>
      </c>
      <c r="AQ202" s="48" t="s">
        <v>273</v>
      </c>
      <c r="AR202" s="48" t="s">
        <v>273</v>
      </c>
      <c r="AS202" s="48" t="s">
        <v>273</v>
      </c>
      <c r="AT202" s="48" t="s">
        <v>273</v>
      </c>
      <c r="AU202" s="93" t="s">
        <v>1249</v>
      </c>
      <c r="AV202" s="93"/>
      <c r="AW202" s="93"/>
      <c r="AX202" s="93"/>
      <c r="AY202" s="93"/>
    </row>
    <row r="203" spans="1:52" ht="16.5" customHeight="1" x14ac:dyDescent="0.15">
      <c r="A203" s="134" t="s">
        <v>2535</v>
      </c>
      <c r="B203" s="142" t="s">
        <v>2536</v>
      </c>
      <c r="C203" s="48" t="s">
        <v>2537</v>
      </c>
      <c r="D203" s="62" t="s">
        <v>2538</v>
      </c>
      <c r="E203" s="48" t="s">
        <v>300</v>
      </c>
      <c r="F203" s="61">
        <v>42440</v>
      </c>
      <c r="G203" s="61">
        <v>42440</v>
      </c>
      <c r="H203" s="125">
        <v>42454</v>
      </c>
      <c r="I203" s="61" t="s">
        <v>279</v>
      </c>
      <c r="J203" s="87"/>
      <c r="K203" s="62" t="s">
        <v>12</v>
      </c>
      <c r="L203" s="62">
        <v>3</v>
      </c>
      <c r="M203" s="62" t="s">
        <v>442</v>
      </c>
      <c r="N203" s="62" t="s">
        <v>2539</v>
      </c>
      <c r="O203" s="48" t="s">
        <v>570</v>
      </c>
      <c r="P203" s="48" t="s">
        <v>2540</v>
      </c>
      <c r="Q203" s="48" t="s">
        <v>857</v>
      </c>
      <c r="R203" s="48" t="s">
        <v>858</v>
      </c>
      <c r="S203" s="48" t="s">
        <v>859</v>
      </c>
      <c r="T203" s="48" t="s">
        <v>860</v>
      </c>
      <c r="U203" s="48" t="s">
        <v>1137</v>
      </c>
      <c r="V203" s="122" t="s">
        <v>263</v>
      </c>
      <c r="W203" s="122" t="s">
        <v>263</v>
      </c>
      <c r="X203" s="48" t="s">
        <v>862</v>
      </c>
      <c r="Y203" s="48" t="s">
        <v>1138</v>
      </c>
      <c r="Z203" s="61"/>
      <c r="AA203" s="48" t="s">
        <v>2541</v>
      </c>
      <c r="AB203" s="48" t="s">
        <v>2542</v>
      </c>
      <c r="AC203" s="48" t="s">
        <v>453</v>
      </c>
      <c r="AD203" s="48" t="s">
        <v>581</v>
      </c>
      <c r="AE203" s="48" t="s">
        <v>273</v>
      </c>
      <c r="AF203" s="48" t="s">
        <v>273</v>
      </c>
      <c r="AG203" s="48" t="s">
        <v>273</v>
      </c>
      <c r="AH203" s="48" t="s">
        <v>273</v>
      </c>
      <c r="AI203" s="48" t="s">
        <v>273</v>
      </c>
      <c r="AJ203" s="48" t="s">
        <v>273</v>
      </c>
      <c r="AK203" s="48" t="s">
        <v>2543</v>
      </c>
      <c r="AL203" s="48" t="s">
        <v>2544</v>
      </c>
      <c r="AM203" s="48" t="s">
        <v>454</v>
      </c>
      <c r="AN203" s="48" t="s">
        <v>582</v>
      </c>
      <c r="AO203" s="48" t="s">
        <v>273</v>
      </c>
      <c r="AP203" s="48" t="s">
        <v>273</v>
      </c>
      <c r="AQ203" s="48" t="s">
        <v>273</v>
      </c>
      <c r="AR203" s="48" t="s">
        <v>273</v>
      </c>
      <c r="AS203" s="48" t="s">
        <v>273</v>
      </c>
      <c r="AT203" s="48" t="s">
        <v>273</v>
      </c>
      <c r="AU203" s="93">
        <v>39539</v>
      </c>
      <c r="AV203" s="93"/>
      <c r="AW203" s="93"/>
      <c r="AX203" s="93"/>
      <c r="AY203" s="93"/>
    </row>
    <row r="204" spans="1:52" ht="16.5" customHeight="1" x14ac:dyDescent="0.15">
      <c r="A204" s="138" t="s">
        <v>2545</v>
      </c>
      <c r="B204" s="140" t="s">
        <v>2546</v>
      </c>
      <c r="C204" s="48" t="s">
        <v>298</v>
      </c>
      <c r="D204" s="124" t="s">
        <v>263</v>
      </c>
      <c r="E204" s="48" t="s">
        <v>300</v>
      </c>
      <c r="F204" s="61">
        <v>42443</v>
      </c>
      <c r="G204" s="61">
        <v>42443</v>
      </c>
      <c r="H204" s="125">
        <v>42482</v>
      </c>
      <c r="I204" s="61" t="s">
        <v>279</v>
      </c>
      <c r="J204" s="87"/>
      <c r="K204" s="62" t="s">
        <v>12</v>
      </c>
      <c r="L204" s="62">
        <v>3</v>
      </c>
      <c r="M204" s="62" t="s">
        <v>680</v>
      </c>
      <c r="N204" s="62" t="s">
        <v>2547</v>
      </c>
      <c r="O204" s="48" t="s">
        <v>2548</v>
      </c>
      <c r="P204" s="48" t="s">
        <v>2398</v>
      </c>
      <c r="Q204" s="48" t="s">
        <v>2399</v>
      </c>
      <c r="R204" s="48" t="s">
        <v>2400</v>
      </c>
      <c r="S204" s="48" t="s">
        <v>2401</v>
      </c>
      <c r="T204" s="48" t="s">
        <v>2402</v>
      </c>
      <c r="U204" s="48" t="s">
        <v>2403</v>
      </c>
      <c r="V204" s="122" t="s">
        <v>263</v>
      </c>
      <c r="W204" s="122" t="s">
        <v>263</v>
      </c>
      <c r="X204" s="122" t="s">
        <v>263</v>
      </c>
      <c r="Y204" s="122" t="s">
        <v>263</v>
      </c>
      <c r="Z204" s="61"/>
      <c r="AA204" s="48" t="s">
        <v>2293</v>
      </c>
      <c r="AB204" s="48" t="s">
        <v>273</v>
      </c>
      <c r="AC204" s="48" t="s">
        <v>273</v>
      </c>
      <c r="AD204" s="48" t="s">
        <v>273</v>
      </c>
      <c r="AE204" s="48" t="s">
        <v>273</v>
      </c>
      <c r="AF204" s="48" t="s">
        <v>273</v>
      </c>
      <c r="AG204" s="48" t="s">
        <v>273</v>
      </c>
      <c r="AH204" s="48" t="s">
        <v>273</v>
      </c>
      <c r="AI204" s="48" t="s">
        <v>273</v>
      </c>
      <c r="AJ204" s="48" t="s">
        <v>273</v>
      </c>
      <c r="AK204" s="48" t="s">
        <v>2294</v>
      </c>
      <c r="AL204" s="48" t="s">
        <v>273</v>
      </c>
      <c r="AM204" s="48" t="s">
        <v>273</v>
      </c>
      <c r="AN204" s="48" t="s">
        <v>273</v>
      </c>
      <c r="AO204" s="48" t="s">
        <v>273</v>
      </c>
      <c r="AP204" s="48" t="s">
        <v>273</v>
      </c>
      <c r="AQ204" s="48" t="s">
        <v>273</v>
      </c>
      <c r="AR204" s="48" t="s">
        <v>273</v>
      </c>
      <c r="AS204" s="48" t="s">
        <v>273</v>
      </c>
      <c r="AT204" s="48" t="s">
        <v>273</v>
      </c>
      <c r="AU204" s="93">
        <v>41030</v>
      </c>
      <c r="AV204" s="93"/>
      <c r="AW204" s="93"/>
      <c r="AX204" s="93"/>
      <c r="AY204" s="93"/>
      <c r="AZ204" s="49" t="s">
        <v>2549</v>
      </c>
    </row>
    <row r="205" spans="1:52" ht="16.5" customHeight="1" x14ac:dyDescent="0.15">
      <c r="A205" s="134" t="s">
        <v>2550</v>
      </c>
      <c r="B205" s="136" t="s">
        <v>2551</v>
      </c>
      <c r="C205" s="48" t="s">
        <v>2552</v>
      </c>
      <c r="D205" s="62" t="s">
        <v>2553</v>
      </c>
      <c r="E205" s="48" t="s">
        <v>264</v>
      </c>
      <c r="F205" s="61">
        <v>42443</v>
      </c>
      <c r="G205" s="61">
        <v>42443</v>
      </c>
      <c r="H205" s="125">
        <v>42447</v>
      </c>
      <c r="I205" s="61" t="s">
        <v>279</v>
      </c>
      <c r="J205" s="87"/>
      <c r="K205" s="62" t="s">
        <v>12</v>
      </c>
      <c r="L205" s="62">
        <v>3</v>
      </c>
      <c r="M205" s="62" t="s">
        <v>651</v>
      </c>
      <c r="N205" s="62" t="s">
        <v>2554</v>
      </c>
      <c r="O205" s="48" t="s">
        <v>1677</v>
      </c>
      <c r="P205" s="48" t="s">
        <v>2555</v>
      </c>
      <c r="Q205" s="48" t="s">
        <v>1282</v>
      </c>
      <c r="R205" s="48" t="s">
        <v>2556</v>
      </c>
      <c r="S205" s="48" t="s">
        <v>2138</v>
      </c>
      <c r="T205" s="48" t="s">
        <v>2139</v>
      </c>
      <c r="U205" s="48" t="s">
        <v>2557</v>
      </c>
      <c r="V205" s="122" t="s">
        <v>263</v>
      </c>
      <c r="W205" s="122" t="s">
        <v>263</v>
      </c>
      <c r="X205" s="48" t="s">
        <v>2558</v>
      </c>
      <c r="Y205" s="48" t="s">
        <v>2559</v>
      </c>
      <c r="Z205" s="61"/>
      <c r="AA205" s="129" t="s">
        <v>2215</v>
      </c>
      <c r="AB205" s="48" t="s">
        <v>273</v>
      </c>
      <c r="AC205" s="48" t="s">
        <v>273</v>
      </c>
      <c r="AD205" s="48" t="s">
        <v>273</v>
      </c>
      <c r="AE205" s="48" t="s">
        <v>273</v>
      </c>
      <c r="AF205" s="48" t="s">
        <v>273</v>
      </c>
      <c r="AG205" s="48" t="s">
        <v>273</v>
      </c>
      <c r="AH205" s="48" t="s">
        <v>273</v>
      </c>
      <c r="AI205" s="48" t="s">
        <v>273</v>
      </c>
      <c r="AJ205" s="48" t="s">
        <v>273</v>
      </c>
      <c r="AK205" s="48" t="s">
        <v>2216</v>
      </c>
      <c r="AL205" s="48" t="s">
        <v>273</v>
      </c>
      <c r="AM205" s="48" t="s">
        <v>273</v>
      </c>
      <c r="AN205" s="48" t="s">
        <v>273</v>
      </c>
      <c r="AO205" s="48" t="s">
        <v>273</v>
      </c>
      <c r="AP205" s="48" t="s">
        <v>273</v>
      </c>
      <c r="AQ205" s="48" t="s">
        <v>273</v>
      </c>
      <c r="AR205" s="48" t="s">
        <v>273</v>
      </c>
      <c r="AS205" s="48" t="s">
        <v>273</v>
      </c>
      <c r="AT205" s="48" t="s">
        <v>273</v>
      </c>
      <c r="AU205" s="93">
        <v>41944</v>
      </c>
      <c r="AV205" s="93"/>
      <c r="AW205" s="93"/>
      <c r="AX205" s="93"/>
      <c r="AY205" s="93"/>
    </row>
    <row r="206" spans="1:52" ht="16.5" customHeight="1" x14ac:dyDescent="0.15">
      <c r="A206" s="146" t="s">
        <v>2560</v>
      </c>
      <c r="B206" s="147" t="s">
        <v>2561</v>
      </c>
      <c r="C206" s="48" t="s">
        <v>298</v>
      </c>
      <c r="D206" s="62" t="s">
        <v>2562</v>
      </c>
      <c r="E206" s="48" t="s">
        <v>300</v>
      </c>
      <c r="F206" s="61">
        <v>42443</v>
      </c>
      <c r="G206" s="61">
        <v>42443</v>
      </c>
      <c r="H206" s="125">
        <v>42536</v>
      </c>
      <c r="I206" s="61" t="s">
        <v>279</v>
      </c>
      <c r="J206" s="87"/>
      <c r="K206" s="62" t="s">
        <v>14</v>
      </c>
      <c r="L206" s="62">
        <v>3</v>
      </c>
      <c r="M206" s="62" t="s">
        <v>924</v>
      </c>
      <c r="N206" s="62" t="s">
        <v>2563</v>
      </c>
      <c r="O206" s="48" t="s">
        <v>1202</v>
      </c>
      <c r="P206" s="130" t="s">
        <v>1980</v>
      </c>
      <c r="Q206" s="130" t="s">
        <v>1017</v>
      </c>
      <c r="R206" s="130" t="s">
        <v>1981</v>
      </c>
      <c r="S206" s="130" t="s">
        <v>1982</v>
      </c>
      <c r="T206" s="130" t="s">
        <v>1983</v>
      </c>
      <c r="U206" s="48" t="s">
        <v>2564</v>
      </c>
      <c r="V206" s="48" t="s">
        <v>2565</v>
      </c>
      <c r="W206" s="48" t="s">
        <v>2566</v>
      </c>
      <c r="X206" s="48" t="s">
        <v>1985</v>
      </c>
      <c r="Y206" s="48" t="s">
        <v>2567</v>
      </c>
      <c r="Z206" s="61"/>
      <c r="AA206" s="48" t="s">
        <v>453</v>
      </c>
      <c r="AB206" s="48" t="s">
        <v>645</v>
      </c>
      <c r="AC206" s="48" t="s">
        <v>273</v>
      </c>
      <c r="AD206" s="48" t="s">
        <v>273</v>
      </c>
      <c r="AE206" s="48" t="s">
        <v>273</v>
      </c>
      <c r="AF206" s="48" t="s">
        <v>273</v>
      </c>
      <c r="AG206" s="48" t="s">
        <v>273</v>
      </c>
      <c r="AH206" s="48" t="s">
        <v>273</v>
      </c>
      <c r="AI206" s="48" t="s">
        <v>273</v>
      </c>
      <c r="AJ206" s="48" t="s">
        <v>273</v>
      </c>
      <c r="AK206" s="48" t="s">
        <v>454</v>
      </c>
      <c r="AL206" s="48" t="s">
        <v>646</v>
      </c>
      <c r="AM206" s="48" t="s">
        <v>273</v>
      </c>
      <c r="AN206" s="48" t="s">
        <v>273</v>
      </c>
      <c r="AO206" s="48" t="s">
        <v>273</v>
      </c>
      <c r="AP206" s="48" t="s">
        <v>273</v>
      </c>
      <c r="AQ206" s="48" t="s">
        <v>273</v>
      </c>
      <c r="AR206" s="48" t="s">
        <v>273</v>
      </c>
      <c r="AS206" s="48" t="s">
        <v>273</v>
      </c>
      <c r="AT206" s="48" t="s">
        <v>273</v>
      </c>
      <c r="AU206" s="93">
        <v>37500</v>
      </c>
      <c r="AV206" s="93"/>
      <c r="AW206" s="93"/>
      <c r="AX206" s="93"/>
      <c r="AY206" s="93"/>
      <c r="AZ206" s="49" t="s">
        <v>2568</v>
      </c>
    </row>
    <row r="207" spans="1:52" ht="16.5" customHeight="1" x14ac:dyDescent="0.15">
      <c r="A207" s="138" t="s">
        <v>2569</v>
      </c>
      <c r="B207" s="140" t="s">
        <v>2570</v>
      </c>
      <c r="C207" s="48" t="s">
        <v>298</v>
      </c>
      <c r="D207" s="62" t="s">
        <v>263</v>
      </c>
      <c r="E207" s="48" t="s">
        <v>300</v>
      </c>
      <c r="F207" s="61">
        <v>42443</v>
      </c>
      <c r="G207" s="61">
        <v>42443</v>
      </c>
      <c r="H207" s="125">
        <v>42471</v>
      </c>
      <c r="I207" s="61" t="s">
        <v>279</v>
      </c>
      <c r="J207" s="87"/>
      <c r="K207" s="62" t="s">
        <v>12</v>
      </c>
      <c r="L207" s="124" t="s">
        <v>263</v>
      </c>
      <c r="M207" s="62" t="s">
        <v>755</v>
      </c>
      <c r="N207" s="62" t="s">
        <v>2571</v>
      </c>
      <c r="O207" s="48" t="s">
        <v>2572</v>
      </c>
      <c r="P207" s="48" t="s">
        <v>2573</v>
      </c>
      <c r="Q207" s="48" t="s">
        <v>2574</v>
      </c>
      <c r="R207" s="48" t="s">
        <v>2575</v>
      </c>
      <c r="S207" s="48" t="s">
        <v>2576</v>
      </c>
      <c r="T207" s="48" t="s">
        <v>2577</v>
      </c>
      <c r="U207" s="48" t="s">
        <v>2578</v>
      </c>
      <c r="V207" s="122" t="s">
        <v>263</v>
      </c>
      <c r="W207" s="122" t="s">
        <v>263</v>
      </c>
      <c r="X207" s="48" t="s">
        <v>2579</v>
      </c>
      <c r="Y207" s="48" t="s">
        <v>2580</v>
      </c>
      <c r="Z207" s="61"/>
      <c r="AA207" s="48" t="s">
        <v>273</v>
      </c>
      <c r="AB207" s="48" t="s">
        <v>273</v>
      </c>
      <c r="AC207" s="48" t="s">
        <v>273</v>
      </c>
      <c r="AD207" s="48" t="s">
        <v>273</v>
      </c>
      <c r="AE207" s="48" t="s">
        <v>273</v>
      </c>
      <c r="AF207" s="48" t="s">
        <v>273</v>
      </c>
      <c r="AG207" s="48" t="s">
        <v>273</v>
      </c>
      <c r="AH207" s="48" t="s">
        <v>273</v>
      </c>
      <c r="AI207" s="48" t="s">
        <v>273</v>
      </c>
      <c r="AJ207" s="48" t="s">
        <v>273</v>
      </c>
      <c r="AK207" s="48" t="s">
        <v>273</v>
      </c>
      <c r="AL207" s="48" t="s">
        <v>273</v>
      </c>
      <c r="AM207" s="48" t="s">
        <v>273</v>
      </c>
      <c r="AN207" s="48" t="s">
        <v>273</v>
      </c>
      <c r="AO207" s="48" t="s">
        <v>273</v>
      </c>
      <c r="AP207" s="48" t="s">
        <v>273</v>
      </c>
      <c r="AQ207" s="48" t="s">
        <v>273</v>
      </c>
      <c r="AR207" s="48" t="s">
        <v>273</v>
      </c>
      <c r="AS207" s="48" t="s">
        <v>273</v>
      </c>
      <c r="AT207" s="48" t="s">
        <v>273</v>
      </c>
      <c r="AU207" s="93">
        <v>38412</v>
      </c>
      <c r="AV207" s="93"/>
      <c r="AW207" s="93"/>
      <c r="AX207" s="93"/>
      <c r="AY207" s="93"/>
      <c r="AZ207" s="49" t="s">
        <v>2365</v>
      </c>
    </row>
    <row r="208" spans="1:52" ht="16.5" customHeight="1" x14ac:dyDescent="0.15">
      <c r="A208" s="138" t="s">
        <v>2581</v>
      </c>
      <c r="B208" s="140" t="s">
        <v>2582</v>
      </c>
      <c r="C208" s="48" t="s">
        <v>298</v>
      </c>
      <c r="D208" s="62" t="s">
        <v>2583</v>
      </c>
      <c r="E208" s="48" t="s">
        <v>300</v>
      </c>
      <c r="F208" s="61">
        <v>42443</v>
      </c>
      <c r="G208" s="61">
        <v>42443</v>
      </c>
      <c r="H208" s="125">
        <v>42467</v>
      </c>
      <c r="I208" s="61">
        <v>40389</v>
      </c>
      <c r="J208" s="87"/>
      <c r="K208" s="62" t="s">
        <v>12</v>
      </c>
      <c r="L208" s="124" t="s">
        <v>263</v>
      </c>
      <c r="M208" s="62" t="s">
        <v>409</v>
      </c>
      <c r="N208" s="62" t="s">
        <v>2584</v>
      </c>
      <c r="O208" s="48" t="s">
        <v>606</v>
      </c>
      <c r="P208" s="48" t="s">
        <v>2585</v>
      </c>
      <c r="Q208" s="48" t="s">
        <v>1742</v>
      </c>
      <c r="R208" s="48" t="s">
        <v>2586</v>
      </c>
      <c r="S208" s="48" t="s">
        <v>2587</v>
      </c>
      <c r="T208" s="48" t="s">
        <v>2588</v>
      </c>
      <c r="U208" s="48" t="s">
        <v>2589</v>
      </c>
      <c r="V208" s="48" t="s">
        <v>2590</v>
      </c>
      <c r="W208" s="48" t="s">
        <v>2591</v>
      </c>
      <c r="X208" s="48" t="s">
        <v>2592</v>
      </c>
      <c r="Y208" s="48" t="s">
        <v>2593</v>
      </c>
      <c r="Z208" s="61"/>
      <c r="AA208" s="48" t="s">
        <v>273</v>
      </c>
      <c r="AB208" s="48" t="s">
        <v>273</v>
      </c>
      <c r="AC208" s="48" t="s">
        <v>273</v>
      </c>
      <c r="AD208" s="48" t="s">
        <v>273</v>
      </c>
      <c r="AE208" s="48" t="s">
        <v>273</v>
      </c>
      <c r="AF208" s="48" t="s">
        <v>273</v>
      </c>
      <c r="AG208" s="48" t="s">
        <v>273</v>
      </c>
      <c r="AH208" s="48" t="s">
        <v>273</v>
      </c>
      <c r="AI208" s="48" t="s">
        <v>273</v>
      </c>
      <c r="AJ208" s="48" t="s">
        <v>273</v>
      </c>
      <c r="AK208" s="48" t="s">
        <v>273</v>
      </c>
      <c r="AL208" s="48" t="s">
        <v>273</v>
      </c>
      <c r="AM208" s="48" t="s">
        <v>273</v>
      </c>
      <c r="AN208" s="48" t="s">
        <v>273</v>
      </c>
      <c r="AO208" s="48" t="s">
        <v>273</v>
      </c>
      <c r="AP208" s="48" t="s">
        <v>273</v>
      </c>
      <c r="AQ208" s="48" t="s">
        <v>273</v>
      </c>
      <c r="AR208" s="48" t="s">
        <v>273</v>
      </c>
      <c r="AS208" s="48" t="s">
        <v>273</v>
      </c>
      <c r="AT208" s="48" t="s">
        <v>273</v>
      </c>
      <c r="AU208" s="93">
        <v>40238</v>
      </c>
      <c r="AV208" s="93"/>
      <c r="AW208" s="93"/>
      <c r="AX208" s="93"/>
      <c r="AY208" s="93"/>
      <c r="AZ208" s="49" t="s">
        <v>2365</v>
      </c>
    </row>
    <row r="209" spans="1:52" ht="16.5" customHeight="1" x14ac:dyDescent="0.15">
      <c r="A209" s="134" t="s">
        <v>2594</v>
      </c>
      <c r="B209" s="136" t="s">
        <v>2595</v>
      </c>
      <c r="C209" s="48" t="s">
        <v>298</v>
      </c>
      <c r="D209" s="62" t="s">
        <v>263</v>
      </c>
      <c r="E209" s="48" t="s">
        <v>273</v>
      </c>
      <c r="F209" s="61">
        <v>42443</v>
      </c>
      <c r="G209" s="61">
        <v>42443</v>
      </c>
      <c r="H209" s="125">
        <v>42452</v>
      </c>
      <c r="I209" s="61" t="s">
        <v>279</v>
      </c>
      <c r="J209" s="87"/>
      <c r="K209" s="62" t="s">
        <v>12</v>
      </c>
      <c r="L209" s="62">
        <v>3</v>
      </c>
      <c r="M209" s="62" t="s">
        <v>394</v>
      </c>
      <c r="N209" s="62" t="s">
        <v>2596</v>
      </c>
      <c r="O209" s="48" t="s">
        <v>396</v>
      </c>
      <c r="P209" s="48" t="s">
        <v>2597</v>
      </c>
      <c r="Q209" s="130" t="s">
        <v>1568</v>
      </c>
      <c r="R209" s="48" t="s">
        <v>2598</v>
      </c>
      <c r="S209" s="48" t="s">
        <v>400</v>
      </c>
      <c r="T209" s="48" t="s">
        <v>401</v>
      </c>
      <c r="U209" s="48" t="s">
        <v>2599</v>
      </c>
      <c r="V209" s="122" t="s">
        <v>263</v>
      </c>
      <c r="W209" s="122" t="s">
        <v>263</v>
      </c>
      <c r="X209" s="122" t="s">
        <v>263</v>
      </c>
      <c r="Y209" s="122" t="s">
        <v>263</v>
      </c>
      <c r="Z209" s="61"/>
      <c r="AA209" s="48" t="s">
        <v>1195</v>
      </c>
      <c r="AB209" s="48" t="s">
        <v>273</v>
      </c>
      <c r="AC209" s="48" t="s">
        <v>273</v>
      </c>
      <c r="AD209" s="48" t="s">
        <v>273</v>
      </c>
      <c r="AE209" s="48" t="s">
        <v>273</v>
      </c>
      <c r="AF209" s="48" t="s">
        <v>273</v>
      </c>
      <c r="AG209" s="48" t="s">
        <v>273</v>
      </c>
      <c r="AH209" s="48" t="s">
        <v>273</v>
      </c>
      <c r="AI209" s="48" t="s">
        <v>273</v>
      </c>
      <c r="AJ209" s="48" t="s">
        <v>273</v>
      </c>
      <c r="AK209" s="48" t="s">
        <v>1196</v>
      </c>
      <c r="AL209" s="48" t="s">
        <v>273</v>
      </c>
      <c r="AM209" s="48" t="s">
        <v>273</v>
      </c>
      <c r="AN209" s="48" t="s">
        <v>273</v>
      </c>
      <c r="AO209" s="48" t="s">
        <v>273</v>
      </c>
      <c r="AP209" s="48" t="s">
        <v>273</v>
      </c>
      <c r="AQ209" s="48" t="s">
        <v>273</v>
      </c>
      <c r="AR209" s="48" t="s">
        <v>273</v>
      </c>
      <c r="AS209" s="48" t="s">
        <v>273</v>
      </c>
      <c r="AT209" s="48" t="s">
        <v>273</v>
      </c>
      <c r="AU209" s="93">
        <v>38991</v>
      </c>
      <c r="AV209" s="93"/>
      <c r="AW209" s="93"/>
      <c r="AX209" s="93"/>
      <c r="AY209" s="93"/>
    </row>
    <row r="210" spans="1:52" ht="16.5" customHeight="1" x14ac:dyDescent="0.15">
      <c r="A210" s="138" t="s">
        <v>2600</v>
      </c>
      <c r="B210" s="140" t="s">
        <v>2601</v>
      </c>
      <c r="C210" s="48" t="s">
        <v>330</v>
      </c>
      <c r="D210" s="62" t="s">
        <v>263</v>
      </c>
      <c r="E210" s="48" t="s">
        <v>273</v>
      </c>
      <c r="F210" s="61">
        <v>42443</v>
      </c>
      <c r="G210" s="61">
        <v>42443</v>
      </c>
      <c r="H210" s="125">
        <v>42468</v>
      </c>
      <c r="I210" s="61">
        <v>38887</v>
      </c>
      <c r="J210" s="87"/>
      <c r="K210" s="62" t="s">
        <v>12</v>
      </c>
      <c r="L210" s="62">
        <v>3</v>
      </c>
      <c r="M210" s="62" t="s">
        <v>394</v>
      </c>
      <c r="N210" s="62" t="s">
        <v>2602</v>
      </c>
      <c r="O210" s="48" t="s">
        <v>555</v>
      </c>
      <c r="P210" s="48" t="s">
        <v>707</v>
      </c>
      <c r="Q210" s="130" t="s">
        <v>708</v>
      </c>
      <c r="R210" s="48" t="s">
        <v>399</v>
      </c>
      <c r="S210" s="48" t="s">
        <v>400</v>
      </c>
      <c r="T210" s="48" t="s">
        <v>401</v>
      </c>
      <c r="U210" s="48" t="s">
        <v>2603</v>
      </c>
      <c r="V210" s="122" t="s">
        <v>263</v>
      </c>
      <c r="W210" s="122" t="s">
        <v>263</v>
      </c>
      <c r="X210" s="48" t="s">
        <v>710</v>
      </c>
      <c r="Y210" s="48" t="s">
        <v>2604</v>
      </c>
      <c r="Z210" s="139" t="s">
        <v>273</v>
      </c>
      <c r="AA210" s="48" t="s">
        <v>561</v>
      </c>
      <c r="AB210" s="48" t="s">
        <v>1231</v>
      </c>
      <c r="AC210" s="48" t="s">
        <v>273</v>
      </c>
      <c r="AD210" s="48" t="s">
        <v>273</v>
      </c>
      <c r="AE210" s="48" t="s">
        <v>273</v>
      </c>
      <c r="AF210" s="48" t="s">
        <v>273</v>
      </c>
      <c r="AG210" s="48" t="s">
        <v>273</v>
      </c>
      <c r="AH210" s="48" t="s">
        <v>273</v>
      </c>
      <c r="AI210" s="48" t="s">
        <v>273</v>
      </c>
      <c r="AJ210" s="48" t="s">
        <v>273</v>
      </c>
      <c r="AK210" s="48" t="s">
        <v>563</v>
      </c>
      <c r="AL210" s="48" t="s">
        <v>1232</v>
      </c>
      <c r="AM210" s="48" t="s">
        <v>273</v>
      </c>
      <c r="AN210" s="48" t="s">
        <v>273</v>
      </c>
      <c r="AO210" s="48" t="s">
        <v>273</v>
      </c>
      <c r="AP210" s="48" t="s">
        <v>273</v>
      </c>
      <c r="AQ210" s="48" t="s">
        <v>273</v>
      </c>
      <c r="AR210" s="48" t="s">
        <v>273</v>
      </c>
      <c r="AS210" s="48" t="s">
        <v>273</v>
      </c>
      <c r="AT210" s="48" t="s">
        <v>273</v>
      </c>
      <c r="AU210" s="93">
        <v>38565</v>
      </c>
      <c r="AV210" s="93"/>
      <c r="AW210" s="93"/>
      <c r="AX210" s="93"/>
      <c r="AY210" s="93"/>
    </row>
    <row r="211" spans="1:52" ht="16.5" customHeight="1" x14ac:dyDescent="0.15">
      <c r="A211" s="156" t="s">
        <v>2605</v>
      </c>
      <c r="B211" s="157" t="s">
        <v>2606</v>
      </c>
      <c r="C211" s="48" t="s">
        <v>330</v>
      </c>
      <c r="D211" s="62" t="s">
        <v>2607</v>
      </c>
      <c r="E211" s="48" t="s">
        <v>300</v>
      </c>
      <c r="F211" s="61">
        <v>42443</v>
      </c>
      <c r="G211" s="61">
        <v>42443</v>
      </c>
      <c r="H211" s="125">
        <v>42643</v>
      </c>
      <c r="I211" s="61" t="s">
        <v>279</v>
      </c>
      <c r="J211" s="87"/>
      <c r="K211" s="124" t="s">
        <v>263</v>
      </c>
      <c r="L211" s="124" t="s">
        <v>263</v>
      </c>
      <c r="M211" s="62" t="s">
        <v>442</v>
      </c>
      <c r="N211" s="62" t="s">
        <v>2608</v>
      </c>
      <c r="O211" s="48" t="s">
        <v>1123</v>
      </c>
      <c r="P211" s="48" t="s">
        <v>2609</v>
      </c>
      <c r="Q211" s="48" t="s">
        <v>2610</v>
      </c>
      <c r="R211" s="48" t="s">
        <v>2611</v>
      </c>
      <c r="S211" s="48" t="s">
        <v>2612</v>
      </c>
      <c r="T211" s="48" t="s">
        <v>2613</v>
      </c>
      <c r="U211" s="48" t="s">
        <v>2614</v>
      </c>
      <c r="V211" s="122" t="s">
        <v>263</v>
      </c>
      <c r="W211" s="122" t="s">
        <v>263</v>
      </c>
      <c r="X211" s="48" t="s">
        <v>2615</v>
      </c>
      <c r="Y211" s="48" t="s">
        <v>2616</v>
      </c>
      <c r="Z211" s="61"/>
      <c r="AA211" s="48" t="s">
        <v>273</v>
      </c>
      <c r="AB211" s="48" t="s">
        <v>273</v>
      </c>
      <c r="AC211" s="48" t="s">
        <v>273</v>
      </c>
      <c r="AD211" s="48" t="s">
        <v>273</v>
      </c>
      <c r="AE211" s="48" t="s">
        <v>273</v>
      </c>
      <c r="AF211" s="48" t="s">
        <v>273</v>
      </c>
      <c r="AG211" s="48" t="s">
        <v>273</v>
      </c>
      <c r="AH211" s="48" t="s">
        <v>273</v>
      </c>
      <c r="AI211" s="48" t="s">
        <v>273</v>
      </c>
      <c r="AJ211" s="48" t="s">
        <v>273</v>
      </c>
      <c r="AK211" s="48" t="s">
        <v>273</v>
      </c>
      <c r="AL211" s="48" t="s">
        <v>273</v>
      </c>
      <c r="AM211" s="48" t="s">
        <v>273</v>
      </c>
      <c r="AN211" s="48" t="s">
        <v>273</v>
      </c>
      <c r="AO211" s="48" t="s">
        <v>273</v>
      </c>
      <c r="AP211" s="48" t="s">
        <v>273</v>
      </c>
      <c r="AQ211" s="48" t="s">
        <v>273</v>
      </c>
      <c r="AR211" s="48" t="s">
        <v>273</v>
      </c>
      <c r="AS211" s="48" t="s">
        <v>273</v>
      </c>
      <c r="AT211" s="48" t="s">
        <v>273</v>
      </c>
      <c r="AU211" s="93">
        <v>38261</v>
      </c>
      <c r="AV211" s="93"/>
      <c r="AW211" s="93"/>
      <c r="AX211" s="93"/>
      <c r="AY211" s="93"/>
      <c r="AZ211" s="49" t="s">
        <v>767</v>
      </c>
    </row>
    <row r="212" spans="1:52" ht="16.5" customHeight="1" x14ac:dyDescent="0.15">
      <c r="A212" s="138" t="s">
        <v>2617</v>
      </c>
      <c r="B212" s="140" t="s">
        <v>2618</v>
      </c>
      <c r="C212" s="48" t="s">
        <v>330</v>
      </c>
      <c r="D212" s="62" t="s">
        <v>2619</v>
      </c>
      <c r="E212" s="48" t="s">
        <v>300</v>
      </c>
      <c r="F212" s="61">
        <v>42444</v>
      </c>
      <c r="G212" s="61">
        <v>42444</v>
      </c>
      <c r="H212" s="125">
        <v>42468</v>
      </c>
      <c r="I212" s="61" t="s">
        <v>279</v>
      </c>
      <c r="J212" s="87"/>
      <c r="K212" s="124" t="s">
        <v>263</v>
      </c>
      <c r="L212" s="124" t="s">
        <v>263</v>
      </c>
      <c r="M212" s="62" t="s">
        <v>215</v>
      </c>
      <c r="N212" s="62" t="s">
        <v>2620</v>
      </c>
      <c r="O212" s="48" t="s">
        <v>2621</v>
      </c>
      <c r="P212" s="48" t="s">
        <v>2622</v>
      </c>
      <c r="Q212" s="48" t="s">
        <v>2623</v>
      </c>
      <c r="R212" s="48" t="s">
        <v>2624</v>
      </c>
      <c r="S212" s="48" t="s">
        <v>2625</v>
      </c>
      <c r="T212" s="48" t="s">
        <v>2626</v>
      </c>
      <c r="U212" s="48" t="s">
        <v>2627</v>
      </c>
      <c r="V212" s="122" t="s">
        <v>263</v>
      </c>
      <c r="W212" s="48" t="s">
        <v>2628</v>
      </c>
      <c r="X212" s="48" t="s">
        <v>2629</v>
      </c>
      <c r="Y212" s="48" t="s">
        <v>2630</v>
      </c>
      <c r="Z212" s="61"/>
      <c r="AA212" s="48" t="s">
        <v>273</v>
      </c>
      <c r="AB212" s="48" t="s">
        <v>273</v>
      </c>
      <c r="AC212" s="48" t="s">
        <v>273</v>
      </c>
      <c r="AD212" s="48" t="s">
        <v>273</v>
      </c>
      <c r="AE212" s="48" t="s">
        <v>273</v>
      </c>
      <c r="AF212" s="48" t="s">
        <v>273</v>
      </c>
      <c r="AG212" s="48" t="s">
        <v>273</v>
      </c>
      <c r="AH212" s="48" t="s">
        <v>273</v>
      </c>
      <c r="AI212" s="48" t="s">
        <v>273</v>
      </c>
      <c r="AJ212" s="48" t="s">
        <v>273</v>
      </c>
      <c r="AK212" s="48" t="s">
        <v>273</v>
      </c>
      <c r="AL212" s="48" t="s">
        <v>273</v>
      </c>
      <c r="AM212" s="48" t="s">
        <v>273</v>
      </c>
      <c r="AN212" s="48" t="s">
        <v>273</v>
      </c>
      <c r="AO212" s="48" t="s">
        <v>273</v>
      </c>
      <c r="AP212" s="48" t="s">
        <v>273</v>
      </c>
      <c r="AQ212" s="48" t="s">
        <v>273</v>
      </c>
      <c r="AR212" s="48" t="s">
        <v>273</v>
      </c>
      <c r="AS212" s="48" t="s">
        <v>273</v>
      </c>
      <c r="AT212" s="48" t="s">
        <v>273</v>
      </c>
      <c r="AU212" s="93">
        <v>38749</v>
      </c>
      <c r="AV212" s="93"/>
      <c r="AW212" s="93"/>
      <c r="AX212" s="93"/>
      <c r="AY212" s="93"/>
      <c r="AZ212" s="49" t="s">
        <v>2631</v>
      </c>
    </row>
    <row r="213" spans="1:52" ht="16.5" customHeight="1" x14ac:dyDescent="0.15">
      <c r="A213" s="138" t="s">
        <v>2632</v>
      </c>
      <c r="B213" s="143" t="s">
        <v>2633</v>
      </c>
      <c r="C213" s="48" t="s">
        <v>2634</v>
      </c>
      <c r="D213" s="62" t="s">
        <v>263</v>
      </c>
      <c r="E213" s="48" t="s">
        <v>264</v>
      </c>
      <c r="F213" s="61">
        <v>42444</v>
      </c>
      <c r="G213" s="61">
        <v>42444</v>
      </c>
      <c r="H213" s="125">
        <v>42471</v>
      </c>
      <c r="I213" s="61" t="s">
        <v>424</v>
      </c>
      <c r="J213" s="87"/>
      <c r="K213" s="62" t="s">
        <v>12</v>
      </c>
      <c r="L213" s="62">
        <v>3</v>
      </c>
      <c r="M213" s="62" t="s">
        <v>471</v>
      </c>
      <c r="N213" s="62" t="s">
        <v>2635</v>
      </c>
      <c r="O213" s="48" t="s">
        <v>2636</v>
      </c>
      <c r="P213" s="48" t="s">
        <v>267</v>
      </c>
      <c r="Q213" s="48" t="s">
        <v>268</v>
      </c>
      <c r="R213" s="122" t="s">
        <v>263</v>
      </c>
      <c r="S213" s="48" t="s">
        <v>269</v>
      </c>
      <c r="T213" s="48" t="s">
        <v>270</v>
      </c>
      <c r="U213" s="48" t="s">
        <v>2637</v>
      </c>
      <c r="V213" s="122" t="s">
        <v>263</v>
      </c>
      <c r="W213" s="122" t="s">
        <v>263</v>
      </c>
      <c r="X213" s="122" t="s">
        <v>263</v>
      </c>
      <c r="Y213" s="122" t="s">
        <v>263</v>
      </c>
      <c r="Z213" s="61"/>
      <c r="AA213" s="48" t="s">
        <v>273</v>
      </c>
      <c r="AB213" s="48" t="s">
        <v>273</v>
      </c>
      <c r="AC213" s="48" t="s">
        <v>273</v>
      </c>
      <c r="AD213" s="48" t="s">
        <v>273</v>
      </c>
      <c r="AE213" s="48" t="s">
        <v>273</v>
      </c>
      <c r="AF213" s="48" t="s">
        <v>273</v>
      </c>
      <c r="AG213" s="48" t="s">
        <v>273</v>
      </c>
      <c r="AH213" s="48" t="s">
        <v>273</v>
      </c>
      <c r="AI213" s="48" t="s">
        <v>273</v>
      </c>
      <c r="AJ213" s="48" t="s">
        <v>273</v>
      </c>
      <c r="AK213" s="48" t="s">
        <v>273</v>
      </c>
      <c r="AL213" s="48" t="s">
        <v>273</v>
      </c>
      <c r="AM213" s="48" t="s">
        <v>273</v>
      </c>
      <c r="AN213" s="48" t="s">
        <v>273</v>
      </c>
      <c r="AO213" s="48" t="s">
        <v>273</v>
      </c>
      <c r="AP213" s="48" t="s">
        <v>273</v>
      </c>
      <c r="AQ213" s="48" t="s">
        <v>273</v>
      </c>
      <c r="AR213" s="48" t="s">
        <v>273</v>
      </c>
      <c r="AS213" s="48" t="s">
        <v>273</v>
      </c>
      <c r="AT213" s="48" t="s">
        <v>273</v>
      </c>
      <c r="AU213" s="93">
        <v>41791</v>
      </c>
      <c r="AV213" s="93"/>
      <c r="AW213" s="93"/>
      <c r="AX213" s="93"/>
      <c r="AY213" s="93"/>
    </row>
    <row r="214" spans="1:52" ht="16.5" customHeight="1" x14ac:dyDescent="0.15">
      <c r="A214" s="138" t="s">
        <v>2638</v>
      </c>
      <c r="B214" s="140" t="s">
        <v>2639</v>
      </c>
      <c r="C214" s="48" t="s">
        <v>330</v>
      </c>
      <c r="D214" s="62" t="s">
        <v>2640</v>
      </c>
      <c r="E214" s="48" t="s">
        <v>300</v>
      </c>
      <c r="F214" s="61">
        <v>42444</v>
      </c>
      <c r="G214" s="61">
        <v>42444</v>
      </c>
      <c r="H214" s="125">
        <v>42471</v>
      </c>
      <c r="I214" s="61" t="s">
        <v>279</v>
      </c>
      <c r="J214" s="87"/>
      <c r="K214" s="62" t="s">
        <v>12</v>
      </c>
      <c r="L214" s="124" t="s">
        <v>263</v>
      </c>
      <c r="M214" s="62">
        <v>180</v>
      </c>
      <c r="N214" s="62" t="s">
        <v>2641</v>
      </c>
      <c r="O214" s="48" t="s">
        <v>1528</v>
      </c>
      <c r="P214" s="48" t="s">
        <v>2642</v>
      </c>
      <c r="Q214" s="48" t="s">
        <v>2643</v>
      </c>
      <c r="R214" s="48" t="s">
        <v>2644</v>
      </c>
      <c r="S214" s="48" t="s">
        <v>2645</v>
      </c>
      <c r="T214" s="48" t="s">
        <v>2646</v>
      </c>
      <c r="U214" s="48" t="s">
        <v>2647</v>
      </c>
      <c r="V214" s="48" t="s">
        <v>2648</v>
      </c>
      <c r="W214" s="48" t="s">
        <v>2649</v>
      </c>
      <c r="X214" s="48" t="s">
        <v>2650</v>
      </c>
      <c r="Y214" s="48" t="s">
        <v>2651</v>
      </c>
      <c r="Z214" s="61"/>
      <c r="AA214" s="48" t="s">
        <v>273</v>
      </c>
      <c r="AB214" s="48" t="s">
        <v>273</v>
      </c>
      <c r="AC214" s="48" t="s">
        <v>273</v>
      </c>
      <c r="AD214" s="48" t="s">
        <v>273</v>
      </c>
      <c r="AE214" s="48" t="s">
        <v>273</v>
      </c>
      <c r="AF214" s="48" t="s">
        <v>273</v>
      </c>
      <c r="AG214" s="48" t="s">
        <v>273</v>
      </c>
      <c r="AH214" s="48" t="s">
        <v>273</v>
      </c>
      <c r="AI214" s="48" t="s">
        <v>273</v>
      </c>
      <c r="AJ214" s="48" t="s">
        <v>273</v>
      </c>
      <c r="AK214" s="48" t="s">
        <v>273</v>
      </c>
      <c r="AL214" s="48" t="s">
        <v>273</v>
      </c>
      <c r="AM214" s="48" t="s">
        <v>273</v>
      </c>
      <c r="AN214" s="48" t="s">
        <v>273</v>
      </c>
      <c r="AO214" s="48" t="s">
        <v>273</v>
      </c>
      <c r="AP214" s="48" t="s">
        <v>273</v>
      </c>
      <c r="AQ214" s="48" t="s">
        <v>273</v>
      </c>
      <c r="AR214" s="48" t="s">
        <v>273</v>
      </c>
      <c r="AS214" s="48" t="s">
        <v>273</v>
      </c>
      <c r="AT214" s="48" t="s">
        <v>273</v>
      </c>
      <c r="AU214" s="93">
        <v>36586</v>
      </c>
      <c r="AV214" s="93"/>
      <c r="AW214" s="93"/>
      <c r="AX214" s="93"/>
      <c r="AY214" s="93"/>
      <c r="AZ214" s="49" t="s">
        <v>2365</v>
      </c>
    </row>
    <row r="215" spans="1:52" ht="16.5" customHeight="1" x14ac:dyDescent="0.15">
      <c r="A215" s="138" t="s">
        <v>2652</v>
      </c>
      <c r="B215" s="140" t="s">
        <v>2653</v>
      </c>
      <c r="C215" s="48" t="s">
        <v>2654</v>
      </c>
      <c r="D215" s="62" t="s">
        <v>2655</v>
      </c>
      <c r="E215" s="48" t="s">
        <v>264</v>
      </c>
      <c r="F215" s="61">
        <v>42444</v>
      </c>
      <c r="G215" s="61">
        <v>42444</v>
      </c>
      <c r="H215" s="125">
        <v>42475</v>
      </c>
      <c r="I215" s="61">
        <v>41660</v>
      </c>
      <c r="J215" s="87"/>
      <c r="K215" s="62" t="s">
        <v>12</v>
      </c>
      <c r="L215" s="62">
        <v>3</v>
      </c>
      <c r="M215" s="62" t="s">
        <v>680</v>
      </c>
      <c r="N215" s="62" t="s">
        <v>2656</v>
      </c>
      <c r="O215" s="48" t="s">
        <v>2657</v>
      </c>
      <c r="P215" s="48" t="s">
        <v>1029</v>
      </c>
      <c r="Q215" s="48" t="s">
        <v>2658</v>
      </c>
      <c r="R215" s="48" t="s">
        <v>2335</v>
      </c>
      <c r="S215" s="48" t="s">
        <v>1032</v>
      </c>
      <c r="T215" s="48" t="s">
        <v>1033</v>
      </c>
      <c r="U215" s="48" t="s">
        <v>2659</v>
      </c>
      <c r="V215" s="48" t="s">
        <v>2660</v>
      </c>
      <c r="W215" s="48" t="s">
        <v>2661</v>
      </c>
      <c r="X215" s="48" t="s">
        <v>2662</v>
      </c>
      <c r="Y215" s="48" t="s">
        <v>2663</v>
      </c>
      <c r="Z215" s="61"/>
      <c r="AA215" s="48" t="s">
        <v>833</v>
      </c>
      <c r="AB215" s="48" t="s">
        <v>1139</v>
      </c>
      <c r="AC215" s="48" t="s">
        <v>1391</v>
      </c>
      <c r="AD215" s="48" t="s">
        <v>273</v>
      </c>
      <c r="AE215" s="48" t="s">
        <v>273</v>
      </c>
      <c r="AF215" s="48" t="s">
        <v>273</v>
      </c>
      <c r="AG215" s="48" t="s">
        <v>273</v>
      </c>
      <c r="AH215" s="48" t="s">
        <v>273</v>
      </c>
      <c r="AI215" s="48" t="s">
        <v>273</v>
      </c>
      <c r="AJ215" s="48" t="s">
        <v>273</v>
      </c>
      <c r="AK215" s="48" t="s">
        <v>834</v>
      </c>
      <c r="AL215" s="48" t="s">
        <v>1140</v>
      </c>
      <c r="AM215" s="48" t="s">
        <v>1394</v>
      </c>
      <c r="AN215" s="48" t="s">
        <v>273</v>
      </c>
      <c r="AO215" s="48" t="s">
        <v>273</v>
      </c>
      <c r="AP215" s="48" t="s">
        <v>273</v>
      </c>
      <c r="AQ215" s="48" t="s">
        <v>273</v>
      </c>
      <c r="AR215" s="48" t="s">
        <v>273</v>
      </c>
      <c r="AS215" s="48" t="s">
        <v>273</v>
      </c>
      <c r="AT215" s="48" t="s">
        <v>273</v>
      </c>
      <c r="AU215" s="93">
        <v>41518</v>
      </c>
      <c r="AV215" s="93"/>
      <c r="AW215" s="93"/>
      <c r="AX215" s="93"/>
      <c r="AY215" s="93"/>
    </row>
    <row r="216" spans="1:52" ht="16.5" customHeight="1" x14ac:dyDescent="0.15">
      <c r="A216" s="144" t="s">
        <v>2664</v>
      </c>
      <c r="B216" s="145" t="s">
        <v>2665</v>
      </c>
      <c r="C216" s="48" t="s">
        <v>330</v>
      </c>
      <c r="D216" s="62" t="s">
        <v>2666</v>
      </c>
      <c r="E216" s="48" t="s">
        <v>300</v>
      </c>
      <c r="F216" s="61">
        <v>42444</v>
      </c>
      <c r="G216" s="61">
        <v>42444</v>
      </c>
      <c r="H216" s="125">
        <v>42508</v>
      </c>
      <c r="I216" s="61" t="s">
        <v>279</v>
      </c>
      <c r="J216" s="87"/>
      <c r="K216" s="62" t="s">
        <v>12</v>
      </c>
      <c r="L216" s="124" t="s">
        <v>263</v>
      </c>
      <c r="M216" s="62" t="s">
        <v>2667</v>
      </c>
      <c r="N216" s="62" t="s">
        <v>2668</v>
      </c>
      <c r="O216" s="48" t="s">
        <v>263</v>
      </c>
      <c r="P216" s="48" t="s">
        <v>2669</v>
      </c>
      <c r="Q216" s="48" t="s">
        <v>2670</v>
      </c>
      <c r="R216" s="48" t="s">
        <v>2671</v>
      </c>
      <c r="S216" s="48" t="s">
        <v>2672</v>
      </c>
      <c r="T216" s="48" t="s">
        <v>2673</v>
      </c>
      <c r="U216" s="48" t="s">
        <v>2674</v>
      </c>
      <c r="V216" s="122" t="s">
        <v>263</v>
      </c>
      <c r="W216" s="122" t="s">
        <v>263</v>
      </c>
      <c r="X216" s="48" t="s">
        <v>2675</v>
      </c>
      <c r="Y216" s="48" t="s">
        <v>2676</v>
      </c>
      <c r="Z216" s="61"/>
      <c r="AA216" s="48" t="s">
        <v>273</v>
      </c>
      <c r="AB216" s="48" t="s">
        <v>273</v>
      </c>
      <c r="AC216" s="48" t="s">
        <v>273</v>
      </c>
      <c r="AD216" s="48" t="s">
        <v>273</v>
      </c>
      <c r="AE216" s="48" t="s">
        <v>273</v>
      </c>
      <c r="AF216" s="48" t="s">
        <v>273</v>
      </c>
      <c r="AG216" s="48" t="s">
        <v>273</v>
      </c>
      <c r="AH216" s="48" t="s">
        <v>273</v>
      </c>
      <c r="AI216" s="48" t="s">
        <v>273</v>
      </c>
      <c r="AJ216" s="48" t="s">
        <v>273</v>
      </c>
      <c r="AK216" s="48" t="s">
        <v>273</v>
      </c>
      <c r="AL216" s="48" t="s">
        <v>273</v>
      </c>
      <c r="AM216" s="48" t="s">
        <v>273</v>
      </c>
      <c r="AN216" s="48" t="s">
        <v>273</v>
      </c>
      <c r="AO216" s="48" t="s">
        <v>273</v>
      </c>
      <c r="AP216" s="48" t="s">
        <v>273</v>
      </c>
      <c r="AQ216" s="48" t="s">
        <v>273</v>
      </c>
      <c r="AR216" s="48" t="s">
        <v>273</v>
      </c>
      <c r="AS216" s="48" t="s">
        <v>273</v>
      </c>
      <c r="AT216" s="48" t="s">
        <v>273</v>
      </c>
      <c r="AU216" s="93" t="s">
        <v>263</v>
      </c>
      <c r="AV216" s="93"/>
      <c r="AW216" s="93"/>
      <c r="AX216" s="93"/>
      <c r="AY216" s="93"/>
      <c r="AZ216" s="49" t="s">
        <v>2677</v>
      </c>
    </row>
    <row r="217" spans="1:52" ht="16.5" customHeight="1" x14ac:dyDescent="0.15">
      <c r="A217" s="138" t="s">
        <v>2678</v>
      </c>
      <c r="B217" s="140" t="s">
        <v>2679</v>
      </c>
      <c r="C217" s="48" t="s">
        <v>298</v>
      </c>
      <c r="D217" s="62" t="s">
        <v>2680</v>
      </c>
      <c r="E217" s="48" t="s">
        <v>300</v>
      </c>
      <c r="F217" s="61">
        <v>42445</v>
      </c>
      <c r="G217" s="61">
        <v>42445</v>
      </c>
      <c r="H217" s="125">
        <v>42473</v>
      </c>
      <c r="I217" s="61">
        <v>40086</v>
      </c>
      <c r="J217" s="87"/>
      <c r="K217" s="124" t="s">
        <v>263</v>
      </c>
      <c r="L217" s="124" t="s">
        <v>263</v>
      </c>
      <c r="M217" s="62" t="s">
        <v>409</v>
      </c>
      <c r="N217" s="62" t="s">
        <v>2681</v>
      </c>
      <c r="O217" s="48" t="s">
        <v>606</v>
      </c>
      <c r="P217" s="48" t="s">
        <v>2585</v>
      </c>
      <c r="Q217" s="48" t="s">
        <v>1742</v>
      </c>
      <c r="R217" s="48" t="s">
        <v>2682</v>
      </c>
      <c r="S217" s="48" t="s">
        <v>2587</v>
      </c>
      <c r="T217" s="48" t="s">
        <v>2588</v>
      </c>
      <c r="U217" s="48" t="s">
        <v>2683</v>
      </c>
      <c r="V217" s="48" t="s">
        <v>2684</v>
      </c>
      <c r="W217" s="48" t="s">
        <v>2685</v>
      </c>
      <c r="X217" s="48" t="s">
        <v>2686</v>
      </c>
      <c r="Y217" s="48" t="s">
        <v>2687</v>
      </c>
      <c r="Z217" s="61"/>
      <c r="AA217" s="48" t="s">
        <v>273</v>
      </c>
      <c r="AB217" s="48" t="s">
        <v>273</v>
      </c>
      <c r="AC217" s="48" t="s">
        <v>273</v>
      </c>
      <c r="AD217" s="48" t="s">
        <v>273</v>
      </c>
      <c r="AE217" s="48" t="s">
        <v>273</v>
      </c>
      <c r="AF217" s="48" t="s">
        <v>273</v>
      </c>
      <c r="AG217" s="48" t="s">
        <v>273</v>
      </c>
      <c r="AH217" s="48" t="s">
        <v>273</v>
      </c>
      <c r="AI217" s="48" t="s">
        <v>273</v>
      </c>
      <c r="AJ217" s="48" t="s">
        <v>273</v>
      </c>
      <c r="AK217" s="48" t="s">
        <v>273</v>
      </c>
      <c r="AL217" s="48" t="s">
        <v>273</v>
      </c>
      <c r="AM217" s="48" t="s">
        <v>273</v>
      </c>
      <c r="AN217" s="48" t="s">
        <v>273</v>
      </c>
      <c r="AO217" s="48" t="s">
        <v>273</v>
      </c>
      <c r="AP217" s="48" t="s">
        <v>273</v>
      </c>
      <c r="AQ217" s="48" t="s">
        <v>273</v>
      </c>
      <c r="AR217" s="48" t="s">
        <v>273</v>
      </c>
      <c r="AS217" s="48" t="s">
        <v>273</v>
      </c>
      <c r="AT217" s="48" t="s">
        <v>273</v>
      </c>
      <c r="AU217" s="93">
        <v>40026</v>
      </c>
      <c r="AV217" s="93"/>
      <c r="AW217" s="93"/>
      <c r="AX217" s="93"/>
      <c r="AY217" s="93"/>
      <c r="AZ217" s="49" t="s">
        <v>2688</v>
      </c>
    </row>
    <row r="218" spans="1:52" ht="16.5" customHeight="1" x14ac:dyDescent="0.15">
      <c r="A218" s="144" t="s">
        <v>2689</v>
      </c>
      <c r="B218" s="145" t="s">
        <v>2690</v>
      </c>
      <c r="C218" s="48" t="s">
        <v>330</v>
      </c>
      <c r="D218" s="62" t="s">
        <v>263</v>
      </c>
      <c r="E218" s="48" t="s">
        <v>300</v>
      </c>
      <c r="F218" s="61">
        <v>42445</v>
      </c>
      <c r="G218" s="61">
        <v>42445</v>
      </c>
      <c r="H218" s="125">
        <v>42501</v>
      </c>
      <c r="I218" s="61" t="s">
        <v>279</v>
      </c>
      <c r="J218" s="87"/>
      <c r="K218" s="62" t="s">
        <v>12</v>
      </c>
      <c r="L218" s="124" t="s">
        <v>263</v>
      </c>
      <c r="M218" s="62" t="s">
        <v>2265</v>
      </c>
      <c r="N218" s="62" t="s">
        <v>2691</v>
      </c>
      <c r="O218" s="48" t="s">
        <v>802</v>
      </c>
      <c r="P218" s="130" t="s">
        <v>1995</v>
      </c>
      <c r="Q218" s="130" t="s">
        <v>2692</v>
      </c>
      <c r="R218" s="48" t="s">
        <v>1996</v>
      </c>
      <c r="S218" s="130" t="s">
        <v>1997</v>
      </c>
      <c r="T218" s="130" t="s">
        <v>1998</v>
      </c>
      <c r="U218" s="48" t="s">
        <v>2693</v>
      </c>
      <c r="V218" s="48" t="s">
        <v>2694</v>
      </c>
      <c r="W218" s="48" t="s">
        <v>2695</v>
      </c>
      <c r="X218" s="48" t="s">
        <v>2453</v>
      </c>
      <c r="Y218" s="48" t="s">
        <v>2454</v>
      </c>
      <c r="Z218" s="61"/>
      <c r="AA218" s="48" t="s">
        <v>802</v>
      </c>
      <c r="AB218" s="48" t="s">
        <v>781</v>
      </c>
      <c r="AC218" s="48" t="s">
        <v>273</v>
      </c>
      <c r="AD218" s="48" t="s">
        <v>273</v>
      </c>
      <c r="AE218" s="48" t="s">
        <v>273</v>
      </c>
      <c r="AF218" s="48" t="s">
        <v>273</v>
      </c>
      <c r="AG218" s="48" t="s">
        <v>273</v>
      </c>
      <c r="AH218" s="48" t="s">
        <v>273</v>
      </c>
      <c r="AI218" s="48" t="s">
        <v>273</v>
      </c>
      <c r="AJ218" s="48" t="s">
        <v>273</v>
      </c>
      <c r="AK218" s="48" t="s">
        <v>2696</v>
      </c>
      <c r="AL218" s="48" t="s">
        <v>785</v>
      </c>
      <c r="AM218" s="48" t="s">
        <v>273</v>
      </c>
      <c r="AN218" s="48" t="s">
        <v>273</v>
      </c>
      <c r="AO218" s="48" t="s">
        <v>273</v>
      </c>
      <c r="AP218" s="48" t="s">
        <v>273</v>
      </c>
      <c r="AQ218" s="48" t="s">
        <v>273</v>
      </c>
      <c r="AR218" s="48" t="s">
        <v>273</v>
      </c>
      <c r="AS218" s="48" t="s">
        <v>273</v>
      </c>
      <c r="AT218" s="48" t="s">
        <v>273</v>
      </c>
      <c r="AU218" s="93">
        <v>40057</v>
      </c>
      <c r="AV218" s="93"/>
      <c r="AW218" s="93"/>
      <c r="AX218" s="93"/>
      <c r="AY218" s="93"/>
    </row>
    <row r="219" spans="1:52" ht="16.5" customHeight="1" x14ac:dyDescent="0.15">
      <c r="A219" s="156" t="s">
        <v>2697</v>
      </c>
      <c r="B219" s="157" t="s">
        <v>2698</v>
      </c>
      <c r="C219" s="48" t="s">
        <v>330</v>
      </c>
      <c r="D219" s="62" t="s">
        <v>263</v>
      </c>
      <c r="E219" s="48" t="s">
        <v>300</v>
      </c>
      <c r="F219" s="61">
        <v>42445</v>
      </c>
      <c r="G219" s="61">
        <v>42445</v>
      </c>
      <c r="H219" s="125">
        <v>42626</v>
      </c>
      <c r="I219" s="61" t="s">
        <v>279</v>
      </c>
      <c r="J219" s="87"/>
      <c r="K219" s="62" t="s">
        <v>16</v>
      </c>
      <c r="L219" s="62">
        <v>3</v>
      </c>
      <c r="M219" s="62" t="s">
        <v>1215</v>
      </c>
      <c r="N219" s="62" t="s">
        <v>2699</v>
      </c>
      <c r="O219" s="48" t="s">
        <v>1217</v>
      </c>
      <c r="P219" s="48" t="s">
        <v>1225</v>
      </c>
      <c r="Q219" s="130" t="s">
        <v>2700</v>
      </c>
      <c r="R219" s="48" t="s">
        <v>399</v>
      </c>
      <c r="S219" s="48" t="s">
        <v>477</v>
      </c>
      <c r="T219" s="48" t="s">
        <v>478</v>
      </c>
      <c r="U219" s="48" t="s">
        <v>2701</v>
      </c>
      <c r="V219" s="122" t="s">
        <v>263</v>
      </c>
      <c r="W219" s="122" t="s">
        <v>263</v>
      </c>
      <c r="X219" s="48" t="s">
        <v>2702</v>
      </c>
      <c r="Y219" s="48" t="s">
        <v>2703</v>
      </c>
      <c r="Z219" s="61"/>
      <c r="AA219" s="48" t="s">
        <v>273</v>
      </c>
      <c r="AB219" s="48" t="s">
        <v>273</v>
      </c>
      <c r="AC219" s="48" t="s">
        <v>273</v>
      </c>
      <c r="AD219" s="48" t="s">
        <v>273</v>
      </c>
      <c r="AE219" s="48" t="s">
        <v>273</v>
      </c>
      <c r="AF219" s="48" t="s">
        <v>273</v>
      </c>
      <c r="AG219" s="48" t="s">
        <v>273</v>
      </c>
      <c r="AH219" s="48" t="s">
        <v>273</v>
      </c>
      <c r="AI219" s="48" t="s">
        <v>273</v>
      </c>
      <c r="AJ219" s="48" t="s">
        <v>273</v>
      </c>
      <c r="AK219" s="48" t="s">
        <v>273</v>
      </c>
      <c r="AL219" s="48" t="s">
        <v>273</v>
      </c>
      <c r="AM219" s="48" t="s">
        <v>273</v>
      </c>
      <c r="AN219" s="48" t="s">
        <v>273</v>
      </c>
      <c r="AO219" s="48" t="s">
        <v>273</v>
      </c>
      <c r="AP219" s="48" t="s">
        <v>273</v>
      </c>
      <c r="AQ219" s="48" t="s">
        <v>273</v>
      </c>
      <c r="AR219" s="48" t="s">
        <v>273</v>
      </c>
      <c r="AS219" s="48" t="s">
        <v>273</v>
      </c>
      <c r="AT219" s="48" t="s">
        <v>273</v>
      </c>
      <c r="AU219" s="93">
        <v>41091</v>
      </c>
      <c r="AV219" s="93"/>
      <c r="AW219" s="93"/>
      <c r="AX219" s="93"/>
      <c r="AY219" s="93"/>
      <c r="AZ219" s="49" t="s">
        <v>2704</v>
      </c>
    </row>
    <row r="220" spans="1:52" ht="16.5" customHeight="1" x14ac:dyDescent="0.15">
      <c r="A220" s="134" t="s">
        <v>2705</v>
      </c>
      <c r="B220" s="136" t="s">
        <v>2706</v>
      </c>
      <c r="C220" s="48" t="s">
        <v>2707</v>
      </c>
      <c r="D220" s="62" t="s">
        <v>2708</v>
      </c>
      <c r="E220" s="48" t="s">
        <v>300</v>
      </c>
      <c r="F220" s="61">
        <v>42445</v>
      </c>
      <c r="G220" s="61">
        <v>42445</v>
      </c>
      <c r="H220" s="125">
        <v>42453</v>
      </c>
      <c r="I220" s="61" t="s">
        <v>279</v>
      </c>
      <c r="J220" s="87"/>
      <c r="K220" s="62" t="s">
        <v>12</v>
      </c>
      <c r="L220" s="62">
        <v>5</v>
      </c>
      <c r="M220" s="62" t="s">
        <v>755</v>
      </c>
      <c r="N220" s="62" t="s">
        <v>2709</v>
      </c>
      <c r="O220" s="48" t="s">
        <v>792</v>
      </c>
      <c r="P220" s="48" t="s">
        <v>1403</v>
      </c>
      <c r="Q220" s="48" t="s">
        <v>971</v>
      </c>
      <c r="R220" s="48" t="s">
        <v>2710</v>
      </c>
      <c r="S220" s="48" t="s">
        <v>2711</v>
      </c>
      <c r="T220" s="130" t="s">
        <v>2712</v>
      </c>
      <c r="U220" s="48" t="s">
        <v>2713</v>
      </c>
      <c r="V220" s="122" t="s">
        <v>263</v>
      </c>
      <c r="W220" s="122" t="s">
        <v>263</v>
      </c>
      <c r="X220" s="48" t="s">
        <v>2714</v>
      </c>
      <c r="Y220" s="48" t="s">
        <v>2715</v>
      </c>
      <c r="Z220" s="61"/>
      <c r="AA220" s="48" t="s">
        <v>273</v>
      </c>
      <c r="AB220" s="48" t="s">
        <v>273</v>
      </c>
      <c r="AC220" s="48" t="s">
        <v>273</v>
      </c>
      <c r="AD220" s="48" t="s">
        <v>273</v>
      </c>
      <c r="AE220" s="48" t="s">
        <v>273</v>
      </c>
      <c r="AF220" s="48" t="s">
        <v>273</v>
      </c>
      <c r="AG220" s="48" t="s">
        <v>273</v>
      </c>
      <c r="AH220" s="48" t="s">
        <v>273</v>
      </c>
      <c r="AI220" s="48" t="s">
        <v>273</v>
      </c>
      <c r="AJ220" s="48" t="s">
        <v>273</v>
      </c>
      <c r="AK220" s="48" t="s">
        <v>273</v>
      </c>
      <c r="AL220" s="48" t="s">
        <v>273</v>
      </c>
      <c r="AM220" s="48" t="s">
        <v>273</v>
      </c>
      <c r="AN220" s="48" t="s">
        <v>273</v>
      </c>
      <c r="AO220" s="48" t="s">
        <v>273</v>
      </c>
      <c r="AP220" s="48" t="s">
        <v>273</v>
      </c>
      <c r="AQ220" s="48" t="s">
        <v>273</v>
      </c>
      <c r="AR220" s="48" t="s">
        <v>273</v>
      </c>
      <c r="AS220" s="48" t="s">
        <v>273</v>
      </c>
      <c r="AT220" s="48" t="s">
        <v>273</v>
      </c>
      <c r="AU220" s="93">
        <v>40330</v>
      </c>
      <c r="AV220" s="93"/>
      <c r="AW220" s="93"/>
      <c r="AX220" s="93"/>
      <c r="AY220" s="93"/>
      <c r="AZ220" s="49" t="s">
        <v>2716</v>
      </c>
    </row>
    <row r="221" spans="1:52" ht="16.5" customHeight="1" x14ac:dyDescent="0.15">
      <c r="A221" s="121" t="s">
        <v>2717</v>
      </c>
      <c r="B221" s="47" t="s">
        <v>2718</v>
      </c>
      <c r="C221" s="48" t="e">
        <f ca="1">INDIRECT("'["&amp;$C$1&amp;".xls]"&amp;$B221&amp;"'!$i$7")</f>
        <v>#REF!</v>
      </c>
      <c r="D221" s="62" t="e">
        <f ca="1">INDIRECT("'["&amp;$C$1&amp;".xls]"&amp;$B221&amp;"'!$b$7")</f>
        <v>#REF!</v>
      </c>
      <c r="E221" s="48" t="e">
        <f ca="1">IF(INDIRECT("'["&amp;$C$1&amp;".xls]"&amp;$B221&amp;"'!$i$2")="","",INDIRECT("'["&amp;$C$1&amp;".xls]"&amp;$B221&amp;"'!$i$2"))</f>
        <v>#REF!</v>
      </c>
      <c r="F221" s="61" t="e">
        <f ca="1">INDIRECT("'["&amp;$C$1&amp;".xls]"&amp;$B221&amp;"'!$b$2")</f>
        <v>#REF!</v>
      </c>
      <c r="G221" s="61" t="e">
        <f ca="1">INDIRECT("'["&amp;$C$1&amp;".xls]"&amp;$B221&amp;"'!$a$20")</f>
        <v>#REF!</v>
      </c>
      <c r="H221" s="88" t="e">
        <f ca="1">INDIRECT("'["&amp;$C$1&amp;".xls]"&amp;$B221&amp;"'!$Q$22")</f>
        <v>#REF!</v>
      </c>
      <c r="I221" s="61" t="e">
        <f ca="1">INDIRECT("'["&amp;$C$1&amp;".xls]"&amp;$B221&amp;"'!$f$6")</f>
        <v>#REF!</v>
      </c>
      <c r="J221" s="87"/>
      <c r="K221" s="62" t="e">
        <f ca="1">INDIRECT("'["&amp;$C$1&amp;".xls]"&amp;$B221&amp;"'!$f$25")</f>
        <v>#REF!</v>
      </c>
      <c r="L221" s="62"/>
      <c r="M221" s="62" t="e">
        <f ca="1">INDIRECT("'["&amp;$C$1&amp;".xls]"&amp;$B221&amp;"'!$f$4")</f>
        <v>#REF!</v>
      </c>
      <c r="N221" s="62" t="e">
        <f ca="1">INDIRECT("'["&amp;$C$1&amp;".xls]"&amp;$B221&amp;"'!$i$4")</f>
        <v>#REF!</v>
      </c>
      <c r="O221" s="48" t="e">
        <f ca="1">INDIRECT("'["&amp;$C$1&amp;".xls]"&amp;$B221&amp;"'!$l$4")</f>
        <v>#REF!</v>
      </c>
      <c r="P221" s="48" t="e">
        <f ca="1">INDIRECT("'["&amp;$C$1&amp;".xls]"&amp;$B221&amp;"'!$b$5")</f>
        <v>#REF!</v>
      </c>
      <c r="Q221" s="48" t="e">
        <f ca="1">INDIRECT("'["&amp;$C$1&amp;".xls]"&amp;$B221&amp;"'!$f$5")</f>
        <v>#REF!</v>
      </c>
      <c r="R221" s="48"/>
      <c r="S221" s="48" t="e">
        <f ca="1">INDIRECT("'["&amp;$C$1&amp;".xls]"&amp;$B221&amp;"'!$i$5")</f>
        <v>#REF!</v>
      </c>
      <c r="T221" s="48" t="e">
        <f ca="1">INDIRECT("'["&amp;$C$1&amp;".xls]"&amp;$B221&amp;"'!$l$5")</f>
        <v>#REF!</v>
      </c>
      <c r="U221" s="48" t="e">
        <f ca="1">INDIRECT("'["&amp;$C$1&amp;".xls]"&amp;$B221&amp;"'!$b$4")</f>
        <v>#REF!</v>
      </c>
      <c r="V221" s="48"/>
      <c r="W221" s="48"/>
      <c r="X221" s="48" t="s">
        <v>2719</v>
      </c>
      <c r="Y221" s="48" t="s">
        <v>2720</v>
      </c>
      <c r="Z221" s="61"/>
      <c r="AA221" s="48" t="e">
        <f ca="1">IF(INDIRECT("'["&amp;$C$1&amp;".xls]"&amp;$B221&amp;"'!$P$25")="","",IF(INDIRECT("'["&amp;$C$1&amp;".xls]"&amp;$B221&amp;"'!$O$25")="済み",INDIRECT("'["&amp;$C$1&amp;".xls]"&amp;$B221&amp;"'!$P$25"),""))</f>
        <v>#REF!</v>
      </c>
      <c r="AB221" s="48" t="e">
        <f ca="1">IF(INDIRECT("'["&amp;$C$1&amp;".xls]"&amp;$B221&amp;"'!$P$26")="","",IF(INDIRECT("'["&amp;$C$1&amp;".xls]"&amp;$B221&amp;"'!$O$26")="済み",INDIRECT("'["&amp;$C$1&amp;".xls]"&amp;$B221&amp;"'!$P$26"),""))</f>
        <v>#REF!</v>
      </c>
      <c r="AC221" s="48" t="e">
        <f ca="1">IF(INDIRECT("'["&amp;$C$1&amp;".xls]"&amp;$B221&amp;"'!$P$27")="","",IF(INDIRECT("'["&amp;$C$1&amp;".xls]"&amp;$B221&amp;"'!$O$27")="済み",INDIRECT("'["&amp;$C$1&amp;".xls]"&amp;$B221&amp;"'!$P$27"),""))</f>
        <v>#REF!</v>
      </c>
      <c r="AD221" s="48" t="e">
        <f ca="1">IF(INDIRECT("'["&amp;$C$1&amp;".xls]"&amp;$B221&amp;"'!$P$28")="","",IF(INDIRECT("'["&amp;$C$1&amp;".xls]"&amp;$B221&amp;"'!$O$28")="済み",INDIRECT("'["&amp;$C$1&amp;".xls]"&amp;$B221&amp;"'!$P$28"),""))</f>
        <v>#REF!</v>
      </c>
      <c r="AE221" s="48" t="e">
        <f ca="1">IF(INDIRECT("'["&amp;$C$1&amp;".xls]"&amp;$B221&amp;"'!$P$29")="","",IF(INDIRECT("'["&amp;$C$1&amp;".xls]"&amp;$B221&amp;"'!$O$29")="済み",INDIRECT("'["&amp;$C$1&amp;".xls]"&amp;$B221&amp;"'!$P$29"),""))</f>
        <v>#REF!</v>
      </c>
      <c r="AF221" s="48" t="e">
        <f ca="1">IF(INDIRECT("'["&amp;$C$1&amp;".xls]"&amp;$B221&amp;"'!$P$30")="","",IF(INDIRECT("'["&amp;$C$1&amp;".xls]"&amp;$B221&amp;"'!$O$30")="済み",INDIRECT("'["&amp;$C$1&amp;".xls]"&amp;$B221&amp;"'!$P$30"),""))</f>
        <v>#REF!</v>
      </c>
      <c r="AG221" s="48" t="e">
        <f ca="1">IF(INDIRECT("'["&amp;$C$1&amp;".xls]"&amp;$B221&amp;"'!$P$31")="","",IF(INDIRECT("'["&amp;$C$1&amp;".xls]"&amp;$B221&amp;"'!$O$31")="済み",INDIRECT("'["&amp;$C$1&amp;".xls]"&amp;$B221&amp;"'!$P$31"),""))</f>
        <v>#REF!</v>
      </c>
      <c r="AH221" s="48" t="e">
        <f ca="1">IF(INDIRECT("'["&amp;$C$1&amp;".xls]"&amp;$B221&amp;"'!$P$32")="","",IF(INDIRECT("'["&amp;$C$1&amp;".xls]"&amp;$B221&amp;"'!$O$32")="済み",INDIRECT("'["&amp;$C$1&amp;".xls]"&amp;$B221&amp;"'!$P$32"),""))</f>
        <v>#REF!</v>
      </c>
      <c r="AI221" s="48" t="e">
        <f ca="1">IF(INDIRECT("'["&amp;$C$1&amp;".xls]"&amp;$B221&amp;"'!$P$33")="","",IF(INDIRECT("'["&amp;$C$1&amp;".xls]"&amp;$B221&amp;"'!$O$33")="済み",INDIRECT("'["&amp;$C$1&amp;".xls]"&amp;$B221&amp;"'!$P$33"),""))</f>
        <v>#REF!</v>
      </c>
      <c r="AJ221" s="48" t="e">
        <f ca="1">IF(INDIRECT("'["&amp;$C$1&amp;".xls]"&amp;$B221&amp;"'!$P$34")="","",IF(INDIRECT("'["&amp;$C$1&amp;".xls]"&amp;$B221&amp;"'!$O$34")="済み",INDIRECT("'["&amp;$C$1&amp;".xls]"&amp;$B221&amp;"'!$P$34"),""))</f>
        <v>#REF!</v>
      </c>
      <c r="AK221" s="48" t="e">
        <f ca="1">IF(INDIRECT("'["&amp;$C$1&amp;".xls]"&amp;$B221&amp;"'!$T25")="","",IF(INDIRECT("'["&amp;$C$1&amp;".xls]"&amp;$B221&amp;"'!$O$25")="済み",INDIRECT("'["&amp;$C$1&amp;".xls]"&amp;$B221&amp;"'!$T$25"),""))</f>
        <v>#REF!</v>
      </c>
      <c r="AL221" s="48" t="e">
        <f ca="1">IF(INDIRECT("'["&amp;$C$1&amp;".xls]"&amp;$B221&amp;"'!$T26")="","",IF(INDIRECT("'["&amp;$C$1&amp;".xls]"&amp;$B221&amp;"'!$O$26")="済み",INDIRECT("'["&amp;$C$1&amp;".xls]"&amp;$B221&amp;"'!$T$26"),""))</f>
        <v>#REF!</v>
      </c>
      <c r="AM221" s="48" t="e">
        <f ca="1">IF(INDIRECT("'["&amp;$C$1&amp;".xls]"&amp;$B221&amp;"'!$T27")="","",IF(INDIRECT("'["&amp;$C$1&amp;".xls]"&amp;$B221&amp;"'!$O$27")="済み",INDIRECT("'["&amp;$C$1&amp;".xls]"&amp;$B221&amp;"'!$T$27"),""))</f>
        <v>#REF!</v>
      </c>
      <c r="AN221" s="48" t="e">
        <f ca="1">IF(INDIRECT("'["&amp;$C$1&amp;".xls]"&amp;$B221&amp;"'!$T28")="","",IF(INDIRECT("'["&amp;$C$1&amp;".xls]"&amp;$B221&amp;"'!$O$28")="済み",INDIRECT("'["&amp;$C$1&amp;".xls]"&amp;$B221&amp;"'!$T$28"),""))</f>
        <v>#REF!</v>
      </c>
      <c r="AO221" s="48" t="e">
        <f ca="1">IF(INDIRECT("'["&amp;$C$1&amp;".xls]"&amp;$B221&amp;"'!$T29")="","",IF(INDIRECT("'["&amp;$C$1&amp;".xls]"&amp;$B221&amp;"'!$O$29")="済み",INDIRECT("'["&amp;$C$1&amp;".xls]"&amp;$B221&amp;"'!$T$29"),""))</f>
        <v>#REF!</v>
      </c>
      <c r="AP221" s="48" t="e">
        <f ca="1">IF(INDIRECT("'["&amp;$C$1&amp;".xls]"&amp;$B221&amp;"'!$T30")="","",IF(INDIRECT("'["&amp;$C$1&amp;".xls]"&amp;$B221&amp;"'!$O$30")="済み",INDIRECT("'["&amp;$C$1&amp;".xls]"&amp;$B221&amp;"'!$T$30"),""))</f>
        <v>#REF!</v>
      </c>
      <c r="AQ221" s="48" t="e">
        <f ca="1">IF(INDIRECT("'["&amp;$C$1&amp;".xls]"&amp;$B221&amp;"'!$T31")="","",IF(INDIRECT("'["&amp;$C$1&amp;".xls]"&amp;$B221&amp;"'!$O$31")="済み",INDIRECT("'["&amp;$C$1&amp;".xls]"&amp;$B221&amp;"'!$T$31"),""))</f>
        <v>#REF!</v>
      </c>
      <c r="AR221" s="48" t="e">
        <f ca="1">IF(INDIRECT("'["&amp;$C$1&amp;".xls]"&amp;$B221&amp;"'!$T32")="","",IF(INDIRECT("'["&amp;$C$1&amp;".xls]"&amp;$B221&amp;"'!$O$32")="済み",INDIRECT("'["&amp;$C$1&amp;".xls]"&amp;$B221&amp;"'!$T$32"),""))</f>
        <v>#REF!</v>
      </c>
      <c r="AS221" s="48" t="e">
        <f ca="1">IF(INDIRECT("'["&amp;$C$1&amp;".xls]"&amp;$B221&amp;"'!$T33")="","",IF(INDIRECT("'["&amp;$C$1&amp;".xls]"&amp;$B221&amp;"'!$O$33")="済み",INDIRECT("'["&amp;$C$1&amp;".xls]"&amp;$B221&amp;"'!$T$33"),""))</f>
        <v>#REF!</v>
      </c>
      <c r="AT221" s="48" t="e">
        <f ca="1">IF(INDIRECT("'["&amp;$C$1&amp;".xls]"&amp;$B221&amp;"'!$T34")="","",IF(INDIRECT("'["&amp;$C$1&amp;".xls]"&amp;$B221&amp;"'!$O$34")="済み",INDIRECT("'["&amp;$C$1&amp;".xls]"&amp;$B221&amp;"'!$T$34"),""))</f>
        <v>#REF!</v>
      </c>
      <c r="AU221" s="93" t="e">
        <f ca="1">INDIRECT("'["&amp;$C$1&amp;".xls]"&amp;$B221&amp;"'!$B$6")</f>
        <v>#REF!</v>
      </c>
      <c r="AV221" s="93"/>
      <c r="AW221" s="93"/>
      <c r="AX221" s="93"/>
      <c r="AY221" s="93"/>
    </row>
    <row r="222" spans="1:52" ht="16.5" customHeight="1" x14ac:dyDescent="0.15">
      <c r="A222" s="144" t="s">
        <v>2721</v>
      </c>
      <c r="B222" s="145" t="s">
        <v>2722</v>
      </c>
      <c r="C222" s="48" t="s">
        <v>330</v>
      </c>
      <c r="D222" s="62" t="s">
        <v>263</v>
      </c>
      <c r="E222" s="48" t="s">
        <v>300</v>
      </c>
      <c r="F222" s="61">
        <v>42446</v>
      </c>
      <c r="G222" s="61">
        <v>42446</v>
      </c>
      <c r="H222" s="125">
        <v>42502</v>
      </c>
      <c r="I222" s="61" t="s">
        <v>279</v>
      </c>
      <c r="J222" s="87"/>
      <c r="K222" s="124" t="s">
        <v>263</v>
      </c>
      <c r="L222" s="124" t="s">
        <v>263</v>
      </c>
      <c r="M222" s="62" t="s">
        <v>755</v>
      </c>
      <c r="N222" s="62" t="s">
        <v>2723</v>
      </c>
      <c r="O222" s="48" t="s">
        <v>1044</v>
      </c>
      <c r="P222" s="48" t="s">
        <v>1403</v>
      </c>
      <c r="Q222" s="48" t="s">
        <v>2724</v>
      </c>
      <c r="R222" s="48" t="s">
        <v>2725</v>
      </c>
      <c r="S222" s="48" t="s">
        <v>2726</v>
      </c>
      <c r="T222" s="48" t="s">
        <v>2727</v>
      </c>
      <c r="U222" s="48" t="s">
        <v>2728</v>
      </c>
      <c r="V222" s="122" t="s">
        <v>263</v>
      </c>
      <c r="W222" s="122" t="s">
        <v>263</v>
      </c>
      <c r="X222" s="48" t="s">
        <v>2729</v>
      </c>
      <c r="Y222" s="48" t="s">
        <v>2730</v>
      </c>
      <c r="Z222" s="61"/>
      <c r="AA222" s="48" t="s">
        <v>273</v>
      </c>
      <c r="AB222" s="48" t="s">
        <v>273</v>
      </c>
      <c r="AC222" s="48" t="s">
        <v>273</v>
      </c>
      <c r="AD222" s="48" t="s">
        <v>273</v>
      </c>
      <c r="AE222" s="48" t="s">
        <v>273</v>
      </c>
      <c r="AF222" s="48" t="s">
        <v>273</v>
      </c>
      <c r="AG222" s="48" t="s">
        <v>273</v>
      </c>
      <c r="AH222" s="48" t="s">
        <v>273</v>
      </c>
      <c r="AI222" s="48" t="s">
        <v>273</v>
      </c>
      <c r="AJ222" s="48" t="s">
        <v>273</v>
      </c>
      <c r="AK222" s="48" t="s">
        <v>273</v>
      </c>
      <c r="AL222" s="48" t="s">
        <v>273</v>
      </c>
      <c r="AM222" s="48" t="s">
        <v>273</v>
      </c>
      <c r="AN222" s="48" t="s">
        <v>273</v>
      </c>
      <c r="AO222" s="48" t="s">
        <v>273</v>
      </c>
      <c r="AP222" s="48" t="s">
        <v>273</v>
      </c>
      <c r="AQ222" s="48" t="s">
        <v>273</v>
      </c>
      <c r="AR222" s="48" t="s">
        <v>273</v>
      </c>
      <c r="AS222" s="48" t="s">
        <v>273</v>
      </c>
      <c r="AT222" s="48" t="s">
        <v>273</v>
      </c>
      <c r="AU222" s="93">
        <v>38261</v>
      </c>
      <c r="AV222" s="93"/>
      <c r="AW222" s="93"/>
      <c r="AX222" s="93"/>
      <c r="AY222" s="93"/>
      <c r="AZ222" s="49" t="s">
        <v>2731</v>
      </c>
    </row>
    <row r="223" spans="1:52" ht="16.5" customHeight="1" x14ac:dyDescent="0.15">
      <c r="A223" s="134" t="s">
        <v>2732</v>
      </c>
      <c r="B223" s="136" t="s">
        <v>2733</v>
      </c>
      <c r="C223" s="48" t="s">
        <v>2734</v>
      </c>
      <c r="D223" s="62" t="s">
        <v>2735</v>
      </c>
      <c r="E223" s="48" t="s">
        <v>264</v>
      </c>
      <c r="F223" s="61">
        <v>42446</v>
      </c>
      <c r="G223" s="61">
        <v>42446</v>
      </c>
      <c r="H223" s="125">
        <v>42457</v>
      </c>
      <c r="I223" s="61" t="s">
        <v>279</v>
      </c>
      <c r="J223" s="87"/>
      <c r="K223" s="62" t="s">
        <v>12</v>
      </c>
      <c r="L223" s="62">
        <v>5</v>
      </c>
      <c r="M223" s="62" t="s">
        <v>209</v>
      </c>
      <c r="N223" s="62" t="s">
        <v>2736</v>
      </c>
      <c r="O223" s="48" t="s">
        <v>2737</v>
      </c>
      <c r="P223" s="48" t="s">
        <v>1844</v>
      </c>
      <c r="Q223" s="48" t="s">
        <v>1716</v>
      </c>
      <c r="R223" s="48" t="s">
        <v>1846</v>
      </c>
      <c r="S223" s="48" t="s">
        <v>2738</v>
      </c>
      <c r="T223" s="48" t="s">
        <v>2739</v>
      </c>
      <c r="U223" s="48" t="s">
        <v>1208</v>
      </c>
      <c r="V223" s="48"/>
      <c r="W223" s="48"/>
      <c r="X223" s="48" t="s">
        <v>2740</v>
      </c>
      <c r="Y223" s="48" t="s">
        <v>2741</v>
      </c>
      <c r="Z223" s="61"/>
      <c r="AA223" s="48" t="s">
        <v>273</v>
      </c>
      <c r="AB223" s="48" t="s">
        <v>273</v>
      </c>
      <c r="AC223" s="48" t="s">
        <v>273</v>
      </c>
      <c r="AD223" s="48" t="s">
        <v>273</v>
      </c>
      <c r="AE223" s="48" t="s">
        <v>273</v>
      </c>
      <c r="AF223" s="48" t="s">
        <v>273</v>
      </c>
      <c r="AG223" s="48" t="s">
        <v>273</v>
      </c>
      <c r="AH223" s="48" t="s">
        <v>273</v>
      </c>
      <c r="AI223" s="48" t="s">
        <v>273</v>
      </c>
      <c r="AJ223" s="48" t="s">
        <v>273</v>
      </c>
      <c r="AK223" s="48" t="s">
        <v>273</v>
      </c>
      <c r="AL223" s="48" t="s">
        <v>273</v>
      </c>
      <c r="AM223" s="48" t="s">
        <v>273</v>
      </c>
      <c r="AN223" s="48" t="s">
        <v>273</v>
      </c>
      <c r="AO223" s="48" t="s">
        <v>273</v>
      </c>
      <c r="AP223" s="48" t="s">
        <v>273</v>
      </c>
      <c r="AQ223" s="48" t="s">
        <v>273</v>
      </c>
      <c r="AR223" s="48" t="s">
        <v>273</v>
      </c>
      <c r="AS223" s="48" t="s">
        <v>273</v>
      </c>
      <c r="AT223" s="48" t="s">
        <v>273</v>
      </c>
      <c r="AU223" s="93">
        <v>41852</v>
      </c>
      <c r="AV223" s="93"/>
      <c r="AW223" s="93"/>
      <c r="AX223" s="93"/>
      <c r="AY223" s="93"/>
      <c r="AZ223" s="49" t="s">
        <v>2742</v>
      </c>
    </row>
    <row r="224" spans="1:52" ht="16.5" customHeight="1" x14ac:dyDescent="0.15">
      <c r="A224" s="146" t="s">
        <v>2743</v>
      </c>
      <c r="B224" s="147" t="s">
        <v>2744</v>
      </c>
      <c r="C224" s="48" t="s">
        <v>2745</v>
      </c>
      <c r="D224" s="62" t="s">
        <v>263</v>
      </c>
      <c r="E224" s="48" t="s">
        <v>264</v>
      </c>
      <c r="F224" s="61">
        <v>42446</v>
      </c>
      <c r="G224" s="61">
        <v>42446</v>
      </c>
      <c r="H224" s="125">
        <v>42527</v>
      </c>
      <c r="I224" s="61" t="s">
        <v>263</v>
      </c>
      <c r="J224" s="87"/>
      <c r="K224" s="62" t="s">
        <v>12</v>
      </c>
      <c r="L224" s="62">
        <v>3</v>
      </c>
      <c r="M224" s="62" t="s">
        <v>425</v>
      </c>
      <c r="N224" s="62" t="s">
        <v>2746</v>
      </c>
      <c r="O224" s="48" t="s">
        <v>2747</v>
      </c>
      <c r="P224" s="48" t="s">
        <v>267</v>
      </c>
      <c r="Q224" s="48" t="s">
        <v>263</v>
      </c>
      <c r="R224" s="122" t="s">
        <v>263</v>
      </c>
      <c r="S224" s="48" t="s">
        <v>269</v>
      </c>
      <c r="T224" s="48" t="s">
        <v>270</v>
      </c>
      <c r="U224" s="48" t="s">
        <v>2748</v>
      </c>
      <c r="V224" s="122" t="s">
        <v>263</v>
      </c>
      <c r="W224" s="122" t="s">
        <v>263</v>
      </c>
      <c r="X224" s="122" t="s">
        <v>263</v>
      </c>
      <c r="Y224" s="122" t="s">
        <v>263</v>
      </c>
      <c r="Z224" s="61"/>
      <c r="AA224" s="48" t="s">
        <v>436</v>
      </c>
      <c r="AB224" s="48" t="s">
        <v>273</v>
      </c>
      <c r="AC224" s="48" t="s">
        <v>273</v>
      </c>
      <c r="AD224" s="48" t="s">
        <v>273</v>
      </c>
      <c r="AE224" s="48" t="s">
        <v>273</v>
      </c>
      <c r="AF224" s="48" t="s">
        <v>273</v>
      </c>
      <c r="AG224" s="48" t="s">
        <v>273</v>
      </c>
      <c r="AH224" s="48" t="s">
        <v>273</v>
      </c>
      <c r="AI224" s="48" t="s">
        <v>273</v>
      </c>
      <c r="AJ224" s="48" t="s">
        <v>273</v>
      </c>
      <c r="AK224" s="48" t="s">
        <v>2749</v>
      </c>
      <c r="AL224" s="48" t="s">
        <v>273</v>
      </c>
      <c r="AM224" s="48" t="s">
        <v>273</v>
      </c>
      <c r="AN224" s="48" t="s">
        <v>273</v>
      </c>
      <c r="AO224" s="48" t="s">
        <v>273</v>
      </c>
      <c r="AP224" s="48" t="s">
        <v>273</v>
      </c>
      <c r="AQ224" s="48" t="s">
        <v>273</v>
      </c>
      <c r="AR224" s="48" t="s">
        <v>273</v>
      </c>
      <c r="AS224" s="48" t="s">
        <v>273</v>
      </c>
      <c r="AT224" s="48" t="s">
        <v>273</v>
      </c>
      <c r="AU224" s="93">
        <v>40513</v>
      </c>
      <c r="AV224" s="93"/>
      <c r="AW224" s="93"/>
      <c r="AX224" s="93"/>
      <c r="AY224" s="93"/>
    </row>
    <row r="225" spans="1:52" ht="16.5" customHeight="1" x14ac:dyDescent="0.15">
      <c r="A225" s="138" t="s">
        <v>2750</v>
      </c>
      <c r="B225" s="140" t="s">
        <v>2751</v>
      </c>
      <c r="C225" s="48" t="s">
        <v>298</v>
      </c>
      <c r="D225" s="62" t="s">
        <v>2752</v>
      </c>
      <c r="E225" s="48" t="s">
        <v>300</v>
      </c>
      <c r="F225" s="61">
        <v>42447</v>
      </c>
      <c r="G225" s="61">
        <v>42447</v>
      </c>
      <c r="H225" s="125">
        <v>42486</v>
      </c>
      <c r="I225" s="61" t="s">
        <v>279</v>
      </c>
      <c r="J225" s="87"/>
      <c r="K225" s="62" t="s">
        <v>12</v>
      </c>
      <c r="L225" s="62">
        <v>3</v>
      </c>
      <c r="M225" s="62" t="s">
        <v>442</v>
      </c>
      <c r="N225" s="62" t="s">
        <v>2753</v>
      </c>
      <c r="O225" s="48" t="s">
        <v>570</v>
      </c>
      <c r="P225" s="48" t="s">
        <v>2754</v>
      </c>
      <c r="Q225" s="48" t="s">
        <v>759</v>
      </c>
      <c r="R225" s="48" t="s">
        <v>760</v>
      </c>
      <c r="S225" s="48" t="s">
        <v>761</v>
      </c>
      <c r="T225" s="48" t="s">
        <v>762</v>
      </c>
      <c r="U225" s="48" t="s">
        <v>2755</v>
      </c>
      <c r="V225" s="122" t="s">
        <v>263</v>
      </c>
      <c r="W225" s="48" t="s">
        <v>2756</v>
      </c>
      <c r="X225" s="48" t="s">
        <v>2757</v>
      </c>
      <c r="Y225" s="48" t="s">
        <v>2758</v>
      </c>
      <c r="Z225" s="61"/>
      <c r="AA225" s="48" t="s">
        <v>581</v>
      </c>
      <c r="AB225" s="48" t="s">
        <v>645</v>
      </c>
      <c r="AC225" s="48" t="s">
        <v>273</v>
      </c>
      <c r="AD225" s="48" t="s">
        <v>273</v>
      </c>
      <c r="AE225" s="48" t="s">
        <v>273</v>
      </c>
      <c r="AF225" s="48" t="s">
        <v>273</v>
      </c>
      <c r="AG225" s="48" t="s">
        <v>273</v>
      </c>
      <c r="AH225" s="48" t="s">
        <v>273</v>
      </c>
      <c r="AI225" s="48" t="s">
        <v>273</v>
      </c>
      <c r="AJ225" s="48" t="s">
        <v>273</v>
      </c>
      <c r="AK225" s="48" t="s">
        <v>582</v>
      </c>
      <c r="AL225" s="48" t="s">
        <v>646</v>
      </c>
      <c r="AM225" s="48" t="s">
        <v>273</v>
      </c>
      <c r="AN225" s="48" t="s">
        <v>273</v>
      </c>
      <c r="AO225" s="48" t="s">
        <v>273</v>
      </c>
      <c r="AP225" s="48" t="s">
        <v>273</v>
      </c>
      <c r="AQ225" s="48" t="s">
        <v>273</v>
      </c>
      <c r="AR225" s="48" t="s">
        <v>273</v>
      </c>
      <c r="AS225" s="48" t="s">
        <v>273</v>
      </c>
      <c r="AT225" s="48" t="s">
        <v>273</v>
      </c>
      <c r="AU225" s="93">
        <v>39873</v>
      </c>
      <c r="AV225" s="93"/>
      <c r="AW225" s="93"/>
      <c r="AX225" s="93"/>
      <c r="AY225" s="93"/>
    </row>
    <row r="226" spans="1:52" ht="16.5" customHeight="1" x14ac:dyDescent="0.15">
      <c r="A226" s="138" t="s">
        <v>2759</v>
      </c>
      <c r="B226" s="140" t="s">
        <v>2760</v>
      </c>
      <c r="C226" s="48" t="s">
        <v>2761</v>
      </c>
      <c r="D226" s="62" t="s">
        <v>263</v>
      </c>
      <c r="E226" s="48" t="s">
        <v>264</v>
      </c>
      <c r="F226" s="61">
        <v>42451</v>
      </c>
      <c r="G226" s="61">
        <v>42451</v>
      </c>
      <c r="H226" s="125">
        <v>42467</v>
      </c>
      <c r="I226" s="61" t="s">
        <v>1249</v>
      </c>
      <c r="J226" s="87"/>
      <c r="K226" s="62" t="s">
        <v>12</v>
      </c>
      <c r="L226" s="62">
        <v>3</v>
      </c>
      <c r="M226" s="62" t="s">
        <v>209</v>
      </c>
      <c r="N226" s="62" t="s">
        <v>2762</v>
      </c>
      <c r="O226" s="48" t="s">
        <v>1402</v>
      </c>
      <c r="P226" s="48" t="s">
        <v>267</v>
      </c>
      <c r="Q226" s="48" t="s">
        <v>268</v>
      </c>
      <c r="R226" s="122" t="s">
        <v>263</v>
      </c>
      <c r="S226" s="48" t="s">
        <v>269</v>
      </c>
      <c r="T226" s="48" t="s">
        <v>270</v>
      </c>
      <c r="U226" s="48" t="s">
        <v>2763</v>
      </c>
      <c r="V226" s="122" t="s">
        <v>263</v>
      </c>
      <c r="W226" s="122" t="s">
        <v>263</v>
      </c>
      <c r="X226" s="122" t="s">
        <v>263</v>
      </c>
      <c r="Y226" s="122" t="s">
        <v>263</v>
      </c>
      <c r="Z226" s="61"/>
      <c r="AA226" s="48" t="s">
        <v>272</v>
      </c>
      <c r="AB226" s="48" t="s">
        <v>273</v>
      </c>
      <c r="AC226" s="48" t="s">
        <v>273</v>
      </c>
      <c r="AD226" s="48" t="s">
        <v>273</v>
      </c>
      <c r="AE226" s="48" t="s">
        <v>273</v>
      </c>
      <c r="AF226" s="48" t="s">
        <v>273</v>
      </c>
      <c r="AG226" s="48" t="s">
        <v>273</v>
      </c>
      <c r="AH226" s="48" t="s">
        <v>273</v>
      </c>
      <c r="AI226" s="48" t="s">
        <v>273</v>
      </c>
      <c r="AJ226" s="48" t="s">
        <v>273</v>
      </c>
      <c r="AK226" s="48" t="s">
        <v>274</v>
      </c>
      <c r="AL226" s="48" t="s">
        <v>273</v>
      </c>
      <c r="AM226" s="48" t="s">
        <v>273</v>
      </c>
      <c r="AN226" s="48" t="s">
        <v>273</v>
      </c>
      <c r="AO226" s="48" t="s">
        <v>273</v>
      </c>
      <c r="AP226" s="48" t="s">
        <v>273</v>
      </c>
      <c r="AQ226" s="48" t="s">
        <v>273</v>
      </c>
      <c r="AR226" s="48" t="s">
        <v>273</v>
      </c>
      <c r="AS226" s="48" t="s">
        <v>273</v>
      </c>
      <c r="AT226" s="48" t="s">
        <v>273</v>
      </c>
      <c r="AU226" s="93">
        <v>40575</v>
      </c>
      <c r="AV226" s="93"/>
      <c r="AW226" s="93"/>
      <c r="AX226" s="93"/>
      <c r="AY226" s="93"/>
    </row>
    <row r="227" spans="1:52" ht="16.5" customHeight="1" x14ac:dyDescent="0.15">
      <c r="A227" s="144" t="s">
        <v>2764</v>
      </c>
      <c r="B227" s="145" t="s">
        <v>2765</v>
      </c>
      <c r="C227" s="48" t="s">
        <v>330</v>
      </c>
      <c r="D227" s="62" t="s">
        <v>2766</v>
      </c>
      <c r="E227" s="48" t="s">
        <v>264</v>
      </c>
      <c r="F227" s="61">
        <v>42451</v>
      </c>
      <c r="G227" s="61">
        <v>42451</v>
      </c>
      <c r="H227" s="125">
        <v>42509</v>
      </c>
      <c r="I227" s="61" t="s">
        <v>279</v>
      </c>
      <c r="J227" s="87"/>
      <c r="K227" s="62" t="s">
        <v>12</v>
      </c>
      <c r="L227" s="62">
        <v>3</v>
      </c>
      <c r="M227" s="62" t="s">
        <v>209</v>
      </c>
      <c r="N227" s="62" t="s">
        <v>2767</v>
      </c>
      <c r="O227" s="48" t="s">
        <v>2737</v>
      </c>
      <c r="P227" s="48" t="s">
        <v>2768</v>
      </c>
      <c r="Q227" s="48" t="s">
        <v>2769</v>
      </c>
      <c r="R227" s="48" t="s">
        <v>2770</v>
      </c>
      <c r="S227" s="48" t="s">
        <v>2771</v>
      </c>
      <c r="T227" s="48" t="s">
        <v>2772</v>
      </c>
      <c r="U227" s="48" t="s">
        <v>2773</v>
      </c>
      <c r="V227" s="48" t="s">
        <v>2774</v>
      </c>
      <c r="W227" s="48" t="s">
        <v>324</v>
      </c>
      <c r="X227" s="48" t="s">
        <v>2775</v>
      </c>
      <c r="Y227" s="48" t="s">
        <v>2776</v>
      </c>
      <c r="Z227" s="61"/>
      <c r="AA227" s="48" t="s">
        <v>291</v>
      </c>
      <c r="AB227" s="148" t="s">
        <v>548</v>
      </c>
      <c r="AC227" s="148" t="s">
        <v>547</v>
      </c>
      <c r="AD227" s="148" t="s">
        <v>546</v>
      </c>
      <c r="AE227" s="48" t="s">
        <v>273</v>
      </c>
      <c r="AF227" s="48" t="s">
        <v>273</v>
      </c>
      <c r="AG227" s="48" t="s">
        <v>273</v>
      </c>
      <c r="AH227" s="48" t="s">
        <v>273</v>
      </c>
      <c r="AI227" s="48" t="s">
        <v>273</v>
      </c>
      <c r="AJ227" s="48" t="s">
        <v>273</v>
      </c>
      <c r="AK227" s="48" t="s">
        <v>293</v>
      </c>
      <c r="AL227" s="48" t="s">
        <v>549</v>
      </c>
      <c r="AM227" s="48" t="s">
        <v>550</v>
      </c>
      <c r="AN227" s="48" t="s">
        <v>551</v>
      </c>
      <c r="AO227" s="48" t="s">
        <v>273</v>
      </c>
      <c r="AP227" s="48" t="s">
        <v>273</v>
      </c>
      <c r="AQ227" s="48" t="s">
        <v>273</v>
      </c>
      <c r="AR227" s="48" t="s">
        <v>273</v>
      </c>
      <c r="AS227" s="48" t="s">
        <v>273</v>
      </c>
      <c r="AT227" s="48" t="s">
        <v>273</v>
      </c>
      <c r="AU227" s="93">
        <v>41821</v>
      </c>
      <c r="AV227" s="93"/>
      <c r="AW227" s="93"/>
      <c r="AX227" s="93"/>
      <c r="AY227" s="93"/>
      <c r="AZ227" s="49" t="s">
        <v>2777</v>
      </c>
    </row>
    <row r="228" spans="1:52" ht="16.5" customHeight="1" x14ac:dyDescent="0.15">
      <c r="A228" s="134" t="s">
        <v>2778</v>
      </c>
      <c r="B228" s="136" t="s">
        <v>2779</v>
      </c>
      <c r="C228" s="48" t="s">
        <v>330</v>
      </c>
      <c r="D228" s="62" t="s">
        <v>263</v>
      </c>
      <c r="E228" s="48" t="s">
        <v>273</v>
      </c>
      <c r="F228" s="61">
        <v>42451</v>
      </c>
      <c r="G228" s="61">
        <v>42451</v>
      </c>
      <c r="H228" s="125">
        <v>42460</v>
      </c>
      <c r="I228" s="61" t="s">
        <v>2780</v>
      </c>
      <c r="J228" s="87"/>
      <c r="K228" s="124" t="s">
        <v>263</v>
      </c>
      <c r="L228" s="124" t="s">
        <v>263</v>
      </c>
      <c r="M228" s="62" t="s">
        <v>394</v>
      </c>
      <c r="N228" s="62" t="s">
        <v>2781</v>
      </c>
      <c r="O228" s="48" t="s">
        <v>396</v>
      </c>
      <c r="P228" s="48" t="s">
        <v>707</v>
      </c>
      <c r="Q228" s="48" t="s">
        <v>2782</v>
      </c>
      <c r="R228" s="48" t="s">
        <v>2783</v>
      </c>
      <c r="S228" s="48" t="s">
        <v>400</v>
      </c>
      <c r="T228" s="48" t="s">
        <v>401</v>
      </c>
      <c r="U228" s="48" t="s">
        <v>2784</v>
      </c>
      <c r="V228" s="122" t="s">
        <v>263</v>
      </c>
      <c r="W228" s="122" t="s">
        <v>263</v>
      </c>
      <c r="X228" s="48" t="s">
        <v>1549</v>
      </c>
      <c r="Y228" s="48" t="s">
        <v>2785</v>
      </c>
      <c r="Z228" s="61"/>
      <c r="AA228" s="48" t="s">
        <v>273</v>
      </c>
      <c r="AB228" s="48" t="s">
        <v>273</v>
      </c>
      <c r="AC228" s="48" t="s">
        <v>273</v>
      </c>
      <c r="AD228" s="48" t="s">
        <v>273</v>
      </c>
      <c r="AE228" s="48" t="s">
        <v>273</v>
      </c>
      <c r="AF228" s="48" t="s">
        <v>273</v>
      </c>
      <c r="AG228" s="48" t="s">
        <v>273</v>
      </c>
      <c r="AH228" s="48" t="s">
        <v>273</v>
      </c>
      <c r="AI228" s="48" t="s">
        <v>273</v>
      </c>
      <c r="AJ228" s="48" t="s">
        <v>273</v>
      </c>
      <c r="AK228" s="48" t="s">
        <v>273</v>
      </c>
      <c r="AL228" s="48" t="s">
        <v>273</v>
      </c>
      <c r="AM228" s="48" t="s">
        <v>273</v>
      </c>
      <c r="AN228" s="48" t="s">
        <v>273</v>
      </c>
      <c r="AO228" s="48" t="s">
        <v>273</v>
      </c>
      <c r="AP228" s="48" t="s">
        <v>273</v>
      </c>
      <c r="AQ228" s="48" t="s">
        <v>273</v>
      </c>
      <c r="AR228" s="48" t="s">
        <v>273</v>
      </c>
      <c r="AS228" s="48" t="s">
        <v>273</v>
      </c>
      <c r="AT228" s="48" t="s">
        <v>273</v>
      </c>
      <c r="AU228" s="93">
        <v>38899</v>
      </c>
      <c r="AV228" s="93"/>
      <c r="AW228" s="93"/>
      <c r="AX228" s="93"/>
      <c r="AY228" s="93"/>
      <c r="AZ228" s="49" t="s">
        <v>2786</v>
      </c>
    </row>
    <row r="229" spans="1:52" ht="16.5" customHeight="1" x14ac:dyDescent="0.15">
      <c r="A229" s="156" t="s">
        <v>2787</v>
      </c>
      <c r="B229" s="157" t="s">
        <v>2788</v>
      </c>
      <c r="C229" s="48" t="s">
        <v>298</v>
      </c>
      <c r="D229" s="62" t="s">
        <v>2789</v>
      </c>
      <c r="E229" s="48" t="s">
        <v>300</v>
      </c>
      <c r="F229" s="61">
        <v>42451</v>
      </c>
      <c r="G229" s="61">
        <v>42451</v>
      </c>
      <c r="H229" s="125">
        <v>42634</v>
      </c>
      <c r="I229" s="61" t="s">
        <v>279</v>
      </c>
      <c r="J229" s="87"/>
      <c r="K229" s="124" t="s">
        <v>263</v>
      </c>
      <c r="L229" s="124" t="s">
        <v>263</v>
      </c>
      <c r="M229" s="62" t="s">
        <v>2790</v>
      </c>
      <c r="N229" s="62" t="s">
        <v>2791</v>
      </c>
      <c r="O229" s="48" t="s">
        <v>2792</v>
      </c>
      <c r="P229" s="48" t="s">
        <v>2793</v>
      </c>
      <c r="Q229" s="48" t="s">
        <v>2794</v>
      </c>
      <c r="R229" s="48" t="s">
        <v>2795</v>
      </c>
      <c r="S229" s="48" t="s">
        <v>2796</v>
      </c>
      <c r="T229" s="48" t="s">
        <v>2797</v>
      </c>
      <c r="U229" s="48" t="s">
        <v>2798</v>
      </c>
      <c r="V229" s="122" t="s">
        <v>263</v>
      </c>
      <c r="W229" s="122" t="s">
        <v>263</v>
      </c>
      <c r="X229" s="48" t="s">
        <v>2799</v>
      </c>
      <c r="Y229" s="48" t="s">
        <v>2800</v>
      </c>
      <c r="Z229" s="61"/>
      <c r="AA229" s="48" t="s">
        <v>273</v>
      </c>
      <c r="AB229" s="48" t="s">
        <v>273</v>
      </c>
      <c r="AC229" s="48" t="s">
        <v>273</v>
      </c>
      <c r="AD229" s="48" t="s">
        <v>273</v>
      </c>
      <c r="AE229" s="48" t="s">
        <v>273</v>
      </c>
      <c r="AF229" s="48" t="s">
        <v>273</v>
      </c>
      <c r="AG229" s="48" t="s">
        <v>273</v>
      </c>
      <c r="AH229" s="48" t="s">
        <v>273</v>
      </c>
      <c r="AI229" s="48" t="s">
        <v>273</v>
      </c>
      <c r="AJ229" s="48" t="s">
        <v>273</v>
      </c>
      <c r="AK229" s="48" t="s">
        <v>273</v>
      </c>
      <c r="AL229" s="48" t="s">
        <v>273</v>
      </c>
      <c r="AM229" s="48" t="s">
        <v>273</v>
      </c>
      <c r="AN229" s="48" t="s">
        <v>273</v>
      </c>
      <c r="AO229" s="48" t="s">
        <v>273</v>
      </c>
      <c r="AP229" s="48" t="s">
        <v>273</v>
      </c>
      <c r="AQ229" s="48" t="s">
        <v>273</v>
      </c>
      <c r="AR229" s="48" t="s">
        <v>273</v>
      </c>
      <c r="AS229" s="48" t="s">
        <v>273</v>
      </c>
      <c r="AT229" s="48" t="s">
        <v>273</v>
      </c>
      <c r="AU229" s="93">
        <v>39142</v>
      </c>
      <c r="AV229" s="93"/>
      <c r="AW229" s="93"/>
      <c r="AX229" s="93"/>
      <c r="AY229" s="93"/>
      <c r="AZ229" s="49" t="s">
        <v>2801</v>
      </c>
    </row>
    <row r="230" spans="1:52" ht="16.5" customHeight="1" x14ac:dyDescent="0.15">
      <c r="A230" s="134" t="s">
        <v>2802</v>
      </c>
      <c r="B230" s="136" t="s">
        <v>2803</v>
      </c>
      <c r="C230" s="48" t="s">
        <v>330</v>
      </c>
      <c r="D230" s="62" t="s">
        <v>2804</v>
      </c>
      <c r="E230" s="48" t="s">
        <v>300</v>
      </c>
      <c r="F230" s="61">
        <v>42451</v>
      </c>
      <c r="G230" s="61">
        <v>42451</v>
      </c>
      <c r="H230" s="125">
        <v>42458</v>
      </c>
      <c r="I230" s="61" t="s">
        <v>279</v>
      </c>
      <c r="J230" s="87"/>
      <c r="K230" s="62">
        <v>0</v>
      </c>
      <c r="L230" s="62"/>
      <c r="M230" s="62" t="s">
        <v>2805</v>
      </c>
      <c r="N230" s="62" t="s">
        <v>2806</v>
      </c>
      <c r="O230" s="48" t="s">
        <v>2807</v>
      </c>
      <c r="P230" s="48" t="s">
        <v>1469</v>
      </c>
      <c r="Q230" s="48" t="s">
        <v>1470</v>
      </c>
      <c r="R230" s="48"/>
      <c r="S230" s="48" t="s">
        <v>269</v>
      </c>
      <c r="T230" s="48" t="s">
        <v>270</v>
      </c>
      <c r="U230" s="48" t="s">
        <v>2808</v>
      </c>
      <c r="V230" s="122" t="s">
        <v>263</v>
      </c>
      <c r="W230" s="122" t="s">
        <v>263</v>
      </c>
      <c r="X230" s="48" t="s">
        <v>2809</v>
      </c>
      <c r="Y230" s="48" t="s">
        <v>2810</v>
      </c>
      <c r="Z230" s="61"/>
      <c r="AA230" s="48" t="s">
        <v>273</v>
      </c>
      <c r="AB230" s="48" t="s">
        <v>273</v>
      </c>
      <c r="AC230" s="48" t="s">
        <v>273</v>
      </c>
      <c r="AD230" s="48" t="s">
        <v>273</v>
      </c>
      <c r="AE230" s="48" t="s">
        <v>273</v>
      </c>
      <c r="AF230" s="48" t="s">
        <v>273</v>
      </c>
      <c r="AG230" s="48" t="s">
        <v>273</v>
      </c>
      <c r="AH230" s="48" t="s">
        <v>273</v>
      </c>
      <c r="AI230" s="48" t="s">
        <v>273</v>
      </c>
      <c r="AJ230" s="48" t="s">
        <v>273</v>
      </c>
      <c r="AK230" s="48" t="s">
        <v>273</v>
      </c>
      <c r="AL230" s="48" t="s">
        <v>273</v>
      </c>
      <c r="AM230" s="48" t="s">
        <v>273</v>
      </c>
      <c r="AN230" s="48" t="s">
        <v>273</v>
      </c>
      <c r="AO230" s="48" t="s">
        <v>273</v>
      </c>
      <c r="AP230" s="48" t="s">
        <v>273</v>
      </c>
      <c r="AQ230" s="48" t="s">
        <v>273</v>
      </c>
      <c r="AR230" s="48" t="s">
        <v>273</v>
      </c>
      <c r="AS230" s="48" t="s">
        <v>273</v>
      </c>
      <c r="AT230" s="48" t="s">
        <v>273</v>
      </c>
      <c r="AU230" s="93">
        <v>40391</v>
      </c>
      <c r="AV230" s="93"/>
      <c r="AW230" s="93"/>
      <c r="AX230" s="93"/>
      <c r="AY230" s="93"/>
    </row>
    <row r="231" spans="1:52" ht="16.5" customHeight="1" x14ac:dyDescent="0.15">
      <c r="A231" s="151" t="s">
        <v>2811</v>
      </c>
      <c r="B231" s="152" t="s">
        <v>2812</v>
      </c>
      <c r="C231" s="48" t="s">
        <v>2813</v>
      </c>
      <c r="D231" s="62" t="s">
        <v>263</v>
      </c>
      <c r="E231" s="48" t="s">
        <v>264</v>
      </c>
      <c r="F231" s="61">
        <v>42451</v>
      </c>
      <c r="G231" s="61">
        <v>42451</v>
      </c>
      <c r="H231" s="125">
        <v>42552</v>
      </c>
      <c r="I231" s="61" t="s">
        <v>263</v>
      </c>
      <c r="J231" s="87"/>
      <c r="K231" s="62">
        <v>0</v>
      </c>
      <c r="L231" s="62"/>
      <c r="M231" s="62" t="s">
        <v>680</v>
      </c>
      <c r="N231" s="62" t="s">
        <v>2814</v>
      </c>
      <c r="O231" s="48" t="s">
        <v>2657</v>
      </c>
      <c r="P231" s="48" t="s">
        <v>267</v>
      </c>
      <c r="Q231" s="48" t="s">
        <v>892</v>
      </c>
      <c r="R231" s="122" t="s">
        <v>263</v>
      </c>
      <c r="S231" s="48" t="s">
        <v>269</v>
      </c>
      <c r="T231" s="48" t="s">
        <v>270</v>
      </c>
      <c r="U231" s="48" t="s">
        <v>2815</v>
      </c>
      <c r="V231" s="122" t="s">
        <v>263</v>
      </c>
      <c r="W231" s="122" t="s">
        <v>263</v>
      </c>
      <c r="X231" s="122" t="s">
        <v>263</v>
      </c>
      <c r="Y231" s="122" t="s">
        <v>263</v>
      </c>
      <c r="Z231" s="61"/>
      <c r="AA231" s="48" t="s">
        <v>833</v>
      </c>
      <c r="AB231" s="48" t="s">
        <v>1139</v>
      </c>
      <c r="AC231" s="48" t="s">
        <v>273</v>
      </c>
      <c r="AD231" s="48" t="s">
        <v>273</v>
      </c>
      <c r="AE231" s="48" t="s">
        <v>273</v>
      </c>
      <c r="AF231" s="48" t="s">
        <v>273</v>
      </c>
      <c r="AG231" s="48" t="s">
        <v>273</v>
      </c>
      <c r="AH231" s="48" t="s">
        <v>273</v>
      </c>
      <c r="AI231" s="48" t="s">
        <v>273</v>
      </c>
      <c r="AJ231" s="48" t="s">
        <v>273</v>
      </c>
      <c r="AK231" s="48" t="s">
        <v>834</v>
      </c>
      <c r="AL231" s="48" t="s">
        <v>1140</v>
      </c>
      <c r="AM231" s="48" t="s">
        <v>273</v>
      </c>
      <c r="AN231" s="48" t="s">
        <v>273</v>
      </c>
      <c r="AO231" s="48" t="s">
        <v>273</v>
      </c>
      <c r="AP231" s="48" t="s">
        <v>273</v>
      </c>
      <c r="AQ231" s="48" t="s">
        <v>273</v>
      </c>
      <c r="AR231" s="48" t="s">
        <v>273</v>
      </c>
      <c r="AS231" s="48" t="s">
        <v>273</v>
      </c>
      <c r="AT231" s="48" t="s">
        <v>273</v>
      </c>
      <c r="AU231" s="93">
        <v>41609</v>
      </c>
      <c r="AV231" s="93"/>
      <c r="AW231" s="93"/>
      <c r="AX231" s="93"/>
      <c r="AY231" s="93"/>
    </row>
    <row r="232" spans="1:52" ht="16.5" customHeight="1" x14ac:dyDescent="0.15">
      <c r="A232" s="199" t="s">
        <v>2816</v>
      </c>
      <c r="B232" s="209" t="s">
        <v>2817</v>
      </c>
      <c r="C232" s="48" t="s">
        <v>330</v>
      </c>
      <c r="D232" s="62" t="s">
        <v>263</v>
      </c>
      <c r="E232" s="48" t="s">
        <v>300</v>
      </c>
      <c r="F232" s="61">
        <v>42452</v>
      </c>
      <c r="G232" s="61">
        <v>42452</v>
      </c>
      <c r="H232" s="125">
        <v>42681</v>
      </c>
      <c r="I232" s="61">
        <v>38932</v>
      </c>
      <c r="J232" s="87"/>
      <c r="K232" s="124" t="s">
        <v>2818</v>
      </c>
      <c r="L232" s="124" t="s">
        <v>2818</v>
      </c>
      <c r="M232" s="62" t="s">
        <v>394</v>
      </c>
      <c r="N232" s="62" t="s">
        <v>2819</v>
      </c>
      <c r="O232" s="48" t="s">
        <v>555</v>
      </c>
      <c r="P232" s="48" t="s">
        <v>474</v>
      </c>
      <c r="Q232" s="48" t="s">
        <v>475</v>
      </c>
      <c r="R232" s="48" t="s">
        <v>2820</v>
      </c>
      <c r="S232" s="48" t="s">
        <v>400</v>
      </c>
      <c r="T232" s="48" t="s">
        <v>401</v>
      </c>
      <c r="U232" s="48" t="s">
        <v>2821</v>
      </c>
      <c r="V232" s="122" t="s">
        <v>2818</v>
      </c>
      <c r="W232" s="48"/>
      <c r="X232" s="122" t="s">
        <v>2822</v>
      </c>
      <c r="Y232" s="48" t="s">
        <v>2823</v>
      </c>
      <c r="Z232" s="61"/>
      <c r="AA232" s="48" t="s">
        <v>273</v>
      </c>
      <c r="AB232" s="48" t="s">
        <v>273</v>
      </c>
      <c r="AC232" s="48" t="s">
        <v>273</v>
      </c>
      <c r="AD232" s="48" t="s">
        <v>273</v>
      </c>
      <c r="AE232" s="48" t="s">
        <v>273</v>
      </c>
      <c r="AF232" s="48" t="s">
        <v>273</v>
      </c>
      <c r="AG232" s="48" t="s">
        <v>273</v>
      </c>
      <c r="AH232" s="48" t="s">
        <v>273</v>
      </c>
      <c r="AI232" s="48" t="s">
        <v>273</v>
      </c>
      <c r="AJ232" s="48" t="s">
        <v>273</v>
      </c>
      <c r="AK232" s="48" t="s">
        <v>273</v>
      </c>
      <c r="AL232" s="48" t="s">
        <v>273</v>
      </c>
      <c r="AM232" s="48" t="s">
        <v>273</v>
      </c>
      <c r="AN232" s="48" t="s">
        <v>273</v>
      </c>
      <c r="AO232" s="48" t="s">
        <v>273</v>
      </c>
      <c r="AP232" s="48" t="s">
        <v>273</v>
      </c>
      <c r="AQ232" s="48" t="s">
        <v>273</v>
      </c>
      <c r="AR232" s="48" t="s">
        <v>273</v>
      </c>
      <c r="AS232" s="48" t="s">
        <v>273</v>
      </c>
      <c r="AT232" s="48" t="s">
        <v>273</v>
      </c>
      <c r="AU232" s="93">
        <v>38565</v>
      </c>
      <c r="AV232" s="93"/>
      <c r="AW232" s="93"/>
      <c r="AX232" s="93"/>
      <c r="AY232" s="93"/>
    </row>
    <row r="233" spans="1:52" ht="16.5" customHeight="1" x14ac:dyDescent="0.15">
      <c r="A233" s="138" t="s">
        <v>2824</v>
      </c>
      <c r="B233" s="140" t="s">
        <v>2825</v>
      </c>
      <c r="C233" s="48" t="s">
        <v>2826</v>
      </c>
      <c r="D233" s="62" t="s">
        <v>263</v>
      </c>
      <c r="E233" s="48" t="s">
        <v>264</v>
      </c>
      <c r="F233" s="61">
        <v>42452</v>
      </c>
      <c r="G233" s="61">
        <v>42452</v>
      </c>
      <c r="H233" s="125">
        <v>42473</v>
      </c>
      <c r="I233" s="61">
        <v>41715</v>
      </c>
      <c r="J233" s="87"/>
      <c r="K233" s="62" t="s">
        <v>12</v>
      </c>
      <c r="L233" s="62">
        <v>3</v>
      </c>
      <c r="M233" s="62" t="s">
        <v>471</v>
      </c>
      <c r="N233" s="62" t="s">
        <v>2827</v>
      </c>
      <c r="O233" s="48" t="s">
        <v>502</v>
      </c>
      <c r="P233" s="48" t="s">
        <v>524</v>
      </c>
      <c r="Q233" s="48" t="s">
        <v>1352</v>
      </c>
      <c r="R233" s="48" t="s">
        <v>2820</v>
      </c>
      <c r="S233" s="48" t="s">
        <v>400</v>
      </c>
      <c r="T233" s="48" t="s">
        <v>401</v>
      </c>
      <c r="U233" s="48" t="s">
        <v>2828</v>
      </c>
      <c r="V233" s="122" t="s">
        <v>263</v>
      </c>
      <c r="W233" s="122" t="s">
        <v>263</v>
      </c>
      <c r="X233" s="48" t="s">
        <v>1354</v>
      </c>
      <c r="Y233" s="48" t="s">
        <v>1355</v>
      </c>
      <c r="Z233" s="61"/>
      <c r="AA233" s="48" t="s">
        <v>1159</v>
      </c>
      <c r="AB233" s="48" t="s">
        <v>273</v>
      </c>
      <c r="AC233" s="48" t="s">
        <v>273</v>
      </c>
      <c r="AD233" s="48" t="s">
        <v>273</v>
      </c>
      <c r="AE233" s="48" t="s">
        <v>273</v>
      </c>
      <c r="AF233" s="48" t="s">
        <v>273</v>
      </c>
      <c r="AG233" s="48" t="s">
        <v>273</v>
      </c>
      <c r="AH233" s="48" t="s">
        <v>273</v>
      </c>
      <c r="AI233" s="48" t="s">
        <v>273</v>
      </c>
      <c r="AJ233" s="48" t="s">
        <v>273</v>
      </c>
      <c r="AK233" s="48" t="s">
        <v>1161</v>
      </c>
      <c r="AL233" s="48" t="s">
        <v>273</v>
      </c>
      <c r="AM233" s="48" t="s">
        <v>273</v>
      </c>
      <c r="AN233" s="48" t="s">
        <v>273</v>
      </c>
      <c r="AO233" s="48" t="s">
        <v>273</v>
      </c>
      <c r="AP233" s="48" t="s">
        <v>273</v>
      </c>
      <c r="AQ233" s="48" t="s">
        <v>273</v>
      </c>
      <c r="AR233" s="48" t="s">
        <v>273</v>
      </c>
      <c r="AS233" s="48" t="s">
        <v>273</v>
      </c>
      <c r="AT233" s="48" t="s">
        <v>273</v>
      </c>
      <c r="AU233" s="93">
        <v>41579</v>
      </c>
      <c r="AV233" s="93"/>
      <c r="AW233" s="93"/>
      <c r="AX233" s="93"/>
      <c r="AY233" s="93"/>
    </row>
    <row r="234" spans="1:52" ht="16.5" customHeight="1" x14ac:dyDescent="0.15">
      <c r="A234" s="146" t="s">
        <v>2829</v>
      </c>
      <c r="B234" s="147" t="s">
        <v>2830</v>
      </c>
      <c r="C234" s="48" t="s">
        <v>2831</v>
      </c>
      <c r="D234" s="62" t="s">
        <v>263</v>
      </c>
      <c r="E234" s="48" t="s">
        <v>264</v>
      </c>
      <c r="F234" s="61">
        <v>42452</v>
      </c>
      <c r="G234" s="61">
        <v>42452</v>
      </c>
      <c r="H234" s="149">
        <v>42529</v>
      </c>
      <c r="I234" s="48" t="s">
        <v>279</v>
      </c>
      <c r="J234" s="87"/>
      <c r="K234" s="62" t="s">
        <v>14</v>
      </c>
      <c r="L234" s="62">
        <v>3</v>
      </c>
      <c r="M234" s="62" t="s">
        <v>471</v>
      </c>
      <c r="N234" s="62" t="s">
        <v>2832</v>
      </c>
      <c r="O234" s="48" t="s">
        <v>502</v>
      </c>
      <c r="P234" s="48" t="s">
        <v>2833</v>
      </c>
      <c r="Q234" s="130" t="s">
        <v>1520</v>
      </c>
      <c r="R234" s="48" t="s">
        <v>2820</v>
      </c>
      <c r="S234" s="48" t="s">
        <v>400</v>
      </c>
      <c r="T234" s="48" t="s">
        <v>401</v>
      </c>
      <c r="U234" s="48" t="s">
        <v>2834</v>
      </c>
      <c r="V234" s="122" t="s">
        <v>263</v>
      </c>
      <c r="W234" s="122" t="s">
        <v>263</v>
      </c>
      <c r="X234" s="48" t="s">
        <v>2233</v>
      </c>
      <c r="Y234" s="48" t="s">
        <v>2835</v>
      </c>
      <c r="Z234" s="61"/>
      <c r="AA234" s="48" t="s">
        <v>508</v>
      </c>
      <c r="AB234" s="48" t="s">
        <v>273</v>
      </c>
      <c r="AC234" s="48" t="s">
        <v>273</v>
      </c>
      <c r="AD234" s="48" t="s">
        <v>273</v>
      </c>
      <c r="AE234" s="48" t="s">
        <v>273</v>
      </c>
      <c r="AF234" s="48" t="s">
        <v>273</v>
      </c>
      <c r="AG234" s="48" t="s">
        <v>273</v>
      </c>
      <c r="AH234" s="48" t="s">
        <v>273</v>
      </c>
      <c r="AI234" s="48" t="s">
        <v>273</v>
      </c>
      <c r="AJ234" s="48" t="s">
        <v>273</v>
      </c>
      <c r="AK234" s="48" t="s">
        <v>509</v>
      </c>
      <c r="AL234" s="48" t="s">
        <v>273</v>
      </c>
      <c r="AM234" s="48" t="s">
        <v>273</v>
      </c>
      <c r="AN234" s="48" t="s">
        <v>273</v>
      </c>
      <c r="AO234" s="48" t="s">
        <v>273</v>
      </c>
      <c r="AP234" s="48" t="s">
        <v>273</v>
      </c>
      <c r="AQ234" s="48" t="s">
        <v>273</v>
      </c>
      <c r="AR234" s="48" t="s">
        <v>273</v>
      </c>
      <c r="AS234" s="48" t="s">
        <v>273</v>
      </c>
      <c r="AT234" s="48" t="s">
        <v>273</v>
      </c>
      <c r="AU234" s="93">
        <v>41334</v>
      </c>
      <c r="AV234" s="93"/>
      <c r="AW234" s="93"/>
      <c r="AX234" s="93"/>
      <c r="AY234" s="93"/>
      <c r="AZ234" s="49" t="s">
        <v>2836</v>
      </c>
    </row>
    <row r="235" spans="1:52" ht="16.5" customHeight="1" x14ac:dyDescent="0.15">
      <c r="A235" s="144" t="s">
        <v>2837</v>
      </c>
      <c r="B235" s="145" t="s">
        <v>2838</v>
      </c>
      <c r="C235" s="48" t="s">
        <v>298</v>
      </c>
      <c r="D235" s="62" t="s">
        <v>263</v>
      </c>
      <c r="E235" s="48" t="s">
        <v>273</v>
      </c>
      <c r="F235" s="61">
        <v>42453</v>
      </c>
      <c r="G235" s="61">
        <v>42453</v>
      </c>
      <c r="H235" s="125">
        <v>42502</v>
      </c>
      <c r="I235" s="61">
        <v>40290</v>
      </c>
      <c r="J235" s="87"/>
      <c r="K235" s="62" t="s">
        <v>12</v>
      </c>
      <c r="L235" s="62">
        <v>3</v>
      </c>
      <c r="M235" s="62" t="s">
        <v>394</v>
      </c>
      <c r="N235" s="62" t="s">
        <v>2839</v>
      </c>
      <c r="O235" s="48" t="s">
        <v>396</v>
      </c>
      <c r="P235" s="48" t="s">
        <v>2840</v>
      </c>
      <c r="Q235" s="48" t="s">
        <v>2841</v>
      </c>
      <c r="R235" s="48" t="s">
        <v>2820</v>
      </c>
      <c r="S235" s="48" t="s">
        <v>400</v>
      </c>
      <c r="T235" s="48" t="s">
        <v>401</v>
      </c>
      <c r="U235" s="48" t="s">
        <v>2842</v>
      </c>
      <c r="V235" s="122" t="s">
        <v>263</v>
      </c>
      <c r="W235" s="122" t="s">
        <v>263</v>
      </c>
      <c r="X235" s="48" t="s">
        <v>2843</v>
      </c>
      <c r="Y235" s="48" t="s">
        <v>2844</v>
      </c>
      <c r="Z235" s="61"/>
      <c r="AA235" s="48" t="s">
        <v>782</v>
      </c>
      <c r="AB235" s="48" t="s">
        <v>273</v>
      </c>
      <c r="AC235" s="48" t="s">
        <v>273</v>
      </c>
      <c r="AD235" s="48" t="s">
        <v>273</v>
      </c>
      <c r="AE235" s="48" t="s">
        <v>273</v>
      </c>
      <c r="AF235" s="48" t="s">
        <v>273</v>
      </c>
      <c r="AG235" s="48" t="s">
        <v>273</v>
      </c>
      <c r="AH235" s="48" t="s">
        <v>273</v>
      </c>
      <c r="AI235" s="48" t="s">
        <v>273</v>
      </c>
      <c r="AJ235" s="48" t="s">
        <v>273</v>
      </c>
      <c r="AK235" s="48" t="s">
        <v>786</v>
      </c>
      <c r="AL235" s="48" t="s">
        <v>273</v>
      </c>
      <c r="AM235" s="48" t="s">
        <v>273</v>
      </c>
      <c r="AN235" s="48" t="s">
        <v>273</v>
      </c>
      <c r="AO235" s="48" t="s">
        <v>273</v>
      </c>
      <c r="AP235" s="48" t="s">
        <v>273</v>
      </c>
      <c r="AQ235" s="48" t="s">
        <v>273</v>
      </c>
      <c r="AR235" s="48" t="s">
        <v>273</v>
      </c>
      <c r="AS235" s="48" t="s">
        <v>273</v>
      </c>
      <c r="AT235" s="48" t="s">
        <v>273</v>
      </c>
      <c r="AU235" s="93">
        <v>39814</v>
      </c>
      <c r="AV235" s="93"/>
      <c r="AW235" s="93"/>
      <c r="AX235" s="93"/>
      <c r="AY235" s="93"/>
    </row>
    <row r="236" spans="1:52" ht="16.5" customHeight="1" x14ac:dyDescent="0.15">
      <c r="A236" s="134" t="s">
        <v>2845</v>
      </c>
      <c r="B236" s="136" t="s">
        <v>2846</v>
      </c>
      <c r="C236" s="48" t="s">
        <v>298</v>
      </c>
      <c r="D236" s="62" t="s">
        <v>2847</v>
      </c>
      <c r="E236" s="48" t="s">
        <v>300</v>
      </c>
      <c r="F236" s="61">
        <v>42453</v>
      </c>
      <c r="G236" s="61">
        <v>42453</v>
      </c>
      <c r="H236" s="125">
        <v>42458</v>
      </c>
      <c r="I236" s="61" t="s">
        <v>279</v>
      </c>
      <c r="J236" s="87"/>
      <c r="K236" s="62" t="s">
        <v>16</v>
      </c>
      <c r="L236" s="62">
        <v>5</v>
      </c>
      <c r="M236" s="62">
        <v>180</v>
      </c>
      <c r="N236" s="62" t="s">
        <v>2848</v>
      </c>
      <c r="O236" s="48" t="s">
        <v>1528</v>
      </c>
      <c r="P236" s="48" t="s">
        <v>1029</v>
      </c>
      <c r="Q236" s="48" t="s">
        <v>2849</v>
      </c>
      <c r="R236" s="48" t="s">
        <v>2335</v>
      </c>
      <c r="S236" s="48" t="s">
        <v>1032</v>
      </c>
      <c r="T236" s="48" t="s">
        <v>1033</v>
      </c>
      <c r="U236" s="48" t="s">
        <v>2850</v>
      </c>
      <c r="V236" s="48" t="s">
        <v>2851</v>
      </c>
      <c r="W236" s="48" t="s">
        <v>2852</v>
      </c>
      <c r="X236" s="48" t="s">
        <v>2853</v>
      </c>
      <c r="Y236" s="48" t="s">
        <v>2854</v>
      </c>
      <c r="Z236" s="61"/>
      <c r="AA236" s="48" t="s">
        <v>273</v>
      </c>
      <c r="AB236" s="48" t="s">
        <v>273</v>
      </c>
      <c r="AC236" s="48" t="s">
        <v>273</v>
      </c>
      <c r="AD236" s="48" t="s">
        <v>273</v>
      </c>
      <c r="AE236" s="48" t="s">
        <v>273</v>
      </c>
      <c r="AF236" s="48" t="s">
        <v>273</v>
      </c>
      <c r="AG236" s="48" t="s">
        <v>273</v>
      </c>
      <c r="AH236" s="48" t="s">
        <v>273</v>
      </c>
      <c r="AI236" s="48" t="s">
        <v>273</v>
      </c>
      <c r="AJ236" s="48" t="s">
        <v>273</v>
      </c>
      <c r="AK236" s="48" t="s">
        <v>273</v>
      </c>
      <c r="AL236" s="48" t="s">
        <v>273</v>
      </c>
      <c r="AM236" s="48" t="s">
        <v>273</v>
      </c>
      <c r="AN236" s="48" t="s">
        <v>273</v>
      </c>
      <c r="AO236" s="48" t="s">
        <v>273</v>
      </c>
      <c r="AP236" s="48" t="s">
        <v>273</v>
      </c>
      <c r="AQ236" s="48" t="s">
        <v>273</v>
      </c>
      <c r="AR236" s="48" t="s">
        <v>273</v>
      </c>
      <c r="AS236" s="48" t="s">
        <v>273</v>
      </c>
      <c r="AT236" s="48" t="s">
        <v>273</v>
      </c>
      <c r="AU236" s="93">
        <v>36557</v>
      </c>
      <c r="AV236" s="93"/>
      <c r="AW236" s="93"/>
      <c r="AX236" s="93"/>
      <c r="AY236" s="93"/>
      <c r="AZ236" s="49" t="s">
        <v>2855</v>
      </c>
    </row>
    <row r="237" spans="1:52" ht="16.5" customHeight="1" x14ac:dyDescent="0.15">
      <c r="A237" s="144" t="s">
        <v>2856</v>
      </c>
      <c r="B237" s="145" t="s">
        <v>2857</v>
      </c>
      <c r="C237" s="48" t="s">
        <v>298</v>
      </c>
      <c r="D237" s="62" t="s">
        <v>2858</v>
      </c>
      <c r="E237" s="48" t="s">
        <v>300</v>
      </c>
      <c r="F237" s="61">
        <v>42453</v>
      </c>
      <c r="G237" s="61">
        <v>42453</v>
      </c>
      <c r="H237" s="125">
        <v>42509</v>
      </c>
      <c r="I237" s="61" t="s">
        <v>279</v>
      </c>
      <c r="J237" s="87"/>
      <c r="K237" s="62" t="s">
        <v>12</v>
      </c>
      <c r="L237" s="62">
        <v>3</v>
      </c>
      <c r="M237" s="62" t="s">
        <v>409</v>
      </c>
      <c r="N237" s="62" t="s">
        <v>2859</v>
      </c>
      <c r="O237" s="48" t="s">
        <v>606</v>
      </c>
      <c r="P237" s="48" t="s">
        <v>1995</v>
      </c>
      <c r="Q237" s="48" t="s">
        <v>2692</v>
      </c>
      <c r="R237" s="48" t="s">
        <v>2860</v>
      </c>
      <c r="S237" s="48" t="s">
        <v>1997</v>
      </c>
      <c r="T237" s="48" t="s">
        <v>2861</v>
      </c>
      <c r="U237" s="48" t="s">
        <v>2862</v>
      </c>
      <c r="V237" s="122" t="s">
        <v>263</v>
      </c>
      <c r="W237" s="122" t="s">
        <v>263</v>
      </c>
      <c r="X237" s="48" t="s">
        <v>2453</v>
      </c>
      <c r="Y237" s="48" t="s">
        <v>2454</v>
      </c>
      <c r="Z237" s="61"/>
      <c r="AA237" s="48" t="s">
        <v>2863</v>
      </c>
      <c r="AB237" s="48" t="s">
        <v>273</v>
      </c>
      <c r="AC237" s="48" t="s">
        <v>273</v>
      </c>
      <c r="AD237" s="48" t="s">
        <v>273</v>
      </c>
      <c r="AE237" s="48" t="s">
        <v>273</v>
      </c>
      <c r="AF237" s="48" t="s">
        <v>273</v>
      </c>
      <c r="AG237" s="48" t="s">
        <v>273</v>
      </c>
      <c r="AH237" s="48" t="s">
        <v>273</v>
      </c>
      <c r="AI237" s="48" t="s">
        <v>273</v>
      </c>
      <c r="AJ237" s="48" t="s">
        <v>273</v>
      </c>
      <c r="AK237" s="48" t="s">
        <v>2864</v>
      </c>
      <c r="AL237" s="48" t="s">
        <v>273</v>
      </c>
      <c r="AM237" s="48" t="s">
        <v>273</v>
      </c>
      <c r="AN237" s="48" t="s">
        <v>273</v>
      </c>
      <c r="AO237" s="48" t="s">
        <v>273</v>
      </c>
      <c r="AP237" s="48" t="s">
        <v>273</v>
      </c>
      <c r="AQ237" s="48" t="s">
        <v>273</v>
      </c>
      <c r="AR237" s="48" t="s">
        <v>273</v>
      </c>
      <c r="AS237" s="48" t="s">
        <v>273</v>
      </c>
      <c r="AT237" s="48" t="s">
        <v>273</v>
      </c>
      <c r="AU237" s="93">
        <v>40179</v>
      </c>
      <c r="AV237" s="93"/>
      <c r="AW237" s="93"/>
      <c r="AX237" s="93"/>
      <c r="AY237" s="93"/>
    </row>
    <row r="238" spans="1:52" ht="16.5" customHeight="1" x14ac:dyDescent="0.15">
      <c r="A238" s="153" t="s">
        <v>2865</v>
      </c>
      <c r="B238" s="154" t="s">
        <v>2866</v>
      </c>
      <c r="C238" s="48" t="s">
        <v>298</v>
      </c>
      <c r="D238" s="62" t="s">
        <v>2867</v>
      </c>
      <c r="E238" s="48" t="s">
        <v>300</v>
      </c>
      <c r="F238" s="61">
        <v>42453</v>
      </c>
      <c r="G238" s="61">
        <v>42453</v>
      </c>
      <c r="H238" s="125">
        <v>42628</v>
      </c>
      <c r="I238" s="61" t="s">
        <v>279</v>
      </c>
      <c r="J238" s="87"/>
      <c r="K238" s="62" t="s">
        <v>16</v>
      </c>
      <c r="L238" s="62">
        <v>3</v>
      </c>
      <c r="M238" s="62" t="s">
        <v>755</v>
      </c>
      <c r="N238" s="62" t="s">
        <v>2868</v>
      </c>
      <c r="O238" s="48" t="s">
        <v>1906</v>
      </c>
      <c r="P238" s="48" t="s">
        <v>2869</v>
      </c>
      <c r="Q238" s="130" t="s">
        <v>2870</v>
      </c>
      <c r="R238" s="48" t="s">
        <v>2871</v>
      </c>
      <c r="S238" s="48" t="s">
        <v>2872</v>
      </c>
      <c r="T238" s="130" t="s">
        <v>797</v>
      </c>
      <c r="U238" s="48" t="s">
        <v>2873</v>
      </c>
      <c r="V238" s="48" t="s">
        <v>2874</v>
      </c>
      <c r="W238" s="48" t="s">
        <v>2875</v>
      </c>
      <c r="X238" s="48" t="s">
        <v>2876</v>
      </c>
      <c r="Y238" s="48" t="s">
        <v>2877</v>
      </c>
      <c r="Z238" s="61"/>
      <c r="AA238" s="48" t="s">
        <v>1056</v>
      </c>
      <c r="AB238" s="48" t="s">
        <v>291</v>
      </c>
      <c r="AC238" s="48" t="s">
        <v>273</v>
      </c>
      <c r="AD238" s="48" t="s">
        <v>273</v>
      </c>
      <c r="AE238" s="48" t="s">
        <v>273</v>
      </c>
      <c r="AF238" s="48" t="s">
        <v>273</v>
      </c>
      <c r="AG238" s="48" t="s">
        <v>273</v>
      </c>
      <c r="AH238" s="48" t="s">
        <v>273</v>
      </c>
      <c r="AI238" s="48" t="s">
        <v>273</v>
      </c>
      <c r="AJ238" s="48" t="s">
        <v>273</v>
      </c>
      <c r="AK238" s="48" t="s">
        <v>1059</v>
      </c>
      <c r="AL238" s="48" t="s">
        <v>293</v>
      </c>
      <c r="AM238" s="48" t="s">
        <v>273</v>
      </c>
      <c r="AN238" s="48" t="s">
        <v>273</v>
      </c>
      <c r="AO238" s="48" t="s">
        <v>273</v>
      </c>
      <c r="AP238" s="48" t="s">
        <v>273</v>
      </c>
      <c r="AQ238" s="48" t="s">
        <v>273</v>
      </c>
      <c r="AR238" s="48" t="s">
        <v>273</v>
      </c>
      <c r="AS238" s="48" t="s">
        <v>273</v>
      </c>
      <c r="AT238" s="48" t="s">
        <v>273</v>
      </c>
      <c r="AU238" s="93">
        <v>38384</v>
      </c>
      <c r="AV238" s="93"/>
      <c r="AW238" s="93"/>
      <c r="AX238" s="93"/>
      <c r="AY238" s="93"/>
    </row>
    <row r="239" spans="1:52" ht="16.5" customHeight="1" x14ac:dyDescent="0.15">
      <c r="A239" s="138" t="s">
        <v>2878</v>
      </c>
      <c r="B239" s="140" t="s">
        <v>2879</v>
      </c>
      <c r="C239" s="48" t="s">
        <v>2880</v>
      </c>
      <c r="D239" s="62" t="s">
        <v>263</v>
      </c>
      <c r="E239" s="48" t="s">
        <v>300</v>
      </c>
      <c r="F239" s="61">
        <v>42453</v>
      </c>
      <c r="G239" s="61">
        <v>42453</v>
      </c>
      <c r="H239" s="125">
        <v>42496</v>
      </c>
      <c r="I239" s="61" t="s">
        <v>279</v>
      </c>
      <c r="J239" s="87"/>
      <c r="K239" s="62" t="s">
        <v>16</v>
      </c>
      <c r="L239" s="62">
        <v>5</v>
      </c>
      <c r="M239" s="62" t="s">
        <v>209</v>
      </c>
      <c r="N239" s="62" t="s">
        <v>2881</v>
      </c>
      <c r="O239" s="48" t="s">
        <v>744</v>
      </c>
      <c r="P239" s="48" t="s">
        <v>317</v>
      </c>
      <c r="Q239" s="48" t="s">
        <v>2882</v>
      </c>
      <c r="R239" s="48" t="s">
        <v>2883</v>
      </c>
      <c r="S239" s="48" t="s">
        <v>320</v>
      </c>
      <c r="T239" s="48" t="s">
        <v>321</v>
      </c>
      <c r="U239" s="48" t="s">
        <v>2884</v>
      </c>
      <c r="V239" s="122" t="s">
        <v>263</v>
      </c>
      <c r="W239" s="122" t="s">
        <v>263</v>
      </c>
      <c r="X239" s="48" t="s">
        <v>1752</v>
      </c>
      <c r="Y239" s="48" t="s">
        <v>2885</v>
      </c>
      <c r="Z239" s="61"/>
      <c r="AA239" s="48" t="s">
        <v>273</v>
      </c>
      <c r="AB239" s="148" t="s">
        <v>546</v>
      </c>
      <c r="AC239" s="148" t="s">
        <v>547</v>
      </c>
      <c r="AD239" s="148" t="s">
        <v>548</v>
      </c>
      <c r="AE239" s="48" t="s">
        <v>2886</v>
      </c>
      <c r="AF239" s="48" t="s">
        <v>1958</v>
      </c>
      <c r="AG239" s="48" t="s">
        <v>273</v>
      </c>
      <c r="AH239" s="48" t="s">
        <v>291</v>
      </c>
      <c r="AI239" s="48" t="s">
        <v>781</v>
      </c>
      <c r="AJ239" s="48" t="s">
        <v>782</v>
      </c>
      <c r="AK239" s="48" t="s">
        <v>273</v>
      </c>
      <c r="AL239" s="48" t="s">
        <v>2887</v>
      </c>
      <c r="AM239" s="48" t="s">
        <v>2888</v>
      </c>
      <c r="AN239" s="48" t="s">
        <v>2889</v>
      </c>
      <c r="AO239" s="48" t="s">
        <v>2890</v>
      </c>
      <c r="AP239" s="48" t="s">
        <v>2891</v>
      </c>
      <c r="AQ239" s="48" t="s">
        <v>273</v>
      </c>
      <c r="AR239" s="48" t="s">
        <v>293</v>
      </c>
      <c r="AS239" s="48" t="s">
        <v>785</v>
      </c>
      <c r="AT239" s="48" t="s">
        <v>2892</v>
      </c>
      <c r="AU239" s="93">
        <v>41244</v>
      </c>
      <c r="AV239" s="93"/>
      <c r="AW239" s="93"/>
      <c r="AX239" s="93"/>
      <c r="AY239" s="93"/>
      <c r="AZ239" s="49" t="s">
        <v>2893</v>
      </c>
    </row>
    <row r="240" spans="1:52" ht="16.5" customHeight="1" x14ac:dyDescent="0.15">
      <c r="A240" s="134" t="s">
        <v>2894</v>
      </c>
      <c r="B240" s="136" t="s">
        <v>2895</v>
      </c>
      <c r="C240" s="48" t="s">
        <v>298</v>
      </c>
      <c r="D240" s="62" t="s">
        <v>2896</v>
      </c>
      <c r="E240" s="48" t="s">
        <v>300</v>
      </c>
      <c r="F240" s="61">
        <v>42454</v>
      </c>
      <c r="G240" s="61">
        <v>42454</v>
      </c>
      <c r="H240" s="125">
        <v>42458</v>
      </c>
      <c r="I240" s="61" t="s">
        <v>279</v>
      </c>
      <c r="J240" s="87"/>
      <c r="K240" s="62" t="s">
        <v>16</v>
      </c>
      <c r="L240" s="62">
        <v>5</v>
      </c>
      <c r="M240" s="62" t="s">
        <v>409</v>
      </c>
      <c r="N240" s="62" t="s">
        <v>2897</v>
      </c>
      <c r="O240" s="48" t="s">
        <v>932</v>
      </c>
      <c r="P240" s="48" t="s">
        <v>2898</v>
      </c>
      <c r="Q240" s="48" t="s">
        <v>2899</v>
      </c>
      <c r="R240" s="48" t="s">
        <v>2900</v>
      </c>
      <c r="S240" s="48" t="s">
        <v>2901</v>
      </c>
      <c r="T240" s="48" t="s">
        <v>2902</v>
      </c>
      <c r="U240" s="48" t="s">
        <v>2903</v>
      </c>
      <c r="V240" s="48"/>
      <c r="W240" s="48"/>
      <c r="X240" s="48" t="s">
        <v>2853</v>
      </c>
      <c r="Y240" s="48" t="s">
        <v>2904</v>
      </c>
      <c r="Z240" s="61"/>
      <c r="AA240" s="48" t="s">
        <v>273</v>
      </c>
      <c r="AB240" s="48" t="s">
        <v>273</v>
      </c>
      <c r="AC240" s="48" t="s">
        <v>273</v>
      </c>
      <c r="AD240" s="48" t="s">
        <v>273</v>
      </c>
      <c r="AE240" s="48" t="s">
        <v>273</v>
      </c>
      <c r="AF240" s="48" t="s">
        <v>273</v>
      </c>
      <c r="AG240" s="48" t="s">
        <v>273</v>
      </c>
      <c r="AH240" s="48" t="s">
        <v>273</v>
      </c>
      <c r="AI240" s="48" t="s">
        <v>273</v>
      </c>
      <c r="AJ240" s="48" t="s">
        <v>273</v>
      </c>
      <c r="AK240" s="48" t="s">
        <v>273</v>
      </c>
      <c r="AL240" s="48" t="s">
        <v>273</v>
      </c>
      <c r="AM240" s="48" t="s">
        <v>273</v>
      </c>
      <c r="AN240" s="48" t="s">
        <v>273</v>
      </c>
      <c r="AO240" s="48" t="s">
        <v>273</v>
      </c>
      <c r="AP240" s="48" t="s">
        <v>273</v>
      </c>
      <c r="AQ240" s="48" t="s">
        <v>273</v>
      </c>
      <c r="AR240" s="48" t="s">
        <v>273</v>
      </c>
      <c r="AS240" s="48" t="s">
        <v>273</v>
      </c>
      <c r="AT240" s="48" t="s">
        <v>273</v>
      </c>
      <c r="AU240" s="93">
        <v>39508</v>
      </c>
      <c r="AV240" s="93"/>
      <c r="AW240" s="93"/>
      <c r="AX240" s="93"/>
      <c r="AY240" s="93"/>
      <c r="AZ240" s="49" t="s">
        <v>2855</v>
      </c>
    </row>
    <row r="241" spans="1:52" ht="16.5" customHeight="1" x14ac:dyDescent="0.15">
      <c r="A241" s="134" t="s">
        <v>2905</v>
      </c>
      <c r="B241" s="135" t="s">
        <v>2906</v>
      </c>
      <c r="C241" s="48" t="e">
        <f ca="1">INDIRECT("'["&amp;$C$1&amp;".xls]"&amp;$B241&amp;"'!$i$7")</f>
        <v>#REF!</v>
      </c>
      <c r="D241" s="62" t="e">
        <f ca="1">INDIRECT("'["&amp;$C$1&amp;".xls]"&amp;$B241&amp;"'!$b$7")</f>
        <v>#REF!</v>
      </c>
      <c r="E241" s="48" t="e">
        <f ca="1">IF(INDIRECT("'["&amp;$C$1&amp;".xls]"&amp;$B241&amp;"'!$i$2")="","",INDIRECT("'["&amp;$C$1&amp;".xls]"&amp;$B241&amp;"'!$i$2"))</f>
        <v>#REF!</v>
      </c>
      <c r="F241" s="61" t="e">
        <f ca="1">INDIRECT("'["&amp;$C$1&amp;".xls]"&amp;$B241&amp;"'!$b$2")</f>
        <v>#REF!</v>
      </c>
      <c r="G241" s="61" t="e">
        <f ca="1">INDIRECT("'["&amp;$C$1&amp;".xls]"&amp;$B241&amp;"'!$a$20")</f>
        <v>#REF!</v>
      </c>
      <c r="H241" s="88" t="e">
        <f ca="1">INDIRECT("'["&amp;$C$1&amp;".xls]"&amp;$B241&amp;"'!$Q$22")</f>
        <v>#REF!</v>
      </c>
      <c r="I241" s="61" t="e">
        <f ca="1">INDIRECT("'["&amp;$C$1&amp;".xls]"&amp;$B241&amp;"'!$f$6")</f>
        <v>#REF!</v>
      </c>
      <c r="J241" s="87"/>
      <c r="K241" s="62" t="s">
        <v>16</v>
      </c>
      <c r="L241" s="62">
        <v>5</v>
      </c>
      <c r="M241" s="62" t="e">
        <f ca="1">INDIRECT("'["&amp;$C$1&amp;".xls]"&amp;$B241&amp;"'!$f$4")</f>
        <v>#REF!</v>
      </c>
      <c r="N241" s="62" t="e">
        <f ca="1">INDIRECT("'["&amp;$C$1&amp;".xls]"&amp;$B241&amp;"'!$i$4")</f>
        <v>#REF!</v>
      </c>
      <c r="O241" s="48" t="e">
        <f ca="1">INDIRECT("'["&amp;$C$1&amp;".xls]"&amp;$B241&amp;"'!$l$4")</f>
        <v>#REF!</v>
      </c>
      <c r="P241" s="48" t="e">
        <f ca="1">INDIRECT("'["&amp;$C$1&amp;".xls]"&amp;$B241&amp;"'!$b$5")</f>
        <v>#REF!</v>
      </c>
      <c r="Q241" s="48" t="e">
        <f ca="1">INDIRECT("'["&amp;$C$1&amp;".xls]"&amp;$B241&amp;"'!$f$5")</f>
        <v>#REF!</v>
      </c>
      <c r="R241" s="48" t="s">
        <v>1846</v>
      </c>
      <c r="S241" s="48" t="e">
        <f ca="1">INDIRECT("'["&amp;$C$1&amp;".xls]"&amp;$B241&amp;"'!$i$5")</f>
        <v>#REF!</v>
      </c>
      <c r="T241" s="48" t="e">
        <f ca="1">INDIRECT("'["&amp;$C$1&amp;".xls]"&amp;$B241&amp;"'!$l$5")</f>
        <v>#REF!</v>
      </c>
      <c r="U241" s="48" t="e">
        <f ca="1">INDIRECT("'["&amp;$C$1&amp;".xls]"&amp;$B241&amp;"'!$b$4")</f>
        <v>#REF!</v>
      </c>
      <c r="V241" s="48"/>
      <c r="W241" s="48"/>
      <c r="X241" s="48" t="s">
        <v>2740</v>
      </c>
      <c r="Y241" s="48" t="s">
        <v>2741</v>
      </c>
      <c r="Z241" s="61"/>
      <c r="AA241" s="48" t="e">
        <f ca="1">IF(INDIRECT("'["&amp;$C$1&amp;".xls]"&amp;$B241&amp;"'!$P$25")="","",IF(INDIRECT("'["&amp;$C$1&amp;".xls]"&amp;$B241&amp;"'!$O$25")="済み",INDIRECT("'["&amp;$C$1&amp;".xls]"&amp;$B241&amp;"'!$P$25"),""))</f>
        <v>#REF!</v>
      </c>
      <c r="AB241" s="48" t="e">
        <f ca="1">IF(INDIRECT("'["&amp;$C$1&amp;".xls]"&amp;$B241&amp;"'!$P$26")="","",IF(INDIRECT("'["&amp;$C$1&amp;".xls]"&amp;$B241&amp;"'!$O$26")="済み",INDIRECT("'["&amp;$C$1&amp;".xls]"&amp;$B241&amp;"'!$P$26"),""))</f>
        <v>#REF!</v>
      </c>
      <c r="AC241" s="48" t="e">
        <f ca="1">IF(INDIRECT("'["&amp;$C$1&amp;".xls]"&amp;$B241&amp;"'!$P$27")="","",IF(INDIRECT("'["&amp;$C$1&amp;".xls]"&amp;$B241&amp;"'!$O$27")="済み",INDIRECT("'["&amp;$C$1&amp;".xls]"&amp;$B241&amp;"'!$P$27"),""))</f>
        <v>#REF!</v>
      </c>
      <c r="AD241" s="48" t="e">
        <f ca="1">IF(INDIRECT("'["&amp;$C$1&amp;".xls]"&amp;$B241&amp;"'!$P$28")="","",IF(INDIRECT("'["&amp;$C$1&amp;".xls]"&amp;$B241&amp;"'!$O$28")="済み",INDIRECT("'["&amp;$C$1&amp;".xls]"&amp;$B241&amp;"'!$P$28"),""))</f>
        <v>#REF!</v>
      </c>
      <c r="AE241" s="48" t="e">
        <f ca="1">IF(INDIRECT("'["&amp;$C$1&amp;".xls]"&amp;$B241&amp;"'!$P$29")="","",IF(INDIRECT("'["&amp;$C$1&amp;".xls]"&amp;$B241&amp;"'!$O$29")="済み",INDIRECT("'["&amp;$C$1&amp;".xls]"&amp;$B241&amp;"'!$P$29"),""))</f>
        <v>#REF!</v>
      </c>
      <c r="AF241" s="48" t="e">
        <f ca="1">IF(INDIRECT("'["&amp;$C$1&amp;".xls]"&amp;$B241&amp;"'!$P$30")="","",IF(INDIRECT("'["&amp;$C$1&amp;".xls]"&amp;$B241&amp;"'!$O$30")="済み",INDIRECT("'["&amp;$C$1&amp;".xls]"&amp;$B241&amp;"'!$P$30"),""))</f>
        <v>#REF!</v>
      </c>
      <c r="AG241" s="48" t="e">
        <f ca="1">IF(INDIRECT("'["&amp;$C$1&amp;".xls]"&amp;$B241&amp;"'!$P$31")="","",IF(INDIRECT("'["&amp;$C$1&amp;".xls]"&amp;$B241&amp;"'!$O$31")="済み",INDIRECT("'["&amp;$C$1&amp;".xls]"&amp;$B241&amp;"'!$P$31"),""))</f>
        <v>#REF!</v>
      </c>
      <c r="AH241" s="48" t="e">
        <f ca="1">IF(INDIRECT("'["&amp;$C$1&amp;".xls]"&amp;$B241&amp;"'!$P$32")="","",IF(INDIRECT("'["&amp;$C$1&amp;".xls]"&amp;$B241&amp;"'!$O$32")="済み",INDIRECT("'["&amp;$C$1&amp;".xls]"&amp;$B241&amp;"'!$P$32"),""))</f>
        <v>#REF!</v>
      </c>
      <c r="AI241" s="48" t="e">
        <f ca="1">IF(INDIRECT("'["&amp;$C$1&amp;".xls]"&amp;$B241&amp;"'!$P$33")="","",IF(INDIRECT("'["&amp;$C$1&amp;".xls]"&amp;$B241&amp;"'!$O$33")="済み",INDIRECT("'["&amp;$C$1&amp;".xls]"&amp;$B241&amp;"'!$P$33"),""))</f>
        <v>#REF!</v>
      </c>
      <c r="AJ241" s="48" t="e">
        <f ca="1">IF(INDIRECT("'["&amp;$C$1&amp;".xls]"&amp;$B241&amp;"'!$P$34")="","",IF(INDIRECT("'["&amp;$C$1&amp;".xls]"&amp;$B241&amp;"'!$O$34")="済み",INDIRECT("'["&amp;$C$1&amp;".xls]"&amp;$B241&amp;"'!$P$34"),""))</f>
        <v>#REF!</v>
      </c>
      <c r="AK241" s="48" t="e">
        <f ca="1">IF(INDIRECT("'["&amp;$C$1&amp;".xls]"&amp;$B241&amp;"'!$T25")="","",IF(INDIRECT("'["&amp;$C$1&amp;".xls]"&amp;$B241&amp;"'!$O$25")="済み",INDIRECT("'["&amp;$C$1&amp;".xls]"&amp;$B241&amp;"'!$T$25"),""))</f>
        <v>#REF!</v>
      </c>
      <c r="AL241" s="48" t="e">
        <f ca="1">IF(INDIRECT("'["&amp;$C$1&amp;".xls]"&amp;$B241&amp;"'!$T26")="","",IF(INDIRECT("'["&amp;$C$1&amp;".xls]"&amp;$B241&amp;"'!$O$26")="済み",INDIRECT("'["&amp;$C$1&amp;".xls]"&amp;$B241&amp;"'!$T$26"),""))</f>
        <v>#REF!</v>
      </c>
      <c r="AM241" s="48" t="e">
        <f ca="1">IF(INDIRECT("'["&amp;$C$1&amp;".xls]"&amp;$B241&amp;"'!$T27")="","",IF(INDIRECT("'["&amp;$C$1&amp;".xls]"&amp;$B241&amp;"'!$O$27")="済み",INDIRECT("'["&amp;$C$1&amp;".xls]"&amp;$B241&amp;"'!$T$27"),""))</f>
        <v>#REF!</v>
      </c>
      <c r="AN241" s="48" t="e">
        <f ca="1">IF(INDIRECT("'["&amp;$C$1&amp;".xls]"&amp;$B241&amp;"'!$T28")="","",IF(INDIRECT("'["&amp;$C$1&amp;".xls]"&amp;$B241&amp;"'!$O$28")="済み",INDIRECT("'["&amp;$C$1&amp;".xls]"&amp;$B241&amp;"'!$T$28"),""))</f>
        <v>#REF!</v>
      </c>
      <c r="AO241" s="48" t="e">
        <f ca="1">IF(INDIRECT("'["&amp;$C$1&amp;".xls]"&amp;$B241&amp;"'!$T29")="","",IF(INDIRECT("'["&amp;$C$1&amp;".xls]"&amp;$B241&amp;"'!$O$29")="済み",INDIRECT("'["&amp;$C$1&amp;".xls]"&amp;$B241&amp;"'!$T$29"),""))</f>
        <v>#REF!</v>
      </c>
      <c r="AP241" s="48" t="e">
        <f ca="1">IF(INDIRECT("'["&amp;$C$1&amp;".xls]"&amp;$B241&amp;"'!$T30")="","",IF(INDIRECT("'["&amp;$C$1&amp;".xls]"&amp;$B241&amp;"'!$O$30")="済み",INDIRECT("'["&amp;$C$1&amp;".xls]"&amp;$B241&amp;"'!$T$30"),""))</f>
        <v>#REF!</v>
      </c>
      <c r="AQ241" s="48" t="e">
        <f ca="1">IF(INDIRECT("'["&amp;$C$1&amp;".xls]"&amp;$B241&amp;"'!$T31")="","",IF(INDIRECT("'["&amp;$C$1&amp;".xls]"&amp;$B241&amp;"'!$O$31")="済み",INDIRECT("'["&amp;$C$1&amp;".xls]"&amp;$B241&amp;"'!$T$31"),""))</f>
        <v>#REF!</v>
      </c>
      <c r="AR241" s="48" t="e">
        <f ca="1">IF(INDIRECT("'["&amp;$C$1&amp;".xls]"&amp;$B241&amp;"'!$T32")="","",IF(INDIRECT("'["&amp;$C$1&amp;".xls]"&amp;$B241&amp;"'!$O$32")="済み",INDIRECT("'["&amp;$C$1&amp;".xls]"&amp;$B241&amp;"'!$T$32"),""))</f>
        <v>#REF!</v>
      </c>
      <c r="AS241" s="48" t="e">
        <f ca="1">IF(INDIRECT("'["&amp;$C$1&amp;".xls]"&amp;$B241&amp;"'!$T33")="","",IF(INDIRECT("'["&amp;$C$1&amp;".xls]"&amp;$B241&amp;"'!$O$33")="済み",INDIRECT("'["&amp;$C$1&amp;".xls]"&amp;$B241&amp;"'!$T$33"),""))</f>
        <v>#REF!</v>
      </c>
      <c r="AT241" s="48" t="e">
        <f ca="1">IF(INDIRECT("'["&amp;$C$1&amp;".xls]"&amp;$B241&amp;"'!$T34")="","",IF(INDIRECT("'["&amp;$C$1&amp;".xls]"&amp;$B241&amp;"'!$O$34")="済み",INDIRECT("'["&amp;$C$1&amp;".xls]"&amp;$B241&amp;"'!$T$34"),""))</f>
        <v>#REF!</v>
      </c>
      <c r="AU241" s="93" t="e">
        <f ca="1">INDIRECT("'["&amp;$C$1&amp;".xls]"&amp;$B241&amp;"'!$B$6")</f>
        <v>#REF!</v>
      </c>
      <c r="AV241" s="93"/>
      <c r="AW241" s="93"/>
      <c r="AX241" s="93"/>
      <c r="AY241" s="93"/>
      <c r="AZ241" s="49" t="s">
        <v>2855</v>
      </c>
    </row>
    <row r="242" spans="1:52" ht="16.5" customHeight="1" x14ac:dyDescent="0.15">
      <c r="A242" s="138" t="s">
        <v>2907</v>
      </c>
      <c r="B242" s="140" t="s">
        <v>2908</v>
      </c>
      <c r="C242" s="48" t="s">
        <v>330</v>
      </c>
      <c r="D242" s="62" t="s">
        <v>2909</v>
      </c>
      <c r="E242" s="48" t="s">
        <v>264</v>
      </c>
      <c r="F242" s="61">
        <v>42457</v>
      </c>
      <c r="G242" s="61">
        <v>42457</v>
      </c>
      <c r="H242" s="125">
        <v>42480</v>
      </c>
      <c r="I242" s="61" t="s">
        <v>279</v>
      </c>
      <c r="J242" s="87"/>
      <c r="K242" s="62" t="s">
        <v>12</v>
      </c>
      <c r="L242" s="124" t="s">
        <v>263</v>
      </c>
      <c r="M242" s="62" t="s">
        <v>409</v>
      </c>
      <c r="N242" s="62" t="s">
        <v>2910</v>
      </c>
      <c r="O242" s="48" t="s">
        <v>606</v>
      </c>
      <c r="P242" s="48" t="s">
        <v>1469</v>
      </c>
      <c r="Q242" s="48" t="s">
        <v>1470</v>
      </c>
      <c r="R242" s="48" t="s">
        <v>2911</v>
      </c>
      <c r="S242" s="48" t="s">
        <v>269</v>
      </c>
      <c r="T242" s="48" t="s">
        <v>270</v>
      </c>
      <c r="U242" s="48" t="s">
        <v>2912</v>
      </c>
      <c r="V242" s="122" t="s">
        <v>263</v>
      </c>
      <c r="W242" s="122" t="s">
        <v>263</v>
      </c>
      <c r="X242" s="48" t="s">
        <v>2913</v>
      </c>
      <c r="Y242" s="48" t="s">
        <v>2914</v>
      </c>
      <c r="Z242" s="61"/>
      <c r="AA242" s="48" t="s">
        <v>273</v>
      </c>
      <c r="AB242" s="48" t="s">
        <v>273</v>
      </c>
      <c r="AC242" s="48" t="s">
        <v>273</v>
      </c>
      <c r="AD242" s="48" t="s">
        <v>273</v>
      </c>
      <c r="AE242" s="48" t="s">
        <v>273</v>
      </c>
      <c r="AF242" s="48" t="s">
        <v>273</v>
      </c>
      <c r="AG242" s="48" t="s">
        <v>273</v>
      </c>
      <c r="AH242" s="48" t="s">
        <v>273</v>
      </c>
      <c r="AI242" s="48" t="s">
        <v>273</v>
      </c>
      <c r="AJ242" s="48" t="s">
        <v>273</v>
      </c>
      <c r="AK242" s="48" t="s">
        <v>273</v>
      </c>
      <c r="AL242" s="48" t="s">
        <v>273</v>
      </c>
      <c r="AM242" s="48" t="s">
        <v>273</v>
      </c>
      <c r="AN242" s="48" t="s">
        <v>273</v>
      </c>
      <c r="AO242" s="48" t="s">
        <v>273</v>
      </c>
      <c r="AP242" s="48" t="s">
        <v>273</v>
      </c>
      <c r="AQ242" s="48" t="s">
        <v>273</v>
      </c>
      <c r="AR242" s="48" t="s">
        <v>273</v>
      </c>
      <c r="AS242" s="48" t="s">
        <v>273</v>
      </c>
      <c r="AT242" s="48" t="s">
        <v>273</v>
      </c>
      <c r="AU242" s="93">
        <v>40575</v>
      </c>
      <c r="AV242" s="93"/>
      <c r="AW242" s="93"/>
      <c r="AX242" s="93"/>
      <c r="AY242" s="93"/>
      <c r="AZ242" s="49" t="s">
        <v>2915</v>
      </c>
    </row>
    <row r="243" spans="1:52" ht="16.5" customHeight="1" x14ac:dyDescent="0.15">
      <c r="A243" s="138" t="s">
        <v>2916</v>
      </c>
      <c r="B243" s="140" t="s">
        <v>2917</v>
      </c>
      <c r="C243" s="48" t="s">
        <v>298</v>
      </c>
      <c r="D243" s="62" t="s">
        <v>2918</v>
      </c>
      <c r="E243" s="48" t="s">
        <v>300</v>
      </c>
      <c r="F243" s="61">
        <v>42457</v>
      </c>
      <c r="G243" s="61">
        <v>42457</v>
      </c>
      <c r="H243" s="125">
        <v>42475</v>
      </c>
      <c r="I243" s="61" t="s">
        <v>279</v>
      </c>
      <c r="J243" s="87"/>
      <c r="K243" s="124" t="s">
        <v>263</v>
      </c>
      <c r="L243" s="124" t="s">
        <v>263</v>
      </c>
      <c r="M243" s="62">
        <v>180</v>
      </c>
      <c r="N243" s="62" t="s">
        <v>2919</v>
      </c>
      <c r="O243" s="48" t="s">
        <v>1528</v>
      </c>
      <c r="P243" s="48" t="s">
        <v>2920</v>
      </c>
      <c r="Q243" s="48" t="s">
        <v>2921</v>
      </c>
      <c r="R243" s="48" t="s">
        <v>2922</v>
      </c>
      <c r="S243" s="48" t="s">
        <v>2923</v>
      </c>
      <c r="T243" s="48" t="s">
        <v>2924</v>
      </c>
      <c r="U243" s="48" t="s">
        <v>2925</v>
      </c>
      <c r="V243" s="122" t="s">
        <v>263</v>
      </c>
      <c r="W243" s="122" t="s">
        <v>263</v>
      </c>
      <c r="X243" s="48" t="s">
        <v>2926</v>
      </c>
      <c r="Y243" s="48" t="s">
        <v>2927</v>
      </c>
      <c r="Z243" s="61"/>
      <c r="AA243" s="48" t="s">
        <v>273</v>
      </c>
      <c r="AB243" s="48" t="s">
        <v>273</v>
      </c>
      <c r="AC243" s="48" t="s">
        <v>273</v>
      </c>
      <c r="AD243" s="48" t="s">
        <v>273</v>
      </c>
      <c r="AE243" s="48" t="s">
        <v>273</v>
      </c>
      <c r="AF243" s="48" t="s">
        <v>273</v>
      </c>
      <c r="AG243" s="48" t="s">
        <v>273</v>
      </c>
      <c r="AH243" s="48" t="s">
        <v>273</v>
      </c>
      <c r="AI243" s="48" t="s">
        <v>273</v>
      </c>
      <c r="AJ243" s="48" t="s">
        <v>273</v>
      </c>
      <c r="AK243" s="48" t="s">
        <v>273</v>
      </c>
      <c r="AL243" s="48" t="s">
        <v>273</v>
      </c>
      <c r="AM243" s="48" t="s">
        <v>273</v>
      </c>
      <c r="AN243" s="48" t="s">
        <v>273</v>
      </c>
      <c r="AO243" s="48" t="s">
        <v>273</v>
      </c>
      <c r="AP243" s="48" t="s">
        <v>273</v>
      </c>
      <c r="AQ243" s="48" t="s">
        <v>273</v>
      </c>
      <c r="AR243" s="48" t="s">
        <v>273</v>
      </c>
      <c r="AS243" s="48" t="s">
        <v>273</v>
      </c>
      <c r="AT243" s="48" t="s">
        <v>273</v>
      </c>
      <c r="AU243" s="93">
        <v>37316</v>
      </c>
      <c r="AV243" s="93"/>
      <c r="AW243" s="93"/>
      <c r="AX243" s="93"/>
      <c r="AY243" s="93"/>
      <c r="AZ243" s="49" t="s">
        <v>767</v>
      </c>
    </row>
    <row r="244" spans="1:52" ht="16.5" customHeight="1" x14ac:dyDescent="0.15">
      <c r="A244" s="134" t="s">
        <v>2928</v>
      </c>
      <c r="B244" s="136" t="s">
        <v>2929</v>
      </c>
      <c r="C244" s="48" t="s">
        <v>330</v>
      </c>
      <c r="D244" s="62" t="s">
        <v>263</v>
      </c>
      <c r="E244" s="48" t="s">
        <v>300</v>
      </c>
      <c r="F244" s="61">
        <v>42457</v>
      </c>
      <c r="G244" s="61">
        <v>42457</v>
      </c>
      <c r="H244" s="125">
        <v>42460</v>
      </c>
      <c r="I244" s="61" t="s">
        <v>279</v>
      </c>
      <c r="J244" s="87"/>
      <c r="K244" s="124" t="s">
        <v>263</v>
      </c>
      <c r="L244" s="124" t="s">
        <v>263</v>
      </c>
      <c r="M244" s="62" t="s">
        <v>409</v>
      </c>
      <c r="N244" s="62" t="s">
        <v>2930</v>
      </c>
      <c r="O244" s="48" t="s">
        <v>2931</v>
      </c>
      <c r="P244" s="48" t="s">
        <v>267</v>
      </c>
      <c r="Q244" s="48" t="s">
        <v>2932</v>
      </c>
      <c r="R244" s="48"/>
      <c r="S244" s="48" t="s">
        <v>269</v>
      </c>
      <c r="T244" s="48" t="s">
        <v>270</v>
      </c>
      <c r="U244" s="48" t="s">
        <v>2933</v>
      </c>
      <c r="V244" s="48"/>
      <c r="W244" s="48"/>
      <c r="X244" s="48"/>
      <c r="Y244" s="48"/>
      <c r="Z244" s="61"/>
      <c r="AA244" s="48" t="s">
        <v>273</v>
      </c>
      <c r="AB244" s="48" t="s">
        <v>273</v>
      </c>
      <c r="AC244" s="48" t="s">
        <v>273</v>
      </c>
      <c r="AD244" s="48" t="s">
        <v>273</v>
      </c>
      <c r="AE244" s="48" t="s">
        <v>273</v>
      </c>
      <c r="AF244" s="48" t="s">
        <v>273</v>
      </c>
      <c r="AG244" s="48" t="s">
        <v>273</v>
      </c>
      <c r="AH244" s="48" t="s">
        <v>273</v>
      </c>
      <c r="AI244" s="48" t="s">
        <v>273</v>
      </c>
      <c r="AJ244" s="48" t="s">
        <v>273</v>
      </c>
      <c r="AK244" s="48" t="s">
        <v>273</v>
      </c>
      <c r="AL244" s="48" t="s">
        <v>273</v>
      </c>
      <c r="AM244" s="48" t="s">
        <v>273</v>
      </c>
      <c r="AN244" s="48" t="s">
        <v>273</v>
      </c>
      <c r="AO244" s="48" t="s">
        <v>273</v>
      </c>
      <c r="AP244" s="48" t="s">
        <v>273</v>
      </c>
      <c r="AQ244" s="48" t="s">
        <v>273</v>
      </c>
      <c r="AR244" s="48" t="s">
        <v>273</v>
      </c>
      <c r="AS244" s="48" t="s">
        <v>273</v>
      </c>
      <c r="AT244" s="48" t="s">
        <v>273</v>
      </c>
      <c r="AU244" s="93">
        <v>38657</v>
      </c>
      <c r="AV244" s="93"/>
      <c r="AW244" s="93"/>
      <c r="AX244" s="93"/>
      <c r="AY244" s="93"/>
      <c r="AZ244" s="49" t="s">
        <v>2934</v>
      </c>
    </row>
    <row r="245" spans="1:52" ht="16.5" customHeight="1" x14ac:dyDescent="0.15">
      <c r="A245" s="138" t="s">
        <v>2935</v>
      </c>
      <c r="B245" s="140" t="s">
        <v>2936</v>
      </c>
      <c r="C245" s="48" t="s">
        <v>298</v>
      </c>
      <c r="D245" s="62" t="s">
        <v>263</v>
      </c>
      <c r="E245" s="48" t="s">
        <v>300</v>
      </c>
      <c r="F245" s="61">
        <v>42458</v>
      </c>
      <c r="G245" s="61">
        <v>42458</v>
      </c>
      <c r="H245" s="125">
        <v>42475</v>
      </c>
      <c r="I245" s="61" t="s">
        <v>279</v>
      </c>
      <c r="J245" s="87"/>
      <c r="K245" s="62" t="s">
        <v>12</v>
      </c>
      <c r="L245" s="62">
        <v>3</v>
      </c>
      <c r="M245" s="62" t="s">
        <v>619</v>
      </c>
      <c r="N245" s="62" t="s">
        <v>2937</v>
      </c>
      <c r="O245" s="48" t="s">
        <v>2938</v>
      </c>
      <c r="P245" s="48" t="s">
        <v>2939</v>
      </c>
      <c r="Q245" s="48" t="s">
        <v>2940</v>
      </c>
      <c r="R245" s="48" t="s">
        <v>1981</v>
      </c>
      <c r="S245" s="48" t="s">
        <v>1982</v>
      </c>
      <c r="T245" s="48" t="s">
        <v>1983</v>
      </c>
      <c r="U245" s="48" t="s">
        <v>2941</v>
      </c>
      <c r="V245" s="122" t="s">
        <v>263</v>
      </c>
      <c r="W245" s="122" t="s">
        <v>263</v>
      </c>
      <c r="X245" s="48" t="s">
        <v>2942</v>
      </c>
      <c r="Y245" s="48" t="s">
        <v>2943</v>
      </c>
      <c r="Z245" s="61"/>
      <c r="AA245" s="48" t="s">
        <v>2944</v>
      </c>
      <c r="AB245" s="48" t="s">
        <v>2945</v>
      </c>
      <c r="AC245" s="48" t="s">
        <v>273</v>
      </c>
      <c r="AD245" s="48" t="s">
        <v>273</v>
      </c>
      <c r="AE245" s="48" t="s">
        <v>273</v>
      </c>
      <c r="AF245" s="48" t="s">
        <v>273</v>
      </c>
      <c r="AG245" s="48" t="s">
        <v>273</v>
      </c>
      <c r="AH245" s="48" t="s">
        <v>273</v>
      </c>
      <c r="AI245" s="48" t="s">
        <v>273</v>
      </c>
      <c r="AJ245" s="48" t="s">
        <v>273</v>
      </c>
      <c r="AK245" s="48" t="s">
        <v>2946</v>
      </c>
      <c r="AL245" s="48" t="s">
        <v>2947</v>
      </c>
      <c r="AM245" s="48" t="s">
        <v>273</v>
      </c>
      <c r="AN245" s="48" t="s">
        <v>273</v>
      </c>
      <c r="AO245" s="48" t="s">
        <v>273</v>
      </c>
      <c r="AP245" s="48" t="s">
        <v>273</v>
      </c>
      <c r="AQ245" s="48" t="s">
        <v>273</v>
      </c>
      <c r="AR245" s="48" t="s">
        <v>273</v>
      </c>
      <c r="AS245" s="48" t="s">
        <v>273</v>
      </c>
      <c r="AT245" s="48" t="s">
        <v>273</v>
      </c>
      <c r="AU245" s="93">
        <v>37316</v>
      </c>
      <c r="AV245" s="93"/>
      <c r="AW245" s="93"/>
      <c r="AX245" s="93"/>
      <c r="AY245" s="93"/>
    </row>
    <row r="246" spans="1:52" ht="16.5" customHeight="1" x14ac:dyDescent="0.15">
      <c r="A246" s="138" t="s">
        <v>2948</v>
      </c>
      <c r="B246" s="140" t="s">
        <v>2949</v>
      </c>
      <c r="C246" s="48" t="s">
        <v>298</v>
      </c>
      <c r="D246" s="62" t="s">
        <v>2950</v>
      </c>
      <c r="E246" s="48" t="s">
        <v>264</v>
      </c>
      <c r="F246" s="61">
        <v>42459</v>
      </c>
      <c r="G246" s="61">
        <v>42459</v>
      </c>
      <c r="H246" s="125">
        <v>42481</v>
      </c>
      <c r="I246" s="61" t="s">
        <v>279</v>
      </c>
      <c r="J246" s="87"/>
      <c r="K246" s="62" t="s">
        <v>12</v>
      </c>
      <c r="L246" s="62">
        <v>3</v>
      </c>
      <c r="M246" s="62" t="s">
        <v>209</v>
      </c>
      <c r="N246" s="62" t="s">
        <v>2951</v>
      </c>
      <c r="O246" s="48" t="s">
        <v>2952</v>
      </c>
      <c r="P246" s="48" t="s">
        <v>428</v>
      </c>
      <c r="Q246" s="130" t="s">
        <v>2953</v>
      </c>
      <c r="R246" s="48" t="s">
        <v>2954</v>
      </c>
      <c r="S246" s="130" t="s">
        <v>2955</v>
      </c>
      <c r="T246" s="48" t="s">
        <v>2956</v>
      </c>
      <c r="U246" s="48" t="s">
        <v>2957</v>
      </c>
      <c r="V246" s="48" t="s">
        <v>2958</v>
      </c>
      <c r="W246" s="48" t="s">
        <v>2959</v>
      </c>
      <c r="X246" s="48" t="s">
        <v>2960</v>
      </c>
      <c r="Y246" s="48" t="s">
        <v>2961</v>
      </c>
      <c r="Z246" s="61"/>
      <c r="AA246" s="148" t="s">
        <v>548</v>
      </c>
      <c r="AB246" s="148" t="s">
        <v>547</v>
      </c>
      <c r="AC246" s="148" t="s">
        <v>546</v>
      </c>
      <c r="AD246" s="48" t="s">
        <v>273</v>
      </c>
      <c r="AE246" s="48" t="s">
        <v>273</v>
      </c>
      <c r="AF246" s="48" t="s">
        <v>273</v>
      </c>
      <c r="AG246" s="48" t="s">
        <v>273</v>
      </c>
      <c r="AH246" s="48" t="s">
        <v>273</v>
      </c>
      <c r="AI246" s="48" t="s">
        <v>273</v>
      </c>
      <c r="AJ246" s="48" t="s">
        <v>273</v>
      </c>
      <c r="AK246" s="48" t="s">
        <v>549</v>
      </c>
      <c r="AL246" s="48" t="s">
        <v>550</v>
      </c>
      <c r="AM246" s="48" t="s">
        <v>551</v>
      </c>
      <c r="AN246" s="48" t="s">
        <v>273</v>
      </c>
      <c r="AO246" s="48" t="s">
        <v>273</v>
      </c>
      <c r="AP246" s="48" t="s">
        <v>273</v>
      </c>
      <c r="AQ246" s="48" t="s">
        <v>273</v>
      </c>
      <c r="AR246" s="48" t="s">
        <v>273</v>
      </c>
      <c r="AS246" s="48" t="s">
        <v>273</v>
      </c>
      <c r="AT246" s="48" t="s">
        <v>273</v>
      </c>
      <c r="AU246" s="93">
        <v>41579</v>
      </c>
      <c r="AV246" s="93"/>
      <c r="AW246" s="93"/>
      <c r="AX246" s="93"/>
      <c r="AY246" s="93"/>
      <c r="AZ246" s="49" t="s">
        <v>2962</v>
      </c>
    </row>
    <row r="247" spans="1:52" ht="16.5" customHeight="1" x14ac:dyDescent="0.15">
      <c r="A247" s="151" t="s">
        <v>2963</v>
      </c>
      <c r="B247" s="152" t="s">
        <v>2964</v>
      </c>
      <c r="C247" s="48" t="s">
        <v>298</v>
      </c>
      <c r="D247" s="62" t="s">
        <v>2965</v>
      </c>
      <c r="E247" s="48" t="s">
        <v>300</v>
      </c>
      <c r="F247" s="61">
        <v>42459</v>
      </c>
      <c r="G247" s="61">
        <v>42459</v>
      </c>
      <c r="H247" s="125">
        <v>42577</v>
      </c>
      <c r="I247" s="61" t="s">
        <v>279</v>
      </c>
      <c r="J247" s="87"/>
      <c r="K247" s="62" t="s">
        <v>16</v>
      </c>
      <c r="L247" s="62">
        <v>3</v>
      </c>
      <c r="M247" s="62" t="s">
        <v>442</v>
      </c>
      <c r="N247" s="62" t="s">
        <v>2966</v>
      </c>
      <c r="O247" s="48" t="s">
        <v>1123</v>
      </c>
      <c r="P247" s="48" t="s">
        <v>2967</v>
      </c>
      <c r="Q247" s="48" t="s">
        <v>2968</v>
      </c>
      <c r="R247" s="48" t="s">
        <v>2969</v>
      </c>
      <c r="S247" s="48" t="s">
        <v>2970</v>
      </c>
      <c r="T247" s="48" t="s">
        <v>2971</v>
      </c>
      <c r="U247" s="48" t="s">
        <v>2972</v>
      </c>
      <c r="V247" s="48" t="s">
        <v>2973</v>
      </c>
      <c r="W247" s="48" t="s">
        <v>2974</v>
      </c>
      <c r="X247" s="48" t="s">
        <v>2975</v>
      </c>
      <c r="Y247" s="48" t="s">
        <v>2976</v>
      </c>
      <c r="Z247" s="61"/>
      <c r="AA247" s="48" t="s">
        <v>2977</v>
      </c>
      <c r="AB247" s="48" t="s">
        <v>645</v>
      </c>
      <c r="AC247" s="48" t="s">
        <v>581</v>
      </c>
      <c r="AD247" s="48" t="s">
        <v>273</v>
      </c>
      <c r="AE247" s="48" t="s">
        <v>273</v>
      </c>
      <c r="AF247" s="48" t="s">
        <v>273</v>
      </c>
      <c r="AG247" s="48" t="s">
        <v>273</v>
      </c>
      <c r="AH247" s="48" t="s">
        <v>273</v>
      </c>
      <c r="AI247" s="48" t="s">
        <v>273</v>
      </c>
      <c r="AJ247" s="48" t="s">
        <v>273</v>
      </c>
      <c r="AK247" s="48" t="s">
        <v>2978</v>
      </c>
      <c r="AL247" s="48" t="s">
        <v>646</v>
      </c>
      <c r="AM247" s="48" t="s">
        <v>582</v>
      </c>
      <c r="AN247" s="48" t="s">
        <v>273</v>
      </c>
      <c r="AO247" s="48" t="s">
        <v>273</v>
      </c>
      <c r="AP247" s="48" t="s">
        <v>273</v>
      </c>
      <c r="AQ247" s="48" t="s">
        <v>273</v>
      </c>
      <c r="AR247" s="48" t="s">
        <v>273</v>
      </c>
      <c r="AS247" s="48" t="s">
        <v>273</v>
      </c>
      <c r="AT247" s="48" t="s">
        <v>273</v>
      </c>
      <c r="AU247" s="93">
        <v>38534</v>
      </c>
      <c r="AV247" s="93"/>
      <c r="AW247" s="93"/>
      <c r="AX247" s="93"/>
      <c r="AY247" s="93"/>
    </row>
    <row r="248" spans="1:52" ht="16.5" customHeight="1" x14ac:dyDescent="0.15">
      <c r="A248" s="146" t="s">
        <v>2979</v>
      </c>
      <c r="B248" s="147" t="s">
        <v>2980</v>
      </c>
      <c r="C248" s="48" t="s">
        <v>298</v>
      </c>
      <c r="D248" s="62" t="s">
        <v>2981</v>
      </c>
      <c r="E248" s="48" t="s">
        <v>300</v>
      </c>
      <c r="F248" s="61">
        <v>42460</v>
      </c>
      <c r="G248" s="61">
        <v>42460</v>
      </c>
      <c r="H248" s="125">
        <v>42541</v>
      </c>
      <c r="I248" s="61" t="s">
        <v>279</v>
      </c>
      <c r="J248" s="87"/>
      <c r="K248" s="62" t="s">
        <v>14</v>
      </c>
      <c r="L248" s="62">
        <v>3</v>
      </c>
      <c r="M248" s="62" t="s">
        <v>924</v>
      </c>
      <c r="N248" s="62" t="s">
        <v>2982</v>
      </c>
      <c r="O248" s="48" t="s">
        <v>2983</v>
      </c>
      <c r="P248" s="48" t="s">
        <v>1699</v>
      </c>
      <c r="Q248" s="48" t="s">
        <v>446</v>
      </c>
      <c r="R248" s="48" t="s">
        <v>2984</v>
      </c>
      <c r="S248" s="48" t="s">
        <v>1702</v>
      </c>
      <c r="T248" s="48" t="s">
        <v>2985</v>
      </c>
      <c r="U248" s="48" t="s">
        <v>2986</v>
      </c>
      <c r="V248" s="122" t="s">
        <v>263</v>
      </c>
      <c r="W248" s="122" t="s">
        <v>263</v>
      </c>
      <c r="X248" s="48" t="s">
        <v>2987</v>
      </c>
      <c r="Y248" s="48" t="s">
        <v>2988</v>
      </c>
      <c r="Z248" s="61"/>
      <c r="AA248" s="48" t="s">
        <v>453</v>
      </c>
      <c r="AB248" s="48" t="s">
        <v>581</v>
      </c>
      <c r="AC248" s="48" t="s">
        <v>645</v>
      </c>
      <c r="AD248" s="48"/>
      <c r="AE248" s="48" t="s">
        <v>273</v>
      </c>
      <c r="AF248" s="48" t="s">
        <v>273</v>
      </c>
      <c r="AG248" s="48" t="s">
        <v>273</v>
      </c>
      <c r="AH248" s="48" t="s">
        <v>273</v>
      </c>
      <c r="AI248" s="48" t="s">
        <v>273</v>
      </c>
      <c r="AJ248" s="48" t="s">
        <v>273</v>
      </c>
      <c r="AK248" s="48" t="s">
        <v>454</v>
      </c>
      <c r="AL248" s="48" t="s">
        <v>582</v>
      </c>
      <c r="AM248" s="48" t="s">
        <v>646</v>
      </c>
      <c r="AN248" s="48"/>
      <c r="AO248" s="48" t="s">
        <v>273</v>
      </c>
      <c r="AP248" s="48" t="s">
        <v>273</v>
      </c>
      <c r="AQ248" s="48" t="s">
        <v>273</v>
      </c>
      <c r="AR248" s="48" t="s">
        <v>273</v>
      </c>
      <c r="AS248" s="48" t="s">
        <v>273</v>
      </c>
      <c r="AT248" s="48" t="s">
        <v>273</v>
      </c>
      <c r="AU248" s="93">
        <v>37226</v>
      </c>
      <c r="AV248" s="93"/>
      <c r="AW248" s="93"/>
      <c r="AX248" s="93"/>
      <c r="AY248" s="93"/>
    </row>
    <row r="249" spans="1:52" ht="16.5" customHeight="1" x14ac:dyDescent="0.15">
      <c r="A249" s="138" t="s">
        <v>2989</v>
      </c>
      <c r="B249" s="140" t="s">
        <v>2990</v>
      </c>
      <c r="C249" s="48" t="s">
        <v>298</v>
      </c>
      <c r="D249" s="62" t="s">
        <v>263</v>
      </c>
      <c r="E249" s="48" t="s">
        <v>300</v>
      </c>
      <c r="F249" s="61">
        <v>42460</v>
      </c>
      <c r="G249" s="61">
        <v>42460</v>
      </c>
      <c r="H249" s="125">
        <v>42480</v>
      </c>
      <c r="I249" s="61">
        <v>40391</v>
      </c>
      <c r="J249" s="87"/>
      <c r="K249" s="62" t="s">
        <v>12</v>
      </c>
      <c r="L249" s="62">
        <v>3</v>
      </c>
      <c r="M249" s="62" t="s">
        <v>1215</v>
      </c>
      <c r="N249" s="62" t="s">
        <v>2991</v>
      </c>
      <c r="O249" s="48" t="s">
        <v>2992</v>
      </c>
      <c r="P249" s="48" t="s">
        <v>1191</v>
      </c>
      <c r="Q249" s="130" t="s">
        <v>2993</v>
      </c>
      <c r="R249" s="48" t="s">
        <v>2783</v>
      </c>
      <c r="S249" s="48" t="s">
        <v>400</v>
      </c>
      <c r="T249" s="48" t="s">
        <v>401</v>
      </c>
      <c r="U249" s="48" t="s">
        <v>2994</v>
      </c>
      <c r="V249" s="122" t="s">
        <v>263</v>
      </c>
      <c r="W249" s="122" t="s">
        <v>263</v>
      </c>
      <c r="X249" s="48" t="s">
        <v>2995</v>
      </c>
      <c r="Y249" s="48" t="s">
        <v>1616</v>
      </c>
      <c r="Z249" s="61"/>
      <c r="AA249" s="48" t="s">
        <v>781</v>
      </c>
      <c r="AB249" s="48" t="s">
        <v>782</v>
      </c>
      <c r="AC249" s="48" t="s">
        <v>273</v>
      </c>
      <c r="AD249" s="48" t="s">
        <v>273</v>
      </c>
      <c r="AE249" s="48" t="s">
        <v>273</v>
      </c>
      <c r="AF249" s="48" t="s">
        <v>273</v>
      </c>
      <c r="AG249" s="48" t="s">
        <v>273</v>
      </c>
      <c r="AH249" s="48" t="s">
        <v>273</v>
      </c>
      <c r="AI249" s="48" t="s">
        <v>273</v>
      </c>
      <c r="AJ249" s="48" t="s">
        <v>273</v>
      </c>
      <c r="AK249" s="48" t="s">
        <v>785</v>
      </c>
      <c r="AL249" s="48" t="s">
        <v>786</v>
      </c>
      <c r="AM249" s="48" t="s">
        <v>273</v>
      </c>
      <c r="AN249" s="48" t="s">
        <v>273</v>
      </c>
      <c r="AO249" s="48" t="s">
        <v>273</v>
      </c>
      <c r="AP249" s="48" t="s">
        <v>273</v>
      </c>
      <c r="AQ249" s="48" t="s">
        <v>273</v>
      </c>
      <c r="AR249" s="48" t="s">
        <v>273</v>
      </c>
      <c r="AS249" s="48" t="s">
        <v>273</v>
      </c>
      <c r="AT249" s="48" t="s">
        <v>273</v>
      </c>
      <c r="AU249" s="93">
        <v>40269</v>
      </c>
      <c r="AV249" s="93"/>
      <c r="AW249" s="93"/>
      <c r="AX249" s="93"/>
      <c r="AY249" s="93"/>
    </row>
    <row r="250" spans="1:52" ht="16.5" customHeight="1" x14ac:dyDescent="0.15">
      <c r="A250" s="138" t="s">
        <v>2996</v>
      </c>
      <c r="B250" s="140" t="s">
        <v>2997</v>
      </c>
      <c r="C250" s="48" t="s">
        <v>330</v>
      </c>
      <c r="D250" s="62" t="s">
        <v>263</v>
      </c>
      <c r="E250" s="48" t="s">
        <v>300</v>
      </c>
      <c r="F250" s="61">
        <v>42460</v>
      </c>
      <c r="G250" s="61">
        <v>42460</v>
      </c>
      <c r="H250" s="125">
        <v>42472</v>
      </c>
      <c r="I250" s="61">
        <v>40248</v>
      </c>
      <c r="J250" s="87"/>
      <c r="K250" s="124" t="s">
        <v>263</v>
      </c>
      <c r="L250" s="124" t="s">
        <v>263</v>
      </c>
      <c r="M250" s="62" t="s">
        <v>394</v>
      </c>
      <c r="N250" s="62" t="s">
        <v>2998</v>
      </c>
      <c r="O250" s="48" t="s">
        <v>396</v>
      </c>
      <c r="P250" s="48" t="s">
        <v>696</v>
      </c>
      <c r="Q250" s="48" t="s">
        <v>2999</v>
      </c>
      <c r="R250" s="48" t="s">
        <v>2783</v>
      </c>
      <c r="S250" s="48" t="s">
        <v>400</v>
      </c>
      <c r="T250" s="48" t="s">
        <v>401</v>
      </c>
      <c r="U250" s="48" t="s">
        <v>3000</v>
      </c>
      <c r="V250" s="122" t="s">
        <v>263</v>
      </c>
      <c r="W250" s="122" t="s">
        <v>263</v>
      </c>
      <c r="X250" s="48" t="s">
        <v>3001</v>
      </c>
      <c r="Y250" s="48" t="s">
        <v>3002</v>
      </c>
      <c r="Z250" s="61"/>
      <c r="AA250" s="48" t="s">
        <v>273</v>
      </c>
      <c r="AB250" s="48" t="s">
        <v>273</v>
      </c>
      <c r="AC250" s="48" t="s">
        <v>273</v>
      </c>
      <c r="AD250" s="48" t="s">
        <v>273</v>
      </c>
      <c r="AE250" s="48" t="s">
        <v>273</v>
      </c>
      <c r="AF250" s="48" t="s">
        <v>273</v>
      </c>
      <c r="AG250" s="48" t="s">
        <v>273</v>
      </c>
      <c r="AH250" s="48" t="s">
        <v>273</v>
      </c>
      <c r="AI250" s="48" t="s">
        <v>273</v>
      </c>
      <c r="AJ250" s="48" t="s">
        <v>273</v>
      </c>
      <c r="AK250" s="48" t="s">
        <v>273</v>
      </c>
      <c r="AL250" s="48" t="s">
        <v>273</v>
      </c>
      <c r="AM250" s="48" t="s">
        <v>273</v>
      </c>
      <c r="AN250" s="48" t="s">
        <v>273</v>
      </c>
      <c r="AO250" s="48" t="s">
        <v>273</v>
      </c>
      <c r="AP250" s="48" t="s">
        <v>273</v>
      </c>
      <c r="AQ250" s="48" t="s">
        <v>273</v>
      </c>
      <c r="AR250" s="48" t="s">
        <v>273</v>
      </c>
      <c r="AS250" s="48" t="s">
        <v>273</v>
      </c>
      <c r="AT250" s="48" t="s">
        <v>273</v>
      </c>
      <c r="AU250" s="93">
        <v>39114</v>
      </c>
      <c r="AV250" s="93"/>
      <c r="AW250" s="93"/>
      <c r="AX250" s="93"/>
      <c r="AY250" s="93"/>
      <c r="AZ250" s="49" t="s">
        <v>2688</v>
      </c>
    </row>
    <row r="251" spans="1:52" ht="16.5" customHeight="1" x14ac:dyDescent="0.15">
      <c r="A251" s="138" t="s">
        <v>3003</v>
      </c>
      <c r="B251" s="140" t="s">
        <v>3004</v>
      </c>
      <c r="C251" s="48" t="s">
        <v>3005</v>
      </c>
      <c r="D251" s="62" t="s">
        <v>3006</v>
      </c>
      <c r="E251" s="48" t="s">
        <v>264</v>
      </c>
      <c r="F251" s="61">
        <v>42460</v>
      </c>
      <c r="G251" s="61">
        <v>42460</v>
      </c>
      <c r="H251" s="125">
        <v>42482</v>
      </c>
      <c r="I251" s="61" t="s">
        <v>279</v>
      </c>
      <c r="J251" s="87"/>
      <c r="K251" s="62" t="s">
        <v>12</v>
      </c>
      <c r="L251" s="62">
        <v>3</v>
      </c>
      <c r="M251" s="62" t="s">
        <v>680</v>
      </c>
      <c r="N251" s="62" t="s">
        <v>3007</v>
      </c>
      <c r="O251" s="48" t="s">
        <v>1480</v>
      </c>
      <c r="P251" s="48" t="s">
        <v>3008</v>
      </c>
      <c r="Q251" s="48" t="s">
        <v>1343</v>
      </c>
      <c r="R251" s="48" t="s">
        <v>3009</v>
      </c>
      <c r="S251" s="48" t="s">
        <v>3010</v>
      </c>
      <c r="T251" s="48" t="s">
        <v>3011</v>
      </c>
      <c r="U251" s="48" t="s">
        <v>526</v>
      </c>
      <c r="V251" s="122" t="s">
        <v>263</v>
      </c>
      <c r="W251" s="122" t="s">
        <v>263</v>
      </c>
      <c r="X251" s="48" t="s">
        <v>527</v>
      </c>
      <c r="Y251" s="48" t="s">
        <v>3012</v>
      </c>
      <c r="Z251" s="61"/>
      <c r="AA251" s="48" t="s">
        <v>833</v>
      </c>
      <c r="AB251" s="148" t="s">
        <v>548</v>
      </c>
      <c r="AC251" s="148" t="s">
        <v>547</v>
      </c>
      <c r="AD251" s="148" t="s">
        <v>546</v>
      </c>
      <c r="AE251" s="48" t="s">
        <v>273</v>
      </c>
      <c r="AF251" s="48" t="s">
        <v>273</v>
      </c>
      <c r="AG251" s="48" t="s">
        <v>273</v>
      </c>
      <c r="AH251" s="48" t="s">
        <v>273</v>
      </c>
      <c r="AI251" s="48" t="s">
        <v>273</v>
      </c>
      <c r="AJ251" s="48" t="s">
        <v>273</v>
      </c>
      <c r="AK251" s="48" t="s">
        <v>834</v>
      </c>
      <c r="AL251" s="48" t="s">
        <v>549</v>
      </c>
      <c r="AM251" s="48" t="s">
        <v>550</v>
      </c>
      <c r="AN251" s="48" t="s">
        <v>551</v>
      </c>
      <c r="AO251" s="48" t="s">
        <v>273</v>
      </c>
      <c r="AP251" s="48" t="s">
        <v>273</v>
      </c>
      <c r="AQ251" s="48" t="s">
        <v>273</v>
      </c>
      <c r="AR251" s="48" t="s">
        <v>273</v>
      </c>
      <c r="AS251" s="48" t="s">
        <v>273</v>
      </c>
      <c r="AT251" s="48" t="s">
        <v>273</v>
      </c>
      <c r="AU251" s="93">
        <v>40787</v>
      </c>
      <c r="AV251" s="93"/>
      <c r="AW251" s="93"/>
      <c r="AX251" s="93"/>
      <c r="AY251" s="93"/>
    </row>
    <row r="252" spans="1:52" ht="16.5" customHeight="1" x14ac:dyDescent="0.15">
      <c r="A252" s="121" t="s">
        <v>3013</v>
      </c>
      <c r="B252" s="47" t="s">
        <v>3014</v>
      </c>
      <c r="C252" s="48" t="e">
        <f ca="1">INDIRECT("'["&amp;$C$1&amp;".xls]"&amp;$B252&amp;"'!$i$7")</f>
        <v>#REF!</v>
      </c>
      <c r="D252" s="62" t="e">
        <f ca="1">INDIRECT("'["&amp;$C$1&amp;".xls]"&amp;$B252&amp;"'!$b$7")</f>
        <v>#REF!</v>
      </c>
      <c r="E252" s="48" t="e">
        <f ca="1">IF(INDIRECT("'["&amp;$C$1&amp;".xls]"&amp;$B252&amp;"'!$i$2")="","",INDIRECT("'["&amp;$C$1&amp;".xls]"&amp;$B252&amp;"'!$i$2"))</f>
        <v>#REF!</v>
      </c>
      <c r="F252" s="61" t="e">
        <f ca="1">INDIRECT("'["&amp;$C$1&amp;".xls]"&amp;$B252&amp;"'!$b$2")</f>
        <v>#REF!</v>
      </c>
      <c r="G252" s="61" t="e">
        <f ca="1">INDIRECT("'["&amp;$C$1&amp;".xls]"&amp;$B252&amp;"'!$a$20")</f>
        <v>#REF!</v>
      </c>
      <c r="H252" s="88" t="e">
        <f ca="1">INDIRECT("'["&amp;$C$1&amp;".xls]"&amp;$B252&amp;"'!$Q$22")</f>
        <v>#REF!</v>
      </c>
      <c r="I252" s="61" t="e">
        <f ca="1">INDIRECT("'["&amp;$C$1&amp;".xls]"&amp;$B252&amp;"'!$f$6")</f>
        <v>#REF!</v>
      </c>
      <c r="J252" s="87"/>
      <c r="K252" s="62" t="e">
        <f ca="1">INDIRECT("'["&amp;$C$1&amp;".xls]"&amp;$B252&amp;"'!$f$25")</f>
        <v>#REF!</v>
      </c>
      <c r="L252" s="62"/>
      <c r="M252" s="62" t="e">
        <f ca="1">INDIRECT("'["&amp;$C$1&amp;".xls]"&amp;$B252&amp;"'!$f$4")</f>
        <v>#REF!</v>
      </c>
      <c r="N252" s="62" t="e">
        <f ca="1">INDIRECT("'["&amp;$C$1&amp;".xls]"&amp;$B252&amp;"'!$i$4")</f>
        <v>#REF!</v>
      </c>
      <c r="O252" s="48" t="e">
        <f ca="1">INDIRECT("'["&amp;$C$1&amp;".xls]"&amp;$B252&amp;"'!$l$4")</f>
        <v>#REF!</v>
      </c>
      <c r="P252" s="48" t="e">
        <f ca="1">INDIRECT("'["&amp;$C$1&amp;".xls]"&amp;$B252&amp;"'!$b$5")</f>
        <v>#REF!</v>
      </c>
      <c r="Q252" s="48" t="e">
        <f ca="1">INDIRECT("'["&amp;$C$1&amp;".xls]"&amp;$B252&amp;"'!$f$5")</f>
        <v>#REF!</v>
      </c>
      <c r="R252" s="48"/>
      <c r="S252" s="48" t="e">
        <f ca="1">INDIRECT("'["&amp;$C$1&amp;".xls]"&amp;$B252&amp;"'!$i$5")</f>
        <v>#REF!</v>
      </c>
      <c r="T252" s="48" t="e">
        <f ca="1">INDIRECT("'["&amp;$C$1&amp;".xls]"&amp;$B252&amp;"'!$l$5")</f>
        <v>#REF!</v>
      </c>
      <c r="U252" s="48" t="e">
        <f ca="1">INDIRECT("'["&amp;$C$1&amp;".xls]"&amp;$B252&amp;"'!$b$4")</f>
        <v>#REF!</v>
      </c>
      <c r="V252" s="48"/>
      <c r="W252" s="48"/>
      <c r="X252" s="48"/>
      <c r="Y252" s="48"/>
      <c r="Z252" s="61"/>
      <c r="AA252" s="48" t="e">
        <f ca="1">IF(INDIRECT("'["&amp;$C$1&amp;".xls]"&amp;$B252&amp;"'!$P$25")="","",IF(INDIRECT("'["&amp;$C$1&amp;".xls]"&amp;$B252&amp;"'!$O$25")="済み",INDIRECT("'["&amp;$C$1&amp;".xls]"&amp;$B252&amp;"'!$P$25"),""))</f>
        <v>#REF!</v>
      </c>
      <c r="AB252" s="48" t="e">
        <f ca="1">IF(INDIRECT("'["&amp;$C$1&amp;".xls]"&amp;$B252&amp;"'!$P$26")="","",IF(INDIRECT("'["&amp;$C$1&amp;".xls]"&amp;$B252&amp;"'!$O$26")="済み",INDIRECT("'["&amp;$C$1&amp;".xls]"&amp;$B252&amp;"'!$P$26"),""))</f>
        <v>#REF!</v>
      </c>
      <c r="AC252" s="48" t="e">
        <f ca="1">IF(INDIRECT("'["&amp;$C$1&amp;".xls]"&amp;$B252&amp;"'!$P$27")="","",IF(INDIRECT("'["&amp;$C$1&amp;".xls]"&amp;$B252&amp;"'!$O$27")="済み",INDIRECT("'["&amp;$C$1&amp;".xls]"&amp;$B252&amp;"'!$P$27"),""))</f>
        <v>#REF!</v>
      </c>
      <c r="AD252" s="48" t="e">
        <f ca="1">IF(INDIRECT("'["&amp;$C$1&amp;".xls]"&amp;$B252&amp;"'!$P$28")="","",IF(INDIRECT("'["&amp;$C$1&amp;".xls]"&amp;$B252&amp;"'!$O$28")="済み",INDIRECT("'["&amp;$C$1&amp;".xls]"&amp;$B252&amp;"'!$P$28"),""))</f>
        <v>#REF!</v>
      </c>
      <c r="AE252" s="48" t="e">
        <f ca="1">IF(INDIRECT("'["&amp;$C$1&amp;".xls]"&amp;$B252&amp;"'!$P$29")="","",IF(INDIRECT("'["&amp;$C$1&amp;".xls]"&amp;$B252&amp;"'!$O$29")="済み",INDIRECT("'["&amp;$C$1&amp;".xls]"&amp;$B252&amp;"'!$P$29"),""))</f>
        <v>#REF!</v>
      </c>
      <c r="AF252" s="48" t="e">
        <f ca="1">IF(INDIRECT("'["&amp;$C$1&amp;".xls]"&amp;$B252&amp;"'!$P$30")="","",IF(INDIRECT("'["&amp;$C$1&amp;".xls]"&amp;$B252&amp;"'!$O$30")="済み",INDIRECT("'["&amp;$C$1&amp;".xls]"&amp;$B252&amp;"'!$P$30"),""))</f>
        <v>#REF!</v>
      </c>
      <c r="AG252" s="48" t="e">
        <f ca="1">IF(INDIRECT("'["&amp;$C$1&amp;".xls]"&amp;$B252&amp;"'!$P$31")="","",IF(INDIRECT("'["&amp;$C$1&amp;".xls]"&amp;$B252&amp;"'!$O$31")="済み",INDIRECT("'["&amp;$C$1&amp;".xls]"&amp;$B252&amp;"'!$P$31"),""))</f>
        <v>#REF!</v>
      </c>
      <c r="AH252" s="48" t="e">
        <f ca="1">IF(INDIRECT("'["&amp;$C$1&amp;".xls]"&amp;$B252&amp;"'!$P$32")="","",IF(INDIRECT("'["&amp;$C$1&amp;".xls]"&amp;$B252&amp;"'!$O$32")="済み",INDIRECT("'["&amp;$C$1&amp;".xls]"&amp;$B252&amp;"'!$P$32"),""))</f>
        <v>#REF!</v>
      </c>
      <c r="AI252" s="48" t="e">
        <f ca="1">IF(INDIRECT("'["&amp;$C$1&amp;".xls]"&amp;$B252&amp;"'!$P$33")="","",IF(INDIRECT("'["&amp;$C$1&amp;".xls]"&amp;$B252&amp;"'!$O$33")="済み",INDIRECT("'["&amp;$C$1&amp;".xls]"&amp;$B252&amp;"'!$P$33"),""))</f>
        <v>#REF!</v>
      </c>
      <c r="AJ252" s="48" t="e">
        <f ca="1">IF(INDIRECT("'["&amp;$C$1&amp;".xls]"&amp;$B252&amp;"'!$P$34")="","",IF(INDIRECT("'["&amp;$C$1&amp;".xls]"&amp;$B252&amp;"'!$O$34")="済み",INDIRECT("'["&amp;$C$1&amp;".xls]"&amp;$B252&amp;"'!$P$34"),""))</f>
        <v>#REF!</v>
      </c>
      <c r="AK252" s="48" t="e">
        <f ca="1">IF(INDIRECT("'["&amp;$C$1&amp;".xls]"&amp;$B252&amp;"'!$T25")="","",IF(INDIRECT("'["&amp;$C$1&amp;".xls]"&amp;$B252&amp;"'!$O$25")="済み",INDIRECT("'["&amp;$C$1&amp;".xls]"&amp;$B252&amp;"'!$T$25"),""))</f>
        <v>#REF!</v>
      </c>
      <c r="AL252" s="48" t="e">
        <f ca="1">IF(INDIRECT("'["&amp;$C$1&amp;".xls]"&amp;$B252&amp;"'!$T26")="","",IF(INDIRECT("'["&amp;$C$1&amp;".xls]"&amp;$B252&amp;"'!$O$26")="済み",INDIRECT("'["&amp;$C$1&amp;".xls]"&amp;$B252&amp;"'!$T$26"),""))</f>
        <v>#REF!</v>
      </c>
      <c r="AM252" s="48" t="e">
        <f ca="1">IF(INDIRECT("'["&amp;$C$1&amp;".xls]"&amp;$B252&amp;"'!$T27")="","",IF(INDIRECT("'["&amp;$C$1&amp;".xls]"&amp;$B252&amp;"'!$O$27")="済み",INDIRECT("'["&amp;$C$1&amp;".xls]"&amp;$B252&amp;"'!$T$27"),""))</f>
        <v>#REF!</v>
      </c>
      <c r="AN252" s="48" t="e">
        <f ca="1">IF(INDIRECT("'["&amp;$C$1&amp;".xls]"&amp;$B252&amp;"'!$T28")="","",IF(INDIRECT("'["&amp;$C$1&amp;".xls]"&amp;$B252&amp;"'!$O$28")="済み",INDIRECT("'["&amp;$C$1&amp;".xls]"&amp;$B252&amp;"'!$T$28"),""))</f>
        <v>#REF!</v>
      </c>
      <c r="AO252" s="48" t="e">
        <f ca="1">IF(INDIRECT("'["&amp;$C$1&amp;".xls]"&amp;$B252&amp;"'!$T29")="","",IF(INDIRECT("'["&amp;$C$1&amp;".xls]"&amp;$B252&amp;"'!$O$29")="済み",INDIRECT("'["&amp;$C$1&amp;".xls]"&amp;$B252&amp;"'!$T$29"),""))</f>
        <v>#REF!</v>
      </c>
      <c r="AP252" s="48" t="e">
        <f ca="1">IF(INDIRECT("'["&amp;$C$1&amp;".xls]"&amp;$B252&amp;"'!$T30")="","",IF(INDIRECT("'["&amp;$C$1&amp;".xls]"&amp;$B252&amp;"'!$O$30")="済み",INDIRECT("'["&amp;$C$1&amp;".xls]"&amp;$B252&amp;"'!$T$30"),""))</f>
        <v>#REF!</v>
      </c>
      <c r="AQ252" s="48" t="e">
        <f ca="1">IF(INDIRECT("'["&amp;$C$1&amp;".xls]"&amp;$B252&amp;"'!$T31")="","",IF(INDIRECT("'["&amp;$C$1&amp;".xls]"&amp;$B252&amp;"'!$O$31")="済み",INDIRECT("'["&amp;$C$1&amp;".xls]"&amp;$B252&amp;"'!$T$31"),""))</f>
        <v>#REF!</v>
      </c>
      <c r="AR252" s="48" t="e">
        <f ca="1">IF(INDIRECT("'["&amp;$C$1&amp;".xls]"&amp;$B252&amp;"'!$T32")="","",IF(INDIRECT("'["&amp;$C$1&amp;".xls]"&amp;$B252&amp;"'!$O$32")="済み",INDIRECT("'["&amp;$C$1&amp;".xls]"&amp;$B252&amp;"'!$T$32"),""))</f>
        <v>#REF!</v>
      </c>
      <c r="AS252" s="48" t="e">
        <f ca="1">IF(INDIRECT("'["&amp;$C$1&amp;".xls]"&amp;$B252&amp;"'!$T33")="","",IF(INDIRECT("'["&amp;$C$1&amp;".xls]"&amp;$B252&amp;"'!$O$33")="済み",INDIRECT("'["&amp;$C$1&amp;".xls]"&amp;$B252&amp;"'!$T$33"),""))</f>
        <v>#REF!</v>
      </c>
      <c r="AT252" s="48" t="e">
        <f ca="1">IF(INDIRECT("'["&amp;$C$1&amp;".xls]"&amp;$B252&amp;"'!$T34")="","",IF(INDIRECT("'["&amp;$C$1&amp;".xls]"&amp;$B252&amp;"'!$O$34")="済み",INDIRECT("'["&amp;$C$1&amp;".xls]"&amp;$B252&amp;"'!$T$34"),""))</f>
        <v>#REF!</v>
      </c>
      <c r="AU252" s="93" t="e">
        <f ca="1">INDIRECT("'["&amp;$C$1&amp;".xls]"&amp;$B252&amp;"'!$B$6")</f>
        <v>#REF!</v>
      </c>
      <c r="AV252" s="93"/>
      <c r="AW252" s="93"/>
      <c r="AX252" s="93"/>
      <c r="AY252" s="93"/>
    </row>
    <row r="253" spans="1:52" ht="16.5" customHeight="1" x14ac:dyDescent="0.15">
      <c r="A253" s="138" t="s">
        <v>3015</v>
      </c>
      <c r="B253" s="140" t="s">
        <v>3016</v>
      </c>
      <c r="C253" s="48" t="s">
        <v>298</v>
      </c>
      <c r="D253" s="62" t="s">
        <v>3017</v>
      </c>
      <c r="E253" s="48" t="s">
        <v>300</v>
      </c>
      <c r="F253" s="61">
        <v>42461</v>
      </c>
      <c r="G253" s="61">
        <v>42461</v>
      </c>
      <c r="H253" s="125">
        <v>42473</v>
      </c>
      <c r="I253" s="61" t="s">
        <v>279</v>
      </c>
      <c r="J253" s="87"/>
      <c r="K253" s="124" t="s">
        <v>263</v>
      </c>
      <c r="L253" s="124" t="s">
        <v>263</v>
      </c>
      <c r="M253" s="62" t="s">
        <v>3018</v>
      </c>
      <c r="N253" s="62" t="s">
        <v>3019</v>
      </c>
      <c r="O253" s="48" t="s">
        <v>3020</v>
      </c>
      <c r="P253" s="48" t="s">
        <v>263</v>
      </c>
      <c r="Q253" s="48" t="s">
        <v>263</v>
      </c>
      <c r="R253" s="48"/>
      <c r="S253" s="48" t="s">
        <v>3021</v>
      </c>
      <c r="T253" s="48" t="s">
        <v>3022</v>
      </c>
      <c r="U253" s="48" t="s">
        <v>3023</v>
      </c>
      <c r="V253" s="122" t="s">
        <v>263</v>
      </c>
      <c r="W253" s="122" t="s">
        <v>263</v>
      </c>
      <c r="X253" s="48" t="s">
        <v>2719</v>
      </c>
      <c r="Y253" s="48" t="s">
        <v>2720</v>
      </c>
      <c r="Z253" s="61"/>
      <c r="AA253" s="48" t="s">
        <v>273</v>
      </c>
      <c r="AB253" s="48" t="s">
        <v>273</v>
      </c>
      <c r="AC253" s="48" t="s">
        <v>273</v>
      </c>
      <c r="AD253" s="48" t="s">
        <v>273</v>
      </c>
      <c r="AE253" s="48" t="s">
        <v>273</v>
      </c>
      <c r="AF253" s="48" t="s">
        <v>273</v>
      </c>
      <c r="AG253" s="48" t="s">
        <v>273</v>
      </c>
      <c r="AH253" s="48" t="s">
        <v>273</v>
      </c>
      <c r="AI253" s="48" t="s">
        <v>273</v>
      </c>
      <c r="AJ253" s="48" t="s">
        <v>273</v>
      </c>
      <c r="AK253" s="48" t="s">
        <v>273</v>
      </c>
      <c r="AL253" s="48" t="s">
        <v>273</v>
      </c>
      <c r="AM253" s="48" t="s">
        <v>273</v>
      </c>
      <c r="AN253" s="48" t="s">
        <v>273</v>
      </c>
      <c r="AO253" s="48" t="s">
        <v>273</v>
      </c>
      <c r="AP253" s="48" t="s">
        <v>273</v>
      </c>
      <c r="AQ253" s="48" t="s">
        <v>273</v>
      </c>
      <c r="AR253" s="48" t="s">
        <v>273</v>
      </c>
      <c r="AS253" s="48" t="s">
        <v>273</v>
      </c>
      <c r="AT253" s="48" t="s">
        <v>273</v>
      </c>
      <c r="AU253" s="93">
        <v>40238</v>
      </c>
      <c r="AV253" s="93"/>
      <c r="AW253" s="93"/>
      <c r="AX253" s="93"/>
      <c r="AY253" s="93"/>
      <c r="AZ253" s="49" t="s">
        <v>767</v>
      </c>
    </row>
    <row r="254" spans="1:52" ht="16.5" customHeight="1" x14ac:dyDescent="0.15">
      <c r="A254" s="146" t="s">
        <v>3024</v>
      </c>
      <c r="B254" s="147" t="s">
        <v>3025</v>
      </c>
      <c r="C254" s="48" t="s">
        <v>330</v>
      </c>
      <c r="D254" s="62" t="s">
        <v>3026</v>
      </c>
      <c r="E254" s="48" t="s">
        <v>300</v>
      </c>
      <c r="F254" s="61">
        <v>42461</v>
      </c>
      <c r="G254" s="61">
        <v>42461</v>
      </c>
      <c r="H254" s="125">
        <v>42523</v>
      </c>
      <c r="I254" s="139" t="s">
        <v>263</v>
      </c>
      <c r="J254" s="87"/>
      <c r="K254" s="124" t="s">
        <v>263</v>
      </c>
      <c r="L254" s="124" t="s">
        <v>263</v>
      </c>
      <c r="M254" s="62" t="s">
        <v>409</v>
      </c>
      <c r="N254" s="62" t="s">
        <v>3027</v>
      </c>
      <c r="O254" s="48" t="s">
        <v>411</v>
      </c>
      <c r="P254" s="48" t="s">
        <v>3028</v>
      </c>
      <c r="Q254" s="48" t="s">
        <v>3029</v>
      </c>
      <c r="R254" s="48" t="s">
        <v>3030</v>
      </c>
      <c r="S254" s="48" t="s">
        <v>3031</v>
      </c>
      <c r="T254" s="48" t="s">
        <v>3032</v>
      </c>
      <c r="U254" s="48" t="s">
        <v>3033</v>
      </c>
      <c r="V254" s="122" t="s">
        <v>263</v>
      </c>
      <c r="W254" s="122" t="s">
        <v>263</v>
      </c>
      <c r="X254" s="122" t="s">
        <v>263</v>
      </c>
      <c r="Y254" s="122" t="s">
        <v>3034</v>
      </c>
      <c r="Z254" s="61"/>
      <c r="AA254" s="48" t="s">
        <v>273</v>
      </c>
      <c r="AB254" s="48" t="s">
        <v>273</v>
      </c>
      <c r="AC254" s="48" t="s">
        <v>273</v>
      </c>
      <c r="AD254" s="48" t="s">
        <v>273</v>
      </c>
      <c r="AE254" s="48" t="s">
        <v>273</v>
      </c>
      <c r="AF254" s="48" t="s">
        <v>273</v>
      </c>
      <c r="AG254" s="48" t="s">
        <v>273</v>
      </c>
      <c r="AH254" s="48" t="s">
        <v>273</v>
      </c>
      <c r="AI254" s="48" t="s">
        <v>273</v>
      </c>
      <c r="AJ254" s="48" t="s">
        <v>273</v>
      </c>
      <c r="AK254" s="48" t="s">
        <v>273</v>
      </c>
      <c r="AL254" s="48" t="s">
        <v>273</v>
      </c>
      <c r="AM254" s="48" t="s">
        <v>273</v>
      </c>
      <c r="AN254" s="48" t="s">
        <v>273</v>
      </c>
      <c r="AO254" s="48" t="s">
        <v>273</v>
      </c>
      <c r="AP254" s="48" t="s">
        <v>273</v>
      </c>
      <c r="AQ254" s="48" t="s">
        <v>273</v>
      </c>
      <c r="AR254" s="48" t="s">
        <v>273</v>
      </c>
      <c r="AS254" s="48" t="s">
        <v>273</v>
      </c>
      <c r="AT254" s="48" t="s">
        <v>273</v>
      </c>
      <c r="AU254" s="93">
        <v>38565</v>
      </c>
      <c r="AV254" s="93"/>
      <c r="AW254" s="93"/>
      <c r="AX254" s="93"/>
      <c r="AY254" s="93"/>
      <c r="AZ254" s="49" t="s">
        <v>3035</v>
      </c>
    </row>
    <row r="255" spans="1:52" ht="16.5" customHeight="1" x14ac:dyDescent="0.15">
      <c r="A255" s="144" t="s">
        <v>3036</v>
      </c>
      <c r="B255" s="145" t="s">
        <v>3037</v>
      </c>
      <c r="C255" s="48" t="s">
        <v>330</v>
      </c>
      <c r="D255" s="62" t="s">
        <v>3038</v>
      </c>
      <c r="E255" s="48" t="s">
        <v>300</v>
      </c>
      <c r="F255" s="61">
        <v>42461</v>
      </c>
      <c r="G255" s="61">
        <v>42461</v>
      </c>
      <c r="H255" s="125">
        <v>42510</v>
      </c>
      <c r="I255" s="61">
        <v>40118</v>
      </c>
      <c r="J255" s="87"/>
      <c r="K255" s="124" t="s">
        <v>263</v>
      </c>
      <c r="L255" s="124" t="s">
        <v>263</v>
      </c>
      <c r="M255" s="62" t="s">
        <v>209</v>
      </c>
      <c r="N255" s="62" t="s">
        <v>3039</v>
      </c>
      <c r="O255" s="48" t="s">
        <v>3040</v>
      </c>
      <c r="P255" s="48" t="s">
        <v>3041</v>
      </c>
      <c r="Q255" s="130" t="s">
        <v>3042</v>
      </c>
      <c r="R255" s="48" t="s">
        <v>3043</v>
      </c>
      <c r="S255" s="48" t="s">
        <v>3044</v>
      </c>
      <c r="T255" s="48" t="s">
        <v>3045</v>
      </c>
      <c r="U255" s="48" t="s">
        <v>3046</v>
      </c>
      <c r="V255" s="122" t="s">
        <v>263</v>
      </c>
      <c r="W255" s="122" t="s">
        <v>263</v>
      </c>
      <c r="X255" s="48" t="s">
        <v>3047</v>
      </c>
      <c r="Y255" s="48" t="s">
        <v>3048</v>
      </c>
      <c r="Z255" s="61"/>
      <c r="AA255" s="48" t="s">
        <v>273</v>
      </c>
      <c r="AB255" s="48" t="s">
        <v>273</v>
      </c>
      <c r="AC255" s="48" t="s">
        <v>273</v>
      </c>
      <c r="AD255" s="48" t="s">
        <v>273</v>
      </c>
      <c r="AE255" s="48" t="s">
        <v>273</v>
      </c>
      <c r="AF255" s="48" t="s">
        <v>273</v>
      </c>
      <c r="AG255" s="48" t="s">
        <v>273</v>
      </c>
      <c r="AH255" s="48" t="s">
        <v>273</v>
      </c>
      <c r="AI255" s="48" t="s">
        <v>273</v>
      </c>
      <c r="AJ255" s="48" t="s">
        <v>273</v>
      </c>
      <c r="AK255" s="48" t="s">
        <v>273</v>
      </c>
      <c r="AL255" s="48" t="s">
        <v>273</v>
      </c>
      <c r="AM255" s="48" t="s">
        <v>273</v>
      </c>
      <c r="AN255" s="48" t="s">
        <v>273</v>
      </c>
      <c r="AO255" s="48" t="s">
        <v>273</v>
      </c>
      <c r="AP255" s="48" t="s">
        <v>273</v>
      </c>
      <c r="AQ255" s="48" t="s">
        <v>273</v>
      </c>
      <c r="AR255" s="48" t="s">
        <v>273</v>
      </c>
      <c r="AS255" s="48" t="s">
        <v>273</v>
      </c>
      <c r="AT255" s="48" t="s">
        <v>273</v>
      </c>
      <c r="AU255" s="93">
        <v>40026</v>
      </c>
      <c r="AV255" s="93"/>
      <c r="AW255" s="93"/>
      <c r="AX255" s="93"/>
      <c r="AY255" s="93"/>
      <c r="AZ255" s="49" t="s">
        <v>767</v>
      </c>
    </row>
    <row r="256" spans="1:52" ht="16.5" customHeight="1" x14ac:dyDescent="0.15">
      <c r="A256" s="138" t="s">
        <v>3049</v>
      </c>
      <c r="B256" s="140" t="s">
        <v>3050</v>
      </c>
      <c r="C256" s="48" t="s">
        <v>330</v>
      </c>
      <c r="D256" s="62" t="s">
        <v>263</v>
      </c>
      <c r="E256" s="48" t="s">
        <v>264</v>
      </c>
      <c r="F256" s="61">
        <v>42461</v>
      </c>
      <c r="G256" s="61">
        <v>42461</v>
      </c>
      <c r="H256" s="125">
        <v>42471</v>
      </c>
      <c r="I256" s="61" t="s">
        <v>263</v>
      </c>
      <c r="J256" s="87"/>
      <c r="K256" s="62" t="s">
        <v>12</v>
      </c>
      <c r="L256" s="124" t="s">
        <v>263</v>
      </c>
      <c r="M256" s="62" t="s">
        <v>442</v>
      </c>
      <c r="N256" s="62" t="s">
        <v>3051</v>
      </c>
      <c r="O256" s="48" t="s">
        <v>983</v>
      </c>
      <c r="P256" s="48" t="s">
        <v>267</v>
      </c>
      <c r="Q256" s="48" t="s">
        <v>892</v>
      </c>
      <c r="R256" s="122" t="s">
        <v>263</v>
      </c>
      <c r="S256" s="48" t="s">
        <v>269</v>
      </c>
      <c r="T256" s="48" t="s">
        <v>270</v>
      </c>
      <c r="U256" s="48" t="s">
        <v>3052</v>
      </c>
      <c r="V256" s="122" t="s">
        <v>263</v>
      </c>
      <c r="W256" s="122" t="s">
        <v>263</v>
      </c>
      <c r="X256" s="122" t="s">
        <v>263</v>
      </c>
      <c r="Y256" s="122" t="s">
        <v>263</v>
      </c>
      <c r="Z256" s="61"/>
      <c r="AA256" s="48" t="s">
        <v>273</v>
      </c>
      <c r="AB256" s="48" t="s">
        <v>273</v>
      </c>
      <c r="AC256" s="48" t="s">
        <v>273</v>
      </c>
      <c r="AD256" s="48" t="s">
        <v>273</v>
      </c>
      <c r="AE256" s="48" t="s">
        <v>273</v>
      </c>
      <c r="AF256" s="48" t="s">
        <v>273</v>
      </c>
      <c r="AG256" s="48" t="s">
        <v>273</v>
      </c>
      <c r="AH256" s="48" t="s">
        <v>273</v>
      </c>
      <c r="AI256" s="48" t="s">
        <v>273</v>
      </c>
      <c r="AJ256" s="48" t="s">
        <v>273</v>
      </c>
      <c r="AK256" s="48" t="s">
        <v>273</v>
      </c>
      <c r="AL256" s="48" t="s">
        <v>273</v>
      </c>
      <c r="AM256" s="48" t="s">
        <v>273</v>
      </c>
      <c r="AN256" s="48" t="s">
        <v>273</v>
      </c>
      <c r="AO256" s="48" t="s">
        <v>273</v>
      </c>
      <c r="AP256" s="48" t="s">
        <v>273</v>
      </c>
      <c r="AQ256" s="48" t="s">
        <v>273</v>
      </c>
      <c r="AR256" s="48" t="s">
        <v>273</v>
      </c>
      <c r="AS256" s="48" t="s">
        <v>273</v>
      </c>
      <c r="AT256" s="48" t="s">
        <v>273</v>
      </c>
      <c r="AU256" s="93">
        <v>38108</v>
      </c>
      <c r="AV256" s="93"/>
      <c r="AW256" s="93"/>
      <c r="AX256" s="93"/>
      <c r="AY256" s="93"/>
      <c r="AZ256" s="49" t="s">
        <v>3053</v>
      </c>
    </row>
    <row r="257" spans="1:52" ht="16.5" customHeight="1" x14ac:dyDescent="0.15">
      <c r="A257" s="138" t="s">
        <v>3054</v>
      </c>
      <c r="B257" s="140" t="s">
        <v>3055</v>
      </c>
      <c r="C257" s="48" t="s">
        <v>298</v>
      </c>
      <c r="D257" s="62" t="s">
        <v>3056</v>
      </c>
      <c r="E257" s="48" t="s">
        <v>300</v>
      </c>
      <c r="F257" s="61">
        <v>42461</v>
      </c>
      <c r="G257" s="61">
        <v>42461</v>
      </c>
      <c r="H257" s="125">
        <v>42479</v>
      </c>
      <c r="I257" s="61" t="s">
        <v>279</v>
      </c>
      <c r="J257" s="87"/>
      <c r="K257" s="62" t="s">
        <v>12</v>
      </c>
      <c r="L257" s="62">
        <v>3</v>
      </c>
      <c r="M257" s="62" t="s">
        <v>924</v>
      </c>
      <c r="N257" s="62" t="s">
        <v>3057</v>
      </c>
      <c r="O257" s="48" t="s">
        <v>2983</v>
      </c>
      <c r="P257" s="48" t="s">
        <v>1715</v>
      </c>
      <c r="Q257" s="48" t="s">
        <v>1716</v>
      </c>
      <c r="R257" s="48" t="s">
        <v>1717</v>
      </c>
      <c r="S257" s="48" t="s">
        <v>1718</v>
      </c>
      <c r="T257" s="48" t="s">
        <v>1719</v>
      </c>
      <c r="U257" s="48" t="s">
        <v>3058</v>
      </c>
      <c r="V257" s="122" t="s">
        <v>263</v>
      </c>
      <c r="W257" s="48" t="s">
        <v>3059</v>
      </c>
      <c r="X257" s="48" t="s">
        <v>3060</v>
      </c>
      <c r="Y257" s="48" t="s">
        <v>3061</v>
      </c>
      <c r="Z257" s="61"/>
      <c r="AA257" s="48" t="s">
        <v>453</v>
      </c>
      <c r="AB257" s="48" t="s">
        <v>3062</v>
      </c>
      <c r="AC257" s="48" t="s">
        <v>581</v>
      </c>
      <c r="AD257" s="48" t="s">
        <v>273</v>
      </c>
      <c r="AE257" s="48" t="s">
        <v>273</v>
      </c>
      <c r="AF257" s="48" t="s">
        <v>273</v>
      </c>
      <c r="AG257" s="48" t="s">
        <v>273</v>
      </c>
      <c r="AH257" s="48" t="s">
        <v>273</v>
      </c>
      <c r="AI257" s="48" t="s">
        <v>273</v>
      </c>
      <c r="AJ257" s="48" t="s">
        <v>273</v>
      </c>
      <c r="AK257" s="48" t="s">
        <v>454</v>
      </c>
      <c r="AL257" s="48" t="s">
        <v>391</v>
      </c>
      <c r="AM257" s="48" t="s">
        <v>582</v>
      </c>
      <c r="AN257" s="48" t="s">
        <v>273</v>
      </c>
      <c r="AO257" s="48" t="s">
        <v>273</v>
      </c>
      <c r="AP257" s="48" t="s">
        <v>273</v>
      </c>
      <c r="AQ257" s="48" t="s">
        <v>273</v>
      </c>
      <c r="AR257" s="48" t="s">
        <v>273</v>
      </c>
      <c r="AS257" s="48" t="s">
        <v>273</v>
      </c>
      <c r="AT257" s="48" t="s">
        <v>273</v>
      </c>
      <c r="AU257" s="93">
        <v>37257</v>
      </c>
      <c r="AV257" s="93"/>
      <c r="AW257" s="93"/>
      <c r="AX257" s="93"/>
      <c r="AY257" s="93"/>
    </row>
    <row r="258" spans="1:52" ht="16.5" customHeight="1" x14ac:dyDescent="0.15">
      <c r="A258" s="138" t="s">
        <v>3063</v>
      </c>
      <c r="B258" s="140" t="s">
        <v>3064</v>
      </c>
      <c r="C258" s="48" t="s">
        <v>3065</v>
      </c>
      <c r="D258" s="62" t="s">
        <v>263</v>
      </c>
      <c r="E258" s="48" t="s">
        <v>264</v>
      </c>
      <c r="F258" s="61">
        <v>42461</v>
      </c>
      <c r="G258" s="61">
        <v>42461</v>
      </c>
      <c r="H258" s="125">
        <v>42474</v>
      </c>
      <c r="I258" s="61" t="s">
        <v>263</v>
      </c>
      <c r="J258" s="87"/>
      <c r="K258" s="62" t="s">
        <v>12</v>
      </c>
      <c r="L258" s="62">
        <v>3</v>
      </c>
      <c r="M258" s="62" t="s">
        <v>209</v>
      </c>
      <c r="N258" s="62" t="s">
        <v>3066</v>
      </c>
      <c r="O258" s="48" t="s">
        <v>1994</v>
      </c>
      <c r="P258" s="48" t="s">
        <v>267</v>
      </c>
      <c r="Q258" s="48" t="s">
        <v>892</v>
      </c>
      <c r="R258" s="48"/>
      <c r="S258" s="48" t="s">
        <v>269</v>
      </c>
      <c r="T258" s="48" t="s">
        <v>270</v>
      </c>
      <c r="U258" s="48" t="s">
        <v>3067</v>
      </c>
      <c r="V258" s="48"/>
      <c r="W258" s="48"/>
      <c r="X258" s="48"/>
      <c r="Y258" s="48"/>
      <c r="Z258" s="61"/>
      <c r="AA258" s="148" t="s">
        <v>548</v>
      </c>
      <c r="AB258" s="148" t="s">
        <v>547</v>
      </c>
      <c r="AC258" s="148" t="s">
        <v>546</v>
      </c>
      <c r="AD258" s="48" t="s">
        <v>273</v>
      </c>
      <c r="AE258" s="48" t="s">
        <v>273</v>
      </c>
      <c r="AF258" s="48" t="s">
        <v>273</v>
      </c>
      <c r="AG258" s="48" t="s">
        <v>273</v>
      </c>
      <c r="AH258" s="48" t="s">
        <v>273</v>
      </c>
      <c r="AI258" s="48" t="s">
        <v>273</v>
      </c>
      <c r="AJ258" s="48" t="s">
        <v>273</v>
      </c>
      <c r="AK258" s="48" t="s">
        <v>549</v>
      </c>
      <c r="AL258" s="48" t="s">
        <v>550</v>
      </c>
      <c r="AM258" s="48" t="s">
        <v>551</v>
      </c>
      <c r="AN258" s="48" t="s">
        <v>273</v>
      </c>
      <c r="AO258" s="48" t="s">
        <v>273</v>
      </c>
      <c r="AP258" s="48" t="s">
        <v>273</v>
      </c>
      <c r="AQ258" s="48" t="s">
        <v>273</v>
      </c>
      <c r="AR258" s="48" t="s">
        <v>273</v>
      </c>
      <c r="AS258" s="48" t="s">
        <v>273</v>
      </c>
      <c r="AT258" s="48" t="s">
        <v>273</v>
      </c>
      <c r="AU258" s="93">
        <v>41609</v>
      </c>
      <c r="AV258" s="93"/>
      <c r="AW258" s="93"/>
      <c r="AX258" s="93"/>
      <c r="AY258" s="93"/>
    </row>
    <row r="259" spans="1:52" ht="16.5" customHeight="1" x14ac:dyDescent="0.15">
      <c r="A259" s="144" t="s">
        <v>3068</v>
      </c>
      <c r="B259" s="145" t="s">
        <v>3069</v>
      </c>
      <c r="C259" s="48" t="s">
        <v>330</v>
      </c>
      <c r="D259" s="62" t="s">
        <v>263</v>
      </c>
      <c r="E259" s="48" t="s">
        <v>273</v>
      </c>
      <c r="F259" s="61">
        <v>42464</v>
      </c>
      <c r="G259" s="61">
        <v>42464</v>
      </c>
      <c r="H259" s="125">
        <v>42502</v>
      </c>
      <c r="I259" s="61">
        <v>38967</v>
      </c>
      <c r="J259" s="87"/>
      <c r="K259" s="62" t="s">
        <v>12</v>
      </c>
      <c r="L259" s="62">
        <v>5</v>
      </c>
      <c r="M259" s="62" t="s">
        <v>394</v>
      </c>
      <c r="N259" s="62" t="s">
        <v>3070</v>
      </c>
      <c r="O259" s="48" t="s">
        <v>555</v>
      </c>
      <c r="P259" s="48" t="s">
        <v>1225</v>
      </c>
      <c r="Q259" s="48" t="s">
        <v>1097</v>
      </c>
      <c r="R259" s="48" t="s">
        <v>2783</v>
      </c>
      <c r="S259" s="48" t="s">
        <v>400</v>
      </c>
      <c r="T259" s="48" t="s">
        <v>401</v>
      </c>
      <c r="U259" s="48" t="s">
        <v>3071</v>
      </c>
      <c r="V259" s="122" t="s">
        <v>263</v>
      </c>
      <c r="W259" s="122" t="s">
        <v>263</v>
      </c>
      <c r="X259" s="48" t="s">
        <v>1973</v>
      </c>
      <c r="Y259" s="48" t="s">
        <v>3072</v>
      </c>
      <c r="Z259" s="61"/>
      <c r="AA259" s="48" t="s">
        <v>3073</v>
      </c>
      <c r="AB259" s="48" t="s">
        <v>1195</v>
      </c>
      <c r="AC259" s="48" t="s">
        <v>273</v>
      </c>
      <c r="AD259" s="48" t="s">
        <v>273</v>
      </c>
      <c r="AE259" s="48" t="s">
        <v>273</v>
      </c>
      <c r="AF259" s="48" t="s">
        <v>273</v>
      </c>
      <c r="AG259" s="48" t="s">
        <v>273</v>
      </c>
      <c r="AH259" s="48" t="s">
        <v>273</v>
      </c>
      <c r="AI259" s="48" t="s">
        <v>273</v>
      </c>
      <c r="AJ259" s="48" t="s">
        <v>273</v>
      </c>
      <c r="AK259" s="48" t="s">
        <v>564</v>
      </c>
      <c r="AL259" s="48" t="s">
        <v>1196</v>
      </c>
      <c r="AM259" s="48" t="s">
        <v>273</v>
      </c>
      <c r="AN259" s="48" t="s">
        <v>273</v>
      </c>
      <c r="AO259" s="48" t="s">
        <v>273</v>
      </c>
      <c r="AP259" s="48" t="s">
        <v>273</v>
      </c>
      <c r="AQ259" s="48" t="s">
        <v>273</v>
      </c>
      <c r="AR259" s="48" t="s">
        <v>273</v>
      </c>
      <c r="AS259" s="48" t="s">
        <v>273</v>
      </c>
      <c r="AT259" s="48" t="s">
        <v>273</v>
      </c>
      <c r="AU259" s="93">
        <v>38718</v>
      </c>
      <c r="AV259" s="93"/>
      <c r="AW259" s="93"/>
      <c r="AX259" s="93"/>
      <c r="AY259" s="93"/>
      <c r="AZ259" s="49" t="s">
        <v>3074</v>
      </c>
    </row>
    <row r="260" spans="1:52" ht="16.5" customHeight="1" x14ac:dyDescent="0.15">
      <c r="A260" s="144" t="s">
        <v>3075</v>
      </c>
      <c r="B260" s="145" t="s">
        <v>3076</v>
      </c>
      <c r="C260" s="48" t="s">
        <v>330</v>
      </c>
      <c r="D260" s="62" t="s">
        <v>3077</v>
      </c>
      <c r="E260" s="48" t="s">
        <v>300</v>
      </c>
      <c r="F260" s="61">
        <v>42464</v>
      </c>
      <c r="G260" s="61">
        <v>42464</v>
      </c>
      <c r="H260" s="125">
        <v>42513</v>
      </c>
      <c r="I260" s="61" t="s">
        <v>279</v>
      </c>
      <c r="J260" s="87"/>
      <c r="K260" s="62" t="s">
        <v>12</v>
      </c>
      <c r="L260" s="124" t="s">
        <v>263</v>
      </c>
      <c r="M260" s="62" t="s">
        <v>619</v>
      </c>
      <c r="N260" s="62" t="s">
        <v>3078</v>
      </c>
      <c r="O260" s="48" t="s">
        <v>621</v>
      </c>
      <c r="P260" s="48" t="s">
        <v>3079</v>
      </c>
      <c r="Q260" s="48" t="s">
        <v>318</v>
      </c>
      <c r="R260" s="48" t="s">
        <v>3080</v>
      </c>
      <c r="S260" s="48" t="s">
        <v>3081</v>
      </c>
      <c r="T260" s="48" t="s">
        <v>3082</v>
      </c>
      <c r="U260" s="48" t="s">
        <v>1344</v>
      </c>
      <c r="V260" s="48" t="s">
        <v>3083</v>
      </c>
      <c r="W260" s="48" t="s">
        <v>3084</v>
      </c>
      <c r="X260" s="48" t="s">
        <v>1345</v>
      </c>
      <c r="Y260" s="48" t="s">
        <v>3085</v>
      </c>
      <c r="Z260" s="61"/>
      <c r="AA260" s="48" t="s">
        <v>273</v>
      </c>
      <c r="AB260" s="48" t="s">
        <v>273</v>
      </c>
      <c r="AC260" s="48" t="s">
        <v>273</v>
      </c>
      <c r="AD260" s="48" t="s">
        <v>273</v>
      </c>
      <c r="AE260" s="48" t="s">
        <v>273</v>
      </c>
      <c r="AF260" s="48" t="s">
        <v>273</v>
      </c>
      <c r="AG260" s="48" t="s">
        <v>273</v>
      </c>
      <c r="AH260" s="48" t="s">
        <v>273</v>
      </c>
      <c r="AI260" s="48" t="s">
        <v>273</v>
      </c>
      <c r="AJ260" s="48" t="s">
        <v>273</v>
      </c>
      <c r="AK260" s="48" t="s">
        <v>273</v>
      </c>
      <c r="AL260" s="48" t="s">
        <v>273</v>
      </c>
      <c r="AM260" s="48" t="s">
        <v>273</v>
      </c>
      <c r="AN260" s="48" t="s">
        <v>273</v>
      </c>
      <c r="AO260" s="48" t="s">
        <v>273</v>
      </c>
      <c r="AP260" s="48" t="s">
        <v>273</v>
      </c>
      <c r="AQ260" s="48" t="s">
        <v>273</v>
      </c>
      <c r="AR260" s="48" t="s">
        <v>273</v>
      </c>
      <c r="AS260" s="48" t="s">
        <v>273</v>
      </c>
      <c r="AT260" s="48" t="s">
        <v>273</v>
      </c>
      <c r="AU260" s="93">
        <v>36739</v>
      </c>
      <c r="AV260" s="93"/>
      <c r="AW260" s="93"/>
      <c r="AX260" s="93"/>
      <c r="AY260" s="93"/>
      <c r="AZ260" s="49" t="s">
        <v>3086</v>
      </c>
    </row>
    <row r="261" spans="1:52" ht="16.5" customHeight="1" x14ac:dyDescent="0.15">
      <c r="A261" s="199" t="s">
        <v>3087</v>
      </c>
      <c r="B261" s="209" t="s">
        <v>3088</v>
      </c>
      <c r="C261" s="48" t="s">
        <v>330</v>
      </c>
      <c r="D261" s="62" t="s">
        <v>3089</v>
      </c>
      <c r="E261" s="48" t="s">
        <v>300</v>
      </c>
      <c r="F261" s="61">
        <v>42464</v>
      </c>
      <c r="G261" s="61">
        <v>42464</v>
      </c>
      <c r="H261" s="125">
        <v>42698</v>
      </c>
      <c r="I261" s="61" t="s">
        <v>279</v>
      </c>
      <c r="J261" s="87"/>
      <c r="K261" s="124" t="s">
        <v>2818</v>
      </c>
      <c r="L261" s="124" t="s">
        <v>2818</v>
      </c>
      <c r="M261" s="62" t="s">
        <v>235</v>
      </c>
      <c r="N261" s="62" t="s">
        <v>3090</v>
      </c>
      <c r="O261" s="48" t="s">
        <v>3091</v>
      </c>
      <c r="P261" s="48" t="s">
        <v>1016</v>
      </c>
      <c r="Q261" s="48" t="s">
        <v>3092</v>
      </c>
      <c r="R261" s="48" t="s">
        <v>3093</v>
      </c>
      <c r="S261" s="48" t="s">
        <v>1019</v>
      </c>
      <c r="T261" s="48" t="s">
        <v>1020</v>
      </c>
      <c r="U261" s="48" t="s">
        <v>3094</v>
      </c>
      <c r="V261" s="122" t="s">
        <v>2818</v>
      </c>
      <c r="W261" s="122" t="s">
        <v>2818</v>
      </c>
      <c r="X261" s="48" t="s">
        <v>3095</v>
      </c>
      <c r="Y261" s="48" t="s">
        <v>3096</v>
      </c>
      <c r="Z261" s="61"/>
      <c r="AA261" s="48" t="s">
        <v>273</v>
      </c>
      <c r="AB261" s="48" t="s">
        <v>273</v>
      </c>
      <c r="AC261" s="48" t="s">
        <v>273</v>
      </c>
      <c r="AD261" s="48" t="s">
        <v>273</v>
      </c>
      <c r="AE261" s="48" t="s">
        <v>273</v>
      </c>
      <c r="AF261" s="48" t="s">
        <v>273</v>
      </c>
      <c r="AG261" s="48" t="s">
        <v>273</v>
      </c>
      <c r="AH261" s="48" t="s">
        <v>273</v>
      </c>
      <c r="AI261" s="48" t="s">
        <v>273</v>
      </c>
      <c r="AJ261" s="48" t="s">
        <v>273</v>
      </c>
      <c r="AK261" s="48" t="s">
        <v>273</v>
      </c>
      <c r="AL261" s="48" t="s">
        <v>273</v>
      </c>
      <c r="AM261" s="48" t="s">
        <v>273</v>
      </c>
      <c r="AN261" s="48" t="s">
        <v>273</v>
      </c>
      <c r="AO261" s="48" t="s">
        <v>273</v>
      </c>
      <c r="AP261" s="48" t="s">
        <v>273</v>
      </c>
      <c r="AQ261" s="48" t="s">
        <v>273</v>
      </c>
      <c r="AR261" s="48" t="s">
        <v>273</v>
      </c>
      <c r="AS261" s="48" t="s">
        <v>273</v>
      </c>
      <c r="AT261" s="48" t="s">
        <v>273</v>
      </c>
      <c r="AU261" s="93">
        <v>39600</v>
      </c>
      <c r="AV261" s="93"/>
      <c r="AW261" s="93"/>
      <c r="AX261" s="93"/>
      <c r="AY261" s="93"/>
    </row>
    <row r="262" spans="1:52" ht="16.5" customHeight="1" x14ac:dyDescent="0.15">
      <c r="A262" s="144" t="s">
        <v>3097</v>
      </c>
      <c r="B262" s="145" t="s">
        <v>3098</v>
      </c>
      <c r="C262" s="48" t="s">
        <v>330</v>
      </c>
      <c r="D262" s="62" t="s">
        <v>3099</v>
      </c>
      <c r="E262" s="48" t="s">
        <v>273</v>
      </c>
      <c r="F262" s="61">
        <v>42464</v>
      </c>
      <c r="G262" s="61">
        <v>42464</v>
      </c>
      <c r="H262" s="125">
        <v>42513</v>
      </c>
      <c r="I262" s="61" t="s">
        <v>279</v>
      </c>
      <c r="J262" s="87"/>
      <c r="K262" s="62" t="s">
        <v>12</v>
      </c>
      <c r="L262" s="62">
        <v>3</v>
      </c>
      <c r="M262" s="62" t="s">
        <v>3100</v>
      </c>
      <c r="N262" s="62" t="s">
        <v>3101</v>
      </c>
      <c r="O262" s="48" t="s">
        <v>263</v>
      </c>
      <c r="P262" s="48" t="s">
        <v>3102</v>
      </c>
      <c r="Q262" s="48" t="s">
        <v>654</v>
      </c>
      <c r="R262" s="48" t="s">
        <v>430</v>
      </c>
      <c r="S262" s="48" t="s">
        <v>431</v>
      </c>
      <c r="T262" s="48" t="s">
        <v>432</v>
      </c>
      <c r="U262" s="48" t="s">
        <v>3103</v>
      </c>
      <c r="V262" s="122" t="s">
        <v>263</v>
      </c>
      <c r="W262" s="48" t="s">
        <v>3104</v>
      </c>
      <c r="X262" s="48" t="s">
        <v>434</v>
      </c>
      <c r="Y262" s="48" t="s">
        <v>435</v>
      </c>
      <c r="Z262" s="61"/>
      <c r="AA262" s="48" t="s">
        <v>1249</v>
      </c>
      <c r="AB262" s="48" t="s">
        <v>1249</v>
      </c>
      <c r="AC262" s="48" t="s">
        <v>1249</v>
      </c>
      <c r="AD262" s="48" t="s">
        <v>1249</v>
      </c>
      <c r="AE262" s="48" t="s">
        <v>273</v>
      </c>
      <c r="AF262" s="48" t="s">
        <v>273</v>
      </c>
      <c r="AG262" s="48" t="s">
        <v>273</v>
      </c>
      <c r="AH262" s="48" t="s">
        <v>273</v>
      </c>
      <c r="AI262" s="48" t="s">
        <v>273</v>
      </c>
      <c r="AJ262" s="48" t="s">
        <v>273</v>
      </c>
      <c r="AK262" s="48" t="s">
        <v>3105</v>
      </c>
      <c r="AL262" s="48" t="s">
        <v>3106</v>
      </c>
      <c r="AM262" s="48" t="s">
        <v>3107</v>
      </c>
      <c r="AN262" s="48" t="s">
        <v>3108</v>
      </c>
      <c r="AO262" s="48" t="s">
        <v>273</v>
      </c>
      <c r="AP262" s="48" t="s">
        <v>273</v>
      </c>
      <c r="AQ262" s="48" t="s">
        <v>273</v>
      </c>
      <c r="AR262" s="48" t="s">
        <v>273</v>
      </c>
      <c r="AS262" s="48" t="s">
        <v>273</v>
      </c>
      <c r="AT262" s="48" t="s">
        <v>273</v>
      </c>
      <c r="AU262" s="93" t="s">
        <v>263</v>
      </c>
      <c r="AV262" s="93"/>
      <c r="AW262" s="93"/>
      <c r="AX262" s="93"/>
      <c r="AY262" s="93"/>
    </row>
    <row r="263" spans="1:52" ht="16.5" customHeight="1" x14ac:dyDescent="0.15">
      <c r="A263" s="138" t="s">
        <v>3109</v>
      </c>
      <c r="B263" s="140" t="s">
        <v>3110</v>
      </c>
      <c r="C263" s="48" t="s">
        <v>330</v>
      </c>
      <c r="D263" s="62" t="s">
        <v>263</v>
      </c>
      <c r="E263" s="48" t="s">
        <v>264</v>
      </c>
      <c r="F263" s="61">
        <v>42465</v>
      </c>
      <c r="G263" s="61">
        <v>42465</v>
      </c>
      <c r="H263" s="125">
        <v>42479</v>
      </c>
      <c r="I263" s="61" t="s">
        <v>424</v>
      </c>
      <c r="J263" s="87"/>
      <c r="K263" s="62">
        <v>0</v>
      </c>
      <c r="L263" s="62"/>
      <c r="M263" s="62" t="s">
        <v>362</v>
      </c>
      <c r="N263" s="62" t="s">
        <v>3111</v>
      </c>
      <c r="O263" s="48">
        <v>0</v>
      </c>
      <c r="P263" s="48" t="s">
        <v>267</v>
      </c>
      <c r="Q263" s="48" t="s">
        <v>268</v>
      </c>
      <c r="R263" s="48"/>
      <c r="S263" s="48" t="s">
        <v>269</v>
      </c>
      <c r="T263" s="48" t="s">
        <v>270</v>
      </c>
      <c r="U263" s="48" t="s">
        <v>3112</v>
      </c>
      <c r="V263" s="48"/>
      <c r="W263" s="48"/>
      <c r="X263" s="48"/>
      <c r="Y263" s="48"/>
      <c r="Z263" s="61"/>
      <c r="AA263" s="48" t="s">
        <v>1249</v>
      </c>
      <c r="AB263" s="48" t="s">
        <v>1249</v>
      </c>
      <c r="AC263" s="48" t="s">
        <v>1249</v>
      </c>
      <c r="AD263" s="48" t="s">
        <v>273</v>
      </c>
      <c r="AE263" s="48" t="s">
        <v>273</v>
      </c>
      <c r="AF263" s="48" t="s">
        <v>273</v>
      </c>
      <c r="AG263" s="48" t="s">
        <v>273</v>
      </c>
      <c r="AH263" s="48" t="s">
        <v>273</v>
      </c>
      <c r="AI263" s="48" t="s">
        <v>273</v>
      </c>
      <c r="AJ263" s="48" t="s">
        <v>273</v>
      </c>
      <c r="AK263" s="48" t="s">
        <v>3113</v>
      </c>
      <c r="AL263" s="48" t="s">
        <v>3114</v>
      </c>
      <c r="AM263" s="48" t="s">
        <v>3115</v>
      </c>
      <c r="AN263" s="48" t="s">
        <v>273</v>
      </c>
      <c r="AO263" s="48" t="s">
        <v>273</v>
      </c>
      <c r="AP263" s="48" t="s">
        <v>273</v>
      </c>
      <c r="AQ263" s="48" t="s">
        <v>273</v>
      </c>
      <c r="AR263" s="48" t="s">
        <v>273</v>
      </c>
      <c r="AS263" s="48" t="s">
        <v>273</v>
      </c>
      <c r="AT263" s="48" t="s">
        <v>273</v>
      </c>
      <c r="AU263" s="93">
        <v>0</v>
      </c>
      <c r="AV263" s="93"/>
      <c r="AW263" s="93"/>
      <c r="AX263" s="93"/>
      <c r="AY263" s="93"/>
    </row>
    <row r="264" spans="1:52" ht="16.5" customHeight="1" x14ac:dyDescent="0.15">
      <c r="A264" s="146" t="s">
        <v>3116</v>
      </c>
      <c r="B264" s="147" t="s">
        <v>3117</v>
      </c>
      <c r="C264" s="48" t="s">
        <v>298</v>
      </c>
      <c r="D264" s="62" t="s">
        <v>263</v>
      </c>
      <c r="E264" s="48" t="s">
        <v>300</v>
      </c>
      <c r="F264" s="61">
        <v>42466</v>
      </c>
      <c r="G264" s="61">
        <v>42466</v>
      </c>
      <c r="H264" s="125">
        <v>42530</v>
      </c>
      <c r="I264" s="61">
        <v>38663</v>
      </c>
      <c r="J264" s="87"/>
      <c r="K264" s="62" t="s">
        <v>14</v>
      </c>
      <c r="L264" s="62">
        <v>3</v>
      </c>
      <c r="M264" s="62" t="s">
        <v>755</v>
      </c>
      <c r="N264" s="62" t="s">
        <v>3118</v>
      </c>
      <c r="O264" s="48" t="s">
        <v>1044</v>
      </c>
      <c r="P264" s="48" t="s">
        <v>3119</v>
      </c>
      <c r="Q264" s="48" t="s">
        <v>2724</v>
      </c>
      <c r="R264" s="48" t="s">
        <v>2725</v>
      </c>
      <c r="S264" s="48" t="s">
        <v>2726</v>
      </c>
      <c r="T264" s="48" t="s">
        <v>2727</v>
      </c>
      <c r="U264" s="48" t="s">
        <v>3120</v>
      </c>
      <c r="V264" s="48" t="s">
        <v>3121</v>
      </c>
      <c r="W264" s="122" t="s">
        <v>263</v>
      </c>
      <c r="X264" s="48" t="s">
        <v>3122</v>
      </c>
      <c r="Y264" s="48" t="s">
        <v>3123</v>
      </c>
      <c r="Z264" s="61"/>
      <c r="AA264" s="48" t="s">
        <v>1056</v>
      </c>
      <c r="AB264" s="48" t="s">
        <v>273</v>
      </c>
      <c r="AC264" s="48" t="s">
        <v>273</v>
      </c>
      <c r="AD264" s="48" t="s">
        <v>273</v>
      </c>
      <c r="AE264" s="48" t="s">
        <v>273</v>
      </c>
      <c r="AF264" s="48" t="s">
        <v>273</v>
      </c>
      <c r="AG264" s="48" t="s">
        <v>273</v>
      </c>
      <c r="AH264" s="48" t="s">
        <v>273</v>
      </c>
      <c r="AI264" s="48" t="s">
        <v>273</v>
      </c>
      <c r="AJ264" s="48" t="s">
        <v>273</v>
      </c>
      <c r="AK264" s="48" t="s">
        <v>1059</v>
      </c>
      <c r="AL264" s="48" t="s">
        <v>273</v>
      </c>
      <c r="AM264" s="48" t="s">
        <v>273</v>
      </c>
      <c r="AN264" s="48" t="s">
        <v>273</v>
      </c>
      <c r="AO264" s="48" t="s">
        <v>273</v>
      </c>
      <c r="AP264" s="48" t="s">
        <v>273</v>
      </c>
      <c r="AQ264" s="48" t="s">
        <v>273</v>
      </c>
      <c r="AR264" s="48" t="s">
        <v>273</v>
      </c>
      <c r="AS264" s="48" t="s">
        <v>273</v>
      </c>
      <c r="AT264" s="48" t="s">
        <v>273</v>
      </c>
      <c r="AU264" s="93">
        <v>38139</v>
      </c>
      <c r="AV264" s="93"/>
      <c r="AW264" s="93"/>
      <c r="AX264" s="93"/>
      <c r="AY264" s="93"/>
    </row>
    <row r="265" spans="1:52" ht="16.5" customHeight="1" x14ac:dyDescent="0.15">
      <c r="A265" s="144" t="s">
        <v>3124</v>
      </c>
      <c r="B265" s="145" t="s">
        <v>3125</v>
      </c>
      <c r="C265" s="48" t="s">
        <v>298</v>
      </c>
      <c r="D265" s="62" t="s">
        <v>2666</v>
      </c>
      <c r="E265" s="48" t="s">
        <v>300</v>
      </c>
      <c r="F265" s="61">
        <v>42466</v>
      </c>
      <c r="G265" s="61">
        <v>42466</v>
      </c>
      <c r="H265" s="125">
        <v>42508</v>
      </c>
      <c r="I265" s="61" t="s">
        <v>279</v>
      </c>
      <c r="J265" s="87"/>
      <c r="K265" s="62" t="s">
        <v>12</v>
      </c>
      <c r="L265" s="62">
        <v>3</v>
      </c>
      <c r="M265" s="62" t="s">
        <v>442</v>
      </c>
      <c r="N265" s="62" t="s">
        <v>3126</v>
      </c>
      <c r="O265" s="48" t="s">
        <v>1894</v>
      </c>
      <c r="P265" s="48" t="s">
        <v>2669</v>
      </c>
      <c r="Q265" s="48" t="s">
        <v>2670</v>
      </c>
      <c r="R265" s="48" t="s">
        <v>2671</v>
      </c>
      <c r="S265" s="48" t="s">
        <v>2672</v>
      </c>
      <c r="T265" s="48" t="s">
        <v>2673</v>
      </c>
      <c r="U265" s="48" t="s">
        <v>2674</v>
      </c>
      <c r="V265" s="122" t="s">
        <v>263</v>
      </c>
      <c r="W265" s="122" t="s">
        <v>263</v>
      </c>
      <c r="X265" s="48" t="s">
        <v>2675</v>
      </c>
      <c r="Y265" s="48" t="s">
        <v>2676</v>
      </c>
      <c r="Z265" s="61"/>
      <c r="AA265" s="48" t="s">
        <v>2945</v>
      </c>
      <c r="AB265" s="48" t="s">
        <v>389</v>
      </c>
      <c r="AC265" s="48" t="s">
        <v>273</v>
      </c>
      <c r="AD265" s="48" t="s">
        <v>273</v>
      </c>
      <c r="AE265" s="48" t="s">
        <v>273</v>
      </c>
      <c r="AF265" s="48" t="s">
        <v>273</v>
      </c>
      <c r="AG265" s="48" t="s">
        <v>273</v>
      </c>
      <c r="AH265" s="48" t="s">
        <v>273</v>
      </c>
      <c r="AI265" s="48" t="s">
        <v>273</v>
      </c>
      <c r="AJ265" s="48" t="s">
        <v>273</v>
      </c>
      <c r="AK265" s="48" t="s">
        <v>2947</v>
      </c>
      <c r="AL265" s="48" t="s">
        <v>391</v>
      </c>
      <c r="AM265" s="48" t="s">
        <v>273</v>
      </c>
      <c r="AN265" s="48" t="s">
        <v>273</v>
      </c>
      <c r="AO265" s="48" t="s">
        <v>273</v>
      </c>
      <c r="AP265" s="48" t="s">
        <v>273</v>
      </c>
      <c r="AQ265" s="48" t="s">
        <v>273</v>
      </c>
      <c r="AR265" s="48" t="s">
        <v>273</v>
      </c>
      <c r="AS265" s="48" t="s">
        <v>273</v>
      </c>
      <c r="AT265" s="48" t="s">
        <v>273</v>
      </c>
      <c r="AU265" s="93">
        <v>38292</v>
      </c>
      <c r="AV265" s="93"/>
      <c r="AW265" s="93"/>
      <c r="AX265" s="93"/>
      <c r="AY265" s="93"/>
      <c r="AZ265" s="49" t="s">
        <v>3127</v>
      </c>
    </row>
    <row r="266" spans="1:52" ht="16.5" customHeight="1" x14ac:dyDescent="0.15">
      <c r="A266" s="138" t="s">
        <v>3128</v>
      </c>
      <c r="B266" s="140" t="s">
        <v>3129</v>
      </c>
      <c r="C266" s="48" t="s">
        <v>3130</v>
      </c>
      <c r="D266" s="62" t="s">
        <v>3131</v>
      </c>
      <c r="E266" s="48" t="s">
        <v>264</v>
      </c>
      <c r="F266" s="61">
        <v>42467</v>
      </c>
      <c r="G266" s="61">
        <v>42467</v>
      </c>
      <c r="H266" s="125">
        <v>42488</v>
      </c>
      <c r="I266" s="61" t="s">
        <v>279</v>
      </c>
      <c r="J266" s="87"/>
      <c r="K266" s="62" t="s">
        <v>12</v>
      </c>
      <c r="L266" s="62">
        <v>3</v>
      </c>
      <c r="M266" s="62" t="s">
        <v>209</v>
      </c>
      <c r="N266" s="62" t="s">
        <v>3132</v>
      </c>
      <c r="O266" s="48" t="s">
        <v>3133</v>
      </c>
      <c r="P266" s="48" t="s">
        <v>3134</v>
      </c>
      <c r="Q266" s="48" t="s">
        <v>3135</v>
      </c>
      <c r="R266" s="48" t="s">
        <v>3136</v>
      </c>
      <c r="S266" s="48" t="s">
        <v>1610</v>
      </c>
      <c r="T266" s="48" t="s">
        <v>1611</v>
      </c>
      <c r="U266" s="48" t="s">
        <v>3137</v>
      </c>
      <c r="V266" s="122" t="s">
        <v>263</v>
      </c>
      <c r="W266" s="122" t="s">
        <v>263</v>
      </c>
      <c r="X266" s="48" t="s">
        <v>3138</v>
      </c>
      <c r="Y266" s="48" t="s">
        <v>3139</v>
      </c>
      <c r="Z266" s="61"/>
      <c r="AA266" s="48" t="s">
        <v>327</v>
      </c>
      <c r="AB266" s="48" t="s">
        <v>273</v>
      </c>
      <c r="AC266" s="48" t="s">
        <v>273</v>
      </c>
      <c r="AD266" s="48" t="s">
        <v>273</v>
      </c>
      <c r="AE266" s="48" t="s">
        <v>273</v>
      </c>
      <c r="AF266" s="48" t="s">
        <v>273</v>
      </c>
      <c r="AG266" s="48" t="s">
        <v>273</v>
      </c>
      <c r="AH266" s="48" t="s">
        <v>273</v>
      </c>
      <c r="AI266" s="48" t="s">
        <v>273</v>
      </c>
      <c r="AJ266" s="48" t="s">
        <v>273</v>
      </c>
      <c r="AK266" s="48" t="s">
        <v>274</v>
      </c>
      <c r="AL266" s="48" t="s">
        <v>273</v>
      </c>
      <c r="AM266" s="48" t="s">
        <v>273</v>
      </c>
      <c r="AN266" s="48" t="s">
        <v>273</v>
      </c>
      <c r="AO266" s="48" t="s">
        <v>273</v>
      </c>
      <c r="AP266" s="48" t="s">
        <v>273</v>
      </c>
      <c r="AQ266" s="48" t="s">
        <v>273</v>
      </c>
      <c r="AR266" s="48" t="s">
        <v>273</v>
      </c>
      <c r="AS266" s="48" t="s">
        <v>273</v>
      </c>
      <c r="AT266" s="48" t="s">
        <v>273</v>
      </c>
      <c r="AU266" s="93">
        <v>41852</v>
      </c>
      <c r="AV266" s="93"/>
      <c r="AW266" s="93"/>
      <c r="AX266" s="93"/>
      <c r="AY266" s="93"/>
    </row>
    <row r="267" spans="1:52" ht="16.5" customHeight="1" x14ac:dyDescent="0.15">
      <c r="A267" s="121" t="s">
        <v>3140</v>
      </c>
      <c r="B267" s="47" t="s">
        <v>3141</v>
      </c>
      <c r="C267" s="48" t="e">
        <f ca="1">INDIRECT("'["&amp;$C$1&amp;".xls]"&amp;$B267&amp;"'!$i$7")</f>
        <v>#REF!</v>
      </c>
      <c r="D267" s="62" t="e">
        <f ca="1">INDIRECT("'["&amp;$C$1&amp;".xls]"&amp;$B267&amp;"'!$b$7")</f>
        <v>#REF!</v>
      </c>
      <c r="E267" s="48" t="e">
        <f ca="1">IF(INDIRECT("'["&amp;$C$1&amp;".xls]"&amp;$B267&amp;"'!$i$2")="","",INDIRECT("'["&amp;$C$1&amp;".xls]"&amp;$B267&amp;"'!$i$2"))</f>
        <v>#REF!</v>
      </c>
      <c r="F267" s="61" t="e">
        <f ca="1">INDIRECT("'["&amp;$C$1&amp;".xls]"&amp;$B267&amp;"'!$b$2")</f>
        <v>#REF!</v>
      </c>
      <c r="G267" s="61" t="e">
        <f ca="1">INDIRECT("'["&amp;$C$1&amp;".xls]"&amp;$B267&amp;"'!$a$20")</f>
        <v>#REF!</v>
      </c>
      <c r="H267" s="88" t="e">
        <f ca="1">INDIRECT("'["&amp;$C$1&amp;".xls]"&amp;$B267&amp;"'!$Q$22")</f>
        <v>#REF!</v>
      </c>
      <c r="I267" s="61" t="e">
        <f ca="1">INDIRECT("'["&amp;$C$1&amp;".xls]"&amp;$B267&amp;"'!$f$6")</f>
        <v>#REF!</v>
      </c>
      <c r="J267" s="87"/>
      <c r="K267" s="62" t="e">
        <f ca="1">INDIRECT("'["&amp;$C$1&amp;".xls]"&amp;$B267&amp;"'!$f$25")</f>
        <v>#REF!</v>
      </c>
      <c r="L267" s="62"/>
      <c r="M267" s="62" t="e">
        <f ca="1">INDIRECT("'["&amp;$C$1&amp;".xls]"&amp;$B267&amp;"'!$f$4")</f>
        <v>#REF!</v>
      </c>
      <c r="N267" s="62" t="e">
        <f ca="1">INDIRECT("'["&amp;$C$1&amp;".xls]"&amp;$B267&amp;"'!$i$4")</f>
        <v>#REF!</v>
      </c>
      <c r="O267" s="48" t="e">
        <f ca="1">INDIRECT("'["&amp;$C$1&amp;".xls]"&amp;$B267&amp;"'!$l$4")</f>
        <v>#REF!</v>
      </c>
      <c r="P267" s="48" t="e">
        <f ca="1">INDIRECT("'["&amp;$C$1&amp;".xls]"&amp;$B267&amp;"'!$b$5")</f>
        <v>#REF!</v>
      </c>
      <c r="Q267" s="48" t="e">
        <f ca="1">INDIRECT("'["&amp;$C$1&amp;".xls]"&amp;$B267&amp;"'!$f$5")</f>
        <v>#REF!</v>
      </c>
      <c r="R267" s="48"/>
      <c r="S267" s="48" t="e">
        <f ca="1">INDIRECT("'["&amp;$C$1&amp;".xls]"&amp;$B267&amp;"'!$i$5")</f>
        <v>#REF!</v>
      </c>
      <c r="T267" s="48" t="e">
        <f ca="1">INDIRECT("'["&amp;$C$1&amp;".xls]"&amp;$B267&amp;"'!$l$5")</f>
        <v>#REF!</v>
      </c>
      <c r="U267" s="48" t="e">
        <f ca="1">INDIRECT("'["&amp;$C$1&amp;".xls]"&amp;$B267&amp;"'!$b$4")</f>
        <v>#REF!</v>
      </c>
      <c r="V267" s="48"/>
      <c r="W267" s="48"/>
      <c r="X267" s="48"/>
      <c r="Y267" s="48"/>
      <c r="Z267" s="61"/>
      <c r="AA267" s="48" t="e">
        <f ca="1">IF(INDIRECT("'["&amp;$C$1&amp;".xls]"&amp;$B267&amp;"'!$P$25")="","",IF(INDIRECT("'["&amp;$C$1&amp;".xls]"&amp;$B267&amp;"'!$O$25")="済み",INDIRECT("'["&amp;$C$1&amp;".xls]"&amp;$B267&amp;"'!$P$25"),""))</f>
        <v>#REF!</v>
      </c>
      <c r="AB267" s="48" t="e">
        <f ca="1">IF(INDIRECT("'["&amp;$C$1&amp;".xls]"&amp;$B267&amp;"'!$P$26")="","",IF(INDIRECT("'["&amp;$C$1&amp;".xls]"&amp;$B267&amp;"'!$O$26")="済み",INDIRECT("'["&amp;$C$1&amp;".xls]"&amp;$B267&amp;"'!$P$26"),""))</f>
        <v>#REF!</v>
      </c>
      <c r="AC267" s="48" t="e">
        <f ca="1">IF(INDIRECT("'["&amp;$C$1&amp;".xls]"&amp;$B267&amp;"'!$P$27")="","",IF(INDIRECT("'["&amp;$C$1&amp;".xls]"&amp;$B267&amp;"'!$O$27")="済み",INDIRECT("'["&amp;$C$1&amp;".xls]"&amp;$B267&amp;"'!$P$27"),""))</f>
        <v>#REF!</v>
      </c>
      <c r="AD267" s="48" t="e">
        <f ca="1">IF(INDIRECT("'["&amp;$C$1&amp;".xls]"&amp;$B267&amp;"'!$P$28")="","",IF(INDIRECT("'["&amp;$C$1&amp;".xls]"&amp;$B267&amp;"'!$O$28")="済み",INDIRECT("'["&amp;$C$1&amp;".xls]"&amp;$B267&amp;"'!$P$28"),""))</f>
        <v>#REF!</v>
      </c>
      <c r="AE267" s="48" t="e">
        <f ca="1">IF(INDIRECT("'["&amp;$C$1&amp;".xls]"&amp;$B267&amp;"'!$P$29")="","",IF(INDIRECT("'["&amp;$C$1&amp;".xls]"&amp;$B267&amp;"'!$O$29")="済み",INDIRECT("'["&amp;$C$1&amp;".xls]"&amp;$B267&amp;"'!$P$29"),""))</f>
        <v>#REF!</v>
      </c>
      <c r="AF267" s="48" t="e">
        <f ca="1">IF(INDIRECT("'["&amp;$C$1&amp;".xls]"&amp;$B267&amp;"'!$P$30")="","",IF(INDIRECT("'["&amp;$C$1&amp;".xls]"&amp;$B267&amp;"'!$O$30")="済み",INDIRECT("'["&amp;$C$1&amp;".xls]"&amp;$B267&amp;"'!$P$30"),""))</f>
        <v>#REF!</v>
      </c>
      <c r="AG267" s="48" t="e">
        <f ca="1">IF(INDIRECT("'["&amp;$C$1&amp;".xls]"&amp;$B267&amp;"'!$P$31")="","",IF(INDIRECT("'["&amp;$C$1&amp;".xls]"&amp;$B267&amp;"'!$O$31")="済み",INDIRECT("'["&amp;$C$1&amp;".xls]"&amp;$B267&amp;"'!$P$31"),""))</f>
        <v>#REF!</v>
      </c>
      <c r="AH267" s="48" t="e">
        <f ca="1">IF(INDIRECT("'["&amp;$C$1&amp;".xls]"&amp;$B267&amp;"'!$P$32")="","",IF(INDIRECT("'["&amp;$C$1&amp;".xls]"&amp;$B267&amp;"'!$O$32")="済み",INDIRECT("'["&amp;$C$1&amp;".xls]"&amp;$B267&amp;"'!$P$32"),""))</f>
        <v>#REF!</v>
      </c>
      <c r="AI267" s="48" t="e">
        <f ca="1">IF(INDIRECT("'["&amp;$C$1&amp;".xls]"&amp;$B267&amp;"'!$P$33")="","",IF(INDIRECT("'["&amp;$C$1&amp;".xls]"&amp;$B267&amp;"'!$O$33")="済み",INDIRECT("'["&amp;$C$1&amp;".xls]"&amp;$B267&amp;"'!$P$33"),""))</f>
        <v>#REF!</v>
      </c>
      <c r="AJ267" s="48" t="e">
        <f ca="1">IF(INDIRECT("'["&amp;$C$1&amp;".xls]"&amp;$B267&amp;"'!$P$34")="","",IF(INDIRECT("'["&amp;$C$1&amp;".xls]"&amp;$B267&amp;"'!$O$34")="済み",INDIRECT("'["&amp;$C$1&amp;".xls]"&amp;$B267&amp;"'!$P$34"),""))</f>
        <v>#REF!</v>
      </c>
      <c r="AK267" s="48" t="e">
        <f ca="1">IF(INDIRECT("'["&amp;$C$1&amp;".xls]"&amp;$B267&amp;"'!$T25")="","",IF(INDIRECT("'["&amp;$C$1&amp;".xls]"&amp;$B267&amp;"'!$O$25")="済み",INDIRECT("'["&amp;$C$1&amp;".xls]"&amp;$B267&amp;"'!$T$25"),""))</f>
        <v>#REF!</v>
      </c>
      <c r="AL267" s="48" t="e">
        <f ca="1">IF(INDIRECT("'["&amp;$C$1&amp;".xls]"&amp;$B267&amp;"'!$T26")="","",IF(INDIRECT("'["&amp;$C$1&amp;".xls]"&amp;$B267&amp;"'!$O$26")="済み",INDIRECT("'["&amp;$C$1&amp;".xls]"&amp;$B267&amp;"'!$T$26"),""))</f>
        <v>#REF!</v>
      </c>
      <c r="AM267" s="48" t="e">
        <f ca="1">IF(INDIRECT("'["&amp;$C$1&amp;".xls]"&amp;$B267&amp;"'!$T27")="","",IF(INDIRECT("'["&amp;$C$1&amp;".xls]"&amp;$B267&amp;"'!$O$27")="済み",INDIRECT("'["&amp;$C$1&amp;".xls]"&amp;$B267&amp;"'!$T$27"),""))</f>
        <v>#REF!</v>
      </c>
      <c r="AN267" s="48" t="e">
        <f ca="1">IF(INDIRECT("'["&amp;$C$1&amp;".xls]"&amp;$B267&amp;"'!$T28")="","",IF(INDIRECT("'["&amp;$C$1&amp;".xls]"&amp;$B267&amp;"'!$O$28")="済み",INDIRECT("'["&amp;$C$1&amp;".xls]"&amp;$B267&amp;"'!$T$28"),""))</f>
        <v>#REF!</v>
      </c>
      <c r="AO267" s="48" t="e">
        <f ca="1">IF(INDIRECT("'["&amp;$C$1&amp;".xls]"&amp;$B267&amp;"'!$T29")="","",IF(INDIRECT("'["&amp;$C$1&amp;".xls]"&amp;$B267&amp;"'!$O$29")="済み",INDIRECT("'["&amp;$C$1&amp;".xls]"&amp;$B267&amp;"'!$T$29"),""))</f>
        <v>#REF!</v>
      </c>
      <c r="AP267" s="48" t="e">
        <f ca="1">IF(INDIRECT("'["&amp;$C$1&amp;".xls]"&amp;$B267&amp;"'!$T30")="","",IF(INDIRECT("'["&amp;$C$1&amp;".xls]"&amp;$B267&amp;"'!$O$30")="済み",INDIRECT("'["&amp;$C$1&amp;".xls]"&amp;$B267&amp;"'!$T$30"),""))</f>
        <v>#REF!</v>
      </c>
      <c r="AQ267" s="48" t="e">
        <f ca="1">IF(INDIRECT("'["&amp;$C$1&amp;".xls]"&amp;$B267&amp;"'!$T31")="","",IF(INDIRECT("'["&amp;$C$1&amp;".xls]"&amp;$B267&amp;"'!$O$31")="済み",INDIRECT("'["&amp;$C$1&amp;".xls]"&amp;$B267&amp;"'!$T$31"),""))</f>
        <v>#REF!</v>
      </c>
      <c r="AR267" s="48" t="e">
        <f ca="1">IF(INDIRECT("'["&amp;$C$1&amp;".xls]"&amp;$B267&amp;"'!$T32")="","",IF(INDIRECT("'["&amp;$C$1&amp;".xls]"&amp;$B267&amp;"'!$O$32")="済み",INDIRECT("'["&amp;$C$1&amp;".xls]"&amp;$B267&amp;"'!$T$32"),""))</f>
        <v>#REF!</v>
      </c>
      <c r="AS267" s="48" t="e">
        <f ca="1">IF(INDIRECT("'["&amp;$C$1&amp;".xls]"&amp;$B267&amp;"'!$T33")="","",IF(INDIRECT("'["&amp;$C$1&amp;".xls]"&amp;$B267&amp;"'!$O$33")="済み",INDIRECT("'["&amp;$C$1&amp;".xls]"&amp;$B267&amp;"'!$T$33"),""))</f>
        <v>#REF!</v>
      </c>
      <c r="AT267" s="48" t="e">
        <f ca="1">IF(INDIRECT("'["&amp;$C$1&amp;".xls]"&amp;$B267&amp;"'!$T34")="","",IF(INDIRECT("'["&amp;$C$1&amp;".xls]"&amp;$B267&amp;"'!$O$34")="済み",INDIRECT("'["&amp;$C$1&amp;".xls]"&amp;$B267&amp;"'!$T$34"),""))</f>
        <v>#REF!</v>
      </c>
      <c r="AU267" s="93" t="e">
        <f ca="1">INDIRECT("'["&amp;$C$1&amp;".xls]"&amp;$B267&amp;"'!$B$6")</f>
        <v>#REF!</v>
      </c>
      <c r="AV267" s="93"/>
      <c r="AW267" s="93"/>
      <c r="AX267" s="93"/>
      <c r="AY267" s="93"/>
    </row>
    <row r="268" spans="1:52" ht="16.5" customHeight="1" x14ac:dyDescent="0.15">
      <c r="A268" s="138" t="s">
        <v>3142</v>
      </c>
      <c r="B268" s="140" t="s">
        <v>3143</v>
      </c>
      <c r="C268" s="48" t="s">
        <v>298</v>
      </c>
      <c r="D268" s="62" t="s">
        <v>3144</v>
      </c>
      <c r="E268" s="48" t="s">
        <v>300</v>
      </c>
      <c r="F268" s="61">
        <v>42467</v>
      </c>
      <c r="G268" s="61">
        <v>42467</v>
      </c>
      <c r="H268" s="125">
        <v>42480</v>
      </c>
      <c r="I268" s="61" t="s">
        <v>279</v>
      </c>
      <c r="J268" s="87"/>
      <c r="K268" s="62" t="s">
        <v>12</v>
      </c>
      <c r="L268" s="62">
        <v>3</v>
      </c>
      <c r="M268" s="62" t="s">
        <v>442</v>
      </c>
      <c r="N268" s="62" t="s">
        <v>3145</v>
      </c>
      <c r="O268" s="48" t="s">
        <v>570</v>
      </c>
      <c r="P268" s="48" t="s">
        <v>2169</v>
      </c>
      <c r="Q268" s="48" t="s">
        <v>3146</v>
      </c>
      <c r="R268" s="48" t="s">
        <v>3147</v>
      </c>
      <c r="S268" s="48" t="s">
        <v>3148</v>
      </c>
      <c r="T268" s="48" t="s">
        <v>3149</v>
      </c>
      <c r="U268" s="48" t="s">
        <v>3150</v>
      </c>
      <c r="V268" s="122" t="s">
        <v>263</v>
      </c>
      <c r="W268" s="122" t="s">
        <v>263</v>
      </c>
      <c r="X268" s="48" t="s">
        <v>3151</v>
      </c>
      <c r="Y268" s="48" t="s">
        <v>3152</v>
      </c>
      <c r="Z268" s="61"/>
      <c r="AA268" s="48" t="s">
        <v>849</v>
      </c>
      <c r="AB268" s="48" t="s">
        <v>3153</v>
      </c>
      <c r="AC268" s="48" t="s">
        <v>273</v>
      </c>
      <c r="AD268" s="48" t="s">
        <v>273</v>
      </c>
      <c r="AE268" s="48" t="s">
        <v>273</v>
      </c>
      <c r="AF268" s="48" t="s">
        <v>273</v>
      </c>
      <c r="AG268" s="48" t="s">
        <v>273</v>
      </c>
      <c r="AH268" s="48" t="s">
        <v>273</v>
      </c>
      <c r="AI268" s="48" t="s">
        <v>273</v>
      </c>
      <c r="AJ268" s="48" t="s">
        <v>273</v>
      </c>
      <c r="AK268" s="48" t="s">
        <v>850</v>
      </c>
      <c r="AL268" s="48" t="s">
        <v>454</v>
      </c>
      <c r="AM268" s="48" t="s">
        <v>273</v>
      </c>
      <c r="AN268" s="48" t="s">
        <v>273</v>
      </c>
      <c r="AO268" s="48" t="s">
        <v>273</v>
      </c>
      <c r="AP268" s="48" t="s">
        <v>273</v>
      </c>
      <c r="AQ268" s="48" t="s">
        <v>273</v>
      </c>
      <c r="AR268" s="48" t="s">
        <v>273</v>
      </c>
      <c r="AS268" s="48" t="s">
        <v>273</v>
      </c>
      <c r="AT268" s="48" t="s">
        <v>273</v>
      </c>
      <c r="AU268" s="93">
        <v>40210</v>
      </c>
      <c r="AV268" s="93"/>
      <c r="AW268" s="93"/>
      <c r="AX268" s="93"/>
      <c r="AY268" s="93"/>
    </row>
    <row r="269" spans="1:52" ht="16.5" customHeight="1" x14ac:dyDescent="0.15">
      <c r="A269" s="146" t="s">
        <v>3154</v>
      </c>
      <c r="B269" s="147" t="s">
        <v>3155</v>
      </c>
      <c r="C269" s="48" t="s">
        <v>3156</v>
      </c>
      <c r="D269" s="62" t="s">
        <v>263</v>
      </c>
      <c r="E269" s="48" t="s">
        <v>264</v>
      </c>
      <c r="F269" s="61">
        <v>42468</v>
      </c>
      <c r="G269" s="61">
        <v>42468</v>
      </c>
      <c r="H269" s="125">
        <v>42537</v>
      </c>
      <c r="I269" s="61" t="s">
        <v>1249</v>
      </c>
      <c r="J269" s="87"/>
      <c r="K269" s="62" t="s">
        <v>12</v>
      </c>
      <c r="L269" s="62">
        <v>3</v>
      </c>
      <c r="M269" s="62" t="s">
        <v>680</v>
      </c>
      <c r="N269" s="62" t="s">
        <v>3157</v>
      </c>
      <c r="O269" s="48" t="s">
        <v>3158</v>
      </c>
      <c r="P269" s="48" t="s">
        <v>267</v>
      </c>
      <c r="Q269" s="48" t="s">
        <v>3159</v>
      </c>
      <c r="R269" s="122" t="s">
        <v>263</v>
      </c>
      <c r="S269" s="48" t="s">
        <v>269</v>
      </c>
      <c r="T269" s="48" t="s">
        <v>270</v>
      </c>
      <c r="U269" s="48" t="s">
        <v>3160</v>
      </c>
      <c r="V269" s="122" t="s">
        <v>263</v>
      </c>
      <c r="W269" s="122" t="s">
        <v>263</v>
      </c>
      <c r="X269" s="122" t="s">
        <v>263</v>
      </c>
      <c r="Y269" s="122" t="s">
        <v>263</v>
      </c>
      <c r="Z269" s="61"/>
      <c r="AA269" s="48" t="s">
        <v>833</v>
      </c>
      <c r="AB269" s="48" t="s">
        <v>273</v>
      </c>
      <c r="AC269" s="48" t="s">
        <v>273</v>
      </c>
      <c r="AD269" s="48" t="s">
        <v>273</v>
      </c>
      <c r="AE269" s="48" t="s">
        <v>273</v>
      </c>
      <c r="AF269" s="48" t="s">
        <v>273</v>
      </c>
      <c r="AG269" s="48" t="s">
        <v>273</v>
      </c>
      <c r="AH269" s="48" t="s">
        <v>273</v>
      </c>
      <c r="AI269" s="48" t="s">
        <v>273</v>
      </c>
      <c r="AJ269" s="48" t="s">
        <v>273</v>
      </c>
      <c r="AK269" s="48" t="s">
        <v>834</v>
      </c>
      <c r="AL269" s="48" t="s">
        <v>273</v>
      </c>
      <c r="AM269" s="48" t="s">
        <v>273</v>
      </c>
      <c r="AN269" s="48" t="s">
        <v>273</v>
      </c>
      <c r="AO269" s="48" t="s">
        <v>273</v>
      </c>
      <c r="AP269" s="48" t="s">
        <v>273</v>
      </c>
      <c r="AQ269" s="48" t="s">
        <v>273</v>
      </c>
      <c r="AR269" s="48" t="s">
        <v>273</v>
      </c>
      <c r="AS269" s="48" t="s">
        <v>273</v>
      </c>
      <c r="AT269" s="48" t="s">
        <v>273</v>
      </c>
      <c r="AU269" s="93">
        <v>41426</v>
      </c>
      <c r="AV269" s="93"/>
      <c r="AW269" s="93"/>
      <c r="AX269" s="93"/>
      <c r="AY269" s="93"/>
    </row>
    <row r="270" spans="1:52" ht="16.5" customHeight="1" x14ac:dyDescent="0.15">
      <c r="A270" s="146" t="s">
        <v>3161</v>
      </c>
      <c r="B270" s="147" t="s">
        <v>3162</v>
      </c>
      <c r="C270" s="48" t="s">
        <v>298</v>
      </c>
      <c r="D270" s="62" t="s">
        <v>3163</v>
      </c>
      <c r="E270" s="48" t="s">
        <v>300</v>
      </c>
      <c r="F270" s="61">
        <v>42468</v>
      </c>
      <c r="G270" s="61">
        <v>42468</v>
      </c>
      <c r="H270" s="125">
        <v>42545</v>
      </c>
      <c r="I270" s="61">
        <v>40351</v>
      </c>
      <c r="J270" s="87"/>
      <c r="K270" s="62" t="s">
        <v>14</v>
      </c>
      <c r="L270" s="62">
        <v>3</v>
      </c>
      <c r="M270" s="62" t="s">
        <v>755</v>
      </c>
      <c r="N270" s="62" t="s">
        <v>3164</v>
      </c>
      <c r="O270" s="48" t="s">
        <v>792</v>
      </c>
      <c r="P270" s="48" t="s">
        <v>3165</v>
      </c>
      <c r="Q270" s="48" t="s">
        <v>1204</v>
      </c>
      <c r="R270" s="48" t="s">
        <v>3166</v>
      </c>
      <c r="S270" s="48" t="s">
        <v>3167</v>
      </c>
      <c r="T270" s="48" t="s">
        <v>3168</v>
      </c>
      <c r="U270" s="48" t="s">
        <v>3169</v>
      </c>
      <c r="V270" s="48" t="s">
        <v>3170</v>
      </c>
      <c r="W270" s="122" t="s">
        <v>263</v>
      </c>
      <c r="X270" s="48" t="s">
        <v>3171</v>
      </c>
      <c r="Y270" s="48" t="s">
        <v>3172</v>
      </c>
      <c r="Z270" s="61"/>
      <c r="AA270" s="48" t="s">
        <v>2054</v>
      </c>
      <c r="AB270" s="48" t="s">
        <v>3173</v>
      </c>
      <c r="AC270" s="48" t="s">
        <v>3174</v>
      </c>
      <c r="AD270" s="48" t="s">
        <v>291</v>
      </c>
      <c r="AE270" s="48" t="s">
        <v>273</v>
      </c>
      <c r="AF270" s="48" t="s">
        <v>273</v>
      </c>
      <c r="AG270" s="48" t="s">
        <v>273</v>
      </c>
      <c r="AH270" s="48" t="s">
        <v>273</v>
      </c>
      <c r="AI270" s="48" t="s">
        <v>273</v>
      </c>
      <c r="AJ270" s="48" t="s">
        <v>273</v>
      </c>
      <c r="AK270" s="48" t="s">
        <v>2055</v>
      </c>
      <c r="AL270" s="48" t="s">
        <v>3175</v>
      </c>
      <c r="AM270" s="48" t="s">
        <v>3176</v>
      </c>
      <c r="AN270" s="48" t="s">
        <v>293</v>
      </c>
      <c r="AO270" s="48" t="s">
        <v>273</v>
      </c>
      <c r="AP270" s="48" t="s">
        <v>273</v>
      </c>
      <c r="AQ270" s="48" t="s">
        <v>273</v>
      </c>
      <c r="AR270" s="48" t="s">
        <v>273</v>
      </c>
      <c r="AS270" s="48" t="s">
        <v>273</v>
      </c>
      <c r="AT270" s="48" t="s">
        <v>273</v>
      </c>
      <c r="AU270" s="93">
        <v>40238</v>
      </c>
      <c r="AV270" s="93"/>
      <c r="AW270" s="93"/>
      <c r="AX270" s="93"/>
      <c r="AY270" s="93"/>
    </row>
    <row r="271" spans="1:52" ht="16.5" customHeight="1" x14ac:dyDescent="0.15">
      <c r="A271" s="138" t="s">
        <v>3177</v>
      </c>
      <c r="B271" s="140" t="s">
        <v>3178</v>
      </c>
      <c r="C271" s="48" t="s">
        <v>3179</v>
      </c>
      <c r="D271" s="62" t="s">
        <v>3180</v>
      </c>
      <c r="E271" s="48" t="s">
        <v>300</v>
      </c>
      <c r="F271" s="61">
        <v>42468</v>
      </c>
      <c r="G271" s="61">
        <v>42468</v>
      </c>
      <c r="H271" s="125">
        <v>42487</v>
      </c>
      <c r="I271" s="61" t="s">
        <v>279</v>
      </c>
      <c r="J271" s="87"/>
      <c r="K271" s="62" t="s">
        <v>12</v>
      </c>
      <c r="L271" s="62">
        <v>3</v>
      </c>
      <c r="M271" s="62" t="s">
        <v>924</v>
      </c>
      <c r="N271" s="62" t="s">
        <v>3181</v>
      </c>
      <c r="O271" s="48" t="s">
        <v>2983</v>
      </c>
      <c r="P271" s="48" t="s">
        <v>3182</v>
      </c>
      <c r="Q271" s="130" t="s">
        <v>3183</v>
      </c>
      <c r="R271" s="48" t="s">
        <v>3184</v>
      </c>
      <c r="S271" s="48" t="s">
        <v>3185</v>
      </c>
      <c r="T271" s="48" t="s">
        <v>3186</v>
      </c>
      <c r="U271" s="48" t="s">
        <v>3187</v>
      </c>
      <c r="V271" s="122" t="s">
        <v>263</v>
      </c>
      <c r="W271" s="122" t="s">
        <v>263</v>
      </c>
      <c r="X271" s="48" t="s">
        <v>3188</v>
      </c>
      <c r="Y271" s="48" t="s">
        <v>3189</v>
      </c>
      <c r="Z271" s="61"/>
      <c r="AA271" s="48" t="s">
        <v>3190</v>
      </c>
      <c r="AB271" s="48" t="s">
        <v>273</v>
      </c>
      <c r="AC271" s="48" t="s">
        <v>273</v>
      </c>
      <c r="AD271" s="48" t="s">
        <v>273</v>
      </c>
      <c r="AE271" s="48" t="s">
        <v>273</v>
      </c>
      <c r="AF271" s="48" t="s">
        <v>273</v>
      </c>
      <c r="AG271" s="48" t="s">
        <v>273</v>
      </c>
      <c r="AH271" s="48" t="s">
        <v>273</v>
      </c>
      <c r="AI271" s="48" t="s">
        <v>273</v>
      </c>
      <c r="AJ271" s="48" t="s">
        <v>273</v>
      </c>
      <c r="AK271" s="48" t="s">
        <v>3191</v>
      </c>
      <c r="AL271" s="48" t="s">
        <v>273</v>
      </c>
      <c r="AM271" s="48" t="s">
        <v>273</v>
      </c>
      <c r="AN271" s="48" t="s">
        <v>273</v>
      </c>
      <c r="AO271" s="48" t="s">
        <v>273</v>
      </c>
      <c r="AP271" s="48" t="s">
        <v>273</v>
      </c>
      <c r="AQ271" s="48" t="s">
        <v>273</v>
      </c>
      <c r="AR271" s="48" t="s">
        <v>273</v>
      </c>
      <c r="AS271" s="48" t="s">
        <v>273</v>
      </c>
      <c r="AT271" s="48" t="s">
        <v>273</v>
      </c>
      <c r="AU271" s="93">
        <v>37226</v>
      </c>
      <c r="AV271" s="93"/>
      <c r="AW271" s="93"/>
      <c r="AX271" s="93"/>
      <c r="AY271" s="93"/>
      <c r="AZ271" s="49" t="s">
        <v>3192</v>
      </c>
    </row>
    <row r="272" spans="1:52" ht="16.5" customHeight="1" x14ac:dyDescent="0.15">
      <c r="A272" s="138" t="s">
        <v>3193</v>
      </c>
      <c r="B272" s="140" t="s">
        <v>3194</v>
      </c>
      <c r="C272" s="48" t="s">
        <v>298</v>
      </c>
      <c r="D272" s="62" t="s">
        <v>263</v>
      </c>
      <c r="E272" s="48" t="s">
        <v>273</v>
      </c>
      <c r="F272" s="61">
        <v>42468</v>
      </c>
      <c r="G272" s="61">
        <v>42468</v>
      </c>
      <c r="H272" s="125">
        <v>42482</v>
      </c>
      <c r="I272" s="61" t="s">
        <v>3195</v>
      </c>
      <c r="J272" s="87"/>
      <c r="K272" s="124" t="s">
        <v>263</v>
      </c>
      <c r="L272" s="124" t="s">
        <v>263</v>
      </c>
      <c r="M272" s="62" t="s">
        <v>394</v>
      </c>
      <c r="N272" s="62" t="s">
        <v>3196</v>
      </c>
      <c r="O272" s="48" t="s">
        <v>396</v>
      </c>
      <c r="P272" s="48" t="s">
        <v>2833</v>
      </c>
      <c r="Q272" s="130" t="s">
        <v>3197</v>
      </c>
      <c r="R272" s="48" t="s">
        <v>2783</v>
      </c>
      <c r="S272" s="48" t="s">
        <v>400</v>
      </c>
      <c r="T272" s="48" t="s">
        <v>401</v>
      </c>
      <c r="U272" s="48" t="s">
        <v>3198</v>
      </c>
      <c r="V272" s="122" t="s">
        <v>263</v>
      </c>
      <c r="W272" s="122" t="s">
        <v>263</v>
      </c>
      <c r="X272" s="48" t="s">
        <v>3199</v>
      </c>
      <c r="Y272" s="48" t="s">
        <v>3200</v>
      </c>
      <c r="Z272" s="61"/>
      <c r="AA272" s="48" t="s">
        <v>273</v>
      </c>
      <c r="AB272" s="48" t="s">
        <v>273</v>
      </c>
      <c r="AC272" s="48" t="s">
        <v>273</v>
      </c>
      <c r="AD272" s="48" t="s">
        <v>273</v>
      </c>
      <c r="AE272" s="48" t="s">
        <v>273</v>
      </c>
      <c r="AF272" s="48" t="s">
        <v>273</v>
      </c>
      <c r="AG272" s="48" t="s">
        <v>273</v>
      </c>
      <c r="AH272" s="48" t="s">
        <v>273</v>
      </c>
      <c r="AI272" s="48" t="s">
        <v>273</v>
      </c>
      <c r="AJ272" s="48" t="s">
        <v>273</v>
      </c>
      <c r="AK272" s="48" t="s">
        <v>273</v>
      </c>
      <c r="AL272" s="48" t="s">
        <v>273</v>
      </c>
      <c r="AM272" s="48" t="s">
        <v>273</v>
      </c>
      <c r="AN272" s="48" t="s">
        <v>273</v>
      </c>
      <c r="AO272" s="48" t="s">
        <v>273</v>
      </c>
      <c r="AP272" s="48" t="s">
        <v>273</v>
      </c>
      <c r="AQ272" s="48" t="s">
        <v>273</v>
      </c>
      <c r="AR272" s="48" t="s">
        <v>273</v>
      </c>
      <c r="AS272" s="48" t="s">
        <v>273</v>
      </c>
      <c r="AT272" s="48" t="s">
        <v>273</v>
      </c>
      <c r="AU272" s="93">
        <v>39814</v>
      </c>
      <c r="AV272" s="93"/>
      <c r="AW272" s="93"/>
      <c r="AX272" s="93"/>
      <c r="AY272" s="93"/>
      <c r="AZ272" s="49" t="s">
        <v>3201</v>
      </c>
    </row>
    <row r="273" spans="1:52" ht="16.5" customHeight="1" x14ac:dyDescent="0.15">
      <c r="A273" s="144" t="s">
        <v>3202</v>
      </c>
      <c r="B273" s="145" t="s">
        <v>3203</v>
      </c>
      <c r="C273" s="48" t="s">
        <v>3204</v>
      </c>
      <c r="D273" s="62" t="s">
        <v>263</v>
      </c>
      <c r="E273" s="48" t="s">
        <v>264</v>
      </c>
      <c r="F273" s="61">
        <v>42468</v>
      </c>
      <c r="G273" s="61">
        <v>42468</v>
      </c>
      <c r="H273" s="125">
        <v>42502</v>
      </c>
      <c r="I273" s="61" t="s">
        <v>279</v>
      </c>
      <c r="J273" s="87"/>
      <c r="K273" s="62" t="s">
        <v>12</v>
      </c>
      <c r="L273" s="62">
        <v>3</v>
      </c>
      <c r="M273" s="62" t="s">
        <v>471</v>
      </c>
      <c r="N273" s="62" t="s">
        <v>3205</v>
      </c>
      <c r="O273" s="48" t="s">
        <v>502</v>
      </c>
      <c r="P273" s="48" t="s">
        <v>696</v>
      </c>
      <c r="Q273" s="130" t="s">
        <v>2882</v>
      </c>
      <c r="R273" s="48" t="s">
        <v>2783</v>
      </c>
      <c r="S273" s="48" t="s">
        <v>400</v>
      </c>
      <c r="T273" s="48" t="s">
        <v>401</v>
      </c>
      <c r="U273" s="48" t="s">
        <v>3206</v>
      </c>
      <c r="V273" s="122" t="s">
        <v>263</v>
      </c>
      <c r="W273" s="122" t="s">
        <v>263</v>
      </c>
      <c r="X273" s="48" t="s">
        <v>3207</v>
      </c>
      <c r="Y273" s="48" t="s">
        <v>3208</v>
      </c>
      <c r="Z273" s="61"/>
      <c r="AA273" s="48" t="s">
        <v>1158</v>
      </c>
      <c r="AB273" s="48" t="s">
        <v>1159</v>
      </c>
      <c r="AC273" s="48" t="s">
        <v>273</v>
      </c>
      <c r="AD273" s="48" t="s">
        <v>273</v>
      </c>
      <c r="AE273" s="48" t="s">
        <v>273</v>
      </c>
      <c r="AF273" s="48" t="s">
        <v>273</v>
      </c>
      <c r="AG273" s="48" t="s">
        <v>273</v>
      </c>
      <c r="AH273" s="48" t="s">
        <v>273</v>
      </c>
      <c r="AI273" s="48" t="s">
        <v>273</v>
      </c>
      <c r="AJ273" s="48" t="s">
        <v>273</v>
      </c>
      <c r="AK273" s="48" t="s">
        <v>1160</v>
      </c>
      <c r="AL273" s="48" t="s">
        <v>1161</v>
      </c>
      <c r="AM273" s="48" t="s">
        <v>273</v>
      </c>
      <c r="AN273" s="48" t="s">
        <v>273</v>
      </c>
      <c r="AO273" s="48" t="s">
        <v>273</v>
      </c>
      <c r="AP273" s="48" t="s">
        <v>273</v>
      </c>
      <c r="AQ273" s="48" t="s">
        <v>273</v>
      </c>
      <c r="AR273" s="48" t="s">
        <v>273</v>
      </c>
      <c r="AS273" s="48" t="s">
        <v>273</v>
      </c>
      <c r="AT273" s="48" t="s">
        <v>273</v>
      </c>
      <c r="AU273" s="93">
        <v>41244</v>
      </c>
      <c r="AV273" s="93"/>
      <c r="AW273" s="93"/>
      <c r="AX273" s="93"/>
      <c r="AY273" s="93"/>
    </row>
    <row r="274" spans="1:52" ht="16.5" customHeight="1" x14ac:dyDescent="0.15">
      <c r="A274" s="138" t="s">
        <v>3209</v>
      </c>
      <c r="B274" s="140" t="s">
        <v>3210</v>
      </c>
      <c r="C274" s="48" t="s">
        <v>3211</v>
      </c>
      <c r="D274" s="62" t="s">
        <v>263</v>
      </c>
      <c r="E274" s="48" t="s">
        <v>264</v>
      </c>
      <c r="F274" s="61">
        <v>42468</v>
      </c>
      <c r="G274" s="61">
        <v>42468</v>
      </c>
      <c r="H274" s="125">
        <v>42474</v>
      </c>
      <c r="I274" s="61" t="s">
        <v>263</v>
      </c>
      <c r="J274" s="87"/>
      <c r="K274" s="62" t="s">
        <v>12</v>
      </c>
      <c r="L274" s="62">
        <v>3</v>
      </c>
      <c r="M274" s="62" t="s">
        <v>409</v>
      </c>
      <c r="N274" s="62" t="s">
        <v>3212</v>
      </c>
      <c r="O274" s="48" t="s">
        <v>1770</v>
      </c>
      <c r="P274" s="48" t="s">
        <v>267</v>
      </c>
      <c r="Q274" s="48" t="s">
        <v>892</v>
      </c>
      <c r="R274" s="122" t="s">
        <v>263</v>
      </c>
      <c r="S274" s="48" t="s">
        <v>269</v>
      </c>
      <c r="T274" s="48" t="s">
        <v>270</v>
      </c>
      <c r="U274" s="48" t="s">
        <v>1957</v>
      </c>
      <c r="V274" s="122" t="s">
        <v>263</v>
      </c>
      <c r="W274" s="122" t="s">
        <v>263</v>
      </c>
      <c r="X274" s="122" t="s">
        <v>263</v>
      </c>
      <c r="Y274" s="122" t="s">
        <v>263</v>
      </c>
      <c r="Z274" s="61"/>
      <c r="AA274" s="148" t="s">
        <v>548</v>
      </c>
      <c r="AB274" s="148" t="s">
        <v>547</v>
      </c>
      <c r="AC274" s="148" t="s">
        <v>546</v>
      </c>
      <c r="AD274" s="48" t="s">
        <v>273</v>
      </c>
      <c r="AE274" s="48" t="s">
        <v>273</v>
      </c>
      <c r="AF274" s="48" t="s">
        <v>273</v>
      </c>
      <c r="AG274" s="48" t="s">
        <v>273</v>
      </c>
      <c r="AH274" s="48" t="s">
        <v>273</v>
      </c>
      <c r="AI274" s="48" t="s">
        <v>273</v>
      </c>
      <c r="AJ274" s="48" t="s">
        <v>273</v>
      </c>
      <c r="AK274" s="48" t="s">
        <v>549</v>
      </c>
      <c r="AL274" s="48" t="s">
        <v>550</v>
      </c>
      <c r="AM274" s="48" t="s">
        <v>551</v>
      </c>
      <c r="AN274" s="48" t="s">
        <v>273</v>
      </c>
      <c r="AO274" s="48" t="s">
        <v>273</v>
      </c>
      <c r="AP274" s="48" t="s">
        <v>273</v>
      </c>
      <c r="AQ274" s="48" t="s">
        <v>273</v>
      </c>
      <c r="AR274" s="48" t="s">
        <v>273</v>
      </c>
      <c r="AS274" s="48" t="s">
        <v>273</v>
      </c>
      <c r="AT274" s="48" t="s">
        <v>273</v>
      </c>
      <c r="AU274" s="93">
        <v>40848</v>
      </c>
      <c r="AV274" s="93"/>
      <c r="AW274" s="93"/>
      <c r="AX274" s="93"/>
      <c r="AY274" s="93"/>
    </row>
    <row r="275" spans="1:52" ht="16.5" customHeight="1" x14ac:dyDescent="0.15">
      <c r="A275" s="138" t="s">
        <v>3213</v>
      </c>
      <c r="B275" s="140" t="s">
        <v>3214</v>
      </c>
      <c r="C275" s="48" t="s">
        <v>3215</v>
      </c>
      <c r="D275" s="62" t="s">
        <v>263</v>
      </c>
      <c r="E275" s="48" t="s">
        <v>264</v>
      </c>
      <c r="F275" s="61">
        <v>42471</v>
      </c>
      <c r="G275" s="61">
        <v>42471</v>
      </c>
      <c r="H275" s="125">
        <v>42488</v>
      </c>
      <c r="I275" s="61" t="s">
        <v>1249</v>
      </c>
      <c r="J275" s="87"/>
      <c r="K275" s="62" t="s">
        <v>12</v>
      </c>
      <c r="L275" s="62">
        <v>3</v>
      </c>
      <c r="M275" s="62" t="s">
        <v>209</v>
      </c>
      <c r="N275" s="62" t="s">
        <v>2191</v>
      </c>
      <c r="O275" s="48" t="s">
        <v>2192</v>
      </c>
      <c r="P275" s="48" t="s">
        <v>267</v>
      </c>
      <c r="Q275" s="48" t="s">
        <v>268</v>
      </c>
      <c r="R275" s="122" t="s">
        <v>263</v>
      </c>
      <c r="S275" s="48" t="s">
        <v>269</v>
      </c>
      <c r="T275" s="48" t="s">
        <v>270</v>
      </c>
      <c r="U275" s="48" t="s">
        <v>2193</v>
      </c>
      <c r="V275" s="122" t="s">
        <v>263</v>
      </c>
      <c r="W275" s="122" t="s">
        <v>263</v>
      </c>
      <c r="X275" s="122" t="s">
        <v>263</v>
      </c>
      <c r="Y275" s="122" t="s">
        <v>263</v>
      </c>
      <c r="Z275" s="61"/>
      <c r="AA275" s="48" t="s">
        <v>327</v>
      </c>
      <c r="AB275" s="48" t="s">
        <v>273</v>
      </c>
      <c r="AC275" s="48" t="s">
        <v>273</v>
      </c>
      <c r="AD275" s="48" t="s">
        <v>273</v>
      </c>
      <c r="AE275" s="48" t="s">
        <v>273</v>
      </c>
      <c r="AF275" s="48" t="s">
        <v>273</v>
      </c>
      <c r="AG275" s="48" t="s">
        <v>273</v>
      </c>
      <c r="AH275" s="48" t="s">
        <v>273</v>
      </c>
      <c r="AI275" s="48" t="s">
        <v>273</v>
      </c>
      <c r="AJ275" s="48" t="s">
        <v>273</v>
      </c>
      <c r="AK275" s="48" t="s">
        <v>274</v>
      </c>
      <c r="AL275" s="48" t="s">
        <v>273</v>
      </c>
      <c r="AM275" s="48" t="s">
        <v>273</v>
      </c>
      <c r="AN275" s="48" t="s">
        <v>273</v>
      </c>
      <c r="AO275" s="48" t="s">
        <v>273</v>
      </c>
      <c r="AP275" s="48" t="s">
        <v>273</v>
      </c>
      <c r="AQ275" s="48" t="s">
        <v>273</v>
      </c>
      <c r="AR275" s="48" t="s">
        <v>273</v>
      </c>
      <c r="AS275" s="48" t="s">
        <v>273</v>
      </c>
      <c r="AT275" s="48" t="s">
        <v>273</v>
      </c>
      <c r="AU275" s="93">
        <v>41699</v>
      </c>
      <c r="AV275" s="93"/>
      <c r="AW275" s="93"/>
      <c r="AX275" s="93"/>
      <c r="AY275" s="93"/>
    </row>
    <row r="276" spans="1:52" ht="16.5" customHeight="1" x14ac:dyDescent="0.15">
      <c r="A276" s="138" t="s">
        <v>3216</v>
      </c>
      <c r="B276" s="140" t="s">
        <v>3217</v>
      </c>
      <c r="C276" s="48" t="s">
        <v>330</v>
      </c>
      <c r="D276" s="62" t="s">
        <v>3218</v>
      </c>
      <c r="E276" s="48" t="s">
        <v>264</v>
      </c>
      <c r="F276" s="61">
        <v>42471</v>
      </c>
      <c r="G276" s="61">
        <v>42471</v>
      </c>
      <c r="H276" s="125">
        <v>42478</v>
      </c>
      <c r="I276" s="61" t="s">
        <v>279</v>
      </c>
      <c r="J276" s="87"/>
      <c r="K276" s="62" t="s">
        <v>12</v>
      </c>
      <c r="L276" s="62">
        <v>3</v>
      </c>
      <c r="M276" s="62" t="s">
        <v>680</v>
      </c>
      <c r="N276" s="62" t="s">
        <v>3219</v>
      </c>
      <c r="O276" s="48" t="s">
        <v>3220</v>
      </c>
      <c r="P276" s="48" t="s">
        <v>267</v>
      </c>
      <c r="Q276" s="48" t="s">
        <v>3159</v>
      </c>
      <c r="R276" s="48" t="s">
        <v>1948</v>
      </c>
      <c r="S276" s="48" t="s">
        <v>1949</v>
      </c>
      <c r="T276" s="48" t="s">
        <v>1950</v>
      </c>
      <c r="U276" s="48" t="s">
        <v>3221</v>
      </c>
      <c r="V276" s="48"/>
      <c r="W276" s="48"/>
      <c r="X276" s="48"/>
      <c r="Y276" s="48"/>
      <c r="Z276" s="61"/>
      <c r="AA276" s="48" t="s">
        <v>273</v>
      </c>
      <c r="AB276" s="48" t="s">
        <v>273</v>
      </c>
      <c r="AC276" s="48" t="s">
        <v>273</v>
      </c>
      <c r="AD276" s="48" t="s">
        <v>273</v>
      </c>
      <c r="AE276" s="48" t="s">
        <v>273</v>
      </c>
      <c r="AF276" s="48" t="s">
        <v>273</v>
      </c>
      <c r="AG276" s="48" t="s">
        <v>273</v>
      </c>
      <c r="AH276" s="48" t="s">
        <v>273</v>
      </c>
      <c r="AI276" s="48" t="s">
        <v>273</v>
      </c>
      <c r="AJ276" s="48" t="s">
        <v>273</v>
      </c>
      <c r="AK276" s="48" t="s">
        <v>273</v>
      </c>
      <c r="AL276" s="48" t="s">
        <v>273</v>
      </c>
      <c r="AM276" s="48" t="s">
        <v>273</v>
      </c>
      <c r="AN276" s="48" t="s">
        <v>273</v>
      </c>
      <c r="AO276" s="48" t="s">
        <v>273</v>
      </c>
      <c r="AP276" s="48" t="s">
        <v>273</v>
      </c>
      <c r="AQ276" s="48" t="s">
        <v>273</v>
      </c>
      <c r="AR276" s="48" t="s">
        <v>273</v>
      </c>
      <c r="AS276" s="48" t="s">
        <v>273</v>
      </c>
      <c r="AT276" s="48" t="s">
        <v>273</v>
      </c>
      <c r="AU276" s="93">
        <v>42339</v>
      </c>
      <c r="AV276" s="93"/>
      <c r="AW276" s="93"/>
      <c r="AX276" s="93"/>
      <c r="AY276" s="93"/>
    </row>
    <row r="277" spans="1:52" ht="16.5" customHeight="1" x14ac:dyDescent="0.15">
      <c r="A277" s="138" t="s">
        <v>3222</v>
      </c>
      <c r="B277" s="140" t="s">
        <v>3223</v>
      </c>
      <c r="C277" s="48" t="s">
        <v>330</v>
      </c>
      <c r="D277" s="62" t="s">
        <v>3218</v>
      </c>
      <c r="E277" s="48" t="s">
        <v>264</v>
      </c>
      <c r="F277" s="61">
        <v>42471</v>
      </c>
      <c r="G277" s="61">
        <v>42471</v>
      </c>
      <c r="H277" s="125">
        <v>42478</v>
      </c>
      <c r="I277" s="61" t="s">
        <v>279</v>
      </c>
      <c r="J277" s="87"/>
      <c r="K277" s="62" t="s">
        <v>12</v>
      </c>
      <c r="L277" s="62">
        <v>3</v>
      </c>
      <c r="M277" s="62" t="s">
        <v>680</v>
      </c>
      <c r="N277" s="62" t="s">
        <v>3224</v>
      </c>
      <c r="O277" s="48" t="s">
        <v>3220</v>
      </c>
      <c r="P277" s="48" t="s">
        <v>267</v>
      </c>
      <c r="Q277" s="48" t="s">
        <v>3159</v>
      </c>
      <c r="R277" s="48" t="s">
        <v>1948</v>
      </c>
      <c r="S277" s="48" t="s">
        <v>1949</v>
      </c>
      <c r="T277" s="48" t="s">
        <v>1950</v>
      </c>
      <c r="U277" s="48" t="s">
        <v>3221</v>
      </c>
      <c r="V277" s="48"/>
      <c r="W277" s="48"/>
      <c r="X277" s="48"/>
      <c r="Y277" s="48"/>
      <c r="Z277" s="61"/>
      <c r="AA277" s="48" t="s">
        <v>273</v>
      </c>
      <c r="AB277" s="48" t="s">
        <v>273</v>
      </c>
      <c r="AC277" s="48" t="s">
        <v>273</v>
      </c>
      <c r="AD277" s="48" t="s">
        <v>273</v>
      </c>
      <c r="AE277" s="48" t="s">
        <v>273</v>
      </c>
      <c r="AF277" s="48" t="s">
        <v>273</v>
      </c>
      <c r="AG277" s="48" t="s">
        <v>273</v>
      </c>
      <c r="AH277" s="48" t="s">
        <v>273</v>
      </c>
      <c r="AI277" s="48" t="s">
        <v>273</v>
      </c>
      <c r="AJ277" s="48" t="s">
        <v>273</v>
      </c>
      <c r="AK277" s="48" t="s">
        <v>273</v>
      </c>
      <c r="AL277" s="48" t="s">
        <v>273</v>
      </c>
      <c r="AM277" s="48" t="s">
        <v>273</v>
      </c>
      <c r="AN277" s="48" t="s">
        <v>273</v>
      </c>
      <c r="AO277" s="48" t="s">
        <v>273</v>
      </c>
      <c r="AP277" s="48" t="s">
        <v>273</v>
      </c>
      <c r="AQ277" s="48" t="s">
        <v>273</v>
      </c>
      <c r="AR277" s="48" t="s">
        <v>273</v>
      </c>
      <c r="AS277" s="48" t="s">
        <v>273</v>
      </c>
      <c r="AT277" s="48" t="s">
        <v>273</v>
      </c>
      <c r="AU277" s="93">
        <v>42430</v>
      </c>
      <c r="AV277" s="93"/>
      <c r="AW277" s="93"/>
      <c r="AX277" s="93"/>
      <c r="AY277" s="93"/>
    </row>
    <row r="278" spans="1:52" ht="16.5" customHeight="1" x14ac:dyDescent="0.15">
      <c r="A278" s="146" t="s">
        <v>3225</v>
      </c>
      <c r="B278" s="147" t="s">
        <v>3226</v>
      </c>
      <c r="C278" s="48" t="s">
        <v>298</v>
      </c>
      <c r="D278" s="62" t="s">
        <v>3227</v>
      </c>
      <c r="E278" s="48" t="s">
        <v>300</v>
      </c>
      <c r="F278" s="61">
        <v>42471</v>
      </c>
      <c r="G278" s="61">
        <v>42471</v>
      </c>
      <c r="H278" s="125">
        <v>42529</v>
      </c>
      <c r="I278" s="61" t="s">
        <v>279</v>
      </c>
      <c r="J278" s="87"/>
      <c r="K278" s="62" t="s">
        <v>14</v>
      </c>
      <c r="L278" s="62">
        <v>3</v>
      </c>
      <c r="M278" s="62">
        <v>180</v>
      </c>
      <c r="N278" s="62" t="s">
        <v>3228</v>
      </c>
      <c r="O278" s="48" t="s">
        <v>1528</v>
      </c>
      <c r="P278" s="48" t="s">
        <v>2047</v>
      </c>
      <c r="Q278" s="48" t="s">
        <v>3229</v>
      </c>
      <c r="R278" s="48" t="s">
        <v>3230</v>
      </c>
      <c r="S278" s="48" t="s">
        <v>3231</v>
      </c>
      <c r="T278" s="48" t="s">
        <v>3232</v>
      </c>
      <c r="U278" s="48" t="s">
        <v>3233</v>
      </c>
      <c r="V278" s="122" t="s">
        <v>263</v>
      </c>
      <c r="W278" s="48" t="s">
        <v>3234</v>
      </c>
      <c r="X278" s="48" t="s">
        <v>3235</v>
      </c>
      <c r="Y278" s="48" t="s">
        <v>3236</v>
      </c>
      <c r="Z278" s="61"/>
      <c r="AA278" s="48" t="s">
        <v>453</v>
      </c>
      <c r="AB278" s="48" t="s">
        <v>388</v>
      </c>
      <c r="AC278" s="48" t="s">
        <v>273</v>
      </c>
      <c r="AD278" s="48" t="s">
        <v>273</v>
      </c>
      <c r="AE278" s="48" t="s">
        <v>273</v>
      </c>
      <c r="AF278" s="48" t="s">
        <v>273</v>
      </c>
      <c r="AG278" s="48" t="s">
        <v>273</v>
      </c>
      <c r="AH278" s="48" t="s">
        <v>273</v>
      </c>
      <c r="AI278" s="48" t="s">
        <v>273</v>
      </c>
      <c r="AJ278" s="48" t="s">
        <v>273</v>
      </c>
      <c r="AK278" s="48" t="s">
        <v>454</v>
      </c>
      <c r="AL278" s="48" t="s">
        <v>390</v>
      </c>
      <c r="AM278" s="48" t="s">
        <v>273</v>
      </c>
      <c r="AN278" s="48" t="s">
        <v>273</v>
      </c>
      <c r="AO278" s="48" t="s">
        <v>273</v>
      </c>
      <c r="AP278" s="48" t="s">
        <v>273</v>
      </c>
      <c r="AQ278" s="48" t="s">
        <v>273</v>
      </c>
      <c r="AR278" s="48" t="s">
        <v>273</v>
      </c>
      <c r="AS278" s="48" t="s">
        <v>273</v>
      </c>
      <c r="AT278" s="48" t="s">
        <v>273</v>
      </c>
      <c r="AU278" s="93">
        <v>36557</v>
      </c>
      <c r="AV278" s="93"/>
      <c r="AW278" s="93"/>
      <c r="AX278" s="93"/>
      <c r="AY278" s="93"/>
    </row>
    <row r="279" spans="1:52" ht="16.5" customHeight="1" x14ac:dyDescent="0.15">
      <c r="A279" s="146" t="s">
        <v>3237</v>
      </c>
      <c r="B279" s="147" t="s">
        <v>3238</v>
      </c>
      <c r="C279" s="48" t="s">
        <v>298</v>
      </c>
      <c r="D279" s="62" t="s">
        <v>3239</v>
      </c>
      <c r="E279" s="48" t="s">
        <v>300</v>
      </c>
      <c r="F279" s="61">
        <v>42471</v>
      </c>
      <c r="G279" s="61">
        <v>42471</v>
      </c>
      <c r="H279" s="125">
        <v>42536</v>
      </c>
      <c r="I279" s="61">
        <v>39959</v>
      </c>
      <c r="J279" s="87"/>
      <c r="K279" s="62" t="s">
        <v>14</v>
      </c>
      <c r="L279" s="62">
        <v>3</v>
      </c>
      <c r="M279" s="62" t="s">
        <v>442</v>
      </c>
      <c r="N279" s="62" t="s">
        <v>3240</v>
      </c>
      <c r="O279" s="48" t="s">
        <v>570</v>
      </c>
      <c r="P279" s="48" t="s">
        <v>3241</v>
      </c>
      <c r="Q279" s="48" t="s">
        <v>3242</v>
      </c>
      <c r="R279" s="48" t="s">
        <v>609</v>
      </c>
      <c r="S279" s="48" t="s">
        <v>610</v>
      </c>
      <c r="T279" s="48" t="s">
        <v>611</v>
      </c>
      <c r="U279" s="48" t="s">
        <v>3243</v>
      </c>
      <c r="V279" s="122" t="s">
        <v>263</v>
      </c>
      <c r="W279" s="48" t="s">
        <v>3244</v>
      </c>
      <c r="X279" s="48" t="s">
        <v>3245</v>
      </c>
      <c r="Y279" s="48" t="s">
        <v>3246</v>
      </c>
      <c r="Z279" s="61"/>
      <c r="AA279" s="48" t="s">
        <v>849</v>
      </c>
      <c r="AB279" s="48" t="s">
        <v>389</v>
      </c>
      <c r="AC279" s="48" t="s">
        <v>273</v>
      </c>
      <c r="AD279" s="48" t="s">
        <v>273</v>
      </c>
      <c r="AE279" s="48" t="s">
        <v>273</v>
      </c>
      <c r="AF279" s="48" t="s">
        <v>273</v>
      </c>
      <c r="AG279" s="48" t="s">
        <v>273</v>
      </c>
      <c r="AH279" s="48" t="s">
        <v>273</v>
      </c>
      <c r="AI279" s="48" t="s">
        <v>273</v>
      </c>
      <c r="AJ279" s="48" t="s">
        <v>273</v>
      </c>
      <c r="AK279" s="48" t="s">
        <v>850</v>
      </c>
      <c r="AL279" s="48" t="s">
        <v>391</v>
      </c>
      <c r="AM279" s="48" t="s">
        <v>273</v>
      </c>
      <c r="AN279" s="48" t="s">
        <v>273</v>
      </c>
      <c r="AO279" s="48" t="s">
        <v>273</v>
      </c>
      <c r="AP279" s="48" t="s">
        <v>273</v>
      </c>
      <c r="AQ279" s="48" t="s">
        <v>273</v>
      </c>
      <c r="AR279" s="48" t="s">
        <v>273</v>
      </c>
      <c r="AS279" s="48" t="s">
        <v>273</v>
      </c>
      <c r="AT279" s="48" t="s">
        <v>273</v>
      </c>
      <c r="AU279" s="93">
        <v>39873</v>
      </c>
      <c r="AV279" s="93"/>
      <c r="AW279" s="93"/>
      <c r="AX279" s="93"/>
      <c r="AY279" s="93"/>
    </row>
    <row r="280" spans="1:52" ht="16.5" customHeight="1" x14ac:dyDescent="0.15">
      <c r="A280" s="138" t="s">
        <v>3247</v>
      </c>
      <c r="B280" s="140" t="s">
        <v>3248</v>
      </c>
      <c r="C280" s="48" t="s">
        <v>298</v>
      </c>
      <c r="D280" s="62" t="s">
        <v>8064</v>
      </c>
      <c r="E280" s="48" t="s">
        <v>264</v>
      </c>
      <c r="F280" s="61">
        <v>42472</v>
      </c>
      <c r="G280" s="61">
        <v>42472</v>
      </c>
      <c r="H280" s="125">
        <v>42474</v>
      </c>
      <c r="I280" s="61">
        <v>42397</v>
      </c>
      <c r="J280" s="87"/>
      <c r="K280" s="62" t="s">
        <v>12</v>
      </c>
      <c r="L280" s="124" t="s">
        <v>263</v>
      </c>
      <c r="M280" s="62" t="s">
        <v>209</v>
      </c>
      <c r="N280" s="62" t="s">
        <v>3249</v>
      </c>
      <c r="O280" s="48" t="s">
        <v>3250</v>
      </c>
      <c r="P280" s="48" t="s">
        <v>267</v>
      </c>
      <c r="Q280" s="48" t="s">
        <v>3251</v>
      </c>
      <c r="R280" s="48" t="s">
        <v>3252</v>
      </c>
      <c r="S280" s="48" t="s">
        <v>269</v>
      </c>
      <c r="T280" s="48" t="s">
        <v>270</v>
      </c>
      <c r="U280" s="48" t="s">
        <v>3253</v>
      </c>
      <c r="V280" s="122" t="s">
        <v>263</v>
      </c>
      <c r="W280" s="122" t="s">
        <v>263</v>
      </c>
      <c r="X280" s="48" t="s">
        <v>3254</v>
      </c>
      <c r="Y280" s="48" t="s">
        <v>3255</v>
      </c>
      <c r="Z280" s="61"/>
      <c r="AA280" s="48" t="s">
        <v>273</v>
      </c>
      <c r="AB280" s="48" t="s">
        <v>273</v>
      </c>
      <c r="AC280" s="48" t="s">
        <v>273</v>
      </c>
      <c r="AD280" s="48" t="s">
        <v>273</v>
      </c>
      <c r="AE280" s="48" t="s">
        <v>273</v>
      </c>
      <c r="AF280" s="48" t="s">
        <v>273</v>
      </c>
      <c r="AG280" s="48" t="s">
        <v>273</v>
      </c>
      <c r="AH280" s="48" t="s">
        <v>273</v>
      </c>
      <c r="AI280" s="48" t="s">
        <v>273</v>
      </c>
      <c r="AJ280" s="48" t="s">
        <v>273</v>
      </c>
      <c r="AK280" s="48" t="s">
        <v>273</v>
      </c>
      <c r="AL280" s="48" t="s">
        <v>273</v>
      </c>
      <c r="AM280" s="48" t="s">
        <v>273</v>
      </c>
      <c r="AN280" s="48" t="s">
        <v>273</v>
      </c>
      <c r="AO280" s="48" t="s">
        <v>273</v>
      </c>
      <c r="AP280" s="48" t="s">
        <v>273</v>
      </c>
      <c r="AQ280" s="48" t="s">
        <v>273</v>
      </c>
      <c r="AR280" s="48" t="s">
        <v>273</v>
      </c>
      <c r="AS280" s="48" t="s">
        <v>273</v>
      </c>
      <c r="AT280" s="48" t="s">
        <v>273</v>
      </c>
      <c r="AU280" s="93">
        <v>42339</v>
      </c>
      <c r="AV280" s="93"/>
      <c r="AW280" s="93"/>
      <c r="AX280" s="93"/>
      <c r="AY280" s="93"/>
      <c r="AZ280" s="49" t="s">
        <v>2365</v>
      </c>
    </row>
    <row r="281" spans="1:52" ht="16.5" customHeight="1" x14ac:dyDescent="0.15">
      <c r="A281" s="144" t="s">
        <v>3256</v>
      </c>
      <c r="B281" s="145" t="s">
        <v>3257</v>
      </c>
      <c r="C281" s="48" t="s">
        <v>298</v>
      </c>
      <c r="D281" s="62" t="s">
        <v>3258</v>
      </c>
      <c r="E281" s="48" t="s">
        <v>300</v>
      </c>
      <c r="F281" s="61">
        <v>42472</v>
      </c>
      <c r="G281" s="61">
        <v>42472</v>
      </c>
      <c r="H281" s="125">
        <v>42506</v>
      </c>
      <c r="I281" s="61" t="s">
        <v>279</v>
      </c>
      <c r="J281" s="87"/>
      <c r="K281" s="62" t="s">
        <v>12</v>
      </c>
      <c r="L281" s="62">
        <v>3</v>
      </c>
      <c r="M281" s="62" t="s">
        <v>209</v>
      </c>
      <c r="N281" s="62" t="s">
        <v>3259</v>
      </c>
      <c r="O281" s="48" t="s">
        <v>1334</v>
      </c>
      <c r="P281" s="48" t="s">
        <v>3260</v>
      </c>
      <c r="Q281" s="48" t="s">
        <v>3261</v>
      </c>
      <c r="R281" s="48" t="s">
        <v>3262</v>
      </c>
      <c r="S281" s="48" t="s">
        <v>3263</v>
      </c>
      <c r="T281" s="48" t="s">
        <v>3264</v>
      </c>
      <c r="U281" s="48" t="s">
        <v>3265</v>
      </c>
      <c r="V281" s="122" t="s">
        <v>263</v>
      </c>
      <c r="W281" s="122" t="s">
        <v>263</v>
      </c>
      <c r="X281" s="48" t="s">
        <v>3266</v>
      </c>
      <c r="Y281" s="48" t="s">
        <v>3267</v>
      </c>
      <c r="Z281" s="61"/>
      <c r="AA281" s="48" t="s">
        <v>291</v>
      </c>
      <c r="AB281" s="148" t="s">
        <v>548</v>
      </c>
      <c r="AC281" s="148" t="s">
        <v>547</v>
      </c>
      <c r="AD281" s="148" t="s">
        <v>546</v>
      </c>
      <c r="AE281" s="48" t="s">
        <v>273</v>
      </c>
      <c r="AF281" s="48" t="s">
        <v>273</v>
      </c>
      <c r="AG281" s="48" t="s">
        <v>273</v>
      </c>
      <c r="AH281" s="48" t="s">
        <v>273</v>
      </c>
      <c r="AI281" s="48" t="s">
        <v>273</v>
      </c>
      <c r="AJ281" s="48" t="s">
        <v>273</v>
      </c>
      <c r="AK281" s="48" t="s">
        <v>293</v>
      </c>
      <c r="AL281" s="48" t="s">
        <v>549</v>
      </c>
      <c r="AM281" s="48" t="s">
        <v>550</v>
      </c>
      <c r="AN281" s="48" t="s">
        <v>551</v>
      </c>
      <c r="AO281" s="48" t="s">
        <v>273</v>
      </c>
      <c r="AP281" s="48" t="s">
        <v>273</v>
      </c>
      <c r="AQ281" s="48" t="s">
        <v>273</v>
      </c>
      <c r="AR281" s="48" t="s">
        <v>273</v>
      </c>
      <c r="AS281" s="48" t="s">
        <v>273</v>
      </c>
      <c r="AT281" s="48" t="s">
        <v>273</v>
      </c>
      <c r="AU281" s="93">
        <v>40391</v>
      </c>
      <c r="AV281" s="93"/>
      <c r="AW281" s="93"/>
      <c r="AX281" s="93"/>
      <c r="AY281" s="93"/>
    </row>
    <row r="282" spans="1:52" ht="16.5" customHeight="1" x14ac:dyDescent="0.15">
      <c r="A282" s="153" t="s">
        <v>3268</v>
      </c>
      <c r="B282" s="154" t="s">
        <v>3269</v>
      </c>
      <c r="C282" s="48" t="s">
        <v>3270</v>
      </c>
      <c r="D282" s="62" t="s">
        <v>3271</v>
      </c>
      <c r="E282" s="48" t="s">
        <v>300</v>
      </c>
      <c r="F282" s="61">
        <v>42473</v>
      </c>
      <c r="G282" s="61">
        <v>42473</v>
      </c>
      <c r="H282" s="125">
        <v>42611</v>
      </c>
      <c r="I282" s="61">
        <v>39535</v>
      </c>
      <c r="J282" s="87"/>
      <c r="K282" s="62" t="s">
        <v>16</v>
      </c>
      <c r="L282" s="62">
        <v>3</v>
      </c>
      <c r="M282" s="62" t="s">
        <v>409</v>
      </c>
      <c r="N282" s="62" t="s">
        <v>3272</v>
      </c>
      <c r="O282" s="48" t="s">
        <v>932</v>
      </c>
      <c r="P282" s="48" t="s">
        <v>3273</v>
      </c>
      <c r="Q282" s="48" t="s">
        <v>3274</v>
      </c>
      <c r="R282" s="48" t="s">
        <v>3275</v>
      </c>
      <c r="S282" s="48" t="s">
        <v>3276</v>
      </c>
      <c r="T282" s="48" t="s">
        <v>3277</v>
      </c>
      <c r="U282" s="48" t="s">
        <v>3278</v>
      </c>
      <c r="V282" s="122" t="s">
        <v>263</v>
      </c>
      <c r="W282" s="122" t="s">
        <v>263</v>
      </c>
      <c r="X282" s="48" t="s">
        <v>3279</v>
      </c>
      <c r="Y282" s="48" t="s">
        <v>3280</v>
      </c>
      <c r="Z282" s="61"/>
      <c r="AA282" s="48" t="s">
        <v>978</v>
      </c>
      <c r="AB282" s="48" t="s">
        <v>291</v>
      </c>
      <c r="AC282" s="48" t="s">
        <v>273</v>
      </c>
      <c r="AD282" s="48" t="s">
        <v>273</v>
      </c>
      <c r="AE282" s="48" t="s">
        <v>273</v>
      </c>
      <c r="AF282" s="48" t="s">
        <v>273</v>
      </c>
      <c r="AG282" s="48" t="s">
        <v>273</v>
      </c>
      <c r="AH282" s="48" t="s">
        <v>273</v>
      </c>
      <c r="AI282" s="48" t="s">
        <v>273</v>
      </c>
      <c r="AJ282" s="48" t="s">
        <v>273</v>
      </c>
      <c r="AK282" s="48" t="s">
        <v>600</v>
      </c>
      <c r="AL282" s="48" t="s">
        <v>293</v>
      </c>
      <c r="AM282" s="48" t="s">
        <v>273</v>
      </c>
      <c r="AN282" s="48" t="s">
        <v>273</v>
      </c>
      <c r="AO282" s="48" t="s">
        <v>273</v>
      </c>
      <c r="AP282" s="48" t="s">
        <v>273</v>
      </c>
      <c r="AQ282" s="48" t="s">
        <v>273</v>
      </c>
      <c r="AR282" s="48" t="s">
        <v>273</v>
      </c>
      <c r="AS282" s="48" t="s">
        <v>273</v>
      </c>
      <c r="AT282" s="48" t="s">
        <v>273</v>
      </c>
      <c r="AU282" s="93">
        <v>39508</v>
      </c>
      <c r="AV282" s="93"/>
      <c r="AW282" s="93"/>
      <c r="AX282" s="93"/>
      <c r="AY282" s="93"/>
    </row>
    <row r="283" spans="1:52" ht="16.5" customHeight="1" x14ac:dyDescent="0.15">
      <c r="A283" s="146" t="s">
        <v>3281</v>
      </c>
      <c r="B283" s="147" t="s">
        <v>3282</v>
      </c>
      <c r="C283" s="48" t="s">
        <v>298</v>
      </c>
      <c r="D283" s="62" t="s">
        <v>263</v>
      </c>
      <c r="E283" s="48" t="s">
        <v>300</v>
      </c>
      <c r="F283" s="61">
        <v>42473</v>
      </c>
      <c r="G283" s="61">
        <v>42473</v>
      </c>
      <c r="H283" s="125">
        <v>42534</v>
      </c>
      <c r="I283" s="61" t="s">
        <v>279</v>
      </c>
      <c r="J283" s="87"/>
      <c r="K283" s="62" t="s">
        <v>14</v>
      </c>
      <c r="L283" s="62">
        <v>3</v>
      </c>
      <c r="M283" s="62" t="s">
        <v>755</v>
      </c>
      <c r="N283" s="62" t="s">
        <v>3283</v>
      </c>
      <c r="O283" s="48" t="s">
        <v>1384</v>
      </c>
      <c r="P283" s="48" t="s">
        <v>2473</v>
      </c>
      <c r="Q283" s="48" t="s">
        <v>1386</v>
      </c>
      <c r="R283" s="48" t="s">
        <v>1387</v>
      </c>
      <c r="S283" s="48" t="s">
        <v>1388</v>
      </c>
      <c r="T283" s="48" t="s">
        <v>1389</v>
      </c>
      <c r="U283" s="48" t="s">
        <v>3284</v>
      </c>
      <c r="V283" s="122" t="s">
        <v>263</v>
      </c>
      <c r="W283" s="122" t="s">
        <v>263</v>
      </c>
      <c r="X283" s="48" t="s">
        <v>901</v>
      </c>
      <c r="Y283" s="48" t="s">
        <v>3285</v>
      </c>
      <c r="Z283" s="61"/>
      <c r="AA283" s="48" t="s">
        <v>273</v>
      </c>
      <c r="AB283" s="48" t="s">
        <v>1054</v>
      </c>
      <c r="AC283" s="48" t="s">
        <v>3286</v>
      </c>
      <c r="AD283" s="48" t="s">
        <v>273</v>
      </c>
      <c r="AE283" s="48" t="s">
        <v>273</v>
      </c>
      <c r="AF283" s="48" t="s">
        <v>273</v>
      </c>
      <c r="AG283" s="48" t="s">
        <v>273</v>
      </c>
      <c r="AH283" s="48" t="s">
        <v>273</v>
      </c>
      <c r="AI283" s="48" t="s">
        <v>273</v>
      </c>
      <c r="AJ283" s="48" t="s">
        <v>273</v>
      </c>
      <c r="AK283" s="48" t="s">
        <v>273</v>
      </c>
      <c r="AL283" s="48" t="s">
        <v>1057</v>
      </c>
      <c r="AM283" s="48" t="s">
        <v>3287</v>
      </c>
      <c r="AN283" s="48" t="s">
        <v>273</v>
      </c>
      <c r="AO283" s="48" t="s">
        <v>273</v>
      </c>
      <c r="AP283" s="48" t="s">
        <v>273</v>
      </c>
      <c r="AQ283" s="48" t="s">
        <v>273</v>
      </c>
      <c r="AR283" s="48" t="s">
        <v>273</v>
      </c>
      <c r="AS283" s="48" t="s">
        <v>273</v>
      </c>
      <c r="AT283" s="48" t="s">
        <v>273</v>
      </c>
      <c r="AU283" s="93">
        <v>40026</v>
      </c>
      <c r="AV283" s="93"/>
      <c r="AW283" s="93"/>
      <c r="AX283" s="93"/>
      <c r="AY283" s="93"/>
    </row>
    <row r="284" spans="1:52" ht="16.5" customHeight="1" x14ac:dyDescent="0.15">
      <c r="A284" s="144" t="s">
        <v>3288</v>
      </c>
      <c r="B284" s="145" t="s">
        <v>3289</v>
      </c>
      <c r="C284" s="48" t="s">
        <v>330</v>
      </c>
      <c r="D284" s="62" t="s">
        <v>3290</v>
      </c>
      <c r="E284" s="48" t="s">
        <v>300</v>
      </c>
      <c r="F284" s="61">
        <v>42473</v>
      </c>
      <c r="G284" s="61">
        <v>42478</v>
      </c>
      <c r="H284" s="125">
        <v>42513</v>
      </c>
      <c r="I284" s="61" t="s">
        <v>279</v>
      </c>
      <c r="J284" s="87"/>
      <c r="K284" s="124" t="s">
        <v>263</v>
      </c>
      <c r="L284" s="124" t="s">
        <v>263</v>
      </c>
      <c r="M284" s="62" t="s">
        <v>442</v>
      </c>
      <c r="N284" s="62" t="s">
        <v>3291</v>
      </c>
      <c r="O284" s="48" t="s">
        <v>1894</v>
      </c>
      <c r="P284" s="48" t="s">
        <v>3292</v>
      </c>
      <c r="Q284" s="48" t="s">
        <v>3293</v>
      </c>
      <c r="R284" s="48" t="s">
        <v>3294</v>
      </c>
      <c r="S284" s="48" t="s">
        <v>3295</v>
      </c>
      <c r="T284" s="48" t="s">
        <v>3296</v>
      </c>
      <c r="U284" s="48" t="s">
        <v>3297</v>
      </c>
      <c r="V284" s="48" t="s">
        <v>3298</v>
      </c>
      <c r="W284" s="48" t="s">
        <v>3299</v>
      </c>
      <c r="X284" s="48" t="s">
        <v>3300</v>
      </c>
      <c r="Y284" s="48" t="s">
        <v>3301</v>
      </c>
      <c r="Z284" s="61"/>
      <c r="AA284" s="48" t="s">
        <v>273</v>
      </c>
      <c r="AB284" s="48" t="s">
        <v>273</v>
      </c>
      <c r="AC284" s="48" t="s">
        <v>273</v>
      </c>
      <c r="AD284" s="48" t="s">
        <v>273</v>
      </c>
      <c r="AE284" s="48" t="s">
        <v>273</v>
      </c>
      <c r="AF284" s="48" t="s">
        <v>273</v>
      </c>
      <c r="AG284" s="48" t="s">
        <v>273</v>
      </c>
      <c r="AH284" s="48" t="s">
        <v>273</v>
      </c>
      <c r="AI284" s="48" t="s">
        <v>273</v>
      </c>
      <c r="AJ284" s="48" t="s">
        <v>273</v>
      </c>
      <c r="AK284" s="48" t="s">
        <v>273</v>
      </c>
      <c r="AL284" s="48" t="s">
        <v>273</v>
      </c>
      <c r="AM284" s="48" t="s">
        <v>273</v>
      </c>
      <c r="AN284" s="48" t="s">
        <v>273</v>
      </c>
      <c r="AO284" s="48" t="s">
        <v>273</v>
      </c>
      <c r="AP284" s="48" t="s">
        <v>273</v>
      </c>
      <c r="AQ284" s="48" t="s">
        <v>273</v>
      </c>
      <c r="AR284" s="48" t="s">
        <v>273</v>
      </c>
      <c r="AS284" s="48" t="s">
        <v>273</v>
      </c>
      <c r="AT284" s="48" t="s">
        <v>273</v>
      </c>
      <c r="AU284" s="93">
        <v>38534</v>
      </c>
      <c r="AV284" s="93"/>
      <c r="AW284" s="93"/>
      <c r="AX284" s="93"/>
      <c r="AY284" s="93"/>
      <c r="AZ284" s="49" t="s">
        <v>3302</v>
      </c>
    </row>
    <row r="285" spans="1:52" ht="16.5" customHeight="1" x14ac:dyDescent="0.15">
      <c r="A285" s="144" t="s">
        <v>3303</v>
      </c>
      <c r="B285" s="145" t="s">
        <v>3304</v>
      </c>
      <c r="C285" s="48" t="s">
        <v>3305</v>
      </c>
      <c r="D285" s="62" t="s">
        <v>263</v>
      </c>
      <c r="E285" s="48" t="s">
        <v>264</v>
      </c>
      <c r="F285" s="61">
        <v>42473</v>
      </c>
      <c r="G285" s="61">
        <v>42473</v>
      </c>
      <c r="H285" s="125">
        <v>42510</v>
      </c>
      <c r="I285" s="61">
        <v>42110</v>
      </c>
      <c r="J285" s="87"/>
      <c r="K285" s="62" t="s">
        <v>12</v>
      </c>
      <c r="L285" s="62">
        <v>3</v>
      </c>
      <c r="M285" s="62" t="s">
        <v>471</v>
      </c>
      <c r="N285" s="62" t="s">
        <v>3306</v>
      </c>
      <c r="O285" s="48" t="s">
        <v>1153</v>
      </c>
      <c r="P285" s="48" t="s">
        <v>474</v>
      </c>
      <c r="Q285" s="130" t="s">
        <v>3307</v>
      </c>
      <c r="R285" s="48" t="s">
        <v>399</v>
      </c>
      <c r="S285" s="48" t="s">
        <v>400</v>
      </c>
      <c r="T285" s="48" t="s">
        <v>401</v>
      </c>
      <c r="U285" s="48" t="s">
        <v>3308</v>
      </c>
      <c r="V285" s="122" t="s">
        <v>263</v>
      </c>
      <c r="W285" s="122" t="s">
        <v>263</v>
      </c>
      <c r="X285" s="48" t="s">
        <v>3309</v>
      </c>
      <c r="Y285" s="48" t="s">
        <v>3310</v>
      </c>
      <c r="Z285" s="61"/>
      <c r="AA285" s="48" t="s">
        <v>3311</v>
      </c>
      <c r="AB285" s="48" t="s">
        <v>273</v>
      </c>
      <c r="AC285" s="48" t="s">
        <v>273</v>
      </c>
      <c r="AD285" s="48" t="s">
        <v>273</v>
      </c>
      <c r="AE285" s="48" t="s">
        <v>273</v>
      </c>
      <c r="AF285" s="48" t="s">
        <v>273</v>
      </c>
      <c r="AG285" s="48" t="s">
        <v>273</v>
      </c>
      <c r="AH285" s="48" t="s">
        <v>273</v>
      </c>
      <c r="AI285" s="48" t="s">
        <v>273</v>
      </c>
      <c r="AJ285" s="48" t="s">
        <v>273</v>
      </c>
      <c r="AK285" s="48" t="s">
        <v>509</v>
      </c>
      <c r="AL285" s="48" t="s">
        <v>273</v>
      </c>
      <c r="AM285" s="48" t="s">
        <v>273</v>
      </c>
      <c r="AN285" s="48" t="s">
        <v>273</v>
      </c>
      <c r="AO285" s="48" t="s">
        <v>273</v>
      </c>
      <c r="AP285" s="48" t="s">
        <v>273</v>
      </c>
      <c r="AQ285" s="48" t="s">
        <v>273</v>
      </c>
      <c r="AR285" s="48" t="s">
        <v>273</v>
      </c>
      <c r="AS285" s="48" t="s">
        <v>273</v>
      </c>
      <c r="AT285" s="48" t="s">
        <v>273</v>
      </c>
      <c r="AU285" s="93">
        <v>40148</v>
      </c>
      <c r="AV285" s="93"/>
      <c r="AW285" s="93"/>
      <c r="AX285" s="93"/>
      <c r="AY285" s="93"/>
      <c r="AZ285" s="49" t="s">
        <v>2836</v>
      </c>
    </row>
    <row r="286" spans="1:52" ht="16.5" customHeight="1" x14ac:dyDescent="0.15">
      <c r="A286" s="146" t="s">
        <v>3312</v>
      </c>
      <c r="B286" s="147" t="s">
        <v>3313</v>
      </c>
      <c r="C286" s="48" t="s">
        <v>298</v>
      </c>
      <c r="D286" s="62" t="s">
        <v>3314</v>
      </c>
      <c r="E286" s="48" t="s">
        <v>300</v>
      </c>
      <c r="F286" s="61">
        <v>42473</v>
      </c>
      <c r="G286" s="61">
        <v>42473</v>
      </c>
      <c r="H286" s="125">
        <v>42541</v>
      </c>
      <c r="I286" s="61">
        <v>40210</v>
      </c>
      <c r="J286" s="87"/>
      <c r="K286" s="62" t="s">
        <v>14</v>
      </c>
      <c r="L286" s="62">
        <v>1</v>
      </c>
      <c r="M286" s="62" t="s">
        <v>235</v>
      </c>
      <c r="N286" s="62" t="s">
        <v>3315</v>
      </c>
      <c r="O286" s="48" t="s">
        <v>3316</v>
      </c>
      <c r="P286" s="48" t="s">
        <v>2282</v>
      </c>
      <c r="Q286" s="48" t="s">
        <v>1557</v>
      </c>
      <c r="R286" s="48" t="s">
        <v>3317</v>
      </c>
      <c r="S286" s="48" t="s">
        <v>3318</v>
      </c>
      <c r="T286" s="48" t="s">
        <v>3319</v>
      </c>
      <c r="U286" s="48" t="s">
        <v>3320</v>
      </c>
      <c r="V286" s="122" t="s">
        <v>263</v>
      </c>
      <c r="W286" s="122" t="s">
        <v>263</v>
      </c>
      <c r="X286" s="48" t="s">
        <v>3321</v>
      </c>
      <c r="Y286" s="48" t="s">
        <v>3322</v>
      </c>
      <c r="Z286" s="61"/>
      <c r="AA286" s="48" t="s">
        <v>3323</v>
      </c>
      <c r="AB286" s="48" t="s">
        <v>273</v>
      </c>
      <c r="AC286" s="48" t="s">
        <v>273</v>
      </c>
      <c r="AD286" s="48" t="s">
        <v>273</v>
      </c>
      <c r="AE286" s="48" t="s">
        <v>273</v>
      </c>
      <c r="AF286" s="48" t="s">
        <v>273</v>
      </c>
      <c r="AG286" s="48" t="s">
        <v>273</v>
      </c>
      <c r="AH286" s="48" t="s">
        <v>273</v>
      </c>
      <c r="AI286" s="48" t="s">
        <v>273</v>
      </c>
      <c r="AJ286" s="48" t="s">
        <v>273</v>
      </c>
      <c r="AK286" s="48" t="s">
        <v>2092</v>
      </c>
      <c r="AL286" s="48" t="s">
        <v>273</v>
      </c>
      <c r="AM286" s="48" t="s">
        <v>273</v>
      </c>
      <c r="AN286" s="48" t="s">
        <v>273</v>
      </c>
      <c r="AO286" s="48" t="s">
        <v>273</v>
      </c>
      <c r="AP286" s="48" t="s">
        <v>273</v>
      </c>
      <c r="AQ286" s="48" t="s">
        <v>273</v>
      </c>
      <c r="AR286" s="48" t="s">
        <v>273</v>
      </c>
      <c r="AS286" s="48" t="s">
        <v>273</v>
      </c>
      <c r="AT286" s="48" t="s">
        <v>273</v>
      </c>
      <c r="AU286" s="93">
        <v>40087</v>
      </c>
      <c r="AV286" s="93"/>
      <c r="AW286" s="93"/>
      <c r="AX286" s="93"/>
      <c r="AY286" s="93"/>
    </row>
    <row r="287" spans="1:52" ht="16.5" customHeight="1" x14ac:dyDescent="0.15">
      <c r="A287" s="144" t="s">
        <v>3324</v>
      </c>
      <c r="B287" s="145" t="s">
        <v>3325</v>
      </c>
      <c r="C287" s="48" t="s">
        <v>298</v>
      </c>
      <c r="D287" s="62" t="s">
        <v>3326</v>
      </c>
      <c r="E287" s="48" t="s">
        <v>300</v>
      </c>
      <c r="F287" s="61">
        <v>42474</v>
      </c>
      <c r="G287" s="61">
        <v>42474</v>
      </c>
      <c r="H287" s="125">
        <v>42513</v>
      </c>
      <c r="I287" s="61" t="s">
        <v>279</v>
      </c>
      <c r="J287" s="87"/>
      <c r="K287" s="62" t="s">
        <v>12</v>
      </c>
      <c r="L287" s="62">
        <v>3</v>
      </c>
      <c r="M287" s="62">
        <v>180</v>
      </c>
      <c r="N287" s="62" t="s">
        <v>3327</v>
      </c>
      <c r="O287" s="48" t="s">
        <v>2168</v>
      </c>
      <c r="P287" s="48" t="s">
        <v>3328</v>
      </c>
      <c r="Q287" s="48" t="s">
        <v>3329</v>
      </c>
      <c r="R287" s="48" t="s">
        <v>3330</v>
      </c>
      <c r="S287" s="48" t="s">
        <v>3331</v>
      </c>
      <c r="T287" s="48" t="s">
        <v>3332</v>
      </c>
      <c r="U287" s="48" t="s">
        <v>3328</v>
      </c>
      <c r="V287" s="122" t="s">
        <v>263</v>
      </c>
      <c r="W287" s="122" t="s">
        <v>263</v>
      </c>
      <c r="X287" s="122" t="s">
        <v>263</v>
      </c>
      <c r="Y287" s="48" t="s">
        <v>3333</v>
      </c>
      <c r="Z287" s="61"/>
      <c r="AA287" s="48" t="s">
        <v>849</v>
      </c>
      <c r="AB287" s="48" t="s">
        <v>453</v>
      </c>
      <c r="AC287" s="48" t="s">
        <v>581</v>
      </c>
      <c r="AD287" s="48" t="s">
        <v>273</v>
      </c>
      <c r="AE287" s="48" t="s">
        <v>273</v>
      </c>
      <c r="AF287" s="48" t="s">
        <v>273</v>
      </c>
      <c r="AG287" s="48" t="s">
        <v>273</v>
      </c>
      <c r="AH287" s="48" t="s">
        <v>273</v>
      </c>
      <c r="AI287" s="48" t="s">
        <v>273</v>
      </c>
      <c r="AJ287" s="48" t="s">
        <v>273</v>
      </c>
      <c r="AK287" s="48" t="s">
        <v>850</v>
      </c>
      <c r="AL287" s="48" t="s">
        <v>454</v>
      </c>
      <c r="AM287" s="48" t="s">
        <v>582</v>
      </c>
      <c r="AN287" s="48" t="s">
        <v>273</v>
      </c>
      <c r="AO287" s="48" t="s">
        <v>273</v>
      </c>
      <c r="AP287" s="48" t="s">
        <v>273</v>
      </c>
      <c r="AQ287" s="48" t="s">
        <v>273</v>
      </c>
      <c r="AR287" s="48" t="s">
        <v>273</v>
      </c>
      <c r="AS287" s="48" t="s">
        <v>273</v>
      </c>
      <c r="AT287" s="48" t="s">
        <v>273</v>
      </c>
      <c r="AU287" s="93">
        <v>37316</v>
      </c>
      <c r="AV287" s="93"/>
      <c r="AW287" s="93"/>
      <c r="AX287" s="93"/>
      <c r="AY287" s="93"/>
    </row>
    <row r="288" spans="1:52" ht="16.5" customHeight="1" x14ac:dyDescent="0.15">
      <c r="A288" s="121" t="s">
        <v>3334</v>
      </c>
      <c r="B288" s="137" t="s">
        <v>3335</v>
      </c>
      <c r="C288" s="48" t="e">
        <f ca="1">INDIRECT("'["&amp;$C$1&amp;".xls]"&amp;$B288&amp;"'!$i$7")</f>
        <v>#REF!</v>
      </c>
      <c r="D288" s="62" t="e">
        <f ca="1">INDIRECT("'["&amp;$C$1&amp;".xls]"&amp;$B288&amp;"'!$b$7")</f>
        <v>#REF!</v>
      </c>
      <c r="E288" s="48" t="e">
        <f ca="1">IF(INDIRECT("'["&amp;$C$1&amp;".xls]"&amp;$B288&amp;"'!$i$2")="","",INDIRECT("'["&amp;$C$1&amp;".xls]"&amp;$B288&amp;"'!$i$2"))</f>
        <v>#REF!</v>
      </c>
      <c r="F288" s="61" t="e">
        <f ca="1">INDIRECT("'["&amp;$C$1&amp;".xls]"&amp;$B288&amp;"'!$b$2")</f>
        <v>#REF!</v>
      </c>
      <c r="G288" s="61" t="e">
        <f ca="1">INDIRECT("'["&amp;$C$1&amp;".xls]"&amp;$B288&amp;"'!$a$20")</f>
        <v>#REF!</v>
      </c>
      <c r="H288" s="88" t="e">
        <f ca="1">INDIRECT("'["&amp;$C$1&amp;".xls]"&amp;$B288&amp;"'!$Q$22")</f>
        <v>#REF!</v>
      </c>
      <c r="I288" s="61" t="e">
        <f ca="1">INDIRECT("'["&amp;$C$1&amp;".xls]"&amp;$B288&amp;"'!$f$6")</f>
        <v>#REF!</v>
      </c>
      <c r="J288" s="87"/>
      <c r="K288" s="62" t="e">
        <f ca="1">INDIRECT("'["&amp;$C$1&amp;".xls]"&amp;$B288&amp;"'!$f$25")</f>
        <v>#REF!</v>
      </c>
      <c r="L288" s="62"/>
      <c r="M288" s="62" t="e">
        <f ca="1">INDIRECT("'["&amp;$C$1&amp;".xls]"&amp;$B288&amp;"'!$f$4")</f>
        <v>#REF!</v>
      </c>
      <c r="N288" s="62" t="e">
        <f ca="1">INDIRECT("'["&amp;$C$1&amp;".xls]"&amp;$B288&amp;"'!$i$4")</f>
        <v>#REF!</v>
      </c>
      <c r="O288" s="48" t="e">
        <f ca="1">INDIRECT("'["&amp;$C$1&amp;".xls]"&amp;$B288&amp;"'!$l$4")</f>
        <v>#REF!</v>
      </c>
      <c r="P288" s="48" t="e">
        <f ca="1">INDIRECT("'["&amp;$C$1&amp;".xls]"&amp;$B288&amp;"'!$b$5")</f>
        <v>#REF!</v>
      </c>
      <c r="Q288" s="48" t="e">
        <f ca="1">INDIRECT("'["&amp;$C$1&amp;".xls]"&amp;$B288&amp;"'!$f$5")</f>
        <v>#REF!</v>
      </c>
      <c r="R288" s="48"/>
      <c r="S288" s="48" t="e">
        <f ca="1">INDIRECT("'["&amp;$C$1&amp;".xls]"&amp;$B288&amp;"'!$i$5")</f>
        <v>#REF!</v>
      </c>
      <c r="T288" s="48" t="e">
        <f ca="1">INDIRECT("'["&amp;$C$1&amp;".xls]"&amp;$B288&amp;"'!$l$5")</f>
        <v>#REF!</v>
      </c>
      <c r="U288" s="48" t="e">
        <f ca="1">INDIRECT("'["&amp;$C$1&amp;".xls]"&amp;$B288&amp;"'!$b$4")</f>
        <v>#REF!</v>
      </c>
      <c r="V288" s="48"/>
      <c r="W288" s="48"/>
      <c r="X288" s="48"/>
      <c r="Y288" s="48"/>
      <c r="Z288" s="61"/>
      <c r="AA288" s="48" t="e">
        <f ca="1">IF(INDIRECT("'["&amp;$C$1&amp;".xls]"&amp;$B288&amp;"'!$P$25")="","",IF(INDIRECT("'["&amp;$C$1&amp;".xls]"&amp;$B288&amp;"'!$O$25")="済み",INDIRECT("'["&amp;$C$1&amp;".xls]"&amp;$B288&amp;"'!$P$25"),""))</f>
        <v>#REF!</v>
      </c>
      <c r="AB288" s="48" t="e">
        <f ca="1">IF(INDIRECT("'["&amp;$C$1&amp;".xls]"&amp;$B288&amp;"'!$P$26")="","",IF(INDIRECT("'["&amp;$C$1&amp;".xls]"&amp;$B288&amp;"'!$O$26")="済み",INDIRECT("'["&amp;$C$1&amp;".xls]"&amp;$B288&amp;"'!$P$26"),""))</f>
        <v>#REF!</v>
      </c>
      <c r="AC288" s="48" t="e">
        <f ca="1">IF(INDIRECT("'["&amp;$C$1&amp;".xls]"&amp;$B288&amp;"'!$P$27")="","",IF(INDIRECT("'["&amp;$C$1&amp;".xls]"&amp;$B288&amp;"'!$O$27")="済み",INDIRECT("'["&amp;$C$1&amp;".xls]"&amp;$B288&amp;"'!$P$27"),""))</f>
        <v>#REF!</v>
      </c>
      <c r="AD288" s="48" t="e">
        <f ca="1">IF(INDIRECT("'["&amp;$C$1&amp;".xls]"&amp;$B288&amp;"'!$P$28")="","",IF(INDIRECT("'["&amp;$C$1&amp;".xls]"&amp;$B288&amp;"'!$O$28")="済み",INDIRECT("'["&amp;$C$1&amp;".xls]"&amp;$B288&amp;"'!$P$28"),""))</f>
        <v>#REF!</v>
      </c>
      <c r="AE288" s="48" t="e">
        <f ca="1">IF(INDIRECT("'["&amp;$C$1&amp;".xls]"&amp;$B288&amp;"'!$P$29")="","",IF(INDIRECT("'["&amp;$C$1&amp;".xls]"&amp;$B288&amp;"'!$O$29")="済み",INDIRECT("'["&amp;$C$1&amp;".xls]"&amp;$B288&amp;"'!$P$29"),""))</f>
        <v>#REF!</v>
      </c>
      <c r="AF288" s="48" t="e">
        <f ca="1">IF(INDIRECT("'["&amp;$C$1&amp;".xls]"&amp;$B288&amp;"'!$P$30")="","",IF(INDIRECT("'["&amp;$C$1&amp;".xls]"&amp;$B288&amp;"'!$O$30")="済み",INDIRECT("'["&amp;$C$1&amp;".xls]"&amp;$B288&amp;"'!$P$30"),""))</f>
        <v>#REF!</v>
      </c>
      <c r="AG288" s="48" t="e">
        <f ca="1">IF(INDIRECT("'["&amp;$C$1&amp;".xls]"&amp;$B288&amp;"'!$P$31")="","",IF(INDIRECT("'["&amp;$C$1&amp;".xls]"&amp;$B288&amp;"'!$O$31")="済み",INDIRECT("'["&amp;$C$1&amp;".xls]"&amp;$B288&amp;"'!$P$31"),""))</f>
        <v>#REF!</v>
      </c>
      <c r="AH288" s="48" t="e">
        <f ca="1">IF(INDIRECT("'["&amp;$C$1&amp;".xls]"&amp;$B288&amp;"'!$P$32")="","",IF(INDIRECT("'["&amp;$C$1&amp;".xls]"&amp;$B288&amp;"'!$O$32")="済み",INDIRECT("'["&amp;$C$1&amp;".xls]"&amp;$B288&amp;"'!$P$32"),""))</f>
        <v>#REF!</v>
      </c>
      <c r="AI288" s="48" t="e">
        <f ca="1">IF(INDIRECT("'["&amp;$C$1&amp;".xls]"&amp;$B288&amp;"'!$P$33")="","",IF(INDIRECT("'["&amp;$C$1&amp;".xls]"&amp;$B288&amp;"'!$O$33")="済み",INDIRECT("'["&amp;$C$1&amp;".xls]"&amp;$B288&amp;"'!$P$33"),""))</f>
        <v>#REF!</v>
      </c>
      <c r="AJ288" s="48" t="e">
        <f ca="1">IF(INDIRECT("'["&amp;$C$1&amp;".xls]"&amp;$B288&amp;"'!$P$34")="","",IF(INDIRECT("'["&amp;$C$1&amp;".xls]"&amp;$B288&amp;"'!$O$34")="済み",INDIRECT("'["&amp;$C$1&amp;".xls]"&amp;$B288&amp;"'!$P$34"),""))</f>
        <v>#REF!</v>
      </c>
      <c r="AK288" s="48" t="e">
        <f ca="1">IF(INDIRECT("'["&amp;$C$1&amp;".xls]"&amp;$B288&amp;"'!$T25")="","",IF(INDIRECT("'["&amp;$C$1&amp;".xls]"&amp;$B288&amp;"'!$O$25")="済み",INDIRECT("'["&amp;$C$1&amp;".xls]"&amp;$B288&amp;"'!$T$25"),""))</f>
        <v>#REF!</v>
      </c>
      <c r="AL288" s="48" t="e">
        <f ca="1">IF(INDIRECT("'["&amp;$C$1&amp;".xls]"&amp;$B288&amp;"'!$T26")="","",IF(INDIRECT("'["&amp;$C$1&amp;".xls]"&amp;$B288&amp;"'!$O$26")="済み",INDIRECT("'["&amp;$C$1&amp;".xls]"&amp;$B288&amp;"'!$T$26"),""))</f>
        <v>#REF!</v>
      </c>
      <c r="AM288" s="48" t="e">
        <f ca="1">IF(INDIRECT("'["&amp;$C$1&amp;".xls]"&amp;$B288&amp;"'!$T27")="","",IF(INDIRECT("'["&amp;$C$1&amp;".xls]"&amp;$B288&amp;"'!$O$27")="済み",INDIRECT("'["&amp;$C$1&amp;".xls]"&amp;$B288&amp;"'!$T$27"),""))</f>
        <v>#REF!</v>
      </c>
      <c r="AN288" s="48" t="e">
        <f ca="1">IF(INDIRECT("'["&amp;$C$1&amp;".xls]"&amp;$B288&amp;"'!$T28")="","",IF(INDIRECT("'["&amp;$C$1&amp;".xls]"&amp;$B288&amp;"'!$O$28")="済み",INDIRECT("'["&amp;$C$1&amp;".xls]"&amp;$B288&amp;"'!$T$28"),""))</f>
        <v>#REF!</v>
      </c>
      <c r="AO288" s="48" t="e">
        <f ca="1">IF(INDIRECT("'["&amp;$C$1&amp;".xls]"&amp;$B288&amp;"'!$T29")="","",IF(INDIRECT("'["&amp;$C$1&amp;".xls]"&amp;$B288&amp;"'!$O$29")="済み",INDIRECT("'["&amp;$C$1&amp;".xls]"&amp;$B288&amp;"'!$T$29"),""))</f>
        <v>#REF!</v>
      </c>
      <c r="AP288" s="48" t="e">
        <f ca="1">IF(INDIRECT("'["&amp;$C$1&amp;".xls]"&amp;$B288&amp;"'!$T30")="","",IF(INDIRECT("'["&amp;$C$1&amp;".xls]"&amp;$B288&amp;"'!$O$30")="済み",INDIRECT("'["&amp;$C$1&amp;".xls]"&amp;$B288&amp;"'!$T$30"),""))</f>
        <v>#REF!</v>
      </c>
      <c r="AQ288" s="48" t="e">
        <f ca="1">IF(INDIRECT("'["&amp;$C$1&amp;".xls]"&amp;$B288&amp;"'!$T31")="","",IF(INDIRECT("'["&amp;$C$1&amp;".xls]"&amp;$B288&amp;"'!$O$31")="済み",INDIRECT("'["&amp;$C$1&amp;".xls]"&amp;$B288&amp;"'!$T$31"),""))</f>
        <v>#REF!</v>
      </c>
      <c r="AR288" s="48" t="e">
        <f ca="1">IF(INDIRECT("'["&amp;$C$1&amp;".xls]"&amp;$B288&amp;"'!$T32")="","",IF(INDIRECT("'["&amp;$C$1&amp;".xls]"&amp;$B288&amp;"'!$O$32")="済み",INDIRECT("'["&amp;$C$1&amp;".xls]"&amp;$B288&amp;"'!$T$32"),""))</f>
        <v>#REF!</v>
      </c>
      <c r="AS288" s="48" t="e">
        <f ca="1">IF(INDIRECT("'["&amp;$C$1&amp;".xls]"&amp;$B288&amp;"'!$T33")="","",IF(INDIRECT("'["&amp;$C$1&amp;".xls]"&amp;$B288&amp;"'!$O$33")="済み",INDIRECT("'["&amp;$C$1&amp;".xls]"&amp;$B288&amp;"'!$T$33"),""))</f>
        <v>#REF!</v>
      </c>
      <c r="AT288" s="48" t="e">
        <f ca="1">IF(INDIRECT("'["&amp;$C$1&amp;".xls]"&amp;$B288&amp;"'!$T34")="","",IF(INDIRECT("'["&amp;$C$1&amp;".xls]"&amp;$B288&amp;"'!$O$34")="済み",INDIRECT("'["&amp;$C$1&amp;".xls]"&amp;$B288&amp;"'!$T$34"),""))</f>
        <v>#REF!</v>
      </c>
      <c r="AU288" s="93" t="e">
        <f ca="1">INDIRECT("'["&amp;$C$1&amp;".xls]"&amp;$B288&amp;"'!$B$6")</f>
        <v>#REF!</v>
      </c>
      <c r="AV288" s="93"/>
      <c r="AW288" s="93"/>
      <c r="AX288" s="93"/>
      <c r="AY288" s="93"/>
    </row>
    <row r="289" spans="1:52" ht="16.5" customHeight="1" x14ac:dyDescent="0.15">
      <c r="A289" s="144" t="s">
        <v>3336</v>
      </c>
      <c r="B289" s="145" t="s">
        <v>3337</v>
      </c>
      <c r="C289" s="48" t="s">
        <v>3338</v>
      </c>
      <c r="D289" s="62" t="s">
        <v>263</v>
      </c>
      <c r="E289" s="48" t="s">
        <v>264</v>
      </c>
      <c r="F289" s="61">
        <v>42474</v>
      </c>
      <c r="G289" s="61">
        <v>42474</v>
      </c>
      <c r="H289" s="125">
        <v>42500</v>
      </c>
      <c r="I289" s="61" t="s">
        <v>263</v>
      </c>
      <c r="J289" s="87"/>
      <c r="K289" s="62">
        <v>0</v>
      </c>
      <c r="L289" s="62"/>
      <c r="M289" s="62" t="s">
        <v>209</v>
      </c>
      <c r="N289" s="62" t="s">
        <v>3339</v>
      </c>
      <c r="O289" s="48" t="s">
        <v>1994</v>
      </c>
      <c r="P289" s="48" t="s">
        <v>267</v>
      </c>
      <c r="Q289" s="48" t="s">
        <v>892</v>
      </c>
      <c r="R289" s="48"/>
      <c r="S289" s="48" t="s">
        <v>269</v>
      </c>
      <c r="T289" s="48" t="s">
        <v>270</v>
      </c>
      <c r="U289" s="48" t="s">
        <v>3340</v>
      </c>
      <c r="V289" s="48"/>
      <c r="W289" s="48"/>
      <c r="X289" s="48"/>
      <c r="Y289" s="48"/>
      <c r="Z289" s="61"/>
      <c r="AA289" s="48" t="s">
        <v>327</v>
      </c>
      <c r="AB289" s="48" t="s">
        <v>273</v>
      </c>
      <c r="AC289" s="48" t="s">
        <v>273</v>
      </c>
      <c r="AD289" s="48" t="s">
        <v>273</v>
      </c>
      <c r="AE289" s="48" t="s">
        <v>273</v>
      </c>
      <c r="AF289" s="48" t="s">
        <v>273</v>
      </c>
      <c r="AG289" s="48" t="s">
        <v>273</v>
      </c>
      <c r="AH289" s="48" t="s">
        <v>273</v>
      </c>
      <c r="AI289" s="48" t="s">
        <v>273</v>
      </c>
      <c r="AJ289" s="48" t="s">
        <v>273</v>
      </c>
      <c r="AK289" s="48" t="s">
        <v>274</v>
      </c>
      <c r="AL289" s="48" t="s">
        <v>273</v>
      </c>
      <c r="AM289" s="48" t="s">
        <v>273</v>
      </c>
      <c r="AN289" s="48" t="s">
        <v>273</v>
      </c>
      <c r="AO289" s="48" t="s">
        <v>273</v>
      </c>
      <c r="AP289" s="48" t="s">
        <v>273</v>
      </c>
      <c r="AQ289" s="48" t="s">
        <v>273</v>
      </c>
      <c r="AR289" s="48" t="s">
        <v>273</v>
      </c>
      <c r="AS289" s="48" t="s">
        <v>273</v>
      </c>
      <c r="AT289" s="48" t="s">
        <v>273</v>
      </c>
      <c r="AU289" s="93">
        <v>41609</v>
      </c>
      <c r="AV289" s="93"/>
      <c r="AW289" s="93"/>
      <c r="AX289" s="93"/>
      <c r="AY289" s="93"/>
    </row>
    <row r="290" spans="1:52" ht="16.5" customHeight="1" x14ac:dyDescent="0.15">
      <c r="A290" s="146" t="s">
        <v>3341</v>
      </c>
      <c r="B290" s="147" t="s">
        <v>3342</v>
      </c>
      <c r="C290" s="48" t="s">
        <v>298</v>
      </c>
      <c r="D290" s="62" t="s">
        <v>263</v>
      </c>
      <c r="E290" s="48" t="s">
        <v>273</v>
      </c>
      <c r="F290" s="61">
        <v>42478</v>
      </c>
      <c r="G290" s="61">
        <v>42478</v>
      </c>
      <c r="H290" s="125">
        <v>42530</v>
      </c>
      <c r="I290" s="61">
        <v>39909</v>
      </c>
      <c r="J290" s="87"/>
      <c r="K290" s="62" t="s">
        <v>14</v>
      </c>
      <c r="L290" s="62">
        <v>3</v>
      </c>
      <c r="M290" s="62" t="s">
        <v>394</v>
      </c>
      <c r="N290" s="62" t="s">
        <v>3343</v>
      </c>
      <c r="O290" s="48" t="s">
        <v>396</v>
      </c>
      <c r="P290" s="48" t="s">
        <v>2833</v>
      </c>
      <c r="Q290" s="130" t="s">
        <v>3344</v>
      </c>
      <c r="R290" s="48" t="s">
        <v>399</v>
      </c>
      <c r="S290" s="48" t="s">
        <v>400</v>
      </c>
      <c r="T290" s="48" t="s">
        <v>401</v>
      </c>
      <c r="U290" s="48" t="s">
        <v>3345</v>
      </c>
      <c r="V290" s="122" t="s">
        <v>263</v>
      </c>
      <c r="W290" s="122" t="s">
        <v>263</v>
      </c>
      <c r="X290" s="48" t="s">
        <v>3346</v>
      </c>
      <c r="Y290" s="48" t="s">
        <v>3347</v>
      </c>
      <c r="Z290" s="61"/>
      <c r="AA290" s="48" t="s">
        <v>701</v>
      </c>
      <c r="AB290" s="48" t="s">
        <v>1231</v>
      </c>
      <c r="AC290" s="48" t="s">
        <v>273</v>
      </c>
      <c r="AD290" s="48" t="s">
        <v>1195</v>
      </c>
      <c r="AE290" s="48" t="s">
        <v>273</v>
      </c>
      <c r="AF290" s="48" t="s">
        <v>273</v>
      </c>
      <c r="AG290" s="48" t="s">
        <v>273</v>
      </c>
      <c r="AH290" s="48" t="s">
        <v>273</v>
      </c>
      <c r="AI290" s="48" t="s">
        <v>273</v>
      </c>
      <c r="AJ290" s="48" t="s">
        <v>273</v>
      </c>
      <c r="AK290" s="48" t="s">
        <v>702</v>
      </c>
      <c r="AL290" s="48" t="s">
        <v>1232</v>
      </c>
      <c r="AM290" s="48" t="s">
        <v>273</v>
      </c>
      <c r="AN290" s="48" t="s">
        <v>1196</v>
      </c>
      <c r="AO290" s="48" t="s">
        <v>273</v>
      </c>
      <c r="AP290" s="48" t="s">
        <v>273</v>
      </c>
      <c r="AQ290" s="48" t="s">
        <v>273</v>
      </c>
      <c r="AR290" s="48" t="s">
        <v>273</v>
      </c>
      <c r="AS290" s="48" t="s">
        <v>273</v>
      </c>
      <c r="AT290" s="48" t="s">
        <v>273</v>
      </c>
      <c r="AU290" s="93">
        <v>39722</v>
      </c>
      <c r="AV290" s="93"/>
      <c r="AW290" s="93"/>
      <c r="AX290" s="93"/>
      <c r="AY290" s="93"/>
      <c r="AZ290" s="49" t="s">
        <v>3348</v>
      </c>
    </row>
    <row r="291" spans="1:52" ht="16.5" customHeight="1" x14ac:dyDescent="0.15">
      <c r="A291" s="144" t="s">
        <v>3349</v>
      </c>
      <c r="B291" s="145" t="s">
        <v>3350</v>
      </c>
      <c r="C291" s="48" t="s">
        <v>3351</v>
      </c>
      <c r="D291" s="62" t="s">
        <v>263</v>
      </c>
      <c r="E291" s="48" t="s">
        <v>264</v>
      </c>
      <c r="F291" s="61">
        <v>42478</v>
      </c>
      <c r="G291" s="61">
        <v>42478</v>
      </c>
      <c r="H291" s="125">
        <v>42521</v>
      </c>
      <c r="I291" s="61" t="s">
        <v>279</v>
      </c>
      <c r="J291" s="87"/>
      <c r="K291" s="62" t="s">
        <v>14</v>
      </c>
      <c r="L291" s="62">
        <v>3</v>
      </c>
      <c r="M291" s="62" t="s">
        <v>471</v>
      </c>
      <c r="N291" s="62" t="s">
        <v>3352</v>
      </c>
      <c r="O291" s="48" t="s">
        <v>502</v>
      </c>
      <c r="P291" s="48" t="s">
        <v>3353</v>
      </c>
      <c r="Q291" s="48" t="s">
        <v>1520</v>
      </c>
      <c r="R291" s="48" t="s">
        <v>399</v>
      </c>
      <c r="S291" s="48" t="s">
        <v>400</v>
      </c>
      <c r="T291" s="48" t="s">
        <v>401</v>
      </c>
      <c r="U291" s="48" t="s">
        <v>3354</v>
      </c>
      <c r="V291" s="122" t="s">
        <v>263</v>
      </c>
      <c r="W291" s="122" t="s">
        <v>263</v>
      </c>
      <c r="X291" s="48" t="s">
        <v>3355</v>
      </c>
      <c r="Y291" s="48" t="s">
        <v>3356</v>
      </c>
      <c r="Z291" s="61"/>
      <c r="AA291" s="48" t="s">
        <v>508</v>
      </c>
      <c r="AB291" s="48" t="s">
        <v>273</v>
      </c>
      <c r="AC291" s="48" t="s">
        <v>273</v>
      </c>
      <c r="AD291" s="48" t="s">
        <v>273</v>
      </c>
      <c r="AE291" s="48" t="s">
        <v>273</v>
      </c>
      <c r="AF291" s="48" t="s">
        <v>273</v>
      </c>
      <c r="AG291" s="48" t="s">
        <v>273</v>
      </c>
      <c r="AH291" s="48" t="s">
        <v>273</v>
      </c>
      <c r="AI291" s="48" t="s">
        <v>273</v>
      </c>
      <c r="AJ291" s="48" t="s">
        <v>273</v>
      </c>
      <c r="AK291" s="48" t="s">
        <v>509</v>
      </c>
      <c r="AL291" s="48" t="s">
        <v>273</v>
      </c>
      <c r="AM291" s="48" t="s">
        <v>273</v>
      </c>
      <c r="AN291" s="48" t="s">
        <v>273</v>
      </c>
      <c r="AO291" s="48" t="s">
        <v>273</v>
      </c>
      <c r="AP291" s="48" t="s">
        <v>273</v>
      </c>
      <c r="AQ291" s="48" t="s">
        <v>273</v>
      </c>
      <c r="AR291" s="48" t="s">
        <v>273</v>
      </c>
      <c r="AS291" s="48" t="s">
        <v>273</v>
      </c>
      <c r="AT291" s="48" t="s">
        <v>273</v>
      </c>
      <c r="AU291" s="93">
        <v>41334</v>
      </c>
      <c r="AV291" s="93"/>
      <c r="AW291" s="93"/>
      <c r="AX291" s="93"/>
      <c r="AY291" s="93"/>
      <c r="AZ291" s="49" t="s">
        <v>3357</v>
      </c>
    </row>
    <row r="292" spans="1:52" ht="16.5" customHeight="1" x14ac:dyDescent="0.15">
      <c r="A292" s="144" t="s">
        <v>3358</v>
      </c>
      <c r="B292" s="145" t="s">
        <v>3359</v>
      </c>
      <c r="C292" s="48" t="s">
        <v>330</v>
      </c>
      <c r="D292" s="62" t="s">
        <v>3360</v>
      </c>
      <c r="E292" s="48" t="s">
        <v>300</v>
      </c>
      <c r="F292" s="61">
        <v>42478</v>
      </c>
      <c r="G292" s="61">
        <v>42478</v>
      </c>
      <c r="H292" s="125">
        <v>42515</v>
      </c>
      <c r="I292" s="61" t="s">
        <v>279</v>
      </c>
      <c r="J292" s="87"/>
      <c r="K292" s="124" t="s">
        <v>263</v>
      </c>
      <c r="L292" s="124" t="s">
        <v>263</v>
      </c>
      <c r="M292" s="62" t="s">
        <v>209</v>
      </c>
      <c r="N292" s="62" t="s">
        <v>2379</v>
      </c>
      <c r="O292" s="48" t="s">
        <v>1873</v>
      </c>
      <c r="P292" s="48" t="s">
        <v>3361</v>
      </c>
      <c r="Q292" s="48" t="s">
        <v>3362</v>
      </c>
      <c r="R292" s="48" t="s">
        <v>3363</v>
      </c>
      <c r="S292" s="48" t="s">
        <v>3364</v>
      </c>
      <c r="T292" s="48" t="s">
        <v>3365</v>
      </c>
      <c r="U292" s="48" t="s">
        <v>3366</v>
      </c>
      <c r="V292" s="122" t="s">
        <v>263</v>
      </c>
      <c r="W292" s="122" t="s">
        <v>263</v>
      </c>
      <c r="X292" s="48" t="s">
        <v>3367</v>
      </c>
      <c r="Y292" s="48" t="s">
        <v>3368</v>
      </c>
      <c r="Z292" s="61"/>
      <c r="AA292" s="48" t="s">
        <v>273</v>
      </c>
      <c r="AB292" s="48" t="s">
        <v>273</v>
      </c>
      <c r="AC292" s="48" t="s">
        <v>273</v>
      </c>
      <c r="AD292" s="48" t="s">
        <v>273</v>
      </c>
      <c r="AE292" s="48" t="s">
        <v>273</v>
      </c>
      <c r="AF292" s="48" t="s">
        <v>273</v>
      </c>
      <c r="AG292" s="48" t="s">
        <v>273</v>
      </c>
      <c r="AH292" s="48" t="s">
        <v>273</v>
      </c>
      <c r="AI292" s="48" t="s">
        <v>273</v>
      </c>
      <c r="AJ292" s="48" t="s">
        <v>273</v>
      </c>
      <c r="AK292" s="48" t="s">
        <v>273</v>
      </c>
      <c r="AL292" s="48" t="s">
        <v>273</v>
      </c>
      <c r="AM292" s="48" t="s">
        <v>273</v>
      </c>
      <c r="AN292" s="48" t="s">
        <v>273</v>
      </c>
      <c r="AO292" s="48" t="s">
        <v>273</v>
      </c>
      <c r="AP292" s="48" t="s">
        <v>273</v>
      </c>
      <c r="AQ292" s="48" t="s">
        <v>273</v>
      </c>
      <c r="AR292" s="48" t="s">
        <v>273</v>
      </c>
      <c r="AS292" s="48" t="s">
        <v>273</v>
      </c>
      <c r="AT292" s="48" t="s">
        <v>273</v>
      </c>
      <c r="AU292" s="93">
        <v>39417</v>
      </c>
      <c r="AV292" s="93"/>
      <c r="AW292" s="93"/>
      <c r="AX292" s="93"/>
      <c r="AY292" s="93"/>
      <c r="AZ292" s="49" t="s">
        <v>3369</v>
      </c>
    </row>
    <row r="293" spans="1:52" ht="16.5" customHeight="1" x14ac:dyDescent="0.15">
      <c r="A293" s="121" t="s">
        <v>3370</v>
      </c>
      <c r="B293" s="47" t="s">
        <v>3371</v>
      </c>
      <c r="C293" s="48" t="e">
        <f ca="1">INDIRECT("'["&amp;$C$1&amp;".xls]"&amp;$B293&amp;"'!$i$7")</f>
        <v>#REF!</v>
      </c>
      <c r="D293" s="62" t="e">
        <f ca="1">INDIRECT("'["&amp;$C$1&amp;".xls]"&amp;$B293&amp;"'!$b$7")</f>
        <v>#REF!</v>
      </c>
      <c r="E293" s="48" t="e">
        <f ca="1">IF(INDIRECT("'["&amp;$C$1&amp;".xls]"&amp;$B293&amp;"'!$i$2")="","",INDIRECT("'["&amp;$C$1&amp;".xls]"&amp;$B293&amp;"'!$i$2"))</f>
        <v>#REF!</v>
      </c>
      <c r="F293" s="61" t="e">
        <f ca="1">INDIRECT("'["&amp;$C$1&amp;".xls]"&amp;$B293&amp;"'!$b$2")</f>
        <v>#REF!</v>
      </c>
      <c r="G293" s="61" t="e">
        <f ca="1">INDIRECT("'["&amp;$C$1&amp;".xls]"&amp;$B293&amp;"'!$a$20")</f>
        <v>#REF!</v>
      </c>
      <c r="H293" s="88" t="e">
        <f ca="1">INDIRECT("'["&amp;$C$1&amp;".xls]"&amp;$B293&amp;"'!$Q$22")</f>
        <v>#REF!</v>
      </c>
      <c r="I293" s="61" t="e">
        <f ca="1">INDIRECT("'["&amp;$C$1&amp;".xls]"&amp;$B293&amp;"'!$f$6")</f>
        <v>#REF!</v>
      </c>
      <c r="J293" s="87"/>
      <c r="K293" s="62" t="e">
        <f ca="1">INDIRECT("'["&amp;$C$1&amp;".xls]"&amp;$B293&amp;"'!$f$25")</f>
        <v>#REF!</v>
      </c>
      <c r="L293" s="62"/>
      <c r="M293" s="62" t="e">
        <f ca="1">INDIRECT("'["&amp;$C$1&amp;".xls]"&amp;$B293&amp;"'!$f$4")</f>
        <v>#REF!</v>
      </c>
      <c r="N293" s="62" t="e">
        <f ca="1">INDIRECT("'["&amp;$C$1&amp;".xls]"&amp;$B293&amp;"'!$i$4")</f>
        <v>#REF!</v>
      </c>
      <c r="O293" s="48" t="e">
        <f ca="1">INDIRECT("'["&amp;$C$1&amp;".xls]"&amp;$B293&amp;"'!$l$4")</f>
        <v>#REF!</v>
      </c>
      <c r="P293" s="48" t="e">
        <f ca="1">INDIRECT("'["&amp;$C$1&amp;".xls]"&amp;$B293&amp;"'!$b$5")</f>
        <v>#REF!</v>
      </c>
      <c r="Q293" s="48" t="e">
        <f ca="1">INDIRECT("'["&amp;$C$1&amp;".xls]"&amp;$B293&amp;"'!$f$5")</f>
        <v>#REF!</v>
      </c>
      <c r="R293" s="48" t="s">
        <v>3372</v>
      </c>
      <c r="S293" s="48" t="e">
        <f ca="1">INDIRECT("'["&amp;$C$1&amp;".xls]"&amp;$B293&amp;"'!$i$5")</f>
        <v>#REF!</v>
      </c>
      <c r="T293" s="48" t="e">
        <f ca="1">INDIRECT("'["&amp;$C$1&amp;".xls]"&amp;$B293&amp;"'!$l$5")</f>
        <v>#REF!</v>
      </c>
      <c r="U293" s="48" t="e">
        <f ca="1">INDIRECT("'["&amp;$C$1&amp;".xls]"&amp;$B293&amp;"'!$b$4")</f>
        <v>#REF!</v>
      </c>
      <c r="V293" s="48"/>
      <c r="W293" s="48"/>
      <c r="X293" s="48" t="s">
        <v>1777</v>
      </c>
      <c r="Y293" s="48" t="s">
        <v>3373</v>
      </c>
      <c r="Z293" s="61"/>
      <c r="AA293" s="48" t="e">
        <f ca="1">IF(INDIRECT("'["&amp;$C$1&amp;".xls]"&amp;$B293&amp;"'!$P$25")="","",IF(INDIRECT("'["&amp;$C$1&amp;".xls]"&amp;$B293&amp;"'!$O$25")="済み",INDIRECT("'["&amp;$C$1&amp;".xls]"&amp;$B293&amp;"'!$P$25"),""))</f>
        <v>#REF!</v>
      </c>
      <c r="AB293" s="48" t="e">
        <f ca="1">IF(INDIRECT("'["&amp;$C$1&amp;".xls]"&amp;$B293&amp;"'!$P$26")="","",IF(INDIRECT("'["&amp;$C$1&amp;".xls]"&amp;$B293&amp;"'!$O$26")="済み",INDIRECT("'["&amp;$C$1&amp;".xls]"&amp;$B293&amp;"'!$P$26"),""))</f>
        <v>#REF!</v>
      </c>
      <c r="AC293" s="48" t="e">
        <f ca="1">IF(INDIRECT("'["&amp;$C$1&amp;".xls]"&amp;$B293&amp;"'!$P$27")="","",IF(INDIRECT("'["&amp;$C$1&amp;".xls]"&amp;$B293&amp;"'!$O$27")="済み",INDIRECT("'["&amp;$C$1&amp;".xls]"&amp;$B293&amp;"'!$P$27"),""))</f>
        <v>#REF!</v>
      </c>
      <c r="AD293" s="48" t="e">
        <f ca="1">IF(INDIRECT("'["&amp;$C$1&amp;".xls]"&amp;$B293&amp;"'!$P$28")="","",IF(INDIRECT("'["&amp;$C$1&amp;".xls]"&amp;$B293&amp;"'!$O$28")="済み",INDIRECT("'["&amp;$C$1&amp;".xls]"&amp;$B293&amp;"'!$P$28"),""))</f>
        <v>#REF!</v>
      </c>
      <c r="AE293" s="48" t="e">
        <f ca="1">IF(INDIRECT("'["&amp;$C$1&amp;".xls]"&amp;$B293&amp;"'!$P$29")="","",IF(INDIRECT("'["&amp;$C$1&amp;".xls]"&amp;$B293&amp;"'!$O$29")="済み",INDIRECT("'["&amp;$C$1&amp;".xls]"&amp;$B293&amp;"'!$P$29"),""))</f>
        <v>#REF!</v>
      </c>
      <c r="AF293" s="48" t="e">
        <f ca="1">IF(INDIRECT("'["&amp;$C$1&amp;".xls]"&amp;$B293&amp;"'!$P$30")="","",IF(INDIRECT("'["&amp;$C$1&amp;".xls]"&amp;$B293&amp;"'!$O$30")="済み",INDIRECT("'["&amp;$C$1&amp;".xls]"&amp;$B293&amp;"'!$P$30"),""))</f>
        <v>#REF!</v>
      </c>
      <c r="AG293" s="48" t="e">
        <f ca="1">IF(INDIRECT("'["&amp;$C$1&amp;".xls]"&amp;$B293&amp;"'!$P$31")="","",IF(INDIRECT("'["&amp;$C$1&amp;".xls]"&amp;$B293&amp;"'!$O$31")="済み",INDIRECT("'["&amp;$C$1&amp;".xls]"&amp;$B293&amp;"'!$P$31"),""))</f>
        <v>#REF!</v>
      </c>
      <c r="AH293" s="48" t="e">
        <f ca="1">IF(INDIRECT("'["&amp;$C$1&amp;".xls]"&amp;$B293&amp;"'!$P$32")="","",IF(INDIRECT("'["&amp;$C$1&amp;".xls]"&amp;$B293&amp;"'!$O$32")="済み",INDIRECT("'["&amp;$C$1&amp;".xls]"&amp;$B293&amp;"'!$P$32"),""))</f>
        <v>#REF!</v>
      </c>
      <c r="AI293" s="48" t="e">
        <f ca="1">IF(INDIRECT("'["&amp;$C$1&amp;".xls]"&amp;$B293&amp;"'!$P$33")="","",IF(INDIRECT("'["&amp;$C$1&amp;".xls]"&amp;$B293&amp;"'!$O$33")="済み",INDIRECT("'["&amp;$C$1&amp;".xls]"&amp;$B293&amp;"'!$P$33"),""))</f>
        <v>#REF!</v>
      </c>
      <c r="AJ293" s="48" t="e">
        <f ca="1">IF(INDIRECT("'["&amp;$C$1&amp;".xls]"&amp;$B293&amp;"'!$P$34")="","",IF(INDIRECT("'["&amp;$C$1&amp;".xls]"&amp;$B293&amp;"'!$O$34")="済み",INDIRECT("'["&amp;$C$1&amp;".xls]"&amp;$B293&amp;"'!$P$34"),""))</f>
        <v>#REF!</v>
      </c>
      <c r="AK293" s="48" t="e">
        <f ca="1">IF(INDIRECT("'["&amp;$C$1&amp;".xls]"&amp;$B293&amp;"'!$T25")="","",IF(INDIRECT("'["&amp;$C$1&amp;".xls]"&amp;$B293&amp;"'!$O$25")="済み",INDIRECT("'["&amp;$C$1&amp;".xls]"&amp;$B293&amp;"'!$T$25"),""))</f>
        <v>#REF!</v>
      </c>
      <c r="AL293" s="48" t="e">
        <f ca="1">IF(INDIRECT("'["&amp;$C$1&amp;".xls]"&amp;$B293&amp;"'!$T26")="","",IF(INDIRECT("'["&amp;$C$1&amp;".xls]"&amp;$B293&amp;"'!$O$26")="済み",INDIRECT("'["&amp;$C$1&amp;".xls]"&amp;$B293&amp;"'!$T$26"),""))</f>
        <v>#REF!</v>
      </c>
      <c r="AM293" s="48" t="e">
        <f ca="1">IF(INDIRECT("'["&amp;$C$1&amp;".xls]"&amp;$B293&amp;"'!$T27")="","",IF(INDIRECT("'["&amp;$C$1&amp;".xls]"&amp;$B293&amp;"'!$O$27")="済み",INDIRECT("'["&amp;$C$1&amp;".xls]"&amp;$B293&amp;"'!$T$27"),""))</f>
        <v>#REF!</v>
      </c>
      <c r="AN293" s="48" t="e">
        <f ca="1">IF(INDIRECT("'["&amp;$C$1&amp;".xls]"&amp;$B293&amp;"'!$T28")="","",IF(INDIRECT("'["&amp;$C$1&amp;".xls]"&amp;$B293&amp;"'!$O$28")="済み",INDIRECT("'["&amp;$C$1&amp;".xls]"&amp;$B293&amp;"'!$T$28"),""))</f>
        <v>#REF!</v>
      </c>
      <c r="AO293" s="48" t="e">
        <f ca="1">IF(INDIRECT("'["&amp;$C$1&amp;".xls]"&amp;$B293&amp;"'!$T29")="","",IF(INDIRECT("'["&amp;$C$1&amp;".xls]"&amp;$B293&amp;"'!$O$29")="済み",INDIRECT("'["&amp;$C$1&amp;".xls]"&amp;$B293&amp;"'!$T$29"),""))</f>
        <v>#REF!</v>
      </c>
      <c r="AP293" s="48" t="e">
        <f ca="1">IF(INDIRECT("'["&amp;$C$1&amp;".xls]"&amp;$B293&amp;"'!$T30")="","",IF(INDIRECT("'["&amp;$C$1&amp;".xls]"&amp;$B293&amp;"'!$O$30")="済み",INDIRECT("'["&amp;$C$1&amp;".xls]"&amp;$B293&amp;"'!$T$30"),""))</f>
        <v>#REF!</v>
      </c>
      <c r="AQ293" s="48" t="e">
        <f ca="1">IF(INDIRECT("'["&amp;$C$1&amp;".xls]"&amp;$B293&amp;"'!$T31")="","",IF(INDIRECT("'["&amp;$C$1&amp;".xls]"&amp;$B293&amp;"'!$O$31")="済み",INDIRECT("'["&amp;$C$1&amp;".xls]"&amp;$B293&amp;"'!$T$31"),""))</f>
        <v>#REF!</v>
      </c>
      <c r="AR293" s="48" t="e">
        <f ca="1">IF(INDIRECT("'["&amp;$C$1&amp;".xls]"&amp;$B293&amp;"'!$T32")="","",IF(INDIRECT("'["&amp;$C$1&amp;".xls]"&amp;$B293&amp;"'!$O$32")="済み",INDIRECT("'["&amp;$C$1&amp;".xls]"&amp;$B293&amp;"'!$T$32"),""))</f>
        <v>#REF!</v>
      </c>
      <c r="AS293" s="48" t="e">
        <f ca="1">IF(INDIRECT("'["&amp;$C$1&amp;".xls]"&amp;$B293&amp;"'!$T33")="","",IF(INDIRECT("'["&amp;$C$1&amp;".xls]"&amp;$B293&amp;"'!$O$33")="済み",INDIRECT("'["&amp;$C$1&amp;".xls]"&amp;$B293&amp;"'!$T$33"),""))</f>
        <v>#REF!</v>
      </c>
      <c r="AT293" s="48" t="e">
        <f ca="1">IF(INDIRECT("'["&amp;$C$1&amp;".xls]"&amp;$B293&amp;"'!$T34")="","",IF(INDIRECT("'["&amp;$C$1&amp;".xls]"&amp;$B293&amp;"'!$O$34")="済み",INDIRECT("'["&amp;$C$1&amp;".xls]"&amp;$B293&amp;"'!$T$34"),""))</f>
        <v>#REF!</v>
      </c>
      <c r="AU293" s="93" t="e">
        <f ca="1">INDIRECT("'["&amp;$C$1&amp;".xls]"&amp;$B293&amp;"'!$B$6")</f>
        <v>#REF!</v>
      </c>
      <c r="AV293" s="93"/>
      <c r="AW293" s="93"/>
      <c r="AX293" s="93"/>
      <c r="AY293" s="93"/>
    </row>
    <row r="294" spans="1:52" ht="16.5" customHeight="1" x14ac:dyDescent="0.15">
      <c r="A294" s="153" t="s">
        <v>3374</v>
      </c>
      <c r="B294" s="154" t="s">
        <v>3375</v>
      </c>
      <c r="C294" s="48" t="s">
        <v>330</v>
      </c>
      <c r="D294" s="62" t="s">
        <v>3376</v>
      </c>
      <c r="E294" s="48" t="s">
        <v>300</v>
      </c>
      <c r="F294" s="61">
        <v>42478</v>
      </c>
      <c r="G294" s="61">
        <v>42478</v>
      </c>
      <c r="H294" s="125">
        <v>42587</v>
      </c>
      <c r="I294" s="61" t="s">
        <v>279</v>
      </c>
      <c r="J294" s="87"/>
      <c r="K294" s="124" t="s">
        <v>263</v>
      </c>
      <c r="L294" s="124" t="s">
        <v>263</v>
      </c>
      <c r="M294" s="62" t="s">
        <v>442</v>
      </c>
      <c r="N294" s="62" t="s">
        <v>3377</v>
      </c>
      <c r="O294" s="48" t="s">
        <v>444</v>
      </c>
      <c r="P294" s="48" t="s">
        <v>3378</v>
      </c>
      <c r="Q294" s="48" t="s">
        <v>3379</v>
      </c>
      <c r="R294" s="48" t="s">
        <v>3380</v>
      </c>
      <c r="S294" s="48" t="s">
        <v>3381</v>
      </c>
      <c r="T294" s="48" t="s">
        <v>3382</v>
      </c>
      <c r="U294" s="48" t="s">
        <v>3383</v>
      </c>
      <c r="V294" s="48" t="s">
        <v>3384</v>
      </c>
      <c r="W294" s="48" t="s">
        <v>3385</v>
      </c>
      <c r="X294" s="48" t="s">
        <v>3386</v>
      </c>
      <c r="Y294" s="48" t="s">
        <v>3387</v>
      </c>
      <c r="Z294" s="61"/>
      <c r="AA294" s="48" t="s">
        <v>273</v>
      </c>
      <c r="AB294" s="48" t="s">
        <v>273</v>
      </c>
      <c r="AC294" s="48" t="s">
        <v>273</v>
      </c>
      <c r="AD294" s="48" t="s">
        <v>273</v>
      </c>
      <c r="AE294" s="48" t="s">
        <v>273</v>
      </c>
      <c r="AF294" s="48" t="s">
        <v>273</v>
      </c>
      <c r="AG294" s="48" t="s">
        <v>273</v>
      </c>
      <c r="AH294" s="48" t="s">
        <v>273</v>
      </c>
      <c r="AI294" s="48" t="s">
        <v>273</v>
      </c>
      <c r="AJ294" s="48" t="s">
        <v>273</v>
      </c>
      <c r="AK294" s="48" t="s">
        <v>273</v>
      </c>
      <c r="AL294" s="48" t="s">
        <v>273</v>
      </c>
      <c r="AM294" s="48" t="s">
        <v>273</v>
      </c>
      <c r="AN294" s="48" t="s">
        <v>273</v>
      </c>
      <c r="AO294" s="48" t="s">
        <v>273</v>
      </c>
      <c r="AP294" s="48" t="s">
        <v>273</v>
      </c>
      <c r="AQ294" s="48" t="s">
        <v>273</v>
      </c>
      <c r="AR294" s="48" t="s">
        <v>273</v>
      </c>
      <c r="AS294" s="48" t="s">
        <v>273</v>
      </c>
      <c r="AT294" s="48" t="s">
        <v>273</v>
      </c>
      <c r="AU294" s="93">
        <v>37956</v>
      </c>
      <c r="AV294" s="93"/>
      <c r="AW294" s="93"/>
      <c r="AX294" s="93"/>
      <c r="AY294" s="93"/>
      <c r="AZ294" s="49" t="s">
        <v>3388</v>
      </c>
    </row>
    <row r="295" spans="1:52" ht="16.5" customHeight="1" x14ac:dyDescent="0.15">
      <c r="A295" s="144" t="s">
        <v>3389</v>
      </c>
      <c r="B295" s="145" t="s">
        <v>3390</v>
      </c>
      <c r="C295" s="48" t="s">
        <v>3391</v>
      </c>
      <c r="D295" s="62" t="s">
        <v>3392</v>
      </c>
      <c r="E295" s="48" t="s">
        <v>264</v>
      </c>
      <c r="F295" s="61">
        <v>42478</v>
      </c>
      <c r="G295" s="61">
        <v>42478</v>
      </c>
      <c r="H295" s="125">
        <v>42520</v>
      </c>
      <c r="I295" s="61">
        <v>41974</v>
      </c>
      <c r="J295" s="87"/>
      <c r="K295" s="62" t="s">
        <v>14</v>
      </c>
      <c r="L295" s="62">
        <v>3</v>
      </c>
      <c r="M295" s="62" t="s">
        <v>680</v>
      </c>
      <c r="N295" s="62" t="s">
        <v>3393</v>
      </c>
      <c r="O295" s="48" t="s">
        <v>827</v>
      </c>
      <c r="P295" s="48" t="s">
        <v>3394</v>
      </c>
      <c r="Q295" s="48" t="s">
        <v>3395</v>
      </c>
      <c r="R295" s="48" t="s">
        <v>3396</v>
      </c>
      <c r="S295" s="48" t="s">
        <v>3397</v>
      </c>
      <c r="T295" s="48" t="s">
        <v>3398</v>
      </c>
      <c r="U295" s="48" t="s">
        <v>3399</v>
      </c>
      <c r="V295" s="48" t="s">
        <v>3400</v>
      </c>
      <c r="W295" s="48" t="s">
        <v>3401</v>
      </c>
      <c r="X295" s="48" t="s">
        <v>3402</v>
      </c>
      <c r="Y295" s="48" t="s">
        <v>3403</v>
      </c>
      <c r="Z295" s="61"/>
      <c r="AA295" s="48" t="s">
        <v>833</v>
      </c>
      <c r="AB295" s="48" t="s">
        <v>273</v>
      </c>
      <c r="AC295" s="48" t="s">
        <v>273</v>
      </c>
      <c r="AD295" s="48" t="s">
        <v>273</v>
      </c>
      <c r="AE295" s="48" t="s">
        <v>273</v>
      </c>
      <c r="AF295" s="48" t="s">
        <v>273</v>
      </c>
      <c r="AG295" s="48" t="s">
        <v>273</v>
      </c>
      <c r="AH295" s="48" t="s">
        <v>273</v>
      </c>
      <c r="AI295" s="48" t="s">
        <v>273</v>
      </c>
      <c r="AJ295" s="48" t="s">
        <v>273</v>
      </c>
      <c r="AK295" s="48" t="s">
        <v>834</v>
      </c>
      <c r="AL295" s="48" t="s">
        <v>273</v>
      </c>
      <c r="AM295" s="48" t="s">
        <v>273</v>
      </c>
      <c r="AN295" s="48" t="s">
        <v>273</v>
      </c>
      <c r="AO295" s="48" t="s">
        <v>273</v>
      </c>
      <c r="AP295" s="48" t="s">
        <v>273</v>
      </c>
      <c r="AQ295" s="48" t="s">
        <v>273</v>
      </c>
      <c r="AR295" s="48" t="s">
        <v>273</v>
      </c>
      <c r="AS295" s="48" t="s">
        <v>273</v>
      </c>
      <c r="AT295" s="48" t="s">
        <v>273</v>
      </c>
      <c r="AU295" s="93">
        <v>41852</v>
      </c>
      <c r="AV295" s="93"/>
      <c r="AW295" s="93"/>
      <c r="AX295" s="93"/>
      <c r="AY295" s="93"/>
    </row>
    <row r="296" spans="1:52" ht="16.5" customHeight="1" x14ac:dyDescent="0.15">
      <c r="A296" s="144" t="s">
        <v>3404</v>
      </c>
      <c r="B296" s="145" t="s">
        <v>3405</v>
      </c>
      <c r="C296" s="48" t="s">
        <v>330</v>
      </c>
      <c r="D296" s="62" t="s">
        <v>3406</v>
      </c>
      <c r="E296" s="48" t="s">
        <v>300</v>
      </c>
      <c r="F296" s="61">
        <v>42478</v>
      </c>
      <c r="G296" s="61">
        <v>42478</v>
      </c>
      <c r="H296" s="125">
        <v>42507</v>
      </c>
      <c r="I296" s="61" t="s">
        <v>279</v>
      </c>
      <c r="J296" s="87"/>
      <c r="K296" s="62" t="s">
        <v>12</v>
      </c>
      <c r="L296" s="124" t="s">
        <v>263</v>
      </c>
      <c r="M296" s="62" t="s">
        <v>215</v>
      </c>
      <c r="N296" s="62" t="s">
        <v>3407</v>
      </c>
      <c r="O296" s="48" t="s">
        <v>3408</v>
      </c>
      <c r="P296" s="48" t="s">
        <v>378</v>
      </c>
      <c r="Q296" s="48" t="s">
        <v>379</v>
      </c>
      <c r="R296" s="48" t="s">
        <v>380</v>
      </c>
      <c r="S296" s="48" t="s">
        <v>381</v>
      </c>
      <c r="T296" s="48" t="s">
        <v>3409</v>
      </c>
      <c r="U296" s="48" t="s">
        <v>3410</v>
      </c>
      <c r="V296" s="48" t="s">
        <v>3411</v>
      </c>
      <c r="W296" s="48" t="s">
        <v>3412</v>
      </c>
      <c r="X296" s="48" t="s">
        <v>386</v>
      </c>
      <c r="Y296" s="48" t="s">
        <v>3413</v>
      </c>
      <c r="Z296" s="61"/>
      <c r="AA296" s="48" t="s">
        <v>3414</v>
      </c>
      <c r="AB296" s="48" t="s">
        <v>273</v>
      </c>
      <c r="AC296" s="48" t="s">
        <v>273</v>
      </c>
      <c r="AD296" s="48" t="s">
        <v>273</v>
      </c>
      <c r="AE296" s="48" t="s">
        <v>273</v>
      </c>
      <c r="AF296" s="48" t="s">
        <v>273</v>
      </c>
      <c r="AG296" s="48" t="s">
        <v>273</v>
      </c>
      <c r="AH296" s="48" t="s">
        <v>273</v>
      </c>
      <c r="AI296" s="48" t="s">
        <v>273</v>
      </c>
      <c r="AJ296" s="48" t="s">
        <v>273</v>
      </c>
      <c r="AK296" s="48" t="s">
        <v>3415</v>
      </c>
      <c r="AL296" s="48" t="s">
        <v>273</v>
      </c>
      <c r="AM296" s="48" t="s">
        <v>273</v>
      </c>
      <c r="AN296" s="48" t="s">
        <v>273</v>
      </c>
      <c r="AO296" s="48" t="s">
        <v>273</v>
      </c>
      <c r="AP296" s="48" t="s">
        <v>273</v>
      </c>
      <c r="AQ296" s="48" t="s">
        <v>273</v>
      </c>
      <c r="AR296" s="48" t="s">
        <v>273</v>
      </c>
      <c r="AS296" s="48" t="s">
        <v>273</v>
      </c>
      <c r="AT296" s="48" t="s">
        <v>273</v>
      </c>
      <c r="AU296" s="93">
        <v>39295</v>
      </c>
      <c r="AV296" s="93"/>
      <c r="AW296" s="93"/>
      <c r="AX296" s="93"/>
      <c r="AY296" s="93"/>
      <c r="AZ296" s="49" t="s">
        <v>3416</v>
      </c>
    </row>
    <row r="297" spans="1:52" ht="16.5" customHeight="1" x14ac:dyDescent="0.15">
      <c r="A297" s="146" t="s">
        <v>3417</v>
      </c>
      <c r="B297" s="147" t="s">
        <v>3418</v>
      </c>
      <c r="C297" s="48" t="s">
        <v>330</v>
      </c>
      <c r="D297" s="62" t="s">
        <v>263</v>
      </c>
      <c r="E297" s="48" t="s">
        <v>300</v>
      </c>
      <c r="F297" s="61">
        <v>42479</v>
      </c>
      <c r="G297" s="61">
        <v>42479</v>
      </c>
      <c r="H297" s="125">
        <v>42528</v>
      </c>
      <c r="I297" s="61" t="s">
        <v>279</v>
      </c>
      <c r="J297" s="87"/>
      <c r="K297" s="62" t="s">
        <v>14</v>
      </c>
      <c r="L297" s="62">
        <v>3</v>
      </c>
      <c r="M297" s="62" t="s">
        <v>1360</v>
      </c>
      <c r="N297" s="62" t="s">
        <v>3419</v>
      </c>
      <c r="O297" s="48" t="s">
        <v>983</v>
      </c>
      <c r="P297" s="48" t="s">
        <v>3420</v>
      </c>
      <c r="Q297" s="48" t="s">
        <v>971</v>
      </c>
      <c r="R297" s="48" t="s">
        <v>399</v>
      </c>
      <c r="S297" s="48" t="s">
        <v>400</v>
      </c>
      <c r="T297" s="48" t="s">
        <v>401</v>
      </c>
      <c r="U297" s="48" t="s">
        <v>2097</v>
      </c>
      <c r="V297" s="122" t="s">
        <v>263</v>
      </c>
      <c r="W297" s="122" t="s">
        <v>263</v>
      </c>
      <c r="X297" s="48" t="s">
        <v>2098</v>
      </c>
      <c r="Y297" s="48" t="s">
        <v>2099</v>
      </c>
      <c r="Z297" s="61"/>
      <c r="AA297" s="48" t="s">
        <v>562</v>
      </c>
      <c r="AB297" s="48" t="s">
        <v>273</v>
      </c>
      <c r="AC297" s="48" t="s">
        <v>273</v>
      </c>
      <c r="AD297" s="48" t="s">
        <v>273</v>
      </c>
      <c r="AE297" s="48" t="s">
        <v>273</v>
      </c>
      <c r="AF297" s="48" t="s">
        <v>273</v>
      </c>
      <c r="AG297" s="48" t="s">
        <v>273</v>
      </c>
      <c r="AH297" s="48" t="s">
        <v>273</v>
      </c>
      <c r="AI297" s="48" t="s">
        <v>273</v>
      </c>
      <c r="AJ297" s="48" t="s">
        <v>273</v>
      </c>
      <c r="AK297" s="48" t="s">
        <v>564</v>
      </c>
      <c r="AL297" s="48" t="s">
        <v>273</v>
      </c>
      <c r="AM297" s="48" t="s">
        <v>273</v>
      </c>
      <c r="AN297" s="48" t="s">
        <v>273</v>
      </c>
      <c r="AO297" s="48" t="s">
        <v>273</v>
      </c>
      <c r="AP297" s="48" t="s">
        <v>273</v>
      </c>
      <c r="AQ297" s="48" t="s">
        <v>273</v>
      </c>
      <c r="AR297" s="48" t="s">
        <v>273</v>
      </c>
      <c r="AS297" s="48" t="s">
        <v>273</v>
      </c>
      <c r="AT297" s="48" t="s">
        <v>273</v>
      </c>
      <c r="AU297" s="93">
        <v>38626</v>
      </c>
      <c r="AV297" s="93"/>
      <c r="AW297" s="93"/>
      <c r="AX297" s="93"/>
      <c r="AY297" s="93"/>
    </row>
    <row r="298" spans="1:52" ht="16.5" customHeight="1" x14ac:dyDescent="0.15">
      <c r="A298" s="138" t="s">
        <v>3421</v>
      </c>
      <c r="B298" s="140" t="s">
        <v>3422</v>
      </c>
      <c r="C298" s="48" t="s">
        <v>298</v>
      </c>
      <c r="D298" s="62" t="s">
        <v>263</v>
      </c>
      <c r="E298" s="48" t="s">
        <v>273</v>
      </c>
      <c r="F298" s="61">
        <v>42479</v>
      </c>
      <c r="G298" s="61">
        <v>42479</v>
      </c>
      <c r="H298" s="125">
        <v>42488</v>
      </c>
      <c r="I298" s="61" t="s">
        <v>279</v>
      </c>
      <c r="J298" s="87"/>
      <c r="K298" s="62" t="s">
        <v>12</v>
      </c>
      <c r="L298" s="124" t="s">
        <v>263</v>
      </c>
      <c r="M298" s="62" t="s">
        <v>1215</v>
      </c>
      <c r="N298" s="62" t="s">
        <v>3423</v>
      </c>
      <c r="O298" s="48" t="s">
        <v>3424</v>
      </c>
      <c r="P298" s="48" t="s">
        <v>3425</v>
      </c>
      <c r="Q298" s="48" t="s">
        <v>3426</v>
      </c>
      <c r="R298" s="48" t="s">
        <v>399</v>
      </c>
      <c r="S298" s="48" t="s">
        <v>400</v>
      </c>
      <c r="T298" s="48" t="s">
        <v>401</v>
      </c>
      <c r="U298" s="48" t="s">
        <v>3427</v>
      </c>
      <c r="V298" s="122" t="s">
        <v>263</v>
      </c>
      <c r="W298" s="122" t="s">
        <v>263</v>
      </c>
      <c r="X298" s="48" t="s">
        <v>3428</v>
      </c>
      <c r="Y298" s="48" t="s">
        <v>3429</v>
      </c>
      <c r="Z298" s="61"/>
      <c r="AA298" s="48" t="s">
        <v>273</v>
      </c>
      <c r="AB298" s="48" t="s">
        <v>273</v>
      </c>
      <c r="AC298" s="48" t="s">
        <v>273</v>
      </c>
      <c r="AD298" s="48" t="s">
        <v>273</v>
      </c>
      <c r="AE298" s="48" t="s">
        <v>273</v>
      </c>
      <c r="AF298" s="48" t="s">
        <v>273</v>
      </c>
      <c r="AG298" s="48" t="s">
        <v>273</v>
      </c>
      <c r="AH298" s="48" t="s">
        <v>273</v>
      </c>
      <c r="AI298" s="48" t="s">
        <v>273</v>
      </c>
      <c r="AJ298" s="48" t="s">
        <v>273</v>
      </c>
      <c r="AK298" s="48" t="s">
        <v>273</v>
      </c>
      <c r="AL298" s="48" t="s">
        <v>273</v>
      </c>
      <c r="AM298" s="48" t="s">
        <v>273</v>
      </c>
      <c r="AN298" s="48" t="s">
        <v>273</v>
      </c>
      <c r="AO298" s="48" t="s">
        <v>273</v>
      </c>
      <c r="AP298" s="48" t="s">
        <v>273</v>
      </c>
      <c r="AQ298" s="48" t="s">
        <v>273</v>
      </c>
      <c r="AR298" s="48" t="s">
        <v>273</v>
      </c>
      <c r="AS298" s="48" t="s">
        <v>273</v>
      </c>
      <c r="AT298" s="48" t="s">
        <v>273</v>
      </c>
      <c r="AU298" s="93">
        <v>40210</v>
      </c>
      <c r="AV298" s="93"/>
      <c r="AW298" s="93"/>
      <c r="AX298" s="93"/>
      <c r="AY298" s="93"/>
      <c r="AZ298" s="49" t="s">
        <v>3430</v>
      </c>
    </row>
    <row r="299" spans="1:52" ht="16.5" customHeight="1" x14ac:dyDescent="0.15">
      <c r="A299" s="144" t="s">
        <v>3431</v>
      </c>
      <c r="B299" s="145" t="s">
        <v>3432</v>
      </c>
      <c r="C299" s="48" t="s">
        <v>298</v>
      </c>
      <c r="D299" s="62" t="s">
        <v>3433</v>
      </c>
      <c r="E299" s="48" t="s">
        <v>300</v>
      </c>
      <c r="F299" s="61">
        <v>42480</v>
      </c>
      <c r="G299" s="61">
        <v>42480</v>
      </c>
      <c r="H299" s="125">
        <v>42514</v>
      </c>
      <c r="I299" s="61" t="s">
        <v>279</v>
      </c>
      <c r="J299" s="87"/>
      <c r="K299" s="62" t="s">
        <v>14</v>
      </c>
      <c r="L299" s="62">
        <v>3</v>
      </c>
      <c r="M299" s="62" t="s">
        <v>409</v>
      </c>
      <c r="N299" s="62" t="s">
        <v>3434</v>
      </c>
      <c r="O299" s="48" t="s">
        <v>606</v>
      </c>
      <c r="P299" s="48" t="s">
        <v>3435</v>
      </c>
      <c r="Q299" s="48" t="s">
        <v>3436</v>
      </c>
      <c r="R299" s="48" t="s">
        <v>3437</v>
      </c>
      <c r="S299" s="48" t="s">
        <v>3438</v>
      </c>
      <c r="T299" s="48" t="s">
        <v>3439</v>
      </c>
      <c r="U299" s="48" t="s">
        <v>3440</v>
      </c>
      <c r="V299" s="48"/>
      <c r="W299" s="48"/>
      <c r="X299" s="48" t="s">
        <v>2843</v>
      </c>
      <c r="Y299" s="48" t="s">
        <v>2844</v>
      </c>
      <c r="Z299" s="61"/>
      <c r="AA299" s="48" t="s">
        <v>887</v>
      </c>
      <c r="AB299" s="48" t="s">
        <v>273</v>
      </c>
      <c r="AC299" s="48" t="s">
        <v>273</v>
      </c>
      <c r="AD299" s="48" t="s">
        <v>273</v>
      </c>
      <c r="AE299" s="48" t="s">
        <v>273</v>
      </c>
      <c r="AF299" s="48" t="s">
        <v>273</v>
      </c>
      <c r="AG299" s="48" t="s">
        <v>273</v>
      </c>
      <c r="AH299" s="48" t="s">
        <v>273</v>
      </c>
      <c r="AI299" s="48" t="s">
        <v>273</v>
      </c>
      <c r="AJ299" s="48" t="s">
        <v>273</v>
      </c>
      <c r="AK299" s="48" t="s">
        <v>888</v>
      </c>
      <c r="AL299" s="48" t="s">
        <v>273</v>
      </c>
      <c r="AM299" s="48" t="s">
        <v>273</v>
      </c>
      <c r="AN299" s="48" t="s">
        <v>273</v>
      </c>
      <c r="AO299" s="48" t="s">
        <v>273</v>
      </c>
      <c r="AP299" s="48" t="s">
        <v>273</v>
      </c>
      <c r="AQ299" s="48" t="s">
        <v>273</v>
      </c>
      <c r="AR299" s="48" t="s">
        <v>273</v>
      </c>
      <c r="AS299" s="48" t="s">
        <v>273</v>
      </c>
      <c r="AT299" s="48" t="s">
        <v>273</v>
      </c>
      <c r="AU299" s="93">
        <v>40330</v>
      </c>
      <c r="AV299" s="93"/>
      <c r="AW299" s="93"/>
      <c r="AX299" s="93"/>
      <c r="AY299" s="93"/>
    </row>
    <row r="300" spans="1:52" ht="16.5" customHeight="1" x14ac:dyDescent="0.15">
      <c r="A300" s="144" t="s">
        <v>3441</v>
      </c>
      <c r="B300" s="145" t="s">
        <v>3442</v>
      </c>
      <c r="C300" s="48" t="s">
        <v>298</v>
      </c>
      <c r="D300" s="62" t="s">
        <v>3443</v>
      </c>
      <c r="E300" s="48" t="s">
        <v>300</v>
      </c>
      <c r="F300" s="61">
        <v>42480</v>
      </c>
      <c r="G300" s="61">
        <v>42480</v>
      </c>
      <c r="H300" s="125">
        <v>42500</v>
      </c>
      <c r="I300" s="61" t="s">
        <v>279</v>
      </c>
      <c r="J300" s="87"/>
      <c r="K300" s="62" t="s">
        <v>12</v>
      </c>
      <c r="L300" s="62">
        <v>3</v>
      </c>
      <c r="M300" s="62">
        <v>180</v>
      </c>
      <c r="N300" s="62" t="s">
        <v>3444</v>
      </c>
      <c r="O300" s="48" t="s">
        <v>1528</v>
      </c>
      <c r="P300" s="48" t="s">
        <v>3445</v>
      </c>
      <c r="Q300" s="48" t="s">
        <v>668</v>
      </c>
      <c r="R300" s="48" t="s">
        <v>669</v>
      </c>
      <c r="S300" s="48" t="s">
        <v>670</v>
      </c>
      <c r="T300" s="48" t="s">
        <v>671</v>
      </c>
      <c r="U300" s="48" t="s">
        <v>3446</v>
      </c>
      <c r="V300" s="122" t="s">
        <v>263</v>
      </c>
      <c r="W300" s="122" t="s">
        <v>263</v>
      </c>
      <c r="X300" s="48" t="s">
        <v>3447</v>
      </c>
      <c r="Y300" s="48" t="s">
        <v>3448</v>
      </c>
      <c r="Z300" s="61"/>
      <c r="AA300" s="48" t="s">
        <v>849</v>
      </c>
      <c r="AB300" s="48" t="s">
        <v>453</v>
      </c>
      <c r="AC300" s="48" t="s">
        <v>273</v>
      </c>
      <c r="AD300" s="48" t="s">
        <v>273</v>
      </c>
      <c r="AE300" s="48" t="s">
        <v>273</v>
      </c>
      <c r="AF300" s="48" t="s">
        <v>273</v>
      </c>
      <c r="AG300" s="48" t="s">
        <v>273</v>
      </c>
      <c r="AH300" s="48" t="s">
        <v>273</v>
      </c>
      <c r="AI300" s="48" t="s">
        <v>273</v>
      </c>
      <c r="AJ300" s="48" t="s">
        <v>273</v>
      </c>
      <c r="AK300" s="48" t="s">
        <v>850</v>
      </c>
      <c r="AL300" s="48" t="s">
        <v>454</v>
      </c>
      <c r="AM300" s="48" t="s">
        <v>273</v>
      </c>
      <c r="AN300" s="48" t="s">
        <v>273</v>
      </c>
      <c r="AO300" s="48" t="s">
        <v>273</v>
      </c>
      <c r="AP300" s="48" t="s">
        <v>273</v>
      </c>
      <c r="AQ300" s="48" t="s">
        <v>273</v>
      </c>
      <c r="AR300" s="48" t="s">
        <v>273</v>
      </c>
      <c r="AS300" s="48" t="s">
        <v>273</v>
      </c>
      <c r="AT300" s="48" t="s">
        <v>273</v>
      </c>
      <c r="AU300" s="93">
        <v>36586</v>
      </c>
      <c r="AV300" s="93"/>
      <c r="AW300" s="93"/>
      <c r="AX300" s="93"/>
      <c r="AY300" s="93"/>
    </row>
    <row r="301" spans="1:52" ht="16.5" customHeight="1" x14ac:dyDescent="0.15">
      <c r="A301" s="144" t="s">
        <v>3449</v>
      </c>
      <c r="B301" s="145" t="s">
        <v>3450</v>
      </c>
      <c r="C301" s="48" t="s">
        <v>330</v>
      </c>
      <c r="D301" s="62" t="s">
        <v>3451</v>
      </c>
      <c r="E301" s="48" t="s">
        <v>264</v>
      </c>
      <c r="F301" s="61">
        <v>42480</v>
      </c>
      <c r="G301" s="61">
        <v>42480</v>
      </c>
      <c r="H301" s="125">
        <v>42502</v>
      </c>
      <c r="I301" s="61">
        <v>40735</v>
      </c>
      <c r="J301" s="87"/>
      <c r="K301" s="62" t="s">
        <v>12</v>
      </c>
      <c r="L301" s="124" t="s">
        <v>263</v>
      </c>
      <c r="M301" s="62" t="s">
        <v>3452</v>
      </c>
      <c r="N301" s="62" t="s">
        <v>3453</v>
      </c>
      <c r="O301" s="48" t="s">
        <v>3454</v>
      </c>
      <c r="P301" s="48" t="s">
        <v>3455</v>
      </c>
      <c r="Q301" s="48" t="s">
        <v>3456</v>
      </c>
      <c r="R301" s="48" t="s">
        <v>3457</v>
      </c>
      <c r="S301" s="48" t="s">
        <v>3458</v>
      </c>
      <c r="T301" s="48" t="s">
        <v>3459</v>
      </c>
      <c r="U301" s="48" t="s">
        <v>3460</v>
      </c>
      <c r="V301" s="48" t="s">
        <v>3461</v>
      </c>
      <c r="W301" s="48" t="s">
        <v>3401</v>
      </c>
      <c r="X301" s="48" t="s">
        <v>3462</v>
      </c>
      <c r="Y301" s="48" t="s">
        <v>3463</v>
      </c>
      <c r="Z301" s="61"/>
      <c r="AA301" s="48" t="s">
        <v>1656</v>
      </c>
      <c r="AB301" s="48" t="s">
        <v>273</v>
      </c>
      <c r="AC301" s="48" t="s">
        <v>273</v>
      </c>
      <c r="AD301" s="48" t="s">
        <v>273</v>
      </c>
      <c r="AE301" s="48" t="s">
        <v>273</v>
      </c>
      <c r="AF301" s="48" t="s">
        <v>273</v>
      </c>
      <c r="AG301" s="48" t="s">
        <v>273</v>
      </c>
      <c r="AH301" s="48" t="s">
        <v>273</v>
      </c>
      <c r="AI301" s="48" t="s">
        <v>273</v>
      </c>
      <c r="AJ301" s="48" t="s">
        <v>273</v>
      </c>
      <c r="AK301" s="48" t="s">
        <v>3464</v>
      </c>
      <c r="AL301" s="48" t="s">
        <v>273</v>
      </c>
      <c r="AM301" s="48" t="s">
        <v>273</v>
      </c>
      <c r="AN301" s="48" t="s">
        <v>273</v>
      </c>
      <c r="AO301" s="48" t="s">
        <v>273</v>
      </c>
      <c r="AP301" s="48" t="s">
        <v>273</v>
      </c>
      <c r="AQ301" s="48" t="s">
        <v>273</v>
      </c>
      <c r="AR301" s="48" t="s">
        <v>273</v>
      </c>
      <c r="AS301" s="48" t="s">
        <v>273</v>
      </c>
      <c r="AT301" s="48" t="s">
        <v>273</v>
      </c>
      <c r="AU301" s="93">
        <v>40634</v>
      </c>
      <c r="AV301" s="93"/>
      <c r="AW301" s="93"/>
      <c r="AX301" s="93"/>
      <c r="AY301" s="93"/>
      <c r="AZ301" s="49" t="s">
        <v>3465</v>
      </c>
    </row>
    <row r="302" spans="1:52" ht="16.5" customHeight="1" x14ac:dyDescent="0.15">
      <c r="A302" s="144" t="s">
        <v>3466</v>
      </c>
      <c r="B302" s="145" t="s">
        <v>3467</v>
      </c>
      <c r="C302" s="48" t="s">
        <v>3468</v>
      </c>
      <c r="D302" s="62" t="s">
        <v>3469</v>
      </c>
      <c r="E302" s="48" t="s">
        <v>264</v>
      </c>
      <c r="F302" s="61">
        <v>42481</v>
      </c>
      <c r="G302" s="61">
        <v>42481</v>
      </c>
      <c r="H302" s="125">
        <v>42501</v>
      </c>
      <c r="I302" s="61" t="s">
        <v>279</v>
      </c>
      <c r="J302" s="87"/>
      <c r="K302" s="62" t="s">
        <v>12</v>
      </c>
      <c r="L302" s="62">
        <v>3</v>
      </c>
      <c r="M302" s="62" t="s">
        <v>680</v>
      </c>
      <c r="N302" s="62" t="s">
        <v>3470</v>
      </c>
      <c r="O302" s="48" t="s">
        <v>3158</v>
      </c>
      <c r="P302" s="48" t="s">
        <v>3471</v>
      </c>
      <c r="Q302" s="48" t="s">
        <v>2953</v>
      </c>
      <c r="R302" s="48" t="s">
        <v>3472</v>
      </c>
      <c r="S302" s="48" t="s">
        <v>3473</v>
      </c>
      <c r="T302" s="48" t="s">
        <v>3474</v>
      </c>
      <c r="U302" s="48" t="s">
        <v>3475</v>
      </c>
      <c r="V302" s="122" t="s">
        <v>263</v>
      </c>
      <c r="W302" s="48" t="s">
        <v>3476</v>
      </c>
      <c r="X302" s="48" t="s">
        <v>3477</v>
      </c>
      <c r="Y302" s="48" t="s">
        <v>3478</v>
      </c>
      <c r="Z302" s="61"/>
      <c r="AA302" s="129" t="s">
        <v>2215</v>
      </c>
      <c r="AB302" s="48" t="s">
        <v>273</v>
      </c>
      <c r="AC302" s="48" t="s">
        <v>273</v>
      </c>
      <c r="AD302" s="48" t="s">
        <v>273</v>
      </c>
      <c r="AE302" s="48" t="s">
        <v>273</v>
      </c>
      <c r="AF302" s="48" t="s">
        <v>273</v>
      </c>
      <c r="AG302" s="48" t="s">
        <v>273</v>
      </c>
      <c r="AH302" s="48" t="s">
        <v>273</v>
      </c>
      <c r="AI302" s="48" t="s">
        <v>273</v>
      </c>
      <c r="AJ302" s="48" t="s">
        <v>273</v>
      </c>
      <c r="AK302" s="48" t="s">
        <v>2216</v>
      </c>
      <c r="AL302" s="48" t="s">
        <v>273</v>
      </c>
      <c r="AM302" s="48" t="s">
        <v>273</v>
      </c>
      <c r="AN302" s="48" t="s">
        <v>273</v>
      </c>
      <c r="AO302" s="48" t="s">
        <v>273</v>
      </c>
      <c r="AP302" s="48" t="s">
        <v>273</v>
      </c>
      <c r="AQ302" s="48" t="s">
        <v>273</v>
      </c>
      <c r="AR302" s="48" t="s">
        <v>273</v>
      </c>
      <c r="AS302" s="48" t="s">
        <v>273</v>
      </c>
      <c r="AT302" s="48" t="s">
        <v>273</v>
      </c>
      <c r="AU302" s="93">
        <v>41244</v>
      </c>
      <c r="AV302" s="93"/>
      <c r="AW302" s="93"/>
      <c r="AX302" s="93"/>
      <c r="AY302" s="93"/>
      <c r="AZ302" s="49" t="s">
        <v>3479</v>
      </c>
    </row>
    <row r="303" spans="1:52" ht="16.5" customHeight="1" x14ac:dyDescent="0.15">
      <c r="A303" s="144" t="s">
        <v>3480</v>
      </c>
      <c r="B303" s="145" t="s">
        <v>3481</v>
      </c>
      <c r="C303" s="48" t="s">
        <v>3482</v>
      </c>
      <c r="D303" s="62" t="s">
        <v>3483</v>
      </c>
      <c r="E303" s="48" t="s">
        <v>264</v>
      </c>
      <c r="F303" s="61">
        <v>42482</v>
      </c>
      <c r="G303" s="61">
        <v>42482</v>
      </c>
      <c r="H303" s="125">
        <v>42515</v>
      </c>
      <c r="I303" s="61">
        <v>42036</v>
      </c>
      <c r="J303" s="87"/>
      <c r="K303" s="62" t="s">
        <v>14</v>
      </c>
      <c r="L303" s="62">
        <v>3</v>
      </c>
      <c r="M303" s="62" t="s">
        <v>680</v>
      </c>
      <c r="N303" s="62" t="s">
        <v>3484</v>
      </c>
      <c r="O303" s="48" t="s">
        <v>827</v>
      </c>
      <c r="P303" s="48" t="s">
        <v>267</v>
      </c>
      <c r="Q303" s="48" t="s">
        <v>2440</v>
      </c>
      <c r="R303" s="48" t="s">
        <v>2441</v>
      </c>
      <c r="S303" s="130" t="s">
        <v>2442</v>
      </c>
      <c r="T303" s="130" t="s">
        <v>2443</v>
      </c>
      <c r="U303" s="48" t="s">
        <v>3485</v>
      </c>
      <c r="V303" s="122" t="s">
        <v>263</v>
      </c>
      <c r="W303" s="122" t="s">
        <v>263</v>
      </c>
      <c r="X303" s="48" t="s">
        <v>3486</v>
      </c>
      <c r="Y303" s="48" t="s">
        <v>3487</v>
      </c>
      <c r="Z303" s="61"/>
      <c r="AA303" s="48" t="s">
        <v>833</v>
      </c>
      <c r="AB303" s="48" t="s">
        <v>273</v>
      </c>
      <c r="AC303" s="48" t="s">
        <v>273</v>
      </c>
      <c r="AD303" s="48" t="s">
        <v>273</v>
      </c>
      <c r="AE303" s="48" t="s">
        <v>273</v>
      </c>
      <c r="AF303" s="48" t="s">
        <v>273</v>
      </c>
      <c r="AG303" s="48" t="s">
        <v>273</v>
      </c>
      <c r="AH303" s="48" t="s">
        <v>273</v>
      </c>
      <c r="AI303" s="48" t="s">
        <v>273</v>
      </c>
      <c r="AJ303" s="48" t="s">
        <v>273</v>
      </c>
      <c r="AK303" s="48" t="s">
        <v>834</v>
      </c>
      <c r="AL303" s="48" t="s">
        <v>273</v>
      </c>
      <c r="AM303" s="48" t="s">
        <v>273</v>
      </c>
      <c r="AN303" s="48" t="s">
        <v>273</v>
      </c>
      <c r="AO303" s="48" t="s">
        <v>273</v>
      </c>
      <c r="AP303" s="48" t="s">
        <v>273</v>
      </c>
      <c r="AQ303" s="48" t="s">
        <v>273</v>
      </c>
      <c r="AR303" s="48" t="s">
        <v>273</v>
      </c>
      <c r="AS303" s="48" t="s">
        <v>273</v>
      </c>
      <c r="AT303" s="48" t="s">
        <v>273</v>
      </c>
      <c r="AU303" s="93">
        <v>41852</v>
      </c>
      <c r="AV303" s="93"/>
      <c r="AW303" s="93"/>
      <c r="AX303" s="93"/>
      <c r="AY303" s="93"/>
      <c r="AZ303" s="49" t="s">
        <v>833</v>
      </c>
    </row>
    <row r="304" spans="1:52" ht="16.5" customHeight="1" x14ac:dyDescent="0.15">
      <c r="A304" s="121" t="s">
        <v>3488</v>
      </c>
      <c r="B304" s="47" t="s">
        <v>3489</v>
      </c>
      <c r="C304" s="48" t="e">
        <f ca="1">INDIRECT("'["&amp;$C$1&amp;".xls]"&amp;$B304&amp;"'!$i$7")</f>
        <v>#REF!</v>
      </c>
      <c r="D304" s="62" t="e">
        <f ca="1">INDIRECT("'["&amp;$C$1&amp;".xls]"&amp;$B304&amp;"'!$b$7")</f>
        <v>#REF!</v>
      </c>
      <c r="E304" s="48" t="e">
        <f ca="1">IF(INDIRECT("'["&amp;$C$1&amp;".xls]"&amp;$B304&amp;"'!$i$2")="","",INDIRECT("'["&amp;$C$1&amp;".xls]"&amp;$B304&amp;"'!$i$2"))</f>
        <v>#REF!</v>
      </c>
      <c r="F304" s="61" t="e">
        <f ca="1">INDIRECT("'["&amp;$C$1&amp;".xls]"&amp;$B304&amp;"'!$b$2")</f>
        <v>#REF!</v>
      </c>
      <c r="G304" s="61" t="e">
        <f ca="1">INDIRECT("'["&amp;$C$1&amp;".xls]"&amp;$B304&amp;"'!$a$20")</f>
        <v>#REF!</v>
      </c>
      <c r="H304" s="88" t="e">
        <f ca="1">INDIRECT("'["&amp;$C$1&amp;".xls]"&amp;$B304&amp;"'!$Q$22")</f>
        <v>#REF!</v>
      </c>
      <c r="I304" s="61" t="e">
        <f ca="1">INDIRECT("'["&amp;$C$1&amp;".xls]"&amp;$B304&amp;"'!$f$6")</f>
        <v>#REF!</v>
      </c>
      <c r="J304" s="87"/>
      <c r="K304" s="62" t="e">
        <f ca="1">INDIRECT("'["&amp;$C$1&amp;".xls]"&amp;$B304&amp;"'!$f$25")</f>
        <v>#REF!</v>
      </c>
      <c r="L304" s="62"/>
      <c r="M304" s="62" t="e">
        <f ca="1">INDIRECT("'["&amp;$C$1&amp;".xls]"&amp;$B304&amp;"'!$f$4")</f>
        <v>#REF!</v>
      </c>
      <c r="N304" s="62" t="e">
        <f ca="1">INDIRECT("'["&amp;$C$1&amp;".xls]"&amp;$B304&amp;"'!$i$4")</f>
        <v>#REF!</v>
      </c>
      <c r="O304" s="48" t="e">
        <f ca="1">INDIRECT("'["&amp;$C$1&amp;".xls]"&amp;$B304&amp;"'!$l$4")</f>
        <v>#REF!</v>
      </c>
      <c r="P304" s="48" t="e">
        <f ca="1">INDIRECT("'["&amp;$C$1&amp;".xls]"&amp;$B304&amp;"'!$b$5")</f>
        <v>#REF!</v>
      </c>
      <c r="Q304" s="48" t="e">
        <f ca="1">INDIRECT("'["&amp;$C$1&amp;".xls]"&amp;$B304&amp;"'!$f$5")</f>
        <v>#REF!</v>
      </c>
      <c r="R304" s="48"/>
      <c r="S304" s="48" t="e">
        <f ca="1">INDIRECT("'["&amp;$C$1&amp;".xls]"&amp;$B304&amp;"'!$i$5")</f>
        <v>#REF!</v>
      </c>
      <c r="T304" s="48" t="e">
        <f ca="1">INDIRECT("'["&amp;$C$1&amp;".xls]"&amp;$B304&amp;"'!$l$5")</f>
        <v>#REF!</v>
      </c>
      <c r="U304" s="48" t="e">
        <f ca="1">INDIRECT("'["&amp;$C$1&amp;".xls]"&amp;$B304&amp;"'!$b$4")</f>
        <v>#REF!</v>
      </c>
      <c r="V304" s="48"/>
      <c r="W304" s="48"/>
      <c r="X304" s="48"/>
      <c r="Y304" s="48"/>
      <c r="Z304" s="61"/>
      <c r="AA304" s="48" t="e">
        <f ca="1">IF(INDIRECT("'["&amp;$C$1&amp;".xls]"&amp;$B304&amp;"'!$P$25")="","",IF(INDIRECT("'["&amp;$C$1&amp;".xls]"&amp;$B304&amp;"'!$O$25")="済み",INDIRECT("'["&amp;$C$1&amp;".xls]"&amp;$B304&amp;"'!$P$25"),""))</f>
        <v>#REF!</v>
      </c>
      <c r="AB304" s="48" t="e">
        <f ca="1">IF(INDIRECT("'["&amp;$C$1&amp;".xls]"&amp;$B304&amp;"'!$P$26")="","",IF(INDIRECT("'["&amp;$C$1&amp;".xls]"&amp;$B304&amp;"'!$O$26")="済み",INDIRECT("'["&amp;$C$1&amp;".xls]"&amp;$B304&amp;"'!$P$26"),""))</f>
        <v>#REF!</v>
      </c>
      <c r="AC304" s="48" t="e">
        <f ca="1">IF(INDIRECT("'["&amp;$C$1&amp;".xls]"&amp;$B304&amp;"'!$P$27")="","",IF(INDIRECT("'["&amp;$C$1&amp;".xls]"&amp;$B304&amp;"'!$O$27")="済み",INDIRECT("'["&amp;$C$1&amp;".xls]"&amp;$B304&amp;"'!$P$27"),""))</f>
        <v>#REF!</v>
      </c>
      <c r="AD304" s="48" t="e">
        <f ca="1">IF(INDIRECT("'["&amp;$C$1&amp;".xls]"&amp;$B304&amp;"'!$P$28")="","",IF(INDIRECT("'["&amp;$C$1&amp;".xls]"&amp;$B304&amp;"'!$O$28")="済み",INDIRECT("'["&amp;$C$1&amp;".xls]"&amp;$B304&amp;"'!$P$28"),""))</f>
        <v>#REF!</v>
      </c>
      <c r="AE304" s="48" t="e">
        <f ca="1">IF(INDIRECT("'["&amp;$C$1&amp;".xls]"&amp;$B304&amp;"'!$P$29")="","",IF(INDIRECT("'["&amp;$C$1&amp;".xls]"&amp;$B304&amp;"'!$O$29")="済み",INDIRECT("'["&amp;$C$1&amp;".xls]"&amp;$B304&amp;"'!$P$29"),""))</f>
        <v>#REF!</v>
      </c>
      <c r="AF304" s="48" t="e">
        <f ca="1">IF(INDIRECT("'["&amp;$C$1&amp;".xls]"&amp;$B304&amp;"'!$P$30")="","",IF(INDIRECT("'["&amp;$C$1&amp;".xls]"&amp;$B304&amp;"'!$O$30")="済み",INDIRECT("'["&amp;$C$1&amp;".xls]"&amp;$B304&amp;"'!$P$30"),""))</f>
        <v>#REF!</v>
      </c>
      <c r="AG304" s="48" t="e">
        <f ca="1">IF(INDIRECT("'["&amp;$C$1&amp;".xls]"&amp;$B304&amp;"'!$P$31")="","",IF(INDIRECT("'["&amp;$C$1&amp;".xls]"&amp;$B304&amp;"'!$O$31")="済み",INDIRECT("'["&amp;$C$1&amp;".xls]"&amp;$B304&amp;"'!$P$31"),""))</f>
        <v>#REF!</v>
      </c>
      <c r="AH304" s="48" t="e">
        <f ca="1">IF(INDIRECT("'["&amp;$C$1&amp;".xls]"&amp;$B304&amp;"'!$P$32")="","",IF(INDIRECT("'["&amp;$C$1&amp;".xls]"&amp;$B304&amp;"'!$O$32")="済み",INDIRECT("'["&amp;$C$1&amp;".xls]"&amp;$B304&amp;"'!$P$32"),""))</f>
        <v>#REF!</v>
      </c>
      <c r="AI304" s="48" t="e">
        <f ca="1">IF(INDIRECT("'["&amp;$C$1&amp;".xls]"&amp;$B304&amp;"'!$P$33")="","",IF(INDIRECT("'["&amp;$C$1&amp;".xls]"&amp;$B304&amp;"'!$O$33")="済み",INDIRECT("'["&amp;$C$1&amp;".xls]"&amp;$B304&amp;"'!$P$33"),""))</f>
        <v>#REF!</v>
      </c>
      <c r="AJ304" s="48" t="e">
        <f ca="1">IF(INDIRECT("'["&amp;$C$1&amp;".xls]"&amp;$B304&amp;"'!$P$34")="","",IF(INDIRECT("'["&amp;$C$1&amp;".xls]"&amp;$B304&amp;"'!$O$34")="済み",INDIRECT("'["&amp;$C$1&amp;".xls]"&amp;$B304&amp;"'!$P$34"),""))</f>
        <v>#REF!</v>
      </c>
      <c r="AK304" s="48" t="e">
        <f ca="1">IF(INDIRECT("'["&amp;$C$1&amp;".xls]"&amp;$B304&amp;"'!$T25")="","",IF(INDIRECT("'["&amp;$C$1&amp;".xls]"&amp;$B304&amp;"'!$O$25")="済み",INDIRECT("'["&amp;$C$1&amp;".xls]"&amp;$B304&amp;"'!$T$25"),""))</f>
        <v>#REF!</v>
      </c>
      <c r="AL304" s="48" t="e">
        <f ca="1">IF(INDIRECT("'["&amp;$C$1&amp;".xls]"&amp;$B304&amp;"'!$T26")="","",IF(INDIRECT("'["&amp;$C$1&amp;".xls]"&amp;$B304&amp;"'!$O$26")="済み",INDIRECT("'["&amp;$C$1&amp;".xls]"&amp;$B304&amp;"'!$T$26"),""))</f>
        <v>#REF!</v>
      </c>
      <c r="AM304" s="48" t="e">
        <f ca="1">IF(INDIRECT("'["&amp;$C$1&amp;".xls]"&amp;$B304&amp;"'!$T27")="","",IF(INDIRECT("'["&amp;$C$1&amp;".xls]"&amp;$B304&amp;"'!$O$27")="済み",INDIRECT("'["&amp;$C$1&amp;".xls]"&amp;$B304&amp;"'!$T$27"),""))</f>
        <v>#REF!</v>
      </c>
      <c r="AN304" s="48" t="e">
        <f ca="1">IF(INDIRECT("'["&amp;$C$1&amp;".xls]"&amp;$B304&amp;"'!$T28")="","",IF(INDIRECT("'["&amp;$C$1&amp;".xls]"&amp;$B304&amp;"'!$O$28")="済み",INDIRECT("'["&amp;$C$1&amp;".xls]"&amp;$B304&amp;"'!$T$28"),""))</f>
        <v>#REF!</v>
      </c>
      <c r="AO304" s="48" t="e">
        <f ca="1">IF(INDIRECT("'["&amp;$C$1&amp;".xls]"&amp;$B304&amp;"'!$T29")="","",IF(INDIRECT("'["&amp;$C$1&amp;".xls]"&amp;$B304&amp;"'!$O$29")="済み",INDIRECT("'["&amp;$C$1&amp;".xls]"&amp;$B304&amp;"'!$T$29"),""))</f>
        <v>#REF!</v>
      </c>
      <c r="AP304" s="48" t="e">
        <f ca="1">IF(INDIRECT("'["&amp;$C$1&amp;".xls]"&amp;$B304&amp;"'!$T30")="","",IF(INDIRECT("'["&amp;$C$1&amp;".xls]"&amp;$B304&amp;"'!$O$30")="済み",INDIRECT("'["&amp;$C$1&amp;".xls]"&amp;$B304&amp;"'!$T$30"),""))</f>
        <v>#REF!</v>
      </c>
      <c r="AQ304" s="48" t="e">
        <f ca="1">IF(INDIRECT("'["&amp;$C$1&amp;".xls]"&amp;$B304&amp;"'!$T31")="","",IF(INDIRECT("'["&amp;$C$1&amp;".xls]"&amp;$B304&amp;"'!$O$31")="済み",INDIRECT("'["&amp;$C$1&amp;".xls]"&amp;$B304&amp;"'!$T$31"),""))</f>
        <v>#REF!</v>
      </c>
      <c r="AR304" s="48" t="e">
        <f ca="1">IF(INDIRECT("'["&amp;$C$1&amp;".xls]"&amp;$B304&amp;"'!$T32")="","",IF(INDIRECT("'["&amp;$C$1&amp;".xls]"&amp;$B304&amp;"'!$O$32")="済み",INDIRECT("'["&amp;$C$1&amp;".xls]"&amp;$B304&amp;"'!$T$32"),""))</f>
        <v>#REF!</v>
      </c>
      <c r="AS304" s="48" t="e">
        <f ca="1">IF(INDIRECT("'["&amp;$C$1&amp;".xls]"&amp;$B304&amp;"'!$T33")="","",IF(INDIRECT("'["&amp;$C$1&amp;".xls]"&amp;$B304&amp;"'!$O$33")="済み",INDIRECT("'["&amp;$C$1&amp;".xls]"&amp;$B304&amp;"'!$T$33"),""))</f>
        <v>#REF!</v>
      </c>
      <c r="AT304" s="48" t="e">
        <f ca="1">IF(INDIRECT("'["&amp;$C$1&amp;".xls]"&amp;$B304&amp;"'!$T34")="","",IF(INDIRECT("'["&amp;$C$1&amp;".xls]"&amp;$B304&amp;"'!$O$34")="済み",INDIRECT("'["&amp;$C$1&amp;".xls]"&amp;$B304&amp;"'!$T$34"),""))</f>
        <v>#REF!</v>
      </c>
      <c r="AU304" s="93" t="e">
        <f ca="1">INDIRECT("'["&amp;$C$1&amp;".xls]"&amp;$B304&amp;"'!$B$6")</f>
        <v>#REF!</v>
      </c>
      <c r="AV304" s="93"/>
      <c r="AW304" s="93"/>
      <c r="AX304" s="93"/>
      <c r="AY304" s="93"/>
    </row>
    <row r="305" spans="1:52" ht="16.5" customHeight="1" x14ac:dyDescent="0.15">
      <c r="A305" s="144" t="s">
        <v>3490</v>
      </c>
      <c r="B305" s="145" t="s">
        <v>3491</v>
      </c>
      <c r="C305" s="48" t="s">
        <v>3492</v>
      </c>
      <c r="D305" s="62" t="s">
        <v>3493</v>
      </c>
      <c r="E305" s="48" t="s">
        <v>264</v>
      </c>
      <c r="F305" s="61">
        <v>42485</v>
      </c>
      <c r="G305" s="61">
        <v>42485</v>
      </c>
      <c r="H305" s="125">
        <v>42515</v>
      </c>
      <c r="I305" s="61" t="s">
        <v>279</v>
      </c>
      <c r="J305" s="87"/>
      <c r="K305" s="62" t="s">
        <v>14</v>
      </c>
      <c r="L305" s="62">
        <v>3</v>
      </c>
      <c r="M305" s="62" t="s">
        <v>651</v>
      </c>
      <c r="N305" s="62" t="s">
        <v>3494</v>
      </c>
      <c r="O305" s="48" t="s">
        <v>1065</v>
      </c>
      <c r="P305" s="48" t="s">
        <v>3495</v>
      </c>
      <c r="Q305" s="48" t="s">
        <v>1594</v>
      </c>
      <c r="R305" s="48" t="s">
        <v>3496</v>
      </c>
      <c r="S305" s="48" t="s">
        <v>3497</v>
      </c>
      <c r="T305" s="48" t="s">
        <v>3498</v>
      </c>
      <c r="U305" s="48" t="s">
        <v>3499</v>
      </c>
      <c r="V305" s="122" t="s">
        <v>263</v>
      </c>
      <c r="W305" s="122" t="s">
        <v>263</v>
      </c>
      <c r="X305" s="48" t="s">
        <v>3500</v>
      </c>
      <c r="Y305" s="48" t="s">
        <v>3501</v>
      </c>
      <c r="Z305" s="61"/>
      <c r="AA305" s="48" t="s">
        <v>962</v>
      </c>
      <c r="AB305" s="48" t="s">
        <v>273</v>
      </c>
      <c r="AC305" s="48" t="s">
        <v>273</v>
      </c>
      <c r="AD305" s="48" t="s">
        <v>273</v>
      </c>
      <c r="AE305" s="48" t="s">
        <v>273</v>
      </c>
      <c r="AF305" s="48" t="s">
        <v>273</v>
      </c>
      <c r="AG305" s="48" t="s">
        <v>273</v>
      </c>
      <c r="AH305" s="48" t="s">
        <v>273</v>
      </c>
      <c r="AI305" s="48" t="s">
        <v>273</v>
      </c>
      <c r="AJ305" s="48" t="s">
        <v>273</v>
      </c>
      <c r="AK305" s="48" t="s">
        <v>963</v>
      </c>
      <c r="AL305" s="48" t="s">
        <v>273</v>
      </c>
      <c r="AM305" s="48" t="s">
        <v>273</v>
      </c>
      <c r="AN305" s="48" t="s">
        <v>273</v>
      </c>
      <c r="AO305" s="48" t="s">
        <v>273</v>
      </c>
      <c r="AP305" s="48" t="s">
        <v>273</v>
      </c>
      <c r="AQ305" s="48" t="s">
        <v>273</v>
      </c>
      <c r="AR305" s="48" t="s">
        <v>273</v>
      </c>
      <c r="AS305" s="48" t="s">
        <v>273</v>
      </c>
      <c r="AT305" s="48" t="s">
        <v>273</v>
      </c>
      <c r="AU305" s="93">
        <v>41426</v>
      </c>
      <c r="AV305" s="93"/>
      <c r="AW305" s="93"/>
      <c r="AX305" s="93"/>
      <c r="AY305" s="93"/>
    </row>
    <row r="306" spans="1:52" ht="16.5" customHeight="1" x14ac:dyDescent="0.15">
      <c r="A306" s="144" t="s">
        <v>3502</v>
      </c>
      <c r="B306" s="145" t="s">
        <v>3503</v>
      </c>
      <c r="C306" s="48" t="s">
        <v>330</v>
      </c>
      <c r="D306" s="62" t="s">
        <v>263</v>
      </c>
      <c r="E306" s="48" t="s">
        <v>273</v>
      </c>
      <c r="F306" s="61">
        <v>42485</v>
      </c>
      <c r="G306" s="61">
        <v>42485</v>
      </c>
      <c r="H306" s="125">
        <v>42515</v>
      </c>
      <c r="I306" s="61" t="s">
        <v>279</v>
      </c>
      <c r="J306" s="87"/>
      <c r="K306" s="62" t="s">
        <v>14</v>
      </c>
      <c r="L306" s="62">
        <v>3</v>
      </c>
      <c r="M306" s="62" t="s">
        <v>394</v>
      </c>
      <c r="N306" s="62" t="s">
        <v>2602</v>
      </c>
      <c r="O306" s="48" t="s">
        <v>555</v>
      </c>
      <c r="P306" s="48" t="s">
        <v>707</v>
      </c>
      <c r="Q306" s="130" t="s">
        <v>708</v>
      </c>
      <c r="R306" s="48" t="s">
        <v>399</v>
      </c>
      <c r="S306" s="48" t="s">
        <v>400</v>
      </c>
      <c r="T306" s="48" t="s">
        <v>401</v>
      </c>
      <c r="U306" s="48" t="s">
        <v>3504</v>
      </c>
      <c r="V306" s="122" t="s">
        <v>263</v>
      </c>
      <c r="W306" s="122" t="s">
        <v>263</v>
      </c>
      <c r="X306" s="48" t="s">
        <v>710</v>
      </c>
      <c r="Y306" s="48" t="s">
        <v>2604</v>
      </c>
      <c r="Z306" s="61"/>
      <c r="AA306" s="48" t="s">
        <v>273</v>
      </c>
      <c r="AB306" s="48" t="s">
        <v>273</v>
      </c>
      <c r="AC306" s="48" t="s">
        <v>273</v>
      </c>
      <c r="AD306" s="48" t="s">
        <v>273</v>
      </c>
      <c r="AE306" s="48" t="s">
        <v>273</v>
      </c>
      <c r="AF306" s="48" t="s">
        <v>273</v>
      </c>
      <c r="AG306" s="48" t="s">
        <v>273</v>
      </c>
      <c r="AH306" s="48" t="s">
        <v>273</v>
      </c>
      <c r="AI306" s="48" t="s">
        <v>273</v>
      </c>
      <c r="AJ306" s="48" t="s">
        <v>273</v>
      </c>
      <c r="AK306" s="48" t="s">
        <v>273</v>
      </c>
      <c r="AL306" s="48" t="s">
        <v>273</v>
      </c>
      <c r="AM306" s="48" t="s">
        <v>273</v>
      </c>
      <c r="AN306" s="48" t="s">
        <v>273</v>
      </c>
      <c r="AO306" s="48" t="s">
        <v>273</v>
      </c>
      <c r="AP306" s="48" t="s">
        <v>273</v>
      </c>
      <c r="AQ306" s="48" t="s">
        <v>273</v>
      </c>
      <c r="AR306" s="48" t="s">
        <v>273</v>
      </c>
      <c r="AS306" s="48" t="s">
        <v>273</v>
      </c>
      <c r="AT306" s="48" t="s">
        <v>273</v>
      </c>
      <c r="AU306" s="93">
        <v>38565</v>
      </c>
      <c r="AV306" s="93"/>
      <c r="AW306" s="93"/>
      <c r="AX306" s="93"/>
      <c r="AY306" s="93"/>
      <c r="AZ306" s="49" t="s">
        <v>3505</v>
      </c>
    </row>
    <row r="307" spans="1:52" ht="16.5" customHeight="1" x14ac:dyDescent="0.15">
      <c r="A307" s="144" t="s">
        <v>3506</v>
      </c>
      <c r="B307" s="145" t="s">
        <v>3507</v>
      </c>
      <c r="C307" s="48" t="s">
        <v>298</v>
      </c>
      <c r="D307" s="62" t="s">
        <v>3508</v>
      </c>
      <c r="E307" s="48" t="s">
        <v>300</v>
      </c>
      <c r="F307" s="61">
        <v>42486</v>
      </c>
      <c r="G307" s="61">
        <v>42486</v>
      </c>
      <c r="H307" s="125">
        <v>42514</v>
      </c>
      <c r="I307" s="61" t="s">
        <v>279</v>
      </c>
      <c r="J307" s="87"/>
      <c r="K307" s="62" t="s">
        <v>14</v>
      </c>
      <c r="L307" s="62">
        <v>3</v>
      </c>
      <c r="M307" s="62" t="s">
        <v>209</v>
      </c>
      <c r="N307" s="62" t="s">
        <v>3509</v>
      </c>
      <c r="O307" s="48" t="s">
        <v>3510</v>
      </c>
      <c r="P307" s="48" t="s">
        <v>3511</v>
      </c>
      <c r="Q307" s="48" t="s">
        <v>3512</v>
      </c>
      <c r="R307" s="48" t="s">
        <v>3513</v>
      </c>
      <c r="S307" s="48" t="s">
        <v>3514</v>
      </c>
      <c r="T307" s="48" t="s">
        <v>3515</v>
      </c>
      <c r="U307" s="48" t="s">
        <v>3516</v>
      </c>
      <c r="V307" s="48" t="s">
        <v>3517</v>
      </c>
      <c r="W307" s="48" t="s">
        <v>3518</v>
      </c>
      <c r="X307" s="48" t="s">
        <v>3519</v>
      </c>
      <c r="Y307" s="48" t="s">
        <v>3520</v>
      </c>
      <c r="Z307" s="61"/>
      <c r="AA307" s="48" t="s">
        <v>1392</v>
      </c>
      <c r="AB307" s="48" t="s">
        <v>1393</v>
      </c>
      <c r="AC307" s="48" t="s">
        <v>1391</v>
      </c>
      <c r="AD307" s="48" t="s">
        <v>291</v>
      </c>
      <c r="AE307" s="48" t="s">
        <v>273</v>
      </c>
      <c r="AF307" s="48" t="s">
        <v>273</v>
      </c>
      <c r="AG307" s="48" t="s">
        <v>273</v>
      </c>
      <c r="AH307" s="48" t="s">
        <v>273</v>
      </c>
      <c r="AI307" s="48" t="s">
        <v>273</v>
      </c>
      <c r="AJ307" s="48" t="s">
        <v>273</v>
      </c>
      <c r="AK307" s="48" t="s">
        <v>1395</v>
      </c>
      <c r="AL307" s="48" t="s">
        <v>1396</v>
      </c>
      <c r="AM307" s="48" t="s">
        <v>1394</v>
      </c>
      <c r="AN307" s="48" t="s">
        <v>293</v>
      </c>
      <c r="AO307" s="48" t="s">
        <v>273</v>
      </c>
      <c r="AP307" s="48" t="s">
        <v>273</v>
      </c>
      <c r="AQ307" s="48" t="s">
        <v>273</v>
      </c>
      <c r="AR307" s="48" t="s">
        <v>273</v>
      </c>
      <c r="AS307" s="48" t="s">
        <v>273</v>
      </c>
      <c r="AT307" s="48" t="s">
        <v>273</v>
      </c>
      <c r="AU307" s="93">
        <v>39934</v>
      </c>
      <c r="AV307" s="93"/>
      <c r="AW307" s="93"/>
      <c r="AX307" s="93"/>
      <c r="AY307" s="93"/>
    </row>
    <row r="308" spans="1:52" ht="16.5" customHeight="1" x14ac:dyDescent="0.15">
      <c r="A308" s="146" t="s">
        <v>3521</v>
      </c>
      <c r="B308" s="147" t="s">
        <v>3522</v>
      </c>
      <c r="C308" s="48" t="s">
        <v>3523</v>
      </c>
      <c r="D308" s="62" t="s">
        <v>263</v>
      </c>
      <c r="E308" s="48" t="s">
        <v>264</v>
      </c>
      <c r="F308" s="61">
        <v>42487</v>
      </c>
      <c r="G308" s="61">
        <v>42487</v>
      </c>
      <c r="H308" s="125">
        <v>42548</v>
      </c>
      <c r="I308" s="61">
        <v>40777</v>
      </c>
      <c r="J308" s="87"/>
      <c r="K308" s="62" t="s">
        <v>14</v>
      </c>
      <c r="L308" s="62">
        <v>3</v>
      </c>
      <c r="M308" s="62" t="s">
        <v>471</v>
      </c>
      <c r="N308" s="62" t="s">
        <v>3524</v>
      </c>
      <c r="O308" s="48" t="s">
        <v>3525</v>
      </c>
      <c r="P308" s="48" t="s">
        <v>3425</v>
      </c>
      <c r="Q308" s="48" t="s">
        <v>3526</v>
      </c>
      <c r="R308" s="48" t="s">
        <v>399</v>
      </c>
      <c r="S308" s="48" t="s">
        <v>400</v>
      </c>
      <c r="T308" s="48" t="s">
        <v>401</v>
      </c>
      <c r="U308" s="48" t="s">
        <v>3527</v>
      </c>
      <c r="V308" s="122" t="s">
        <v>263</v>
      </c>
      <c r="W308" s="122" t="s">
        <v>263</v>
      </c>
      <c r="X308" s="48" t="s">
        <v>3528</v>
      </c>
      <c r="Y308" s="48" t="s">
        <v>3529</v>
      </c>
      <c r="Z308" s="61"/>
      <c r="AA308" s="48" t="s">
        <v>508</v>
      </c>
      <c r="AB308" s="48" t="s">
        <v>1503</v>
      </c>
      <c r="AC308" s="48" t="s">
        <v>903</v>
      </c>
      <c r="AD308" s="48"/>
      <c r="AE308" s="48" t="s">
        <v>273</v>
      </c>
      <c r="AF308" s="48" t="s">
        <v>273</v>
      </c>
      <c r="AG308" s="48" t="s">
        <v>273</v>
      </c>
      <c r="AH308" s="48" t="s">
        <v>273</v>
      </c>
      <c r="AI308" s="48" t="s">
        <v>273</v>
      </c>
      <c r="AJ308" s="48" t="s">
        <v>273</v>
      </c>
      <c r="AK308" s="48" t="s">
        <v>509</v>
      </c>
      <c r="AL308" s="48" t="s">
        <v>1504</v>
      </c>
      <c r="AM308" s="48" t="s">
        <v>2405</v>
      </c>
      <c r="AN308" s="48"/>
      <c r="AO308" s="48" t="s">
        <v>273</v>
      </c>
      <c r="AP308" s="48" t="s">
        <v>273</v>
      </c>
      <c r="AQ308" s="48" t="s">
        <v>273</v>
      </c>
      <c r="AR308" s="48" t="s">
        <v>273</v>
      </c>
      <c r="AS308" s="48" t="s">
        <v>273</v>
      </c>
      <c r="AT308" s="48" t="s">
        <v>273</v>
      </c>
      <c r="AU308" s="93">
        <v>40634</v>
      </c>
      <c r="AV308" s="93"/>
      <c r="AW308" s="93"/>
      <c r="AX308" s="93"/>
      <c r="AY308" s="93"/>
    </row>
    <row r="309" spans="1:52" ht="16.5" customHeight="1" x14ac:dyDescent="0.15">
      <c r="A309" s="146" t="s">
        <v>3530</v>
      </c>
      <c r="B309" s="147" t="s">
        <v>3531</v>
      </c>
      <c r="C309" s="48" t="s">
        <v>330</v>
      </c>
      <c r="D309" s="62" t="s">
        <v>3532</v>
      </c>
      <c r="E309" s="48" t="s">
        <v>300</v>
      </c>
      <c r="F309" s="61">
        <v>42487</v>
      </c>
      <c r="G309" s="61">
        <v>42487</v>
      </c>
      <c r="H309" s="125">
        <v>42524</v>
      </c>
      <c r="I309" s="61" t="s">
        <v>279</v>
      </c>
      <c r="J309" s="87"/>
      <c r="K309" s="124" t="s">
        <v>263</v>
      </c>
      <c r="L309" s="124" t="s">
        <v>263</v>
      </c>
      <c r="M309" s="62">
        <v>180</v>
      </c>
      <c r="N309" s="62" t="s">
        <v>3533</v>
      </c>
      <c r="O309" s="48" t="s">
        <v>377</v>
      </c>
      <c r="P309" s="48" t="s">
        <v>3534</v>
      </c>
      <c r="Q309" s="48" t="s">
        <v>3535</v>
      </c>
      <c r="R309" s="48" t="s">
        <v>1018</v>
      </c>
      <c r="S309" s="48" t="s">
        <v>1019</v>
      </c>
      <c r="T309" s="48" t="s">
        <v>1020</v>
      </c>
      <c r="U309" s="48" t="s">
        <v>3536</v>
      </c>
      <c r="V309" s="122" t="s">
        <v>263</v>
      </c>
      <c r="W309" s="122" t="s">
        <v>263</v>
      </c>
      <c r="X309" s="48" t="s">
        <v>3537</v>
      </c>
      <c r="Y309" s="48" t="s">
        <v>3538</v>
      </c>
      <c r="Z309" s="61"/>
      <c r="AA309" s="48" t="s">
        <v>273</v>
      </c>
      <c r="AB309" s="48" t="s">
        <v>273</v>
      </c>
      <c r="AC309" s="48" t="s">
        <v>273</v>
      </c>
      <c r="AD309" s="48" t="s">
        <v>273</v>
      </c>
      <c r="AE309" s="48" t="s">
        <v>273</v>
      </c>
      <c r="AF309" s="48" t="s">
        <v>273</v>
      </c>
      <c r="AG309" s="48" t="s">
        <v>273</v>
      </c>
      <c r="AH309" s="48" t="s">
        <v>273</v>
      </c>
      <c r="AI309" s="48" t="s">
        <v>273</v>
      </c>
      <c r="AJ309" s="48" t="s">
        <v>273</v>
      </c>
      <c r="AK309" s="48" t="s">
        <v>273</v>
      </c>
      <c r="AL309" s="48" t="s">
        <v>273</v>
      </c>
      <c r="AM309" s="48" t="s">
        <v>273</v>
      </c>
      <c r="AN309" s="48" t="s">
        <v>273</v>
      </c>
      <c r="AO309" s="48" t="s">
        <v>273</v>
      </c>
      <c r="AP309" s="48" t="s">
        <v>273</v>
      </c>
      <c r="AQ309" s="48" t="s">
        <v>273</v>
      </c>
      <c r="AR309" s="48" t="s">
        <v>273</v>
      </c>
      <c r="AS309" s="48" t="s">
        <v>273</v>
      </c>
      <c r="AT309" s="48" t="s">
        <v>273</v>
      </c>
      <c r="AU309" s="93">
        <v>36678</v>
      </c>
      <c r="AV309" s="93"/>
      <c r="AW309" s="93"/>
      <c r="AX309" s="93"/>
      <c r="AY309" s="93"/>
      <c r="AZ309" s="49" t="s">
        <v>3539</v>
      </c>
    </row>
    <row r="310" spans="1:52" ht="16.5" customHeight="1" x14ac:dyDescent="0.15">
      <c r="A310" s="146" t="s">
        <v>3540</v>
      </c>
      <c r="B310" s="147" t="s">
        <v>3541</v>
      </c>
      <c r="C310" s="48" t="s">
        <v>298</v>
      </c>
      <c r="D310" s="62" t="s">
        <v>3542</v>
      </c>
      <c r="E310" s="48" t="s">
        <v>300</v>
      </c>
      <c r="F310" s="61">
        <v>42488</v>
      </c>
      <c r="G310" s="61">
        <v>42488</v>
      </c>
      <c r="H310" s="125">
        <v>42528</v>
      </c>
      <c r="I310" s="61" t="s">
        <v>279</v>
      </c>
      <c r="J310" s="87"/>
      <c r="K310" s="62" t="s">
        <v>14</v>
      </c>
      <c r="L310" s="124">
        <v>3</v>
      </c>
      <c r="M310" s="62" t="s">
        <v>442</v>
      </c>
      <c r="N310" s="62" t="s">
        <v>3543</v>
      </c>
      <c r="O310" s="48" t="s">
        <v>636</v>
      </c>
      <c r="P310" s="48" t="s">
        <v>3544</v>
      </c>
      <c r="Q310" s="48" t="s">
        <v>3545</v>
      </c>
      <c r="R310" s="48" t="s">
        <v>3546</v>
      </c>
      <c r="S310" s="48" t="s">
        <v>3547</v>
      </c>
      <c r="T310" s="48" t="s">
        <v>3548</v>
      </c>
      <c r="U310" s="48" t="s">
        <v>3549</v>
      </c>
      <c r="V310" s="122" t="s">
        <v>263</v>
      </c>
      <c r="W310" s="122" t="s">
        <v>263</v>
      </c>
      <c r="X310" s="48" t="s">
        <v>3550</v>
      </c>
      <c r="Y310" s="48" t="s">
        <v>3551</v>
      </c>
      <c r="Z310" s="61"/>
      <c r="AA310" s="48" t="s">
        <v>581</v>
      </c>
      <c r="AB310" s="48" t="s">
        <v>453</v>
      </c>
      <c r="AC310" s="48" t="s">
        <v>273</v>
      </c>
      <c r="AD310" s="48" t="s">
        <v>273</v>
      </c>
      <c r="AE310" s="48" t="s">
        <v>273</v>
      </c>
      <c r="AF310" s="48" t="s">
        <v>273</v>
      </c>
      <c r="AG310" s="48" t="s">
        <v>273</v>
      </c>
      <c r="AH310" s="48" t="s">
        <v>273</v>
      </c>
      <c r="AI310" s="48" t="s">
        <v>273</v>
      </c>
      <c r="AJ310" s="48" t="s">
        <v>273</v>
      </c>
      <c r="AK310" s="48" t="s">
        <v>582</v>
      </c>
      <c r="AL310" s="48" t="s">
        <v>454</v>
      </c>
      <c r="AM310" s="48" t="s">
        <v>273</v>
      </c>
      <c r="AN310" s="48" t="s">
        <v>273</v>
      </c>
      <c r="AO310" s="48" t="s">
        <v>273</v>
      </c>
      <c r="AP310" s="48" t="s">
        <v>273</v>
      </c>
      <c r="AQ310" s="48" t="s">
        <v>273</v>
      </c>
      <c r="AR310" s="48" t="s">
        <v>273</v>
      </c>
      <c r="AS310" s="48" t="s">
        <v>273</v>
      </c>
      <c r="AT310" s="48" t="s">
        <v>273</v>
      </c>
      <c r="AU310" s="93">
        <v>38899</v>
      </c>
      <c r="AV310" s="93"/>
      <c r="AW310" s="93"/>
      <c r="AX310" s="93"/>
      <c r="AY310" s="93"/>
    </row>
    <row r="311" spans="1:52" ht="16.5" customHeight="1" x14ac:dyDescent="0.15">
      <c r="A311" s="182" t="s">
        <v>3552</v>
      </c>
      <c r="B311" s="183" t="s">
        <v>3553</v>
      </c>
      <c r="C311" s="48" t="s">
        <v>330</v>
      </c>
      <c r="D311" s="62" t="s">
        <v>263</v>
      </c>
      <c r="E311" s="48" t="s">
        <v>300</v>
      </c>
      <c r="F311" s="61">
        <v>42488</v>
      </c>
      <c r="G311" s="61">
        <v>42488</v>
      </c>
      <c r="H311" s="125">
        <v>42674</v>
      </c>
      <c r="I311" s="61">
        <v>39538</v>
      </c>
      <c r="J311" s="87"/>
      <c r="K311" s="124">
        <v>0</v>
      </c>
      <c r="L311" s="124"/>
      <c r="M311" s="62" t="s">
        <v>442</v>
      </c>
      <c r="N311" s="62" t="s">
        <v>3554</v>
      </c>
      <c r="O311" s="48" t="s">
        <v>872</v>
      </c>
      <c r="P311" s="48" t="s">
        <v>3555</v>
      </c>
      <c r="Q311" s="48" t="s">
        <v>2940</v>
      </c>
      <c r="R311" s="48" t="s">
        <v>3556</v>
      </c>
      <c r="S311" s="48" t="s">
        <v>3557</v>
      </c>
      <c r="T311" s="48" t="s">
        <v>3558</v>
      </c>
      <c r="U311" s="48" t="s">
        <v>3559</v>
      </c>
      <c r="V311" s="48" t="s">
        <v>3560</v>
      </c>
      <c r="W311" s="48" t="s">
        <v>324</v>
      </c>
      <c r="X311" s="48" t="s">
        <v>3561</v>
      </c>
      <c r="Y311" s="48" t="s">
        <v>3562</v>
      </c>
      <c r="Z311" s="61"/>
      <c r="AA311" s="48" t="s">
        <v>273</v>
      </c>
      <c r="AB311" s="48" t="s">
        <v>273</v>
      </c>
      <c r="AC311" s="48" t="s">
        <v>273</v>
      </c>
      <c r="AD311" s="48" t="s">
        <v>273</v>
      </c>
      <c r="AE311" s="48" t="s">
        <v>273</v>
      </c>
      <c r="AF311" s="48" t="s">
        <v>273</v>
      </c>
      <c r="AG311" s="48" t="s">
        <v>273</v>
      </c>
      <c r="AH311" s="48" t="s">
        <v>273</v>
      </c>
      <c r="AI311" s="48" t="s">
        <v>273</v>
      </c>
      <c r="AJ311" s="48" t="s">
        <v>273</v>
      </c>
      <c r="AK311" s="48" t="s">
        <v>273</v>
      </c>
      <c r="AL311" s="48" t="s">
        <v>273</v>
      </c>
      <c r="AM311" s="48" t="s">
        <v>273</v>
      </c>
      <c r="AN311" s="48" t="s">
        <v>273</v>
      </c>
      <c r="AO311" s="48" t="s">
        <v>273</v>
      </c>
      <c r="AP311" s="48" t="s">
        <v>273</v>
      </c>
      <c r="AQ311" s="48" t="s">
        <v>273</v>
      </c>
      <c r="AR311" s="48" t="s">
        <v>273</v>
      </c>
      <c r="AS311" s="48" t="s">
        <v>273</v>
      </c>
      <c r="AT311" s="48" t="s">
        <v>273</v>
      </c>
      <c r="AU311" s="93">
        <v>39479</v>
      </c>
      <c r="AV311" s="93"/>
      <c r="AW311" s="93"/>
      <c r="AX311" s="93"/>
      <c r="AY311" s="93"/>
    </row>
    <row r="312" spans="1:52" ht="16.5" customHeight="1" x14ac:dyDescent="0.15">
      <c r="A312" s="144" t="s">
        <v>3563</v>
      </c>
      <c r="B312" s="145" t="s">
        <v>3564</v>
      </c>
      <c r="C312" s="48" t="s">
        <v>3565</v>
      </c>
      <c r="D312" s="62" t="s">
        <v>263</v>
      </c>
      <c r="E312" s="48" t="s">
        <v>264</v>
      </c>
      <c r="F312" s="61">
        <v>42488</v>
      </c>
      <c r="G312" s="61">
        <v>42488</v>
      </c>
      <c r="H312" s="125">
        <v>42502</v>
      </c>
      <c r="I312" s="61" t="s">
        <v>279</v>
      </c>
      <c r="J312" s="87"/>
      <c r="K312" s="62" t="s">
        <v>12</v>
      </c>
      <c r="L312" s="62">
        <v>3</v>
      </c>
      <c r="M312" s="62" t="s">
        <v>409</v>
      </c>
      <c r="N312" s="62" t="s">
        <v>3566</v>
      </c>
      <c r="O312" s="48" t="s">
        <v>3567</v>
      </c>
      <c r="P312" s="48" t="s">
        <v>3568</v>
      </c>
      <c r="Q312" s="48" t="s">
        <v>1125</v>
      </c>
      <c r="R312" s="48" t="s">
        <v>3569</v>
      </c>
      <c r="S312" s="48" t="s">
        <v>1127</v>
      </c>
      <c r="T312" s="48" t="s">
        <v>1128</v>
      </c>
      <c r="U312" s="48" t="s">
        <v>3570</v>
      </c>
      <c r="V312" s="122" t="s">
        <v>263</v>
      </c>
      <c r="W312" s="122" t="s">
        <v>263</v>
      </c>
      <c r="X312" s="48" t="s">
        <v>3571</v>
      </c>
      <c r="Y312" s="48" t="s">
        <v>3572</v>
      </c>
      <c r="Z312" s="61"/>
      <c r="AA312" s="48" t="s">
        <v>978</v>
      </c>
      <c r="AB312" s="48" t="s">
        <v>273</v>
      </c>
      <c r="AC312" s="48" t="s">
        <v>273</v>
      </c>
      <c r="AD312" s="48" t="s">
        <v>273</v>
      </c>
      <c r="AE312" s="48" t="s">
        <v>273</v>
      </c>
      <c r="AF312" s="48" t="s">
        <v>273</v>
      </c>
      <c r="AG312" s="48" t="s">
        <v>273</v>
      </c>
      <c r="AH312" s="48" t="s">
        <v>273</v>
      </c>
      <c r="AI312" s="48" t="s">
        <v>273</v>
      </c>
      <c r="AJ312" s="48" t="s">
        <v>273</v>
      </c>
      <c r="AK312" s="48" t="s">
        <v>600</v>
      </c>
      <c r="AL312" s="48" t="s">
        <v>273</v>
      </c>
      <c r="AM312" s="48" t="s">
        <v>273</v>
      </c>
      <c r="AN312" s="48" t="s">
        <v>273</v>
      </c>
      <c r="AO312" s="48" t="s">
        <v>273</v>
      </c>
      <c r="AP312" s="48" t="s">
        <v>273</v>
      </c>
      <c r="AQ312" s="48" t="s">
        <v>273</v>
      </c>
      <c r="AR312" s="48" t="s">
        <v>273</v>
      </c>
      <c r="AS312" s="48" t="s">
        <v>273</v>
      </c>
      <c r="AT312" s="48" t="s">
        <v>273</v>
      </c>
      <c r="AU312" s="93">
        <v>40787</v>
      </c>
      <c r="AV312" s="93"/>
      <c r="AW312" s="93"/>
      <c r="AX312" s="93"/>
      <c r="AY312" s="93"/>
    </row>
    <row r="313" spans="1:52" ht="16.5" customHeight="1" x14ac:dyDescent="0.15">
      <c r="A313" s="144" t="s">
        <v>3573</v>
      </c>
      <c r="B313" s="145" t="s">
        <v>3574</v>
      </c>
      <c r="C313" s="48" t="s">
        <v>330</v>
      </c>
      <c r="D313" s="62" t="s">
        <v>263</v>
      </c>
      <c r="E313" s="48" t="s">
        <v>300</v>
      </c>
      <c r="F313" s="61">
        <v>42488</v>
      </c>
      <c r="G313" s="61">
        <v>42488</v>
      </c>
      <c r="H313" s="125">
        <v>42513</v>
      </c>
      <c r="I313" s="61" t="s">
        <v>263</v>
      </c>
      <c r="J313" s="87"/>
      <c r="K313" s="62" t="s">
        <v>12</v>
      </c>
      <c r="L313" s="124" t="s">
        <v>263</v>
      </c>
      <c r="M313" s="62" t="s">
        <v>442</v>
      </c>
      <c r="N313" s="62" t="s">
        <v>3575</v>
      </c>
      <c r="O313" s="48" t="s">
        <v>983</v>
      </c>
      <c r="P313" s="48" t="s">
        <v>267</v>
      </c>
      <c r="Q313" s="48" t="s">
        <v>892</v>
      </c>
      <c r="R313" s="122" t="s">
        <v>263</v>
      </c>
      <c r="S313" s="48" t="s">
        <v>269</v>
      </c>
      <c r="T313" s="48" t="s">
        <v>270</v>
      </c>
      <c r="U313" s="48" t="s">
        <v>3576</v>
      </c>
      <c r="V313" s="122" t="s">
        <v>263</v>
      </c>
      <c r="W313" s="122" t="s">
        <v>263</v>
      </c>
      <c r="X313" s="122" t="s">
        <v>263</v>
      </c>
      <c r="Y313" s="122" t="s">
        <v>263</v>
      </c>
      <c r="Z313" s="61"/>
      <c r="AA313" s="48" t="s">
        <v>273</v>
      </c>
      <c r="AB313" s="48" t="s">
        <v>273</v>
      </c>
      <c r="AC313" s="48" t="s">
        <v>273</v>
      </c>
      <c r="AD313" s="48" t="s">
        <v>273</v>
      </c>
      <c r="AE313" s="48" t="s">
        <v>273</v>
      </c>
      <c r="AF313" s="48" t="s">
        <v>273</v>
      </c>
      <c r="AG313" s="48" t="s">
        <v>273</v>
      </c>
      <c r="AH313" s="48" t="s">
        <v>273</v>
      </c>
      <c r="AI313" s="48" t="s">
        <v>273</v>
      </c>
      <c r="AJ313" s="48" t="s">
        <v>273</v>
      </c>
      <c r="AK313" s="48" t="s">
        <v>273</v>
      </c>
      <c r="AL313" s="48" t="s">
        <v>273</v>
      </c>
      <c r="AM313" s="48" t="s">
        <v>273</v>
      </c>
      <c r="AN313" s="48" t="s">
        <v>273</v>
      </c>
      <c r="AO313" s="48" t="s">
        <v>273</v>
      </c>
      <c r="AP313" s="48" t="s">
        <v>273</v>
      </c>
      <c r="AQ313" s="48" t="s">
        <v>273</v>
      </c>
      <c r="AR313" s="48" t="s">
        <v>273</v>
      </c>
      <c r="AS313" s="48" t="s">
        <v>273</v>
      </c>
      <c r="AT313" s="48" t="s">
        <v>273</v>
      </c>
      <c r="AU313" s="93">
        <v>38108</v>
      </c>
      <c r="AV313" s="93"/>
      <c r="AW313" s="93"/>
      <c r="AX313" s="93"/>
      <c r="AY313" s="93"/>
      <c r="AZ313" s="49" t="s">
        <v>3577</v>
      </c>
    </row>
    <row r="314" spans="1:52" ht="16.5" customHeight="1" x14ac:dyDescent="0.15">
      <c r="A314" s="144" t="s">
        <v>3578</v>
      </c>
      <c r="B314" s="145" t="s">
        <v>3579</v>
      </c>
      <c r="C314" s="48" t="s">
        <v>298</v>
      </c>
      <c r="D314" s="62" t="s">
        <v>263</v>
      </c>
      <c r="E314" s="48" t="s">
        <v>273</v>
      </c>
      <c r="F314" s="61">
        <v>42492</v>
      </c>
      <c r="G314" s="61">
        <v>42492</v>
      </c>
      <c r="H314" s="125">
        <v>42510</v>
      </c>
      <c r="I314" s="61" t="s">
        <v>279</v>
      </c>
      <c r="J314" s="87"/>
      <c r="K314" s="62" t="s">
        <v>16</v>
      </c>
      <c r="L314" s="62">
        <v>5</v>
      </c>
      <c r="M314" s="62" t="s">
        <v>651</v>
      </c>
      <c r="N314" s="62" t="s">
        <v>3580</v>
      </c>
      <c r="O314" s="48" t="s">
        <v>1810</v>
      </c>
      <c r="P314" s="48" t="s">
        <v>3581</v>
      </c>
      <c r="Q314" s="48" t="s">
        <v>3582</v>
      </c>
      <c r="R314" s="48" t="s">
        <v>1018</v>
      </c>
      <c r="S314" s="48" t="s">
        <v>1019</v>
      </c>
      <c r="T314" s="48" t="s">
        <v>1020</v>
      </c>
      <c r="U314" s="48" t="s">
        <v>3583</v>
      </c>
      <c r="V314" s="122" t="s">
        <v>263</v>
      </c>
      <c r="W314" s="122" t="s">
        <v>263</v>
      </c>
      <c r="X314" s="48" t="s">
        <v>3584</v>
      </c>
      <c r="Y314" s="48" t="s">
        <v>3585</v>
      </c>
      <c r="Z314" s="61"/>
      <c r="AA314" s="48" t="s">
        <v>273</v>
      </c>
      <c r="AB314" s="48" t="s">
        <v>273</v>
      </c>
      <c r="AC314" s="48" t="s">
        <v>273</v>
      </c>
      <c r="AD314" s="48" t="s">
        <v>273</v>
      </c>
      <c r="AE314" s="48" t="s">
        <v>273</v>
      </c>
      <c r="AF314" s="48" t="s">
        <v>273</v>
      </c>
      <c r="AG314" s="48" t="s">
        <v>273</v>
      </c>
      <c r="AH314" s="48" t="s">
        <v>273</v>
      </c>
      <c r="AI314" s="48" t="s">
        <v>273</v>
      </c>
      <c r="AJ314" s="48" t="s">
        <v>273</v>
      </c>
      <c r="AK314" s="48" t="s">
        <v>273</v>
      </c>
      <c r="AL314" s="48" t="s">
        <v>273</v>
      </c>
      <c r="AM314" s="48" t="s">
        <v>273</v>
      </c>
      <c r="AN314" s="48" t="s">
        <v>273</v>
      </c>
      <c r="AO314" s="48" t="s">
        <v>273</v>
      </c>
      <c r="AP314" s="48" t="s">
        <v>273</v>
      </c>
      <c r="AQ314" s="48" t="s">
        <v>273</v>
      </c>
      <c r="AR314" s="48" t="s">
        <v>273</v>
      </c>
      <c r="AS314" s="48" t="s">
        <v>273</v>
      </c>
      <c r="AT314" s="48" t="s">
        <v>273</v>
      </c>
      <c r="AU314" s="93">
        <v>42036</v>
      </c>
      <c r="AV314" s="93"/>
      <c r="AW314" s="93"/>
      <c r="AX314" s="93"/>
      <c r="AY314" s="93"/>
      <c r="AZ314" s="49" t="s">
        <v>3586</v>
      </c>
    </row>
    <row r="315" spans="1:52" ht="16.5" customHeight="1" x14ac:dyDescent="0.15">
      <c r="A315" s="144" t="s">
        <v>3587</v>
      </c>
      <c r="B315" s="145" t="s">
        <v>3588</v>
      </c>
      <c r="C315" s="48" t="s">
        <v>298</v>
      </c>
      <c r="D315" s="62" t="s">
        <v>263</v>
      </c>
      <c r="E315" s="48" t="s">
        <v>300</v>
      </c>
      <c r="F315" s="61">
        <v>42492</v>
      </c>
      <c r="G315" s="61">
        <v>42492</v>
      </c>
      <c r="H315" s="125">
        <v>42510</v>
      </c>
      <c r="I315" s="61" t="s">
        <v>279</v>
      </c>
      <c r="J315" s="87"/>
      <c r="K315" s="62" t="s">
        <v>16</v>
      </c>
      <c r="L315" s="62">
        <v>5</v>
      </c>
      <c r="M315" s="62" t="s">
        <v>680</v>
      </c>
      <c r="N315" s="62" t="s">
        <v>3589</v>
      </c>
      <c r="O315" s="48" t="s">
        <v>827</v>
      </c>
      <c r="P315" s="48" t="s">
        <v>3581</v>
      </c>
      <c r="Q315" s="48" t="s">
        <v>3582</v>
      </c>
      <c r="R315" s="48" t="s">
        <v>1018</v>
      </c>
      <c r="S315" s="48" t="s">
        <v>1019</v>
      </c>
      <c r="T315" s="48" t="s">
        <v>1020</v>
      </c>
      <c r="U315" s="48" t="s">
        <v>3590</v>
      </c>
      <c r="V315" s="48"/>
      <c r="W315" s="48"/>
      <c r="X315" s="48"/>
      <c r="Y315" s="48"/>
      <c r="Z315" s="61"/>
      <c r="AA315" s="48" t="s">
        <v>273</v>
      </c>
      <c r="AB315" s="48" t="s">
        <v>273</v>
      </c>
      <c r="AC315" s="48" t="s">
        <v>273</v>
      </c>
      <c r="AD315" s="48" t="s">
        <v>273</v>
      </c>
      <c r="AE315" s="48" t="s">
        <v>273</v>
      </c>
      <c r="AF315" s="48" t="s">
        <v>273</v>
      </c>
      <c r="AG315" s="48" t="s">
        <v>273</v>
      </c>
      <c r="AH315" s="48" t="s">
        <v>273</v>
      </c>
      <c r="AI315" s="48" t="s">
        <v>273</v>
      </c>
      <c r="AJ315" s="48" t="s">
        <v>273</v>
      </c>
      <c r="AK315" s="48" t="s">
        <v>273</v>
      </c>
      <c r="AL315" s="48" t="s">
        <v>273</v>
      </c>
      <c r="AM315" s="48" t="s">
        <v>273</v>
      </c>
      <c r="AN315" s="48" t="s">
        <v>273</v>
      </c>
      <c r="AO315" s="48" t="s">
        <v>273</v>
      </c>
      <c r="AP315" s="48" t="s">
        <v>273</v>
      </c>
      <c r="AQ315" s="48" t="s">
        <v>273</v>
      </c>
      <c r="AR315" s="48" t="s">
        <v>273</v>
      </c>
      <c r="AS315" s="48" t="s">
        <v>273</v>
      </c>
      <c r="AT315" s="48" t="s">
        <v>273</v>
      </c>
      <c r="AU315" s="93">
        <v>41852</v>
      </c>
      <c r="AV315" s="93"/>
      <c r="AW315" s="93"/>
      <c r="AX315" s="93"/>
      <c r="AY315" s="93"/>
      <c r="AZ315" s="49" t="s">
        <v>3591</v>
      </c>
    </row>
    <row r="316" spans="1:52" ht="16.5" customHeight="1" x14ac:dyDescent="0.15">
      <c r="A316" s="144" t="s">
        <v>3592</v>
      </c>
      <c r="B316" s="145" t="s">
        <v>3593</v>
      </c>
      <c r="C316" s="48" t="s">
        <v>330</v>
      </c>
      <c r="D316" s="62" t="s">
        <v>263</v>
      </c>
      <c r="E316" s="48" t="s">
        <v>273</v>
      </c>
      <c r="F316" s="61">
        <v>42492</v>
      </c>
      <c r="G316" s="61">
        <v>42492</v>
      </c>
      <c r="H316" s="125">
        <v>42515</v>
      </c>
      <c r="I316" s="61" t="s">
        <v>279</v>
      </c>
      <c r="J316" s="87"/>
      <c r="K316" s="62" t="s">
        <v>14</v>
      </c>
      <c r="L316" s="62">
        <v>3</v>
      </c>
      <c r="M316" s="62" t="s">
        <v>1892</v>
      </c>
      <c r="N316" s="62" t="s">
        <v>2937</v>
      </c>
      <c r="O316" s="48" t="s">
        <v>2938</v>
      </c>
      <c r="P316" s="48" t="s">
        <v>3594</v>
      </c>
      <c r="Q316" s="48" t="s">
        <v>2940</v>
      </c>
      <c r="R316" s="48" t="s">
        <v>1981</v>
      </c>
      <c r="S316" s="48" t="s">
        <v>3595</v>
      </c>
      <c r="T316" s="48" t="s">
        <v>3596</v>
      </c>
      <c r="U316" s="48" t="s">
        <v>3597</v>
      </c>
      <c r="V316" s="122" t="s">
        <v>263</v>
      </c>
      <c r="W316" s="122" t="s">
        <v>263</v>
      </c>
      <c r="X316" s="48" t="s">
        <v>2942</v>
      </c>
      <c r="Y316" s="48" t="s">
        <v>3598</v>
      </c>
      <c r="Z316" s="61"/>
      <c r="AA316" s="48" t="s">
        <v>273</v>
      </c>
      <c r="AB316" s="48" t="s">
        <v>273</v>
      </c>
      <c r="AC316" s="48" t="s">
        <v>273</v>
      </c>
      <c r="AD316" s="48" t="s">
        <v>273</v>
      </c>
      <c r="AE316" s="48" t="s">
        <v>273</v>
      </c>
      <c r="AF316" s="48" t="s">
        <v>273</v>
      </c>
      <c r="AG316" s="48" t="s">
        <v>273</v>
      </c>
      <c r="AH316" s="48" t="s">
        <v>273</v>
      </c>
      <c r="AI316" s="48" t="s">
        <v>273</v>
      </c>
      <c r="AJ316" s="48" t="s">
        <v>273</v>
      </c>
      <c r="AK316" s="48" t="s">
        <v>273</v>
      </c>
      <c r="AL316" s="48" t="s">
        <v>273</v>
      </c>
      <c r="AM316" s="48" t="s">
        <v>273</v>
      </c>
      <c r="AN316" s="48" t="s">
        <v>273</v>
      </c>
      <c r="AO316" s="48" t="s">
        <v>273</v>
      </c>
      <c r="AP316" s="48" t="s">
        <v>273</v>
      </c>
      <c r="AQ316" s="48" t="s">
        <v>273</v>
      </c>
      <c r="AR316" s="48" t="s">
        <v>273</v>
      </c>
      <c r="AS316" s="48" t="s">
        <v>273</v>
      </c>
      <c r="AT316" s="48" t="s">
        <v>273</v>
      </c>
      <c r="AU316" s="93">
        <v>37316</v>
      </c>
      <c r="AV316" s="93"/>
      <c r="AW316" s="93"/>
      <c r="AX316" s="93"/>
      <c r="AY316" s="93"/>
    </row>
    <row r="317" spans="1:52" ht="16.5" customHeight="1" x14ac:dyDescent="0.15">
      <c r="A317" s="182" t="s">
        <v>3599</v>
      </c>
      <c r="B317" s="183" t="s">
        <v>3600</v>
      </c>
      <c r="C317" s="48" t="s">
        <v>298</v>
      </c>
      <c r="D317" s="62" t="s">
        <v>263</v>
      </c>
      <c r="E317" s="48" t="s">
        <v>300</v>
      </c>
      <c r="F317" s="61">
        <v>42492</v>
      </c>
      <c r="G317" s="61">
        <v>42492</v>
      </c>
      <c r="H317" s="125">
        <v>42657</v>
      </c>
      <c r="I317" s="61">
        <v>38653</v>
      </c>
      <c r="J317" s="87"/>
      <c r="K317" s="62" t="s">
        <v>16</v>
      </c>
      <c r="L317" s="62">
        <v>3</v>
      </c>
      <c r="M317" s="62" t="s">
        <v>394</v>
      </c>
      <c r="N317" s="62" t="s">
        <v>3601</v>
      </c>
      <c r="O317" s="48" t="s">
        <v>555</v>
      </c>
      <c r="P317" s="48" t="s">
        <v>556</v>
      </c>
      <c r="Q317" s="48" t="s">
        <v>3602</v>
      </c>
      <c r="R317" s="48" t="s">
        <v>399</v>
      </c>
      <c r="S317" s="48" t="s">
        <v>400</v>
      </c>
      <c r="T317" s="48" t="s">
        <v>401</v>
      </c>
      <c r="U317" s="48" t="s">
        <v>3603</v>
      </c>
      <c r="V317" s="122" t="s">
        <v>263</v>
      </c>
      <c r="W317" s="122" t="s">
        <v>263</v>
      </c>
      <c r="X317" s="48" t="s">
        <v>3604</v>
      </c>
      <c r="Y317" s="48" t="s">
        <v>3605</v>
      </c>
      <c r="Z317" s="61"/>
      <c r="AA317" s="48" t="s">
        <v>561</v>
      </c>
      <c r="AB317" s="48" t="s">
        <v>273</v>
      </c>
      <c r="AC317" s="48" t="s">
        <v>273</v>
      </c>
      <c r="AD317" s="48" t="s">
        <v>273</v>
      </c>
      <c r="AE317" s="48" t="s">
        <v>273</v>
      </c>
      <c r="AF317" s="48" t="s">
        <v>273</v>
      </c>
      <c r="AG317" s="48" t="s">
        <v>273</v>
      </c>
      <c r="AH317" s="48" t="s">
        <v>273</v>
      </c>
      <c r="AI317" s="48" t="s">
        <v>273</v>
      </c>
      <c r="AJ317" s="48" t="s">
        <v>273</v>
      </c>
      <c r="AK317" s="48" t="s">
        <v>563</v>
      </c>
      <c r="AL317" s="48" t="s">
        <v>273</v>
      </c>
      <c r="AM317" s="48" t="s">
        <v>273</v>
      </c>
      <c r="AN317" s="48" t="s">
        <v>273</v>
      </c>
      <c r="AO317" s="48" t="s">
        <v>273</v>
      </c>
      <c r="AP317" s="48" t="s">
        <v>273</v>
      </c>
      <c r="AQ317" s="48" t="s">
        <v>273</v>
      </c>
      <c r="AR317" s="48" t="s">
        <v>273</v>
      </c>
      <c r="AS317" s="48" t="s">
        <v>273</v>
      </c>
      <c r="AT317" s="48" t="s">
        <v>273</v>
      </c>
      <c r="AU317" s="93">
        <v>38353</v>
      </c>
      <c r="AV317" s="93"/>
      <c r="AW317" s="93"/>
      <c r="AX317" s="93"/>
      <c r="AY317" s="93"/>
    </row>
    <row r="318" spans="1:52" ht="16.5" customHeight="1" x14ac:dyDescent="0.15">
      <c r="A318" s="182" t="s">
        <v>3606</v>
      </c>
      <c r="B318" s="183" t="s">
        <v>3607</v>
      </c>
      <c r="C318" s="48" t="s">
        <v>330</v>
      </c>
      <c r="D318" s="62" t="s">
        <v>263</v>
      </c>
      <c r="E318" s="48" t="s">
        <v>300</v>
      </c>
      <c r="F318" s="61">
        <v>42492</v>
      </c>
      <c r="G318" s="61">
        <v>42492</v>
      </c>
      <c r="H318" s="125">
        <v>42668</v>
      </c>
      <c r="I318" s="61" t="s">
        <v>279</v>
      </c>
      <c r="J318" s="87"/>
      <c r="K318" s="124" t="s">
        <v>263</v>
      </c>
      <c r="L318" s="124" t="s">
        <v>263</v>
      </c>
      <c r="M318" s="62" t="s">
        <v>3452</v>
      </c>
      <c r="N318" s="62" t="s">
        <v>3608</v>
      </c>
      <c r="O318" s="48" t="s">
        <v>3454</v>
      </c>
      <c r="P318" s="48" t="s">
        <v>3609</v>
      </c>
      <c r="Q318" s="130" t="s">
        <v>3610</v>
      </c>
      <c r="R318" s="48" t="s">
        <v>3043</v>
      </c>
      <c r="S318" s="48" t="s">
        <v>3044</v>
      </c>
      <c r="T318" s="48" t="s">
        <v>3045</v>
      </c>
      <c r="U318" s="48" t="s">
        <v>3611</v>
      </c>
      <c r="V318" s="48" t="s">
        <v>3612</v>
      </c>
      <c r="W318" s="48" t="s">
        <v>3613</v>
      </c>
      <c r="X318" s="48" t="s">
        <v>3614</v>
      </c>
      <c r="Y318" s="48" t="s">
        <v>3615</v>
      </c>
      <c r="Z318" s="61"/>
      <c r="AA318" s="48" t="s">
        <v>273</v>
      </c>
      <c r="AB318" s="48" t="s">
        <v>273</v>
      </c>
      <c r="AC318" s="48" t="s">
        <v>273</v>
      </c>
      <c r="AD318" s="48" t="s">
        <v>273</v>
      </c>
      <c r="AE318" s="48" t="s">
        <v>273</v>
      </c>
      <c r="AF318" s="48" t="s">
        <v>273</v>
      </c>
      <c r="AG318" s="48" t="s">
        <v>273</v>
      </c>
      <c r="AH318" s="48" t="s">
        <v>273</v>
      </c>
      <c r="AI318" s="48" t="s">
        <v>273</v>
      </c>
      <c r="AJ318" s="48" t="s">
        <v>273</v>
      </c>
      <c r="AK318" s="48" t="s">
        <v>273</v>
      </c>
      <c r="AL318" s="48" t="s">
        <v>273</v>
      </c>
      <c r="AM318" s="48" t="s">
        <v>273</v>
      </c>
      <c r="AN318" s="48" t="s">
        <v>273</v>
      </c>
      <c r="AO318" s="48" t="s">
        <v>273</v>
      </c>
      <c r="AP318" s="48" t="s">
        <v>273</v>
      </c>
      <c r="AQ318" s="48" t="s">
        <v>273</v>
      </c>
      <c r="AR318" s="48" t="s">
        <v>273</v>
      </c>
      <c r="AS318" s="48" t="s">
        <v>273</v>
      </c>
      <c r="AT318" s="48" t="s">
        <v>273</v>
      </c>
      <c r="AU318" s="93">
        <v>40452</v>
      </c>
      <c r="AV318" s="93"/>
      <c r="AW318" s="93"/>
      <c r="AX318" s="93"/>
      <c r="AY318" s="93"/>
    </row>
    <row r="319" spans="1:52" ht="16.5" customHeight="1" x14ac:dyDescent="0.15">
      <c r="A319" s="121" t="s">
        <v>3616</v>
      </c>
      <c r="B319" s="47" t="s">
        <v>3617</v>
      </c>
      <c r="C319" s="48" t="e">
        <f ca="1">INDIRECT("'["&amp;$C$1&amp;".xls]"&amp;$B319&amp;"'!$i$7")</f>
        <v>#REF!</v>
      </c>
      <c r="D319" s="62" t="e">
        <f ca="1">INDIRECT("'["&amp;$C$1&amp;".xls]"&amp;$B319&amp;"'!$b$7")</f>
        <v>#REF!</v>
      </c>
      <c r="E319" s="48" t="e">
        <f ca="1">IF(INDIRECT("'["&amp;$C$1&amp;".xls]"&amp;$B319&amp;"'!$i$2")="","",INDIRECT("'["&amp;$C$1&amp;".xls]"&amp;$B319&amp;"'!$i$2"))</f>
        <v>#REF!</v>
      </c>
      <c r="F319" s="61" t="e">
        <f ca="1">INDIRECT("'["&amp;$C$1&amp;".xls]"&amp;$B319&amp;"'!$b$2")</f>
        <v>#REF!</v>
      </c>
      <c r="G319" s="61" t="e">
        <f ca="1">INDIRECT("'["&amp;$C$1&amp;".xls]"&amp;$B319&amp;"'!$a$20")</f>
        <v>#REF!</v>
      </c>
      <c r="H319" s="88" t="e">
        <f ca="1">INDIRECT("'["&amp;$C$1&amp;".xls]"&amp;$B319&amp;"'!$Q$22")</f>
        <v>#REF!</v>
      </c>
      <c r="I319" s="61" t="e">
        <f ca="1">INDIRECT("'["&amp;$C$1&amp;".xls]"&amp;$B319&amp;"'!$f$6")</f>
        <v>#REF!</v>
      </c>
      <c r="J319" s="87"/>
      <c r="K319" s="62" t="e">
        <f ca="1">INDIRECT("'["&amp;$C$1&amp;".xls]"&amp;$B319&amp;"'!$f$25")</f>
        <v>#REF!</v>
      </c>
      <c r="L319" s="62"/>
      <c r="M319" s="62" t="e">
        <f ca="1">INDIRECT("'["&amp;$C$1&amp;".xls]"&amp;$B319&amp;"'!$f$4")</f>
        <v>#REF!</v>
      </c>
      <c r="N319" s="62" t="e">
        <f ca="1">INDIRECT("'["&amp;$C$1&amp;".xls]"&amp;$B319&amp;"'!$i$4")</f>
        <v>#REF!</v>
      </c>
      <c r="O319" s="48" t="e">
        <f ca="1">INDIRECT("'["&amp;$C$1&amp;".xls]"&amp;$B319&amp;"'!$l$4")</f>
        <v>#REF!</v>
      </c>
      <c r="P319" s="48" t="e">
        <f ca="1">INDIRECT("'["&amp;$C$1&amp;".xls]"&amp;$B319&amp;"'!$b$5")</f>
        <v>#REF!</v>
      </c>
      <c r="Q319" s="48" t="e">
        <f ca="1">INDIRECT("'["&amp;$C$1&amp;".xls]"&amp;$B319&amp;"'!$f$5")</f>
        <v>#REF!</v>
      </c>
      <c r="R319" s="48"/>
      <c r="S319" s="48" t="e">
        <f ca="1">INDIRECT("'["&amp;$C$1&amp;".xls]"&amp;$B319&amp;"'!$i$5")</f>
        <v>#REF!</v>
      </c>
      <c r="T319" s="48" t="e">
        <f ca="1">INDIRECT("'["&amp;$C$1&amp;".xls]"&amp;$B319&amp;"'!$l$5")</f>
        <v>#REF!</v>
      </c>
      <c r="U319" s="48" t="e">
        <f ca="1">INDIRECT("'["&amp;$C$1&amp;".xls]"&amp;$B319&amp;"'!$b$4")</f>
        <v>#REF!</v>
      </c>
      <c r="V319" s="48"/>
      <c r="W319" s="48"/>
      <c r="X319" s="48"/>
      <c r="Y319" s="48"/>
      <c r="Z319" s="61"/>
      <c r="AA319" s="48" t="e">
        <f ca="1">IF(INDIRECT("'["&amp;$C$1&amp;".xls]"&amp;$B319&amp;"'!$P$25")="","",IF(INDIRECT("'["&amp;$C$1&amp;".xls]"&amp;$B319&amp;"'!$O$25")="済み",INDIRECT("'["&amp;$C$1&amp;".xls]"&amp;$B319&amp;"'!$P$25"),""))</f>
        <v>#REF!</v>
      </c>
      <c r="AB319" s="48" t="e">
        <f ca="1">IF(INDIRECT("'["&amp;$C$1&amp;".xls]"&amp;$B319&amp;"'!$P$26")="","",IF(INDIRECT("'["&amp;$C$1&amp;".xls]"&amp;$B319&amp;"'!$O$26")="済み",INDIRECT("'["&amp;$C$1&amp;".xls]"&amp;$B319&amp;"'!$P$26"),""))</f>
        <v>#REF!</v>
      </c>
      <c r="AC319" s="48" t="e">
        <f ca="1">IF(INDIRECT("'["&amp;$C$1&amp;".xls]"&amp;$B319&amp;"'!$P$27")="","",IF(INDIRECT("'["&amp;$C$1&amp;".xls]"&amp;$B319&amp;"'!$O$27")="済み",INDIRECT("'["&amp;$C$1&amp;".xls]"&amp;$B319&amp;"'!$P$27"),""))</f>
        <v>#REF!</v>
      </c>
      <c r="AD319" s="48" t="e">
        <f ca="1">IF(INDIRECT("'["&amp;$C$1&amp;".xls]"&amp;$B319&amp;"'!$P$28")="","",IF(INDIRECT("'["&amp;$C$1&amp;".xls]"&amp;$B319&amp;"'!$O$28")="済み",INDIRECT("'["&amp;$C$1&amp;".xls]"&amp;$B319&amp;"'!$P$28"),""))</f>
        <v>#REF!</v>
      </c>
      <c r="AE319" s="48" t="e">
        <f ca="1">IF(INDIRECT("'["&amp;$C$1&amp;".xls]"&amp;$B319&amp;"'!$P$29")="","",IF(INDIRECT("'["&amp;$C$1&amp;".xls]"&amp;$B319&amp;"'!$O$29")="済み",INDIRECT("'["&amp;$C$1&amp;".xls]"&amp;$B319&amp;"'!$P$29"),""))</f>
        <v>#REF!</v>
      </c>
      <c r="AF319" s="48" t="e">
        <f ca="1">IF(INDIRECT("'["&amp;$C$1&amp;".xls]"&amp;$B319&amp;"'!$P$30")="","",IF(INDIRECT("'["&amp;$C$1&amp;".xls]"&amp;$B319&amp;"'!$O$30")="済み",INDIRECT("'["&amp;$C$1&amp;".xls]"&amp;$B319&amp;"'!$P$30"),""))</f>
        <v>#REF!</v>
      </c>
      <c r="AG319" s="48" t="e">
        <f ca="1">IF(INDIRECT("'["&amp;$C$1&amp;".xls]"&amp;$B319&amp;"'!$P$31")="","",IF(INDIRECT("'["&amp;$C$1&amp;".xls]"&amp;$B319&amp;"'!$O$31")="済み",INDIRECT("'["&amp;$C$1&amp;".xls]"&amp;$B319&amp;"'!$P$31"),""))</f>
        <v>#REF!</v>
      </c>
      <c r="AH319" s="48" t="e">
        <f ca="1">IF(INDIRECT("'["&amp;$C$1&amp;".xls]"&amp;$B319&amp;"'!$P$32")="","",IF(INDIRECT("'["&amp;$C$1&amp;".xls]"&amp;$B319&amp;"'!$O$32")="済み",INDIRECT("'["&amp;$C$1&amp;".xls]"&amp;$B319&amp;"'!$P$32"),""))</f>
        <v>#REF!</v>
      </c>
      <c r="AI319" s="48" t="e">
        <f ca="1">IF(INDIRECT("'["&amp;$C$1&amp;".xls]"&amp;$B319&amp;"'!$P$33")="","",IF(INDIRECT("'["&amp;$C$1&amp;".xls]"&amp;$B319&amp;"'!$O$33")="済み",INDIRECT("'["&amp;$C$1&amp;".xls]"&amp;$B319&amp;"'!$P$33"),""))</f>
        <v>#REF!</v>
      </c>
      <c r="AJ319" s="48" t="e">
        <f ca="1">IF(INDIRECT("'["&amp;$C$1&amp;".xls]"&amp;$B319&amp;"'!$P$34")="","",IF(INDIRECT("'["&amp;$C$1&amp;".xls]"&amp;$B319&amp;"'!$O$34")="済み",INDIRECT("'["&amp;$C$1&amp;".xls]"&amp;$B319&amp;"'!$P$34"),""))</f>
        <v>#REF!</v>
      </c>
      <c r="AK319" s="48" t="e">
        <f ca="1">IF(INDIRECT("'["&amp;$C$1&amp;".xls]"&amp;$B319&amp;"'!$T25")="","",IF(INDIRECT("'["&amp;$C$1&amp;".xls]"&amp;$B319&amp;"'!$O$25")="済み",INDIRECT("'["&amp;$C$1&amp;".xls]"&amp;$B319&amp;"'!$T$25"),""))</f>
        <v>#REF!</v>
      </c>
      <c r="AL319" s="48" t="e">
        <f ca="1">IF(INDIRECT("'["&amp;$C$1&amp;".xls]"&amp;$B319&amp;"'!$T26")="","",IF(INDIRECT("'["&amp;$C$1&amp;".xls]"&amp;$B319&amp;"'!$O$26")="済み",INDIRECT("'["&amp;$C$1&amp;".xls]"&amp;$B319&amp;"'!$T$26"),""))</f>
        <v>#REF!</v>
      </c>
      <c r="AM319" s="48" t="e">
        <f ca="1">IF(INDIRECT("'["&amp;$C$1&amp;".xls]"&amp;$B319&amp;"'!$T27")="","",IF(INDIRECT("'["&amp;$C$1&amp;".xls]"&amp;$B319&amp;"'!$O$27")="済み",INDIRECT("'["&amp;$C$1&amp;".xls]"&amp;$B319&amp;"'!$T$27"),""))</f>
        <v>#REF!</v>
      </c>
      <c r="AN319" s="48" t="e">
        <f ca="1">IF(INDIRECT("'["&amp;$C$1&amp;".xls]"&amp;$B319&amp;"'!$T28")="","",IF(INDIRECT("'["&amp;$C$1&amp;".xls]"&amp;$B319&amp;"'!$O$28")="済み",INDIRECT("'["&amp;$C$1&amp;".xls]"&amp;$B319&amp;"'!$T$28"),""))</f>
        <v>#REF!</v>
      </c>
      <c r="AO319" s="48" t="e">
        <f ca="1">IF(INDIRECT("'["&amp;$C$1&amp;".xls]"&amp;$B319&amp;"'!$T29")="","",IF(INDIRECT("'["&amp;$C$1&amp;".xls]"&amp;$B319&amp;"'!$O$29")="済み",INDIRECT("'["&amp;$C$1&amp;".xls]"&amp;$B319&amp;"'!$T$29"),""))</f>
        <v>#REF!</v>
      </c>
      <c r="AP319" s="48" t="e">
        <f ca="1">IF(INDIRECT("'["&amp;$C$1&amp;".xls]"&amp;$B319&amp;"'!$T30")="","",IF(INDIRECT("'["&amp;$C$1&amp;".xls]"&amp;$B319&amp;"'!$O$30")="済み",INDIRECT("'["&amp;$C$1&amp;".xls]"&amp;$B319&amp;"'!$T$30"),""))</f>
        <v>#REF!</v>
      </c>
      <c r="AQ319" s="48" t="e">
        <f ca="1">IF(INDIRECT("'["&amp;$C$1&amp;".xls]"&amp;$B319&amp;"'!$T31")="","",IF(INDIRECT("'["&amp;$C$1&amp;".xls]"&amp;$B319&amp;"'!$O$31")="済み",INDIRECT("'["&amp;$C$1&amp;".xls]"&amp;$B319&amp;"'!$T$31"),""))</f>
        <v>#REF!</v>
      </c>
      <c r="AR319" s="48" t="e">
        <f ca="1">IF(INDIRECT("'["&amp;$C$1&amp;".xls]"&amp;$B319&amp;"'!$T32")="","",IF(INDIRECT("'["&amp;$C$1&amp;".xls]"&amp;$B319&amp;"'!$O$32")="済み",INDIRECT("'["&amp;$C$1&amp;".xls]"&amp;$B319&amp;"'!$T$32"),""))</f>
        <v>#REF!</v>
      </c>
      <c r="AS319" s="48" t="e">
        <f ca="1">IF(INDIRECT("'["&amp;$C$1&amp;".xls]"&amp;$B319&amp;"'!$T33")="","",IF(INDIRECT("'["&amp;$C$1&amp;".xls]"&amp;$B319&amp;"'!$O$33")="済み",INDIRECT("'["&amp;$C$1&amp;".xls]"&amp;$B319&amp;"'!$T$33"),""))</f>
        <v>#REF!</v>
      </c>
      <c r="AT319" s="48" t="e">
        <f ca="1">IF(INDIRECT("'["&amp;$C$1&amp;".xls]"&amp;$B319&amp;"'!$T34")="","",IF(INDIRECT("'["&amp;$C$1&amp;".xls]"&amp;$B319&amp;"'!$O$34")="済み",INDIRECT("'["&amp;$C$1&amp;".xls]"&amp;$B319&amp;"'!$T$34"),""))</f>
        <v>#REF!</v>
      </c>
      <c r="AU319" s="93" t="e">
        <f ca="1">INDIRECT("'["&amp;$C$1&amp;".xls]"&amp;$B319&amp;"'!$B$6")</f>
        <v>#REF!</v>
      </c>
      <c r="AV319" s="93"/>
      <c r="AW319" s="93"/>
      <c r="AX319" s="93"/>
      <c r="AY319" s="93"/>
    </row>
    <row r="320" spans="1:52" ht="16.5" customHeight="1" x14ac:dyDescent="0.15">
      <c r="A320" s="146" t="s">
        <v>3618</v>
      </c>
      <c r="B320" s="147" t="s">
        <v>3619</v>
      </c>
      <c r="C320" s="48" t="s">
        <v>298</v>
      </c>
      <c r="D320" s="62" t="s">
        <v>3620</v>
      </c>
      <c r="E320" s="48" t="s">
        <v>300</v>
      </c>
      <c r="F320" s="61">
        <v>42492</v>
      </c>
      <c r="G320" s="61">
        <v>42492</v>
      </c>
      <c r="H320" s="125">
        <v>42542</v>
      </c>
      <c r="I320" s="61" t="s">
        <v>279</v>
      </c>
      <c r="J320" s="87"/>
      <c r="K320" s="62" t="s">
        <v>14</v>
      </c>
      <c r="L320" s="62">
        <v>3</v>
      </c>
      <c r="M320" s="62" t="s">
        <v>362</v>
      </c>
      <c r="N320" s="62" t="s">
        <v>3621</v>
      </c>
      <c r="O320" s="48" t="s">
        <v>263</v>
      </c>
      <c r="P320" s="48" t="s">
        <v>3622</v>
      </c>
      <c r="Q320" s="48" t="s">
        <v>3623</v>
      </c>
      <c r="R320" s="48" t="s">
        <v>3624</v>
      </c>
      <c r="S320" s="48" t="s">
        <v>3625</v>
      </c>
      <c r="T320" s="48" t="s">
        <v>3626</v>
      </c>
      <c r="U320" s="48" t="s">
        <v>3627</v>
      </c>
      <c r="V320" s="122" t="s">
        <v>263</v>
      </c>
      <c r="W320" s="122" t="s">
        <v>263</v>
      </c>
      <c r="X320" s="122" t="s">
        <v>263</v>
      </c>
      <c r="Y320" s="48" t="s">
        <v>3333</v>
      </c>
      <c r="Z320" s="61"/>
      <c r="AA320" s="48" t="s">
        <v>263</v>
      </c>
      <c r="AB320" s="48" t="s">
        <v>263</v>
      </c>
      <c r="AC320" s="48" t="s">
        <v>273</v>
      </c>
      <c r="AD320" s="48" t="s">
        <v>273</v>
      </c>
      <c r="AE320" s="48" t="s">
        <v>273</v>
      </c>
      <c r="AF320" s="48" t="s">
        <v>273</v>
      </c>
      <c r="AG320" s="48" t="s">
        <v>273</v>
      </c>
      <c r="AH320" s="48" t="s">
        <v>273</v>
      </c>
      <c r="AI320" s="48" t="s">
        <v>273</v>
      </c>
      <c r="AJ320" s="48" t="s">
        <v>273</v>
      </c>
      <c r="AK320" s="48" t="s">
        <v>3628</v>
      </c>
      <c r="AL320" s="48" t="s">
        <v>3629</v>
      </c>
      <c r="AM320" s="48" t="s">
        <v>273</v>
      </c>
      <c r="AN320" s="48" t="s">
        <v>273</v>
      </c>
      <c r="AO320" s="48" t="s">
        <v>273</v>
      </c>
      <c r="AP320" s="48" t="s">
        <v>273</v>
      </c>
      <c r="AQ320" s="48" t="s">
        <v>273</v>
      </c>
      <c r="AR320" s="48" t="s">
        <v>273</v>
      </c>
      <c r="AS320" s="48" t="s">
        <v>273</v>
      </c>
      <c r="AT320" s="48" t="s">
        <v>273</v>
      </c>
      <c r="AU320" s="93" t="s">
        <v>263</v>
      </c>
      <c r="AV320" s="93"/>
      <c r="AW320" s="93"/>
      <c r="AX320" s="93"/>
      <c r="AY320" s="93"/>
    </row>
    <row r="321" spans="1:52" ht="16.5" customHeight="1" x14ac:dyDescent="0.15">
      <c r="A321" s="199" t="s">
        <v>3630</v>
      </c>
      <c r="B321" s="209" t="s">
        <v>3631</v>
      </c>
      <c r="C321" s="48" t="s">
        <v>298</v>
      </c>
      <c r="D321" s="62" t="s">
        <v>3632</v>
      </c>
      <c r="E321" s="48" t="s">
        <v>300</v>
      </c>
      <c r="F321" s="61">
        <v>42496</v>
      </c>
      <c r="G321" s="61">
        <v>42496</v>
      </c>
      <c r="H321" s="125">
        <v>42699</v>
      </c>
      <c r="I321" s="61" t="s">
        <v>279</v>
      </c>
      <c r="J321" s="87"/>
      <c r="K321" s="62" t="s">
        <v>2506</v>
      </c>
      <c r="L321" s="62">
        <v>3</v>
      </c>
      <c r="M321" s="62" t="s">
        <v>209</v>
      </c>
      <c r="N321" s="62" t="s">
        <v>3633</v>
      </c>
      <c r="O321" s="48" t="s">
        <v>1136</v>
      </c>
      <c r="P321" s="48" t="s">
        <v>3634</v>
      </c>
      <c r="Q321" s="48" t="s">
        <v>2321</v>
      </c>
      <c r="R321" s="48" t="s">
        <v>3635</v>
      </c>
      <c r="S321" s="48" t="s">
        <v>3636</v>
      </c>
      <c r="T321" s="48" t="s">
        <v>3637</v>
      </c>
      <c r="U321" s="48" t="s">
        <v>3638</v>
      </c>
      <c r="V321" s="122" t="s">
        <v>2818</v>
      </c>
      <c r="W321" s="48" t="s">
        <v>3639</v>
      </c>
      <c r="X321" s="48" t="s">
        <v>3640</v>
      </c>
      <c r="Y321" s="48" t="s">
        <v>3641</v>
      </c>
      <c r="Z321" s="61"/>
      <c r="AA321" s="48" t="s">
        <v>327</v>
      </c>
      <c r="AB321" s="48" t="s">
        <v>273</v>
      </c>
      <c r="AC321" s="48" t="s">
        <v>273</v>
      </c>
      <c r="AD321" s="48" t="s">
        <v>273</v>
      </c>
      <c r="AE321" s="48" t="s">
        <v>273</v>
      </c>
      <c r="AF321" s="48" t="s">
        <v>273</v>
      </c>
      <c r="AG321" s="48" t="s">
        <v>273</v>
      </c>
      <c r="AH321" s="48" t="s">
        <v>273</v>
      </c>
      <c r="AI321" s="48" t="s">
        <v>273</v>
      </c>
      <c r="AJ321" s="48" t="s">
        <v>273</v>
      </c>
      <c r="AK321" s="48" t="s">
        <v>274</v>
      </c>
      <c r="AL321" s="48" t="s">
        <v>273</v>
      </c>
      <c r="AM321" s="48" t="s">
        <v>273</v>
      </c>
      <c r="AN321" s="48" t="s">
        <v>273</v>
      </c>
      <c r="AO321" s="48" t="s">
        <v>273</v>
      </c>
      <c r="AP321" s="48" t="s">
        <v>273</v>
      </c>
      <c r="AQ321" s="48" t="s">
        <v>273</v>
      </c>
      <c r="AR321" s="48" t="s">
        <v>273</v>
      </c>
      <c r="AS321" s="48" t="s">
        <v>273</v>
      </c>
      <c r="AT321" s="48" t="s">
        <v>273</v>
      </c>
      <c r="AU321" s="93">
        <v>39692</v>
      </c>
      <c r="AV321" s="93"/>
      <c r="AW321" s="93"/>
      <c r="AX321" s="93"/>
      <c r="AY321" s="93"/>
    </row>
    <row r="322" spans="1:52" ht="16.5" customHeight="1" x14ac:dyDescent="0.15">
      <c r="A322" s="144" t="s">
        <v>3642</v>
      </c>
      <c r="B322" s="145" t="s">
        <v>3643</v>
      </c>
      <c r="C322" s="48" t="s">
        <v>3644</v>
      </c>
      <c r="D322" s="62" t="s">
        <v>3645</v>
      </c>
      <c r="E322" s="48" t="s">
        <v>264</v>
      </c>
      <c r="F322" s="61">
        <v>42499</v>
      </c>
      <c r="G322" s="61">
        <v>42499</v>
      </c>
      <c r="H322" s="125">
        <v>42515</v>
      </c>
      <c r="I322" s="61" t="s">
        <v>279</v>
      </c>
      <c r="J322" s="87"/>
      <c r="K322" s="62" t="s">
        <v>14</v>
      </c>
      <c r="L322" s="62">
        <v>3</v>
      </c>
      <c r="M322" s="62" t="s">
        <v>209</v>
      </c>
      <c r="N322" s="62" t="s">
        <v>3646</v>
      </c>
      <c r="O322" s="48" t="s">
        <v>281</v>
      </c>
      <c r="P322" s="48" t="s">
        <v>2473</v>
      </c>
      <c r="Q322" s="48" t="s">
        <v>912</v>
      </c>
      <c r="R322" s="48" t="s">
        <v>1387</v>
      </c>
      <c r="S322" s="48" t="s">
        <v>3647</v>
      </c>
      <c r="T322" s="48" t="s">
        <v>3648</v>
      </c>
      <c r="U322" s="48" t="s">
        <v>3649</v>
      </c>
      <c r="V322" s="48" t="s">
        <v>3650</v>
      </c>
      <c r="W322" s="48" t="s">
        <v>2309</v>
      </c>
      <c r="X322" s="48" t="s">
        <v>3648</v>
      </c>
      <c r="Y322" s="48" t="s">
        <v>3651</v>
      </c>
      <c r="Z322" s="61"/>
      <c r="AA322" s="48" t="s">
        <v>2886</v>
      </c>
      <c r="AB322" s="48" t="s">
        <v>273</v>
      </c>
      <c r="AC322" s="48" t="s">
        <v>273</v>
      </c>
      <c r="AD322" s="48" t="s">
        <v>273</v>
      </c>
      <c r="AE322" s="48" t="s">
        <v>273</v>
      </c>
      <c r="AF322" s="48" t="s">
        <v>273</v>
      </c>
      <c r="AG322" s="48" t="s">
        <v>273</v>
      </c>
      <c r="AH322" s="48" t="s">
        <v>273</v>
      </c>
      <c r="AI322" s="48" t="s">
        <v>273</v>
      </c>
      <c r="AJ322" s="48" t="s">
        <v>273</v>
      </c>
      <c r="AK322" s="48" t="s">
        <v>3652</v>
      </c>
      <c r="AL322" s="48" t="s">
        <v>273</v>
      </c>
      <c r="AM322" s="48" t="s">
        <v>273</v>
      </c>
      <c r="AN322" s="48" t="s">
        <v>273</v>
      </c>
      <c r="AO322" s="48" t="s">
        <v>273</v>
      </c>
      <c r="AP322" s="48" t="s">
        <v>273</v>
      </c>
      <c r="AQ322" s="48" t="s">
        <v>273</v>
      </c>
      <c r="AR322" s="48" t="s">
        <v>273</v>
      </c>
      <c r="AS322" s="48" t="s">
        <v>273</v>
      </c>
      <c r="AT322" s="48" t="s">
        <v>273</v>
      </c>
      <c r="AU322" s="93">
        <v>40878</v>
      </c>
      <c r="AV322" s="93"/>
      <c r="AW322" s="93"/>
      <c r="AX322" s="93"/>
      <c r="AY322" s="93"/>
    </row>
    <row r="323" spans="1:52" ht="16.5" customHeight="1" x14ac:dyDescent="0.15">
      <c r="A323" s="146" t="s">
        <v>3653</v>
      </c>
      <c r="B323" s="147" t="s">
        <v>3654</v>
      </c>
      <c r="C323" s="48" t="s">
        <v>298</v>
      </c>
      <c r="D323" s="62" t="s">
        <v>263</v>
      </c>
      <c r="E323" s="48" t="s">
        <v>300</v>
      </c>
      <c r="F323" s="61">
        <v>42499</v>
      </c>
      <c r="G323" s="61">
        <v>42499</v>
      </c>
      <c r="H323" s="125">
        <v>42536</v>
      </c>
      <c r="I323" s="61" t="s">
        <v>279</v>
      </c>
      <c r="J323" s="87"/>
      <c r="K323" s="62" t="s">
        <v>14</v>
      </c>
      <c r="L323" s="62">
        <v>3</v>
      </c>
      <c r="M323" s="62" t="s">
        <v>442</v>
      </c>
      <c r="N323" s="62" t="s">
        <v>3655</v>
      </c>
      <c r="O323" s="48" t="s">
        <v>636</v>
      </c>
      <c r="P323" s="48" t="s">
        <v>3656</v>
      </c>
      <c r="Q323" s="48" t="s">
        <v>3657</v>
      </c>
      <c r="R323" s="48" t="s">
        <v>3658</v>
      </c>
      <c r="S323" s="48" t="s">
        <v>3659</v>
      </c>
      <c r="T323" s="48" t="s">
        <v>3660</v>
      </c>
      <c r="U323" s="48" t="s">
        <v>3661</v>
      </c>
      <c r="V323" s="48"/>
      <c r="W323" s="48"/>
      <c r="X323" s="48" t="s">
        <v>3662</v>
      </c>
      <c r="Y323" s="48" t="s">
        <v>3663</v>
      </c>
      <c r="Z323" s="61"/>
      <c r="AA323" s="48" t="s">
        <v>3664</v>
      </c>
      <c r="AB323" s="48" t="s">
        <v>2494</v>
      </c>
      <c r="AC323" s="48" t="s">
        <v>2495</v>
      </c>
      <c r="AD323" s="48" t="s">
        <v>273</v>
      </c>
      <c r="AE323" s="48" t="s">
        <v>273</v>
      </c>
      <c r="AF323" s="48" t="s">
        <v>273</v>
      </c>
      <c r="AG323" s="48" t="s">
        <v>273</v>
      </c>
      <c r="AH323" s="48" t="s">
        <v>273</v>
      </c>
      <c r="AI323" s="48" t="s">
        <v>273</v>
      </c>
      <c r="AJ323" s="48" t="s">
        <v>273</v>
      </c>
      <c r="AK323" s="48" t="s">
        <v>850</v>
      </c>
      <c r="AL323" s="48" t="s">
        <v>454</v>
      </c>
      <c r="AM323" s="48" t="s">
        <v>582</v>
      </c>
      <c r="AN323" s="48" t="s">
        <v>273</v>
      </c>
      <c r="AO323" s="48" t="s">
        <v>273</v>
      </c>
      <c r="AP323" s="48" t="s">
        <v>273</v>
      </c>
      <c r="AQ323" s="48" t="s">
        <v>273</v>
      </c>
      <c r="AR323" s="48" t="s">
        <v>273</v>
      </c>
      <c r="AS323" s="48" t="s">
        <v>273</v>
      </c>
      <c r="AT323" s="48" t="s">
        <v>273</v>
      </c>
      <c r="AU323" s="93">
        <v>39326</v>
      </c>
      <c r="AV323" s="93"/>
      <c r="AW323" s="93"/>
      <c r="AX323" s="93"/>
      <c r="AY323" s="93"/>
    </row>
    <row r="324" spans="1:52" ht="16.5" customHeight="1" x14ac:dyDescent="0.15">
      <c r="A324" s="153" t="s">
        <v>3665</v>
      </c>
      <c r="B324" s="154" t="s">
        <v>3666</v>
      </c>
      <c r="C324" s="48" t="s">
        <v>330</v>
      </c>
      <c r="D324" s="62" t="s">
        <v>3667</v>
      </c>
      <c r="E324" s="48" t="s">
        <v>300</v>
      </c>
      <c r="F324" s="61">
        <v>42499</v>
      </c>
      <c r="G324" s="61">
        <v>42499</v>
      </c>
      <c r="H324" s="125">
        <v>42585</v>
      </c>
      <c r="I324" s="61" t="s">
        <v>279</v>
      </c>
      <c r="J324" s="87"/>
      <c r="K324" s="124" t="s">
        <v>263</v>
      </c>
      <c r="L324" s="124" t="s">
        <v>263</v>
      </c>
      <c r="M324" s="62" t="s">
        <v>409</v>
      </c>
      <c r="N324" s="62" t="s">
        <v>3668</v>
      </c>
      <c r="O324" s="48" t="s">
        <v>606</v>
      </c>
      <c r="P324" s="48" t="s">
        <v>3041</v>
      </c>
      <c r="Q324" s="48" t="s">
        <v>3669</v>
      </c>
      <c r="R324" s="48" t="s">
        <v>3043</v>
      </c>
      <c r="S324" s="48" t="s">
        <v>3670</v>
      </c>
      <c r="T324" s="48" t="s">
        <v>3671</v>
      </c>
      <c r="U324" s="48" t="s">
        <v>3672</v>
      </c>
      <c r="V324" s="48" t="s">
        <v>3612</v>
      </c>
      <c r="W324" s="48" t="s">
        <v>3613</v>
      </c>
      <c r="X324" s="48" t="s">
        <v>3614</v>
      </c>
      <c r="Y324" s="48" t="s">
        <v>3615</v>
      </c>
      <c r="Z324" s="61"/>
      <c r="AA324" s="48" t="s">
        <v>273</v>
      </c>
      <c r="AB324" s="48" t="s">
        <v>273</v>
      </c>
      <c r="AC324" s="48" t="s">
        <v>273</v>
      </c>
      <c r="AD324" s="48" t="s">
        <v>273</v>
      </c>
      <c r="AE324" s="48" t="s">
        <v>273</v>
      </c>
      <c r="AF324" s="48" t="s">
        <v>273</v>
      </c>
      <c r="AG324" s="48" t="s">
        <v>273</v>
      </c>
      <c r="AH324" s="48" t="s">
        <v>273</v>
      </c>
      <c r="AI324" s="48" t="s">
        <v>273</v>
      </c>
      <c r="AJ324" s="48" t="s">
        <v>273</v>
      </c>
      <c r="AK324" s="48" t="s">
        <v>273</v>
      </c>
      <c r="AL324" s="48" t="s">
        <v>273</v>
      </c>
      <c r="AM324" s="48" t="s">
        <v>273</v>
      </c>
      <c r="AN324" s="48" t="s">
        <v>273</v>
      </c>
      <c r="AO324" s="48" t="s">
        <v>273</v>
      </c>
      <c r="AP324" s="48" t="s">
        <v>273</v>
      </c>
      <c r="AQ324" s="48" t="s">
        <v>273</v>
      </c>
      <c r="AR324" s="48" t="s">
        <v>273</v>
      </c>
      <c r="AS324" s="48" t="s">
        <v>273</v>
      </c>
      <c r="AT324" s="48" t="s">
        <v>273</v>
      </c>
      <c r="AU324" s="93">
        <v>40422</v>
      </c>
      <c r="AV324" s="93"/>
      <c r="AW324" s="93"/>
      <c r="AX324" s="93"/>
      <c r="AY324" s="93"/>
      <c r="AZ324" s="49" t="s">
        <v>626</v>
      </c>
    </row>
    <row r="325" spans="1:52" ht="16.5" customHeight="1" x14ac:dyDescent="0.15">
      <c r="A325" s="144" t="s">
        <v>3673</v>
      </c>
      <c r="B325" s="145" t="s">
        <v>3674</v>
      </c>
      <c r="C325" s="48" t="s">
        <v>330</v>
      </c>
      <c r="D325" s="62" t="s">
        <v>263</v>
      </c>
      <c r="E325" s="48" t="s">
        <v>273</v>
      </c>
      <c r="F325" s="61">
        <v>42499</v>
      </c>
      <c r="G325" s="61">
        <v>42499</v>
      </c>
      <c r="H325" s="125">
        <v>42513</v>
      </c>
      <c r="I325" s="61">
        <v>39506</v>
      </c>
      <c r="J325" s="87"/>
      <c r="K325" s="124" t="s">
        <v>263</v>
      </c>
      <c r="L325" s="124" t="s">
        <v>263</v>
      </c>
      <c r="M325" s="62" t="s">
        <v>394</v>
      </c>
      <c r="N325" s="62" t="s">
        <v>3675</v>
      </c>
      <c r="O325" s="48" t="s">
        <v>396</v>
      </c>
      <c r="P325" s="48" t="s">
        <v>3676</v>
      </c>
      <c r="Q325" s="48" t="s">
        <v>3426</v>
      </c>
      <c r="R325" s="48" t="s">
        <v>399</v>
      </c>
      <c r="S325" s="48" t="s">
        <v>400</v>
      </c>
      <c r="T325" s="48" t="s">
        <v>401</v>
      </c>
      <c r="U325" s="48" t="s">
        <v>3427</v>
      </c>
      <c r="V325" s="122" t="s">
        <v>263</v>
      </c>
      <c r="W325" s="122" t="s">
        <v>263</v>
      </c>
      <c r="X325" s="48" t="s">
        <v>3428</v>
      </c>
      <c r="Y325" s="48" t="s">
        <v>3429</v>
      </c>
      <c r="Z325" s="61"/>
      <c r="AA325" s="48" t="s">
        <v>273</v>
      </c>
      <c r="AB325" s="48" t="s">
        <v>273</v>
      </c>
      <c r="AC325" s="48" t="s">
        <v>273</v>
      </c>
      <c r="AD325" s="48" t="s">
        <v>273</v>
      </c>
      <c r="AE325" s="48" t="s">
        <v>273</v>
      </c>
      <c r="AF325" s="48" t="s">
        <v>273</v>
      </c>
      <c r="AG325" s="48" t="s">
        <v>273</v>
      </c>
      <c r="AH325" s="48" t="s">
        <v>273</v>
      </c>
      <c r="AI325" s="48" t="s">
        <v>273</v>
      </c>
      <c r="AJ325" s="48" t="s">
        <v>273</v>
      </c>
      <c r="AK325" s="48" t="s">
        <v>273</v>
      </c>
      <c r="AL325" s="48" t="s">
        <v>273</v>
      </c>
      <c r="AM325" s="48" t="s">
        <v>273</v>
      </c>
      <c r="AN325" s="48" t="s">
        <v>273</v>
      </c>
      <c r="AO325" s="48" t="s">
        <v>273</v>
      </c>
      <c r="AP325" s="48" t="s">
        <v>273</v>
      </c>
      <c r="AQ325" s="48" t="s">
        <v>273</v>
      </c>
      <c r="AR325" s="48" t="s">
        <v>273</v>
      </c>
      <c r="AS325" s="48" t="s">
        <v>273</v>
      </c>
      <c r="AT325" s="48" t="s">
        <v>273</v>
      </c>
      <c r="AU325" s="93">
        <v>39295</v>
      </c>
      <c r="AV325" s="93"/>
      <c r="AW325" s="93"/>
      <c r="AX325" s="93"/>
      <c r="AY325" s="93"/>
      <c r="AZ325" s="49" t="s">
        <v>3677</v>
      </c>
    </row>
    <row r="326" spans="1:52" ht="16.5" customHeight="1" x14ac:dyDescent="0.15">
      <c r="A326" s="144" t="s">
        <v>3678</v>
      </c>
      <c r="B326" s="145" t="s">
        <v>3679</v>
      </c>
      <c r="C326" s="48" t="s">
        <v>3680</v>
      </c>
      <c r="D326" s="62" t="s">
        <v>263</v>
      </c>
      <c r="E326" s="48" t="s">
        <v>264</v>
      </c>
      <c r="F326" s="61">
        <v>42499</v>
      </c>
      <c r="G326" s="61">
        <v>42499</v>
      </c>
      <c r="H326" s="125">
        <v>42524</v>
      </c>
      <c r="I326" s="61">
        <v>41628</v>
      </c>
      <c r="J326" s="87"/>
      <c r="K326" s="62" t="s">
        <v>12</v>
      </c>
      <c r="L326" s="62">
        <v>3</v>
      </c>
      <c r="M326" s="62" t="s">
        <v>471</v>
      </c>
      <c r="N326" s="62" t="s">
        <v>3681</v>
      </c>
      <c r="O326" s="48" t="s">
        <v>502</v>
      </c>
      <c r="P326" s="48" t="s">
        <v>524</v>
      </c>
      <c r="Q326" s="48" t="s">
        <v>3682</v>
      </c>
      <c r="R326" s="48" t="s">
        <v>399</v>
      </c>
      <c r="S326" s="48" t="s">
        <v>400</v>
      </c>
      <c r="T326" s="48" t="s">
        <v>401</v>
      </c>
      <c r="U326" s="48" t="s">
        <v>3683</v>
      </c>
      <c r="V326" s="122" t="s">
        <v>263</v>
      </c>
      <c r="W326" s="122" t="s">
        <v>263</v>
      </c>
      <c r="X326" s="48" t="s">
        <v>3684</v>
      </c>
      <c r="Y326" s="48" t="s">
        <v>3685</v>
      </c>
      <c r="Z326" s="61"/>
      <c r="AA326" s="48" t="s">
        <v>1356</v>
      </c>
      <c r="AB326" s="48" t="s">
        <v>508</v>
      </c>
      <c r="AC326" s="48" t="s">
        <v>273</v>
      </c>
      <c r="AD326" s="48" t="s">
        <v>273</v>
      </c>
      <c r="AE326" s="48" t="s">
        <v>273</v>
      </c>
      <c r="AF326" s="48" t="s">
        <v>273</v>
      </c>
      <c r="AG326" s="48" t="s">
        <v>273</v>
      </c>
      <c r="AH326" s="48" t="s">
        <v>273</v>
      </c>
      <c r="AI326" s="48" t="s">
        <v>273</v>
      </c>
      <c r="AJ326" s="48" t="s">
        <v>273</v>
      </c>
      <c r="AK326" s="48" t="s">
        <v>1357</v>
      </c>
      <c r="AL326" s="48" t="s">
        <v>509</v>
      </c>
      <c r="AM326" s="48" t="s">
        <v>273</v>
      </c>
      <c r="AN326" s="48" t="s">
        <v>273</v>
      </c>
      <c r="AO326" s="48" t="s">
        <v>273</v>
      </c>
      <c r="AP326" s="48" t="s">
        <v>273</v>
      </c>
      <c r="AQ326" s="48" t="s">
        <v>273</v>
      </c>
      <c r="AR326" s="48" t="s">
        <v>273</v>
      </c>
      <c r="AS326" s="48" t="s">
        <v>273</v>
      </c>
      <c r="AT326" s="48" t="s">
        <v>273</v>
      </c>
      <c r="AU326" s="93">
        <v>41487</v>
      </c>
      <c r="AV326" s="93"/>
      <c r="AW326" s="93"/>
      <c r="AX326" s="93"/>
      <c r="AY326" s="93"/>
    </row>
    <row r="327" spans="1:52" ht="16.5" customHeight="1" x14ac:dyDescent="0.15">
      <c r="A327" s="146" t="s">
        <v>3686</v>
      </c>
      <c r="B327" s="147" t="s">
        <v>3687</v>
      </c>
      <c r="C327" s="48" t="s">
        <v>298</v>
      </c>
      <c r="D327" s="62" t="s">
        <v>263</v>
      </c>
      <c r="E327" s="48" t="s">
        <v>300</v>
      </c>
      <c r="F327" s="61">
        <v>42499</v>
      </c>
      <c r="G327" s="61">
        <v>42499</v>
      </c>
      <c r="H327" s="125">
        <v>42542</v>
      </c>
      <c r="I327" s="61">
        <v>40245</v>
      </c>
      <c r="J327" s="87"/>
      <c r="K327" s="62" t="s">
        <v>14</v>
      </c>
      <c r="L327" s="62">
        <v>3</v>
      </c>
      <c r="M327" s="62" t="s">
        <v>1215</v>
      </c>
      <c r="N327" s="62" t="s">
        <v>3688</v>
      </c>
      <c r="O327" s="48" t="s">
        <v>3424</v>
      </c>
      <c r="P327" s="48" t="s">
        <v>3689</v>
      </c>
      <c r="Q327" s="48" t="s">
        <v>3690</v>
      </c>
      <c r="R327" s="48" t="s">
        <v>399</v>
      </c>
      <c r="S327" s="48" t="s">
        <v>400</v>
      </c>
      <c r="T327" s="48" t="s">
        <v>401</v>
      </c>
      <c r="U327" s="48" t="s">
        <v>3691</v>
      </c>
      <c r="V327" s="122" t="s">
        <v>263</v>
      </c>
      <c r="W327" s="122" t="s">
        <v>263</v>
      </c>
      <c r="X327" s="48" t="s">
        <v>3692</v>
      </c>
      <c r="Y327" s="48" t="s">
        <v>3693</v>
      </c>
      <c r="Z327" s="61"/>
      <c r="AA327" s="48" t="s">
        <v>273</v>
      </c>
      <c r="AB327" s="48" t="s">
        <v>273</v>
      </c>
      <c r="AC327" s="48" t="s">
        <v>273</v>
      </c>
      <c r="AD327" s="48" t="s">
        <v>273</v>
      </c>
      <c r="AE327" s="48" t="s">
        <v>273</v>
      </c>
      <c r="AF327" s="48" t="s">
        <v>273</v>
      </c>
      <c r="AG327" s="48" t="s">
        <v>273</v>
      </c>
      <c r="AH327" s="48" t="s">
        <v>273</v>
      </c>
      <c r="AI327" s="48" t="s">
        <v>273</v>
      </c>
      <c r="AJ327" s="48" t="s">
        <v>273</v>
      </c>
      <c r="AK327" s="48"/>
      <c r="AL327" s="48" t="s">
        <v>273</v>
      </c>
      <c r="AM327" s="48" t="s">
        <v>273</v>
      </c>
      <c r="AN327" s="48" t="s">
        <v>273</v>
      </c>
      <c r="AO327" s="48" t="s">
        <v>273</v>
      </c>
      <c r="AP327" s="48" t="s">
        <v>273</v>
      </c>
      <c r="AQ327" s="48" t="s">
        <v>273</v>
      </c>
      <c r="AR327" s="48" t="s">
        <v>273</v>
      </c>
      <c r="AS327" s="48" t="s">
        <v>273</v>
      </c>
      <c r="AT327" s="48" t="s">
        <v>273</v>
      </c>
      <c r="AU327" s="93">
        <v>40148</v>
      </c>
      <c r="AV327" s="93"/>
      <c r="AW327" s="93"/>
      <c r="AX327" s="93"/>
      <c r="AY327" s="93"/>
      <c r="AZ327" s="49" t="s">
        <v>3694</v>
      </c>
    </row>
    <row r="328" spans="1:52" ht="16.5" customHeight="1" x14ac:dyDescent="0.15">
      <c r="A328" s="144" t="s">
        <v>3695</v>
      </c>
      <c r="B328" s="145" t="s">
        <v>3696</v>
      </c>
      <c r="C328" s="48" t="s">
        <v>298</v>
      </c>
      <c r="D328" s="62" t="s">
        <v>3697</v>
      </c>
      <c r="E328" s="48" t="s">
        <v>300</v>
      </c>
      <c r="F328" s="61">
        <v>42500</v>
      </c>
      <c r="G328" s="61">
        <v>42500</v>
      </c>
      <c r="H328" s="125">
        <v>42514</v>
      </c>
      <c r="I328" s="61" t="s">
        <v>279</v>
      </c>
      <c r="J328" s="87"/>
      <c r="K328" s="62" t="s">
        <v>14</v>
      </c>
      <c r="L328" s="62">
        <v>3</v>
      </c>
      <c r="M328" s="62" t="s">
        <v>209</v>
      </c>
      <c r="N328" s="62" t="s">
        <v>3698</v>
      </c>
      <c r="O328" s="48" t="s">
        <v>1402</v>
      </c>
      <c r="P328" s="48" t="s">
        <v>3699</v>
      </c>
      <c r="Q328" s="48" t="s">
        <v>1451</v>
      </c>
      <c r="R328" s="48" t="s">
        <v>3700</v>
      </c>
      <c r="S328" s="48" t="s">
        <v>3701</v>
      </c>
      <c r="T328" s="48" t="s">
        <v>3702</v>
      </c>
      <c r="U328" s="48" t="s">
        <v>3703</v>
      </c>
      <c r="V328" s="122" t="s">
        <v>263</v>
      </c>
      <c r="W328" s="48" t="s">
        <v>3704</v>
      </c>
      <c r="X328" s="48" t="s">
        <v>3705</v>
      </c>
      <c r="Y328" s="48" t="s">
        <v>3706</v>
      </c>
      <c r="Z328" s="61"/>
      <c r="AA328" s="48" t="s">
        <v>273</v>
      </c>
      <c r="AB328" s="48" t="s">
        <v>273</v>
      </c>
      <c r="AC328" s="48" t="s">
        <v>273</v>
      </c>
      <c r="AD328" s="48" t="s">
        <v>273</v>
      </c>
      <c r="AE328" s="48" t="s">
        <v>273</v>
      </c>
      <c r="AF328" s="48" t="s">
        <v>273</v>
      </c>
      <c r="AG328" s="48" t="s">
        <v>273</v>
      </c>
      <c r="AH328" s="48" t="s">
        <v>273</v>
      </c>
      <c r="AI328" s="48" t="s">
        <v>273</v>
      </c>
      <c r="AJ328" s="48" t="s">
        <v>273</v>
      </c>
      <c r="AK328" s="48" t="s">
        <v>273</v>
      </c>
      <c r="AL328" s="48" t="s">
        <v>273</v>
      </c>
      <c r="AM328" s="48" t="s">
        <v>273</v>
      </c>
      <c r="AN328" s="48" t="s">
        <v>273</v>
      </c>
      <c r="AO328" s="48" t="s">
        <v>273</v>
      </c>
      <c r="AP328" s="48" t="s">
        <v>273</v>
      </c>
      <c r="AQ328" s="48" t="s">
        <v>273</v>
      </c>
      <c r="AR328" s="48" t="s">
        <v>273</v>
      </c>
      <c r="AS328" s="48" t="s">
        <v>273</v>
      </c>
      <c r="AT328" s="48" t="s">
        <v>273</v>
      </c>
      <c r="AU328" s="93">
        <v>40483</v>
      </c>
      <c r="AV328" s="93"/>
      <c r="AW328" s="93"/>
      <c r="AX328" s="93"/>
      <c r="AY328" s="93"/>
    </row>
    <row r="329" spans="1:52" ht="16.5" customHeight="1" x14ac:dyDescent="0.15">
      <c r="A329" s="146" t="s">
        <v>3707</v>
      </c>
      <c r="B329" s="147" t="s">
        <v>3708</v>
      </c>
      <c r="C329" s="48" t="s">
        <v>3709</v>
      </c>
      <c r="D329" s="62" t="s">
        <v>3710</v>
      </c>
      <c r="E329" s="48" t="s">
        <v>264</v>
      </c>
      <c r="F329" s="61">
        <v>42500</v>
      </c>
      <c r="G329" s="61">
        <v>42500</v>
      </c>
      <c r="H329" s="125">
        <v>42541</v>
      </c>
      <c r="I329" s="61" t="s">
        <v>279</v>
      </c>
      <c r="J329" s="87"/>
      <c r="K329" s="62" t="s">
        <v>14</v>
      </c>
      <c r="L329" s="62">
        <v>3</v>
      </c>
      <c r="M329" s="62" t="s">
        <v>680</v>
      </c>
      <c r="N329" s="62" t="s">
        <v>3711</v>
      </c>
      <c r="O329" s="48" t="s">
        <v>2657</v>
      </c>
      <c r="P329" s="48" t="s">
        <v>2754</v>
      </c>
      <c r="Q329" s="48" t="s">
        <v>3712</v>
      </c>
      <c r="R329" s="48" t="s">
        <v>3713</v>
      </c>
      <c r="S329" s="48" t="s">
        <v>3714</v>
      </c>
      <c r="T329" s="48" t="s">
        <v>3715</v>
      </c>
      <c r="U329" s="48" t="s">
        <v>3716</v>
      </c>
      <c r="V329" s="122" t="s">
        <v>263</v>
      </c>
      <c r="W329" s="122" t="s">
        <v>263</v>
      </c>
      <c r="X329" s="48" t="s">
        <v>3717</v>
      </c>
      <c r="Y329" s="48" t="s">
        <v>3718</v>
      </c>
      <c r="Z329" s="61"/>
      <c r="AA329" s="48" t="s">
        <v>833</v>
      </c>
      <c r="AB329" s="48" t="s">
        <v>273</v>
      </c>
      <c r="AC329" s="48" t="s">
        <v>273</v>
      </c>
      <c r="AD329" s="48" t="s">
        <v>273</v>
      </c>
      <c r="AE329" s="48" t="s">
        <v>273</v>
      </c>
      <c r="AF329" s="48" t="s">
        <v>273</v>
      </c>
      <c r="AG329" s="48" t="s">
        <v>273</v>
      </c>
      <c r="AH329" s="48" t="s">
        <v>273</v>
      </c>
      <c r="AI329" s="48" t="s">
        <v>273</v>
      </c>
      <c r="AJ329" s="48" t="s">
        <v>273</v>
      </c>
      <c r="AK329" s="48" t="s">
        <v>834</v>
      </c>
      <c r="AL329" s="48" t="s">
        <v>273</v>
      </c>
      <c r="AM329" s="48" t="s">
        <v>273</v>
      </c>
      <c r="AN329" s="48" t="s">
        <v>273</v>
      </c>
      <c r="AO329" s="48" t="s">
        <v>273</v>
      </c>
      <c r="AP329" s="48" t="s">
        <v>273</v>
      </c>
      <c r="AQ329" s="48" t="s">
        <v>273</v>
      </c>
      <c r="AR329" s="48" t="s">
        <v>273</v>
      </c>
      <c r="AS329" s="48" t="s">
        <v>273</v>
      </c>
      <c r="AT329" s="48" t="s">
        <v>273</v>
      </c>
      <c r="AU329" s="93">
        <v>41548</v>
      </c>
      <c r="AV329" s="93"/>
      <c r="AW329" s="93"/>
      <c r="AX329" s="93"/>
      <c r="AY329" s="93"/>
      <c r="AZ329" s="49" t="s">
        <v>3719</v>
      </c>
    </row>
    <row r="330" spans="1:52" ht="16.5" customHeight="1" x14ac:dyDescent="0.15">
      <c r="A330" s="121" t="s">
        <v>3720</v>
      </c>
      <c r="B330" s="47" t="s">
        <v>3721</v>
      </c>
      <c r="C330" s="48" t="e">
        <f ca="1">INDIRECT("'["&amp;$C$1&amp;".xls]"&amp;$B330&amp;"'!$i$7")</f>
        <v>#REF!</v>
      </c>
      <c r="D330" s="62" t="e">
        <f ca="1">INDIRECT("'["&amp;$C$1&amp;".xls]"&amp;$B330&amp;"'!$b$7")</f>
        <v>#REF!</v>
      </c>
      <c r="E330" s="48" t="e">
        <f ca="1">IF(INDIRECT("'["&amp;$C$1&amp;".xls]"&amp;$B330&amp;"'!$i$2")="","",INDIRECT("'["&amp;$C$1&amp;".xls]"&amp;$B330&amp;"'!$i$2"))</f>
        <v>#REF!</v>
      </c>
      <c r="F330" s="61" t="e">
        <f ca="1">INDIRECT("'["&amp;$C$1&amp;".xls]"&amp;$B330&amp;"'!$b$2")</f>
        <v>#REF!</v>
      </c>
      <c r="G330" s="61" t="e">
        <f ca="1">INDIRECT("'["&amp;$C$1&amp;".xls]"&amp;$B330&amp;"'!$a$20")</f>
        <v>#REF!</v>
      </c>
      <c r="H330" s="88" t="e">
        <f ca="1">INDIRECT("'["&amp;$C$1&amp;".xls]"&amp;$B330&amp;"'!$Q$22")</f>
        <v>#REF!</v>
      </c>
      <c r="I330" s="61" t="e">
        <f ca="1">INDIRECT("'["&amp;$C$1&amp;".xls]"&amp;$B330&amp;"'!$f$6")</f>
        <v>#REF!</v>
      </c>
      <c r="J330" s="87"/>
      <c r="K330" s="62" t="e">
        <f ca="1">INDIRECT("'["&amp;$C$1&amp;".xls]"&amp;$B330&amp;"'!$f$25")</f>
        <v>#REF!</v>
      </c>
      <c r="L330" s="62"/>
      <c r="M330" s="62" t="e">
        <f ca="1">INDIRECT("'["&amp;$C$1&amp;".xls]"&amp;$B330&amp;"'!$f$4")</f>
        <v>#REF!</v>
      </c>
      <c r="N330" s="62" t="e">
        <f ca="1">INDIRECT("'["&amp;$C$1&amp;".xls]"&amp;$B330&amp;"'!$i$4")</f>
        <v>#REF!</v>
      </c>
      <c r="O330" s="48" t="e">
        <f ca="1">INDIRECT("'["&amp;$C$1&amp;".xls]"&amp;$B330&amp;"'!$l$4")</f>
        <v>#REF!</v>
      </c>
      <c r="P330" s="48" t="e">
        <f ca="1">INDIRECT("'["&amp;$C$1&amp;".xls]"&amp;$B330&amp;"'!$b$5")</f>
        <v>#REF!</v>
      </c>
      <c r="Q330" s="48" t="e">
        <f ca="1">INDIRECT("'["&amp;$C$1&amp;".xls]"&amp;$B330&amp;"'!$f$5")</f>
        <v>#REF!</v>
      </c>
      <c r="R330" s="48"/>
      <c r="S330" s="48" t="e">
        <f ca="1">INDIRECT("'["&amp;$C$1&amp;".xls]"&amp;$B330&amp;"'!$i$5")</f>
        <v>#REF!</v>
      </c>
      <c r="T330" s="48" t="e">
        <f ca="1">INDIRECT("'["&amp;$C$1&amp;".xls]"&amp;$B330&amp;"'!$l$5")</f>
        <v>#REF!</v>
      </c>
      <c r="U330" s="48" t="e">
        <f ca="1">INDIRECT("'["&amp;$C$1&amp;".xls]"&amp;$B330&amp;"'!$b$4")</f>
        <v>#REF!</v>
      </c>
      <c r="V330" s="48"/>
      <c r="W330" s="48"/>
      <c r="X330" s="48"/>
      <c r="Y330" s="48"/>
      <c r="Z330" s="61"/>
      <c r="AA330" s="48" t="e">
        <f ca="1">IF(INDIRECT("'["&amp;$C$1&amp;".xls]"&amp;$B330&amp;"'!$P$25")="","",IF(INDIRECT("'["&amp;$C$1&amp;".xls]"&amp;$B330&amp;"'!$O$25")="済み",INDIRECT("'["&amp;$C$1&amp;".xls]"&amp;$B330&amp;"'!$P$25"),""))</f>
        <v>#REF!</v>
      </c>
      <c r="AB330" s="48" t="e">
        <f ca="1">IF(INDIRECT("'["&amp;$C$1&amp;".xls]"&amp;$B330&amp;"'!$P$26")="","",IF(INDIRECT("'["&amp;$C$1&amp;".xls]"&amp;$B330&amp;"'!$O$26")="済み",INDIRECT("'["&amp;$C$1&amp;".xls]"&amp;$B330&amp;"'!$P$26"),""))</f>
        <v>#REF!</v>
      </c>
      <c r="AC330" s="48" t="e">
        <f ca="1">IF(INDIRECT("'["&amp;$C$1&amp;".xls]"&amp;$B330&amp;"'!$P$27")="","",IF(INDIRECT("'["&amp;$C$1&amp;".xls]"&amp;$B330&amp;"'!$O$27")="済み",INDIRECT("'["&amp;$C$1&amp;".xls]"&amp;$B330&amp;"'!$P$27"),""))</f>
        <v>#REF!</v>
      </c>
      <c r="AD330" s="48" t="e">
        <f ca="1">IF(INDIRECT("'["&amp;$C$1&amp;".xls]"&amp;$B330&amp;"'!$P$28")="","",IF(INDIRECT("'["&amp;$C$1&amp;".xls]"&amp;$B330&amp;"'!$O$28")="済み",INDIRECT("'["&amp;$C$1&amp;".xls]"&amp;$B330&amp;"'!$P$28"),""))</f>
        <v>#REF!</v>
      </c>
      <c r="AE330" s="48" t="e">
        <f ca="1">IF(INDIRECT("'["&amp;$C$1&amp;".xls]"&amp;$B330&amp;"'!$P$29")="","",IF(INDIRECT("'["&amp;$C$1&amp;".xls]"&amp;$B330&amp;"'!$O$29")="済み",INDIRECT("'["&amp;$C$1&amp;".xls]"&amp;$B330&amp;"'!$P$29"),""))</f>
        <v>#REF!</v>
      </c>
      <c r="AF330" s="48" t="e">
        <f ca="1">IF(INDIRECT("'["&amp;$C$1&amp;".xls]"&amp;$B330&amp;"'!$P$30")="","",IF(INDIRECT("'["&amp;$C$1&amp;".xls]"&amp;$B330&amp;"'!$O$30")="済み",INDIRECT("'["&amp;$C$1&amp;".xls]"&amp;$B330&amp;"'!$P$30"),""))</f>
        <v>#REF!</v>
      </c>
      <c r="AG330" s="48" t="e">
        <f ca="1">IF(INDIRECT("'["&amp;$C$1&amp;".xls]"&amp;$B330&amp;"'!$P$31")="","",IF(INDIRECT("'["&amp;$C$1&amp;".xls]"&amp;$B330&amp;"'!$O$31")="済み",INDIRECT("'["&amp;$C$1&amp;".xls]"&amp;$B330&amp;"'!$P$31"),""))</f>
        <v>#REF!</v>
      </c>
      <c r="AH330" s="48" t="e">
        <f ca="1">IF(INDIRECT("'["&amp;$C$1&amp;".xls]"&amp;$B330&amp;"'!$P$32")="","",IF(INDIRECT("'["&amp;$C$1&amp;".xls]"&amp;$B330&amp;"'!$O$32")="済み",INDIRECT("'["&amp;$C$1&amp;".xls]"&amp;$B330&amp;"'!$P$32"),""))</f>
        <v>#REF!</v>
      </c>
      <c r="AI330" s="48" t="e">
        <f ca="1">IF(INDIRECT("'["&amp;$C$1&amp;".xls]"&amp;$B330&amp;"'!$P$33")="","",IF(INDIRECT("'["&amp;$C$1&amp;".xls]"&amp;$B330&amp;"'!$O$33")="済み",INDIRECT("'["&amp;$C$1&amp;".xls]"&amp;$B330&amp;"'!$P$33"),""))</f>
        <v>#REF!</v>
      </c>
      <c r="AJ330" s="48" t="e">
        <f ca="1">IF(INDIRECT("'["&amp;$C$1&amp;".xls]"&amp;$B330&amp;"'!$P$34")="","",IF(INDIRECT("'["&amp;$C$1&amp;".xls]"&amp;$B330&amp;"'!$O$34")="済み",INDIRECT("'["&amp;$C$1&amp;".xls]"&amp;$B330&amp;"'!$P$34"),""))</f>
        <v>#REF!</v>
      </c>
      <c r="AK330" s="48" t="e">
        <f ca="1">IF(INDIRECT("'["&amp;$C$1&amp;".xls]"&amp;$B330&amp;"'!$T25")="","",IF(INDIRECT("'["&amp;$C$1&amp;".xls]"&amp;$B330&amp;"'!$O$25")="済み",INDIRECT("'["&amp;$C$1&amp;".xls]"&amp;$B330&amp;"'!$T$25"),""))</f>
        <v>#REF!</v>
      </c>
      <c r="AL330" s="48" t="e">
        <f ca="1">IF(INDIRECT("'["&amp;$C$1&amp;".xls]"&amp;$B330&amp;"'!$T26")="","",IF(INDIRECT("'["&amp;$C$1&amp;".xls]"&amp;$B330&amp;"'!$O$26")="済み",INDIRECT("'["&amp;$C$1&amp;".xls]"&amp;$B330&amp;"'!$T$26"),""))</f>
        <v>#REF!</v>
      </c>
      <c r="AM330" s="48" t="e">
        <f ca="1">IF(INDIRECT("'["&amp;$C$1&amp;".xls]"&amp;$B330&amp;"'!$T27")="","",IF(INDIRECT("'["&amp;$C$1&amp;".xls]"&amp;$B330&amp;"'!$O$27")="済み",INDIRECT("'["&amp;$C$1&amp;".xls]"&amp;$B330&amp;"'!$T$27"),""))</f>
        <v>#REF!</v>
      </c>
      <c r="AN330" s="48" t="e">
        <f ca="1">IF(INDIRECT("'["&amp;$C$1&amp;".xls]"&amp;$B330&amp;"'!$T28")="","",IF(INDIRECT("'["&amp;$C$1&amp;".xls]"&amp;$B330&amp;"'!$O$28")="済み",INDIRECT("'["&amp;$C$1&amp;".xls]"&amp;$B330&amp;"'!$T$28"),""))</f>
        <v>#REF!</v>
      </c>
      <c r="AO330" s="48" t="e">
        <f ca="1">IF(INDIRECT("'["&amp;$C$1&amp;".xls]"&amp;$B330&amp;"'!$T29")="","",IF(INDIRECT("'["&amp;$C$1&amp;".xls]"&amp;$B330&amp;"'!$O$29")="済み",INDIRECT("'["&amp;$C$1&amp;".xls]"&amp;$B330&amp;"'!$T$29"),""))</f>
        <v>#REF!</v>
      </c>
      <c r="AP330" s="48" t="e">
        <f ca="1">IF(INDIRECT("'["&amp;$C$1&amp;".xls]"&amp;$B330&amp;"'!$T30")="","",IF(INDIRECT("'["&amp;$C$1&amp;".xls]"&amp;$B330&amp;"'!$O$30")="済み",INDIRECT("'["&amp;$C$1&amp;".xls]"&amp;$B330&amp;"'!$T$30"),""))</f>
        <v>#REF!</v>
      </c>
      <c r="AQ330" s="48" t="e">
        <f ca="1">IF(INDIRECT("'["&amp;$C$1&amp;".xls]"&amp;$B330&amp;"'!$T31")="","",IF(INDIRECT("'["&amp;$C$1&amp;".xls]"&amp;$B330&amp;"'!$O$31")="済み",INDIRECT("'["&amp;$C$1&amp;".xls]"&amp;$B330&amp;"'!$T$31"),""))</f>
        <v>#REF!</v>
      </c>
      <c r="AR330" s="48" t="e">
        <f ca="1">IF(INDIRECT("'["&amp;$C$1&amp;".xls]"&amp;$B330&amp;"'!$T32")="","",IF(INDIRECT("'["&amp;$C$1&amp;".xls]"&amp;$B330&amp;"'!$O$32")="済み",INDIRECT("'["&amp;$C$1&amp;".xls]"&amp;$B330&amp;"'!$T$32"),""))</f>
        <v>#REF!</v>
      </c>
      <c r="AS330" s="48" t="e">
        <f ca="1">IF(INDIRECT("'["&amp;$C$1&amp;".xls]"&amp;$B330&amp;"'!$T33")="","",IF(INDIRECT("'["&amp;$C$1&amp;".xls]"&amp;$B330&amp;"'!$O$33")="済み",INDIRECT("'["&amp;$C$1&amp;".xls]"&amp;$B330&amp;"'!$T$33"),""))</f>
        <v>#REF!</v>
      </c>
      <c r="AT330" s="48" t="e">
        <f ca="1">IF(INDIRECT("'["&amp;$C$1&amp;".xls]"&amp;$B330&amp;"'!$T34")="","",IF(INDIRECT("'["&amp;$C$1&amp;".xls]"&amp;$B330&amp;"'!$O$34")="済み",INDIRECT("'["&amp;$C$1&amp;".xls]"&amp;$B330&amp;"'!$T$34"),""))</f>
        <v>#REF!</v>
      </c>
      <c r="AU330" s="93" t="e">
        <f ca="1">INDIRECT("'["&amp;$C$1&amp;".xls]"&amp;$B330&amp;"'!$B$6")</f>
        <v>#REF!</v>
      </c>
      <c r="AV330" s="93"/>
      <c r="AW330" s="93"/>
      <c r="AX330" s="93"/>
      <c r="AY330" s="93"/>
    </row>
    <row r="331" spans="1:52" ht="16.5" customHeight="1" x14ac:dyDescent="0.15">
      <c r="A331" s="146" t="s">
        <v>3722</v>
      </c>
      <c r="B331" s="147" t="s">
        <v>3723</v>
      </c>
      <c r="C331" s="48" t="s">
        <v>330</v>
      </c>
      <c r="D331" s="62" t="s">
        <v>3724</v>
      </c>
      <c r="E331" s="48" t="s">
        <v>300</v>
      </c>
      <c r="F331" s="61">
        <v>42501</v>
      </c>
      <c r="G331" s="61">
        <v>42501</v>
      </c>
      <c r="H331" s="125">
        <v>42523</v>
      </c>
      <c r="I331" s="61" t="s">
        <v>279</v>
      </c>
      <c r="J331" s="87"/>
      <c r="K331" s="62" t="s">
        <v>14</v>
      </c>
      <c r="L331" s="62">
        <v>3</v>
      </c>
      <c r="M331" s="62" t="s">
        <v>3725</v>
      </c>
      <c r="N331" s="62" t="s">
        <v>3726</v>
      </c>
      <c r="O331" s="48" t="s">
        <v>263</v>
      </c>
      <c r="P331" s="48" t="s">
        <v>3727</v>
      </c>
      <c r="Q331" s="48" t="s">
        <v>3728</v>
      </c>
      <c r="R331" s="48" t="s">
        <v>3729</v>
      </c>
      <c r="S331" s="48" t="s">
        <v>3730</v>
      </c>
      <c r="T331" s="48" t="s">
        <v>3731</v>
      </c>
      <c r="U331" s="48" t="s">
        <v>3732</v>
      </c>
      <c r="V331" s="122" t="s">
        <v>263</v>
      </c>
      <c r="W331" s="122" t="s">
        <v>263</v>
      </c>
      <c r="X331" s="48" t="s">
        <v>3733</v>
      </c>
      <c r="Y331" s="48" t="s">
        <v>3734</v>
      </c>
      <c r="Z331" s="61"/>
      <c r="AA331" s="48" t="s">
        <v>1249</v>
      </c>
      <c r="AB331" s="48" t="s">
        <v>1249</v>
      </c>
      <c r="AC331" s="48" t="s">
        <v>1249</v>
      </c>
      <c r="AD331" s="48" t="s">
        <v>273</v>
      </c>
      <c r="AE331" s="48" t="s">
        <v>273</v>
      </c>
      <c r="AF331" s="48" t="s">
        <v>273</v>
      </c>
      <c r="AG331" s="48" t="s">
        <v>273</v>
      </c>
      <c r="AH331" s="48" t="s">
        <v>273</v>
      </c>
      <c r="AI331" s="48" t="s">
        <v>273</v>
      </c>
      <c r="AJ331" s="48" t="s">
        <v>273</v>
      </c>
      <c r="AK331" s="48" t="s">
        <v>3105</v>
      </c>
      <c r="AL331" s="48" t="s">
        <v>3735</v>
      </c>
      <c r="AM331" s="48" t="s">
        <v>3736</v>
      </c>
      <c r="AN331" s="48" t="s">
        <v>273</v>
      </c>
      <c r="AO331" s="48" t="s">
        <v>273</v>
      </c>
      <c r="AP331" s="48" t="s">
        <v>273</v>
      </c>
      <c r="AQ331" s="48" t="s">
        <v>273</v>
      </c>
      <c r="AR331" s="48" t="s">
        <v>273</v>
      </c>
      <c r="AS331" s="48" t="s">
        <v>273</v>
      </c>
      <c r="AT331" s="48" t="s">
        <v>273</v>
      </c>
      <c r="AU331" s="93" t="s">
        <v>263</v>
      </c>
      <c r="AV331" s="93"/>
      <c r="AW331" s="93"/>
      <c r="AX331" s="93"/>
      <c r="AY331" s="93"/>
    </row>
    <row r="332" spans="1:52" ht="16.5" customHeight="1" x14ac:dyDescent="0.15">
      <c r="A332" s="151" t="s">
        <v>3737</v>
      </c>
      <c r="B332" s="152" t="s">
        <v>3738</v>
      </c>
      <c r="C332" s="48" t="s">
        <v>3739</v>
      </c>
      <c r="D332" s="62" t="s">
        <v>263</v>
      </c>
      <c r="E332" s="48" t="s">
        <v>264</v>
      </c>
      <c r="F332" s="61">
        <v>42501</v>
      </c>
      <c r="G332" s="61">
        <v>42501</v>
      </c>
      <c r="H332" s="125">
        <v>42565</v>
      </c>
      <c r="I332" s="61" t="s">
        <v>3740</v>
      </c>
      <c r="J332" s="87"/>
      <c r="K332" s="62" t="s">
        <v>16</v>
      </c>
      <c r="L332" s="124" t="s">
        <v>263</v>
      </c>
      <c r="M332" s="62" t="s">
        <v>209</v>
      </c>
      <c r="N332" s="62" t="s">
        <v>3741</v>
      </c>
      <c r="O332" s="48" t="s">
        <v>263</v>
      </c>
      <c r="P332" s="48" t="s">
        <v>267</v>
      </c>
      <c r="Q332" s="48" t="s">
        <v>3742</v>
      </c>
      <c r="R332" s="48"/>
      <c r="S332" s="48" t="s">
        <v>269</v>
      </c>
      <c r="T332" s="48" t="s">
        <v>270</v>
      </c>
      <c r="U332" s="48" t="s">
        <v>3743</v>
      </c>
      <c r="V332" s="122" t="s">
        <v>263</v>
      </c>
      <c r="W332" s="122" t="s">
        <v>263</v>
      </c>
      <c r="X332" s="48" t="s">
        <v>3744</v>
      </c>
      <c r="Y332" s="48" t="s">
        <v>3745</v>
      </c>
      <c r="Z332" s="61"/>
      <c r="AA332" s="48" t="s">
        <v>781</v>
      </c>
      <c r="AB332" s="48" t="s">
        <v>273</v>
      </c>
      <c r="AC332" s="48" t="s">
        <v>273</v>
      </c>
      <c r="AD332" s="48" t="s">
        <v>273</v>
      </c>
      <c r="AE332" s="48" t="s">
        <v>273</v>
      </c>
      <c r="AF332" s="48" t="s">
        <v>273</v>
      </c>
      <c r="AG332" s="48" t="s">
        <v>273</v>
      </c>
      <c r="AH332" s="48" t="s">
        <v>273</v>
      </c>
      <c r="AI332" s="48" t="s">
        <v>273</v>
      </c>
      <c r="AJ332" s="48" t="s">
        <v>273</v>
      </c>
      <c r="AK332" s="48" t="s">
        <v>785</v>
      </c>
      <c r="AL332" s="48" t="s">
        <v>273</v>
      </c>
      <c r="AM332" s="48" t="s">
        <v>273</v>
      </c>
      <c r="AN332" s="48" t="s">
        <v>273</v>
      </c>
      <c r="AO332" s="48" t="s">
        <v>273</v>
      </c>
      <c r="AP332" s="48" t="s">
        <v>273</v>
      </c>
      <c r="AQ332" s="48" t="s">
        <v>273</v>
      </c>
      <c r="AR332" s="48" t="s">
        <v>273</v>
      </c>
      <c r="AS332" s="48" t="s">
        <v>273</v>
      </c>
      <c r="AT332" s="48" t="s">
        <v>273</v>
      </c>
      <c r="AU332" s="93" t="s">
        <v>263</v>
      </c>
      <c r="AV332" s="93"/>
      <c r="AW332" s="93"/>
      <c r="AX332" s="93"/>
      <c r="AY332" s="93"/>
    </row>
    <row r="333" spans="1:52" ht="16.5" customHeight="1" x14ac:dyDescent="0.15">
      <c r="A333" s="153" t="s">
        <v>3746</v>
      </c>
      <c r="B333" s="154" t="s">
        <v>3747</v>
      </c>
      <c r="C333" s="48" t="s">
        <v>298</v>
      </c>
      <c r="D333" s="62" t="s">
        <v>3748</v>
      </c>
      <c r="E333" s="48" t="s">
        <v>300</v>
      </c>
      <c r="F333" s="61">
        <v>42502</v>
      </c>
      <c r="G333" s="61">
        <v>42502</v>
      </c>
      <c r="H333" s="125">
        <v>42601</v>
      </c>
      <c r="I333" s="61" t="s">
        <v>279</v>
      </c>
      <c r="J333" s="87"/>
      <c r="K333" s="62" t="s">
        <v>16</v>
      </c>
      <c r="L333" s="124" t="s">
        <v>263</v>
      </c>
      <c r="M333" s="62" t="s">
        <v>209</v>
      </c>
      <c r="N333" s="62" t="s">
        <v>315</v>
      </c>
      <c r="O333" s="48" t="s">
        <v>316</v>
      </c>
      <c r="P333" s="48" t="s">
        <v>317</v>
      </c>
      <c r="Q333" s="48" t="s">
        <v>318</v>
      </c>
      <c r="R333" s="48"/>
      <c r="S333" s="48" t="s">
        <v>320</v>
      </c>
      <c r="T333" s="48" t="s">
        <v>321</v>
      </c>
      <c r="U333" s="48" t="s">
        <v>3749</v>
      </c>
      <c r="V333" s="122" t="s">
        <v>263</v>
      </c>
      <c r="W333" s="122" t="s">
        <v>263</v>
      </c>
      <c r="X333" s="48" t="s">
        <v>325</v>
      </c>
      <c r="Y333" s="48" t="s">
        <v>479</v>
      </c>
      <c r="Z333" s="61"/>
      <c r="AA333" s="48" t="s">
        <v>273</v>
      </c>
      <c r="AB333" s="48" t="s">
        <v>273</v>
      </c>
      <c r="AC333" s="48" t="s">
        <v>273</v>
      </c>
      <c r="AD333" s="48" t="s">
        <v>273</v>
      </c>
      <c r="AE333" s="48" t="s">
        <v>273</v>
      </c>
      <c r="AF333" s="48" t="s">
        <v>273</v>
      </c>
      <c r="AG333" s="48" t="s">
        <v>273</v>
      </c>
      <c r="AH333" s="48" t="s">
        <v>273</v>
      </c>
      <c r="AI333" s="48" t="s">
        <v>273</v>
      </c>
      <c r="AJ333" s="48" t="s">
        <v>273</v>
      </c>
      <c r="AK333" s="48" t="s">
        <v>273</v>
      </c>
      <c r="AL333" s="48" t="s">
        <v>273</v>
      </c>
      <c r="AM333" s="48" t="s">
        <v>273</v>
      </c>
      <c r="AN333" s="48" t="s">
        <v>273</v>
      </c>
      <c r="AO333" s="48" t="s">
        <v>273</v>
      </c>
      <c r="AP333" s="48" t="s">
        <v>273</v>
      </c>
      <c r="AQ333" s="48" t="s">
        <v>273</v>
      </c>
      <c r="AR333" s="48" t="s">
        <v>273</v>
      </c>
      <c r="AS333" s="48" t="s">
        <v>273</v>
      </c>
      <c r="AT333" s="48" t="s">
        <v>273</v>
      </c>
      <c r="AU333" s="93">
        <v>40299</v>
      </c>
      <c r="AV333" s="93"/>
      <c r="AW333" s="93"/>
      <c r="AX333" s="93"/>
      <c r="AY333" s="93"/>
      <c r="AZ333" s="49" t="s">
        <v>3750</v>
      </c>
    </row>
    <row r="334" spans="1:52" ht="16.5" customHeight="1" x14ac:dyDescent="0.15">
      <c r="A334" s="146" t="s">
        <v>3751</v>
      </c>
      <c r="B334" s="147" t="s">
        <v>3752</v>
      </c>
      <c r="C334" s="48" t="s">
        <v>298</v>
      </c>
      <c r="D334" s="62" t="s">
        <v>263</v>
      </c>
      <c r="E334" s="48" t="s">
        <v>300</v>
      </c>
      <c r="F334" s="61">
        <v>42503</v>
      </c>
      <c r="G334" s="61">
        <v>42503</v>
      </c>
      <c r="H334" s="125">
        <v>42541</v>
      </c>
      <c r="I334" s="61" t="s">
        <v>279</v>
      </c>
      <c r="J334" s="87"/>
      <c r="K334" s="62" t="s">
        <v>16</v>
      </c>
      <c r="L334" s="62">
        <v>5</v>
      </c>
      <c r="M334" s="62" t="s">
        <v>680</v>
      </c>
      <c r="N334" s="62" t="s">
        <v>3753</v>
      </c>
      <c r="O334" s="48" t="s">
        <v>2657</v>
      </c>
      <c r="P334" s="48" t="s">
        <v>3754</v>
      </c>
      <c r="Q334" s="48" t="s">
        <v>3755</v>
      </c>
      <c r="R334" s="48" t="s">
        <v>3756</v>
      </c>
      <c r="S334" s="48" t="s">
        <v>3757</v>
      </c>
      <c r="T334" s="48" t="s">
        <v>3758</v>
      </c>
      <c r="U334" s="48" t="s">
        <v>658</v>
      </c>
      <c r="V334" s="122" t="s">
        <v>263</v>
      </c>
      <c r="W334" s="122" t="s">
        <v>263</v>
      </c>
      <c r="X334" s="48" t="s">
        <v>3759</v>
      </c>
      <c r="Y334" s="48" t="s">
        <v>3760</v>
      </c>
      <c r="Z334" s="61"/>
      <c r="AA334" s="48" t="s">
        <v>273</v>
      </c>
      <c r="AB334" s="48" t="s">
        <v>273</v>
      </c>
      <c r="AC334" s="48" t="s">
        <v>273</v>
      </c>
      <c r="AD334" s="48" t="s">
        <v>273</v>
      </c>
      <c r="AE334" s="48" t="s">
        <v>273</v>
      </c>
      <c r="AF334" s="48" t="s">
        <v>273</v>
      </c>
      <c r="AG334" s="48" t="s">
        <v>273</v>
      </c>
      <c r="AH334" s="48" t="s">
        <v>273</v>
      </c>
      <c r="AI334" s="48" t="s">
        <v>273</v>
      </c>
      <c r="AJ334" s="48" t="s">
        <v>273</v>
      </c>
      <c r="AK334" s="48" t="s">
        <v>273</v>
      </c>
      <c r="AL334" s="48" t="s">
        <v>273</v>
      </c>
      <c r="AM334" s="48" t="s">
        <v>273</v>
      </c>
      <c r="AN334" s="48" t="s">
        <v>273</v>
      </c>
      <c r="AO334" s="48" t="s">
        <v>273</v>
      </c>
      <c r="AP334" s="48" t="s">
        <v>273</v>
      </c>
      <c r="AQ334" s="48" t="s">
        <v>273</v>
      </c>
      <c r="AR334" s="48" t="s">
        <v>273</v>
      </c>
      <c r="AS334" s="48" t="s">
        <v>273</v>
      </c>
      <c r="AT334" s="48" t="s">
        <v>273</v>
      </c>
      <c r="AU334" s="93">
        <v>41671</v>
      </c>
      <c r="AV334" s="93"/>
      <c r="AW334" s="93"/>
      <c r="AX334" s="93"/>
      <c r="AY334" s="93"/>
      <c r="AZ334" s="49" t="s">
        <v>3761</v>
      </c>
    </row>
    <row r="335" spans="1:52" ht="16.5" customHeight="1" x14ac:dyDescent="0.15">
      <c r="A335" s="146" t="s">
        <v>3762</v>
      </c>
      <c r="B335" s="147" t="s">
        <v>3763</v>
      </c>
      <c r="C335" s="48" t="s">
        <v>3764</v>
      </c>
      <c r="D335" s="62" t="s">
        <v>263</v>
      </c>
      <c r="E335" s="48" t="s">
        <v>264</v>
      </c>
      <c r="F335" s="61">
        <v>42503</v>
      </c>
      <c r="G335" s="61">
        <v>42503</v>
      </c>
      <c r="H335" s="125">
        <v>42523</v>
      </c>
      <c r="I335" s="61" t="s">
        <v>1249</v>
      </c>
      <c r="J335" s="87"/>
      <c r="K335" s="62" t="s">
        <v>14</v>
      </c>
      <c r="L335" s="62">
        <v>3</v>
      </c>
      <c r="M335" s="62" t="s">
        <v>3765</v>
      </c>
      <c r="N335" s="62" t="s">
        <v>3766</v>
      </c>
      <c r="O335" s="48" t="s">
        <v>1480</v>
      </c>
      <c r="P335" s="48" t="s">
        <v>267</v>
      </c>
      <c r="Q335" s="48" t="s">
        <v>892</v>
      </c>
      <c r="R335" s="122" t="s">
        <v>263</v>
      </c>
      <c r="S335" s="48" t="s">
        <v>269</v>
      </c>
      <c r="T335" s="48" t="s">
        <v>270</v>
      </c>
      <c r="U335" s="48" t="s">
        <v>3767</v>
      </c>
      <c r="V335" s="122" t="s">
        <v>263</v>
      </c>
      <c r="W335" s="122" t="s">
        <v>263</v>
      </c>
      <c r="X335" s="122" t="s">
        <v>263</v>
      </c>
      <c r="Y335" s="122" t="s">
        <v>263</v>
      </c>
      <c r="Z335" s="61"/>
      <c r="AA335" s="48" t="s">
        <v>1489</v>
      </c>
      <c r="AB335" s="48" t="s">
        <v>273</v>
      </c>
      <c r="AC335" s="48" t="s">
        <v>273</v>
      </c>
      <c r="AD335" s="48" t="s">
        <v>273</v>
      </c>
      <c r="AE335" s="48" t="s">
        <v>273</v>
      </c>
      <c r="AF335" s="48" t="s">
        <v>273</v>
      </c>
      <c r="AG335" s="48" t="s">
        <v>273</v>
      </c>
      <c r="AH335" s="48" t="s">
        <v>273</v>
      </c>
      <c r="AI335" s="48" t="s">
        <v>273</v>
      </c>
      <c r="AJ335" s="48" t="s">
        <v>273</v>
      </c>
      <c r="AK335" s="48" t="s">
        <v>1490</v>
      </c>
      <c r="AL335" s="48" t="s">
        <v>273</v>
      </c>
      <c r="AM335" s="48" t="s">
        <v>273</v>
      </c>
      <c r="AN335" s="48" t="s">
        <v>273</v>
      </c>
      <c r="AO335" s="48" t="s">
        <v>273</v>
      </c>
      <c r="AP335" s="48" t="s">
        <v>273</v>
      </c>
      <c r="AQ335" s="48" t="s">
        <v>273</v>
      </c>
      <c r="AR335" s="48" t="s">
        <v>273</v>
      </c>
      <c r="AS335" s="48" t="s">
        <v>273</v>
      </c>
      <c r="AT335" s="48" t="s">
        <v>273</v>
      </c>
      <c r="AU335" s="93">
        <v>40756</v>
      </c>
      <c r="AV335" s="93"/>
      <c r="AW335" s="93"/>
      <c r="AX335" s="93"/>
      <c r="AY335" s="93"/>
    </row>
    <row r="336" spans="1:52" ht="16.5" customHeight="1" x14ac:dyDescent="0.15">
      <c r="A336" s="121" t="s">
        <v>3768</v>
      </c>
      <c r="B336" s="47" t="s">
        <v>3769</v>
      </c>
      <c r="C336" s="48" t="e">
        <f ca="1">INDIRECT("'["&amp;$C$1&amp;".xls]"&amp;$B336&amp;"'!$i$7")</f>
        <v>#REF!</v>
      </c>
      <c r="D336" s="62" t="e">
        <f ca="1">INDIRECT("'["&amp;$C$1&amp;".xls]"&amp;$B336&amp;"'!$b$7")</f>
        <v>#REF!</v>
      </c>
      <c r="E336" s="48" t="e">
        <f ca="1">IF(INDIRECT("'["&amp;$C$1&amp;".xls]"&amp;$B336&amp;"'!$i$2")="","",INDIRECT("'["&amp;$C$1&amp;".xls]"&amp;$B336&amp;"'!$i$2"))</f>
        <v>#REF!</v>
      </c>
      <c r="F336" s="61" t="e">
        <f ca="1">INDIRECT("'["&amp;$C$1&amp;".xls]"&amp;$B336&amp;"'!$b$2")</f>
        <v>#REF!</v>
      </c>
      <c r="G336" s="61" t="e">
        <f ca="1">INDIRECT("'["&amp;$C$1&amp;".xls]"&amp;$B336&amp;"'!$a$20")</f>
        <v>#REF!</v>
      </c>
      <c r="H336" s="88" t="e">
        <f ca="1">INDIRECT("'["&amp;$C$1&amp;".xls]"&amp;$B336&amp;"'!$Q$22")</f>
        <v>#REF!</v>
      </c>
      <c r="I336" s="61" t="e">
        <f ca="1">INDIRECT("'["&amp;$C$1&amp;".xls]"&amp;$B336&amp;"'!$f$6")</f>
        <v>#REF!</v>
      </c>
      <c r="J336" s="87"/>
      <c r="K336" s="62" t="e">
        <f ca="1">INDIRECT("'["&amp;$C$1&amp;".xls]"&amp;$B336&amp;"'!$f$25")</f>
        <v>#REF!</v>
      </c>
      <c r="L336" s="62"/>
      <c r="M336" s="62" t="e">
        <f ca="1">INDIRECT("'["&amp;$C$1&amp;".xls]"&amp;$B336&amp;"'!$f$4")</f>
        <v>#REF!</v>
      </c>
      <c r="N336" s="62" t="e">
        <f ca="1">INDIRECT("'["&amp;$C$1&amp;".xls]"&amp;$B336&amp;"'!$i$4")</f>
        <v>#REF!</v>
      </c>
      <c r="O336" s="48" t="e">
        <f ca="1">INDIRECT("'["&amp;$C$1&amp;".xls]"&amp;$B336&amp;"'!$l$4")</f>
        <v>#REF!</v>
      </c>
      <c r="P336" s="48" t="e">
        <f ca="1">INDIRECT("'["&amp;$C$1&amp;".xls]"&amp;$B336&amp;"'!$b$5")</f>
        <v>#REF!</v>
      </c>
      <c r="Q336" s="48" t="e">
        <f ca="1">INDIRECT("'["&amp;$C$1&amp;".xls]"&amp;$B336&amp;"'!$f$5")</f>
        <v>#REF!</v>
      </c>
      <c r="R336" s="48"/>
      <c r="S336" s="48" t="e">
        <f ca="1">INDIRECT("'["&amp;$C$1&amp;".xls]"&amp;$B336&amp;"'!$i$5")</f>
        <v>#REF!</v>
      </c>
      <c r="T336" s="48" t="e">
        <f ca="1">INDIRECT("'["&amp;$C$1&amp;".xls]"&amp;$B336&amp;"'!$l$5")</f>
        <v>#REF!</v>
      </c>
      <c r="U336" s="48" t="e">
        <f ca="1">INDIRECT("'["&amp;$C$1&amp;".xls]"&amp;$B336&amp;"'!$b$4")</f>
        <v>#REF!</v>
      </c>
      <c r="V336" s="48"/>
      <c r="W336" s="48"/>
      <c r="X336" s="48"/>
      <c r="Y336" s="48"/>
      <c r="Z336" s="61"/>
      <c r="AA336" s="48" t="e">
        <f ca="1">IF(INDIRECT("'["&amp;$C$1&amp;".xls]"&amp;$B336&amp;"'!$P$25")="","",IF(INDIRECT("'["&amp;$C$1&amp;".xls]"&amp;$B336&amp;"'!$O$25")="済み",INDIRECT("'["&amp;$C$1&amp;".xls]"&amp;$B336&amp;"'!$P$25"),""))</f>
        <v>#REF!</v>
      </c>
      <c r="AB336" s="48" t="e">
        <f ca="1">IF(INDIRECT("'["&amp;$C$1&amp;".xls]"&amp;$B336&amp;"'!$P$26")="","",IF(INDIRECT("'["&amp;$C$1&amp;".xls]"&amp;$B336&amp;"'!$O$26")="済み",INDIRECT("'["&amp;$C$1&amp;".xls]"&amp;$B336&amp;"'!$P$26"),""))</f>
        <v>#REF!</v>
      </c>
      <c r="AC336" s="48" t="e">
        <f ca="1">IF(INDIRECT("'["&amp;$C$1&amp;".xls]"&amp;$B336&amp;"'!$P$27")="","",IF(INDIRECT("'["&amp;$C$1&amp;".xls]"&amp;$B336&amp;"'!$O$27")="済み",INDIRECT("'["&amp;$C$1&amp;".xls]"&amp;$B336&amp;"'!$P$27"),""))</f>
        <v>#REF!</v>
      </c>
      <c r="AD336" s="48" t="e">
        <f ca="1">IF(INDIRECT("'["&amp;$C$1&amp;".xls]"&amp;$B336&amp;"'!$P$28")="","",IF(INDIRECT("'["&amp;$C$1&amp;".xls]"&amp;$B336&amp;"'!$O$28")="済み",INDIRECT("'["&amp;$C$1&amp;".xls]"&amp;$B336&amp;"'!$P$28"),""))</f>
        <v>#REF!</v>
      </c>
      <c r="AE336" s="48" t="e">
        <f ca="1">IF(INDIRECT("'["&amp;$C$1&amp;".xls]"&amp;$B336&amp;"'!$P$29")="","",IF(INDIRECT("'["&amp;$C$1&amp;".xls]"&amp;$B336&amp;"'!$O$29")="済み",INDIRECT("'["&amp;$C$1&amp;".xls]"&amp;$B336&amp;"'!$P$29"),""))</f>
        <v>#REF!</v>
      </c>
      <c r="AF336" s="48" t="e">
        <f ca="1">IF(INDIRECT("'["&amp;$C$1&amp;".xls]"&amp;$B336&amp;"'!$P$30")="","",IF(INDIRECT("'["&amp;$C$1&amp;".xls]"&amp;$B336&amp;"'!$O$30")="済み",INDIRECT("'["&amp;$C$1&amp;".xls]"&amp;$B336&amp;"'!$P$30"),""))</f>
        <v>#REF!</v>
      </c>
      <c r="AG336" s="48" t="e">
        <f ca="1">IF(INDIRECT("'["&amp;$C$1&amp;".xls]"&amp;$B336&amp;"'!$P$31")="","",IF(INDIRECT("'["&amp;$C$1&amp;".xls]"&amp;$B336&amp;"'!$O$31")="済み",INDIRECT("'["&amp;$C$1&amp;".xls]"&amp;$B336&amp;"'!$P$31"),""))</f>
        <v>#REF!</v>
      </c>
      <c r="AH336" s="48" t="e">
        <f ca="1">IF(INDIRECT("'["&amp;$C$1&amp;".xls]"&amp;$B336&amp;"'!$P$32")="","",IF(INDIRECT("'["&amp;$C$1&amp;".xls]"&amp;$B336&amp;"'!$O$32")="済み",INDIRECT("'["&amp;$C$1&amp;".xls]"&amp;$B336&amp;"'!$P$32"),""))</f>
        <v>#REF!</v>
      </c>
      <c r="AI336" s="48" t="e">
        <f ca="1">IF(INDIRECT("'["&amp;$C$1&amp;".xls]"&amp;$B336&amp;"'!$P$33")="","",IF(INDIRECT("'["&amp;$C$1&amp;".xls]"&amp;$B336&amp;"'!$O$33")="済み",INDIRECT("'["&amp;$C$1&amp;".xls]"&amp;$B336&amp;"'!$P$33"),""))</f>
        <v>#REF!</v>
      </c>
      <c r="AJ336" s="48" t="e">
        <f ca="1">IF(INDIRECT("'["&amp;$C$1&amp;".xls]"&amp;$B336&amp;"'!$P$34")="","",IF(INDIRECT("'["&amp;$C$1&amp;".xls]"&amp;$B336&amp;"'!$O$34")="済み",INDIRECT("'["&amp;$C$1&amp;".xls]"&amp;$B336&amp;"'!$P$34"),""))</f>
        <v>#REF!</v>
      </c>
      <c r="AK336" s="48" t="e">
        <f ca="1">IF(INDIRECT("'["&amp;$C$1&amp;".xls]"&amp;$B336&amp;"'!$T25")="","",IF(INDIRECT("'["&amp;$C$1&amp;".xls]"&amp;$B336&amp;"'!$O$25")="済み",INDIRECT("'["&amp;$C$1&amp;".xls]"&amp;$B336&amp;"'!$T$25"),""))</f>
        <v>#REF!</v>
      </c>
      <c r="AL336" s="48" t="e">
        <f ca="1">IF(INDIRECT("'["&amp;$C$1&amp;".xls]"&amp;$B336&amp;"'!$T26")="","",IF(INDIRECT("'["&amp;$C$1&amp;".xls]"&amp;$B336&amp;"'!$O$26")="済み",INDIRECT("'["&amp;$C$1&amp;".xls]"&amp;$B336&amp;"'!$T$26"),""))</f>
        <v>#REF!</v>
      </c>
      <c r="AM336" s="48" t="e">
        <f ca="1">IF(INDIRECT("'["&amp;$C$1&amp;".xls]"&amp;$B336&amp;"'!$T27")="","",IF(INDIRECT("'["&amp;$C$1&amp;".xls]"&amp;$B336&amp;"'!$O$27")="済み",INDIRECT("'["&amp;$C$1&amp;".xls]"&amp;$B336&amp;"'!$T$27"),""))</f>
        <v>#REF!</v>
      </c>
      <c r="AN336" s="48" t="e">
        <f ca="1">IF(INDIRECT("'["&amp;$C$1&amp;".xls]"&amp;$B336&amp;"'!$T28")="","",IF(INDIRECT("'["&amp;$C$1&amp;".xls]"&amp;$B336&amp;"'!$O$28")="済み",INDIRECT("'["&amp;$C$1&amp;".xls]"&amp;$B336&amp;"'!$T$28"),""))</f>
        <v>#REF!</v>
      </c>
      <c r="AO336" s="48" t="e">
        <f ca="1">IF(INDIRECT("'["&amp;$C$1&amp;".xls]"&amp;$B336&amp;"'!$T29")="","",IF(INDIRECT("'["&amp;$C$1&amp;".xls]"&amp;$B336&amp;"'!$O$29")="済み",INDIRECT("'["&amp;$C$1&amp;".xls]"&amp;$B336&amp;"'!$T$29"),""))</f>
        <v>#REF!</v>
      </c>
      <c r="AP336" s="48" t="e">
        <f ca="1">IF(INDIRECT("'["&amp;$C$1&amp;".xls]"&amp;$B336&amp;"'!$T30")="","",IF(INDIRECT("'["&amp;$C$1&amp;".xls]"&amp;$B336&amp;"'!$O$30")="済み",INDIRECT("'["&amp;$C$1&amp;".xls]"&amp;$B336&amp;"'!$T$30"),""))</f>
        <v>#REF!</v>
      </c>
      <c r="AQ336" s="48" t="e">
        <f ca="1">IF(INDIRECT("'["&amp;$C$1&amp;".xls]"&amp;$B336&amp;"'!$T31")="","",IF(INDIRECT("'["&amp;$C$1&amp;".xls]"&amp;$B336&amp;"'!$O$31")="済み",INDIRECT("'["&amp;$C$1&amp;".xls]"&amp;$B336&amp;"'!$T$31"),""))</f>
        <v>#REF!</v>
      </c>
      <c r="AR336" s="48" t="e">
        <f ca="1">IF(INDIRECT("'["&amp;$C$1&amp;".xls]"&amp;$B336&amp;"'!$T32")="","",IF(INDIRECT("'["&amp;$C$1&amp;".xls]"&amp;$B336&amp;"'!$O$32")="済み",INDIRECT("'["&amp;$C$1&amp;".xls]"&amp;$B336&amp;"'!$T$32"),""))</f>
        <v>#REF!</v>
      </c>
      <c r="AS336" s="48" t="e">
        <f ca="1">IF(INDIRECT("'["&amp;$C$1&amp;".xls]"&amp;$B336&amp;"'!$T33")="","",IF(INDIRECT("'["&amp;$C$1&amp;".xls]"&amp;$B336&amp;"'!$O$33")="済み",INDIRECT("'["&amp;$C$1&amp;".xls]"&amp;$B336&amp;"'!$T$33"),""))</f>
        <v>#REF!</v>
      </c>
      <c r="AT336" s="48" t="e">
        <f ca="1">IF(INDIRECT("'["&amp;$C$1&amp;".xls]"&amp;$B336&amp;"'!$T34")="","",IF(INDIRECT("'["&amp;$C$1&amp;".xls]"&amp;$B336&amp;"'!$O$34")="済み",INDIRECT("'["&amp;$C$1&amp;".xls]"&amp;$B336&amp;"'!$T$34"),""))</f>
        <v>#REF!</v>
      </c>
      <c r="AU336" s="93" t="e">
        <f ca="1">INDIRECT("'["&amp;$C$1&amp;".xls]"&amp;$B336&amp;"'!$B$6")</f>
        <v>#REF!</v>
      </c>
      <c r="AV336" s="93"/>
      <c r="AW336" s="93"/>
      <c r="AX336" s="93"/>
      <c r="AY336" s="93"/>
    </row>
    <row r="337" spans="1:52" ht="16.5" customHeight="1" x14ac:dyDescent="0.15">
      <c r="A337" s="144" t="s">
        <v>3770</v>
      </c>
      <c r="B337" s="145" t="s">
        <v>3771</v>
      </c>
      <c r="C337" s="48" t="s">
        <v>3772</v>
      </c>
      <c r="D337" s="62" t="s">
        <v>3773</v>
      </c>
      <c r="E337" s="48" t="s">
        <v>264</v>
      </c>
      <c r="F337" s="61">
        <v>42506</v>
      </c>
      <c r="G337" s="61">
        <v>42506</v>
      </c>
      <c r="H337" s="125">
        <v>42517</v>
      </c>
      <c r="I337" s="61" t="s">
        <v>279</v>
      </c>
      <c r="J337" s="87"/>
      <c r="K337" s="62" t="s">
        <v>14</v>
      </c>
      <c r="L337" s="62">
        <v>3</v>
      </c>
      <c r="M337" s="62" t="s">
        <v>409</v>
      </c>
      <c r="N337" s="62" t="s">
        <v>3774</v>
      </c>
      <c r="O337" s="48" t="s">
        <v>535</v>
      </c>
      <c r="P337" s="48" t="s">
        <v>2754</v>
      </c>
      <c r="Q337" s="48" t="s">
        <v>318</v>
      </c>
      <c r="R337" s="48" t="s">
        <v>3775</v>
      </c>
      <c r="S337" s="48" t="s">
        <v>761</v>
      </c>
      <c r="T337" s="48" t="s">
        <v>762</v>
      </c>
      <c r="U337" s="48" t="s">
        <v>3776</v>
      </c>
      <c r="V337" s="122" t="s">
        <v>263</v>
      </c>
      <c r="W337" s="122" t="s">
        <v>263</v>
      </c>
      <c r="X337" s="48" t="s">
        <v>3777</v>
      </c>
      <c r="Y337" s="48" t="s">
        <v>3778</v>
      </c>
      <c r="Z337" s="61"/>
      <c r="AA337" s="48" t="s">
        <v>3173</v>
      </c>
      <c r="AB337" s="48" t="s">
        <v>273</v>
      </c>
      <c r="AC337" s="48" t="s">
        <v>273</v>
      </c>
      <c r="AD337" s="48" t="s">
        <v>273</v>
      </c>
      <c r="AE337" s="48" t="s">
        <v>273</v>
      </c>
      <c r="AF337" s="48" t="s">
        <v>273</v>
      </c>
      <c r="AG337" s="48" t="s">
        <v>273</v>
      </c>
      <c r="AH337" s="48" t="s">
        <v>273</v>
      </c>
      <c r="AI337" s="48" t="s">
        <v>273</v>
      </c>
      <c r="AJ337" s="48" t="s">
        <v>273</v>
      </c>
      <c r="AK337" s="48" t="s">
        <v>3175</v>
      </c>
      <c r="AL337" s="48" t="s">
        <v>273</v>
      </c>
      <c r="AM337" s="48" t="s">
        <v>273</v>
      </c>
      <c r="AN337" s="48" t="s">
        <v>273</v>
      </c>
      <c r="AO337" s="48" t="s">
        <v>273</v>
      </c>
      <c r="AP337" s="48" t="s">
        <v>273</v>
      </c>
      <c r="AQ337" s="48" t="s">
        <v>273</v>
      </c>
      <c r="AR337" s="48" t="s">
        <v>273</v>
      </c>
      <c r="AS337" s="48" t="s">
        <v>273</v>
      </c>
      <c r="AT337" s="48" t="s">
        <v>273</v>
      </c>
      <c r="AU337" s="93">
        <v>41122</v>
      </c>
      <c r="AV337" s="93"/>
      <c r="AW337" s="93"/>
      <c r="AX337" s="93"/>
      <c r="AY337" s="93"/>
      <c r="AZ337" s="49" t="s">
        <v>3779</v>
      </c>
    </row>
    <row r="338" spans="1:52" ht="16.5" customHeight="1" x14ac:dyDescent="0.15">
      <c r="A338" s="146" t="s">
        <v>3780</v>
      </c>
      <c r="B338" s="147" t="s">
        <v>3781</v>
      </c>
      <c r="C338" s="48" t="s">
        <v>330</v>
      </c>
      <c r="D338" s="62" t="s">
        <v>3782</v>
      </c>
      <c r="E338" s="48" t="s">
        <v>300</v>
      </c>
      <c r="F338" s="61">
        <v>42506</v>
      </c>
      <c r="G338" s="61">
        <v>42506</v>
      </c>
      <c r="H338" s="125">
        <v>42524</v>
      </c>
      <c r="I338" s="61" t="s">
        <v>279</v>
      </c>
      <c r="J338" s="87"/>
      <c r="K338" s="62" t="s">
        <v>14</v>
      </c>
      <c r="L338" s="124" t="s">
        <v>263</v>
      </c>
      <c r="M338" s="62" t="s">
        <v>442</v>
      </c>
      <c r="N338" s="62" t="s">
        <v>3783</v>
      </c>
      <c r="O338" s="48" t="s">
        <v>1894</v>
      </c>
      <c r="P338" s="48" t="s">
        <v>3784</v>
      </c>
      <c r="Q338" s="48" t="s">
        <v>3785</v>
      </c>
      <c r="R338" s="48" t="s">
        <v>1830</v>
      </c>
      <c r="S338" s="48" t="s">
        <v>1831</v>
      </c>
      <c r="T338" s="48" t="s">
        <v>1832</v>
      </c>
      <c r="U338" s="48" t="s">
        <v>3786</v>
      </c>
      <c r="V338" s="122" t="s">
        <v>263</v>
      </c>
      <c r="W338" s="48" t="s">
        <v>3787</v>
      </c>
      <c r="X338" s="48" t="s">
        <v>3788</v>
      </c>
      <c r="Y338" s="48" t="s">
        <v>3789</v>
      </c>
      <c r="Z338" s="61"/>
      <c r="AA338" s="48" t="s">
        <v>273</v>
      </c>
      <c r="AB338" s="48" t="s">
        <v>273</v>
      </c>
      <c r="AC338" s="48" t="s">
        <v>273</v>
      </c>
      <c r="AD338" s="48" t="s">
        <v>273</v>
      </c>
      <c r="AE338" s="48" t="s">
        <v>273</v>
      </c>
      <c r="AF338" s="48" t="s">
        <v>273</v>
      </c>
      <c r="AG338" s="48" t="s">
        <v>273</v>
      </c>
      <c r="AH338" s="48" t="s">
        <v>273</v>
      </c>
      <c r="AI338" s="48" t="s">
        <v>273</v>
      </c>
      <c r="AJ338" s="48" t="s">
        <v>273</v>
      </c>
      <c r="AK338" s="48" t="s">
        <v>273</v>
      </c>
      <c r="AL338" s="48" t="s">
        <v>273</v>
      </c>
      <c r="AM338" s="48" t="s">
        <v>273</v>
      </c>
      <c r="AN338" s="48" t="s">
        <v>273</v>
      </c>
      <c r="AO338" s="48" t="s">
        <v>273</v>
      </c>
      <c r="AP338" s="48" t="s">
        <v>273</v>
      </c>
      <c r="AQ338" s="48" t="s">
        <v>273</v>
      </c>
      <c r="AR338" s="48" t="s">
        <v>273</v>
      </c>
      <c r="AS338" s="48" t="s">
        <v>273</v>
      </c>
      <c r="AT338" s="48" t="s">
        <v>273</v>
      </c>
      <c r="AU338" s="93">
        <v>38384</v>
      </c>
      <c r="AV338" s="93"/>
      <c r="AW338" s="93"/>
      <c r="AX338" s="93"/>
      <c r="AY338" s="93"/>
      <c r="AZ338" s="49" t="s">
        <v>3790</v>
      </c>
    </row>
    <row r="339" spans="1:52" ht="16.5" customHeight="1" x14ac:dyDescent="0.15">
      <c r="A339" s="146" t="s">
        <v>3791</v>
      </c>
      <c r="B339" s="147" t="s">
        <v>3792</v>
      </c>
      <c r="C339" s="48" t="s">
        <v>298</v>
      </c>
      <c r="D339" s="62" t="s">
        <v>3793</v>
      </c>
      <c r="E339" s="48" t="s">
        <v>300</v>
      </c>
      <c r="F339" s="61">
        <v>42506</v>
      </c>
      <c r="G339" s="61">
        <v>42506</v>
      </c>
      <c r="H339" s="125">
        <v>42528</v>
      </c>
      <c r="I339" s="61" t="s">
        <v>279</v>
      </c>
      <c r="J339" s="87"/>
      <c r="K339" s="62" t="s">
        <v>14</v>
      </c>
      <c r="L339" s="62">
        <v>3</v>
      </c>
      <c r="M339" s="62" t="s">
        <v>442</v>
      </c>
      <c r="N339" s="62" t="s">
        <v>3794</v>
      </c>
      <c r="O339" s="48" t="s">
        <v>872</v>
      </c>
      <c r="P339" s="48" t="s">
        <v>3795</v>
      </c>
      <c r="Q339" s="48" t="s">
        <v>3796</v>
      </c>
      <c r="R339" s="48" t="s">
        <v>3797</v>
      </c>
      <c r="S339" s="48" t="s">
        <v>3798</v>
      </c>
      <c r="T339" s="48" t="s">
        <v>3799</v>
      </c>
      <c r="U339" s="48" t="s">
        <v>3800</v>
      </c>
      <c r="V339" s="48" t="s">
        <v>3801</v>
      </c>
      <c r="W339" s="48" t="s">
        <v>3802</v>
      </c>
      <c r="X339" s="48" t="s">
        <v>3803</v>
      </c>
      <c r="Y339" s="48" t="s">
        <v>3804</v>
      </c>
      <c r="Z339" s="61"/>
      <c r="AA339" s="48" t="s">
        <v>1391</v>
      </c>
      <c r="AB339" s="48" t="s">
        <v>453</v>
      </c>
      <c r="AC339" s="48" t="s">
        <v>389</v>
      </c>
      <c r="AD339" s="48" t="s">
        <v>273</v>
      </c>
      <c r="AE339" s="48" t="s">
        <v>273</v>
      </c>
      <c r="AF339" s="48" t="s">
        <v>273</v>
      </c>
      <c r="AG339" s="48" t="s">
        <v>273</v>
      </c>
      <c r="AH339" s="48" t="s">
        <v>273</v>
      </c>
      <c r="AI339" s="48" t="s">
        <v>273</v>
      </c>
      <c r="AJ339" s="48" t="s">
        <v>273</v>
      </c>
      <c r="AK339" s="48" t="s">
        <v>1394</v>
      </c>
      <c r="AL339" s="48" t="s">
        <v>454</v>
      </c>
      <c r="AM339" s="48" t="s">
        <v>391</v>
      </c>
      <c r="AN339" s="48" t="s">
        <v>273</v>
      </c>
      <c r="AO339" s="48" t="s">
        <v>273</v>
      </c>
      <c r="AP339" s="48" t="s">
        <v>273</v>
      </c>
      <c r="AQ339" s="48" t="s">
        <v>273</v>
      </c>
      <c r="AR339" s="48" t="s">
        <v>273</v>
      </c>
      <c r="AS339" s="48" t="s">
        <v>273</v>
      </c>
      <c r="AT339" s="48" t="s">
        <v>273</v>
      </c>
      <c r="AU339" s="93">
        <v>39264</v>
      </c>
      <c r="AV339" s="93"/>
      <c r="AW339" s="93"/>
      <c r="AX339" s="93"/>
      <c r="AY339" s="93"/>
    </row>
    <row r="340" spans="1:52" ht="16.5" customHeight="1" x14ac:dyDescent="0.15">
      <c r="A340" s="153" t="s">
        <v>3805</v>
      </c>
      <c r="B340" s="154" t="s">
        <v>3806</v>
      </c>
      <c r="C340" s="48" t="s">
        <v>298</v>
      </c>
      <c r="D340" s="62" t="s">
        <v>263</v>
      </c>
      <c r="E340" s="48" t="s">
        <v>300</v>
      </c>
      <c r="F340" s="61">
        <v>42506</v>
      </c>
      <c r="G340" s="61">
        <v>42506</v>
      </c>
      <c r="H340" s="125">
        <v>42587</v>
      </c>
      <c r="I340" s="61">
        <v>39479</v>
      </c>
      <c r="J340" s="87"/>
      <c r="K340" s="124" t="s">
        <v>263</v>
      </c>
      <c r="L340" s="124" t="s">
        <v>263</v>
      </c>
      <c r="M340" s="62" t="s">
        <v>394</v>
      </c>
      <c r="N340" s="62" t="s">
        <v>3807</v>
      </c>
      <c r="O340" s="48" t="s">
        <v>396</v>
      </c>
      <c r="P340" s="48" t="s">
        <v>1425</v>
      </c>
      <c r="Q340" s="48" t="s">
        <v>971</v>
      </c>
      <c r="R340" s="48" t="s">
        <v>399</v>
      </c>
      <c r="S340" s="48" t="s">
        <v>400</v>
      </c>
      <c r="T340" s="48" t="s">
        <v>401</v>
      </c>
      <c r="U340" s="48" t="s">
        <v>3808</v>
      </c>
      <c r="V340" s="48"/>
      <c r="W340" s="48"/>
      <c r="X340" s="48" t="s">
        <v>3809</v>
      </c>
      <c r="Y340" s="48" t="s">
        <v>3810</v>
      </c>
      <c r="Z340" s="61"/>
      <c r="AA340" s="48" t="s">
        <v>273</v>
      </c>
      <c r="AB340" s="48" t="s">
        <v>273</v>
      </c>
      <c r="AC340" s="48" t="s">
        <v>273</v>
      </c>
      <c r="AD340" s="48" t="s">
        <v>273</v>
      </c>
      <c r="AE340" s="48" t="s">
        <v>273</v>
      </c>
      <c r="AF340" s="48" t="s">
        <v>273</v>
      </c>
      <c r="AG340" s="48" t="s">
        <v>273</v>
      </c>
      <c r="AH340" s="48" t="s">
        <v>273</v>
      </c>
      <c r="AI340" s="48" t="s">
        <v>273</v>
      </c>
      <c r="AJ340" s="48" t="s">
        <v>273</v>
      </c>
      <c r="AK340" s="48" t="s">
        <v>273</v>
      </c>
      <c r="AL340" s="48" t="s">
        <v>273</v>
      </c>
      <c r="AM340" s="48" t="s">
        <v>273</v>
      </c>
      <c r="AN340" s="48" t="s">
        <v>273</v>
      </c>
      <c r="AO340" s="48" t="s">
        <v>273</v>
      </c>
      <c r="AP340" s="48" t="s">
        <v>273</v>
      </c>
      <c r="AQ340" s="48" t="s">
        <v>273</v>
      </c>
      <c r="AR340" s="48" t="s">
        <v>273</v>
      </c>
      <c r="AS340" s="48" t="s">
        <v>273</v>
      </c>
      <c r="AT340" s="48" t="s">
        <v>273</v>
      </c>
      <c r="AU340" s="93">
        <v>39114</v>
      </c>
      <c r="AV340" s="93"/>
      <c r="AW340" s="93"/>
      <c r="AX340" s="93"/>
      <c r="AY340" s="93"/>
      <c r="AZ340" s="49" t="s">
        <v>3388</v>
      </c>
    </row>
    <row r="341" spans="1:52" ht="16.5" customHeight="1" x14ac:dyDescent="0.15">
      <c r="A341" s="151" t="s">
        <v>3811</v>
      </c>
      <c r="B341" s="152" t="s">
        <v>3812</v>
      </c>
      <c r="C341" s="48" t="s">
        <v>330</v>
      </c>
      <c r="D341" s="62" t="s">
        <v>3813</v>
      </c>
      <c r="E341" s="48" t="s">
        <v>300</v>
      </c>
      <c r="F341" s="61">
        <v>42506</v>
      </c>
      <c r="G341" s="61">
        <v>42506</v>
      </c>
      <c r="H341" s="125">
        <v>42563</v>
      </c>
      <c r="I341" s="61" t="s">
        <v>279</v>
      </c>
      <c r="J341" s="87"/>
      <c r="K341" s="124" t="s">
        <v>263</v>
      </c>
      <c r="L341" s="124" t="s">
        <v>263</v>
      </c>
      <c r="M341" s="62" t="s">
        <v>2805</v>
      </c>
      <c r="N341" s="62" t="s">
        <v>3814</v>
      </c>
      <c r="O341" s="48" t="s">
        <v>781</v>
      </c>
      <c r="P341" s="48" t="s">
        <v>3815</v>
      </c>
      <c r="Q341" s="48" t="s">
        <v>3816</v>
      </c>
      <c r="R341" s="48"/>
      <c r="S341" s="48" t="s">
        <v>3817</v>
      </c>
      <c r="T341" s="48" t="s">
        <v>3818</v>
      </c>
      <c r="U341" s="48" t="s">
        <v>3819</v>
      </c>
      <c r="V341" s="48"/>
      <c r="W341" s="48"/>
      <c r="X341" s="48"/>
      <c r="Y341" s="48"/>
      <c r="Z341" s="61"/>
      <c r="AA341" s="48" t="s">
        <v>273</v>
      </c>
      <c r="AB341" s="48" t="s">
        <v>273</v>
      </c>
      <c r="AC341" s="48" t="s">
        <v>273</v>
      </c>
      <c r="AD341" s="48" t="s">
        <v>273</v>
      </c>
      <c r="AE341" s="48" t="s">
        <v>273</v>
      </c>
      <c r="AF341" s="48" t="s">
        <v>273</v>
      </c>
      <c r="AG341" s="48" t="s">
        <v>273</v>
      </c>
      <c r="AH341" s="48" t="s">
        <v>273</v>
      </c>
      <c r="AI341" s="48" t="s">
        <v>273</v>
      </c>
      <c r="AJ341" s="48" t="s">
        <v>273</v>
      </c>
      <c r="AK341" s="48" t="s">
        <v>273</v>
      </c>
      <c r="AL341" s="48" t="s">
        <v>273</v>
      </c>
      <c r="AM341" s="48" t="s">
        <v>273</v>
      </c>
      <c r="AN341" s="48" t="s">
        <v>273</v>
      </c>
      <c r="AO341" s="48" t="s">
        <v>273</v>
      </c>
      <c r="AP341" s="48" t="s">
        <v>273</v>
      </c>
      <c r="AQ341" s="48" t="s">
        <v>273</v>
      </c>
      <c r="AR341" s="48" t="s">
        <v>273</v>
      </c>
      <c r="AS341" s="48" t="s">
        <v>273</v>
      </c>
      <c r="AT341" s="48" t="s">
        <v>273</v>
      </c>
      <c r="AU341" s="93">
        <v>41730</v>
      </c>
      <c r="AV341" s="93"/>
      <c r="AW341" s="93"/>
      <c r="AX341" s="93"/>
      <c r="AY341" s="93"/>
    </row>
    <row r="342" spans="1:52" ht="16.5" customHeight="1" x14ac:dyDescent="0.15">
      <c r="A342" s="144" t="s">
        <v>3820</v>
      </c>
      <c r="B342" s="145" t="s">
        <v>3821</v>
      </c>
      <c r="C342" s="48" t="s">
        <v>298</v>
      </c>
      <c r="D342" s="62" t="s">
        <v>3822</v>
      </c>
      <c r="E342" s="48" t="s">
        <v>264</v>
      </c>
      <c r="F342" s="61">
        <v>42507</v>
      </c>
      <c r="G342" s="61">
        <v>42507</v>
      </c>
      <c r="H342" s="125">
        <v>42520</v>
      </c>
      <c r="I342" s="61" t="s">
        <v>279</v>
      </c>
      <c r="J342" s="87"/>
      <c r="K342" s="62" t="s">
        <v>14</v>
      </c>
      <c r="L342" s="62">
        <v>3</v>
      </c>
      <c r="M342" s="62" t="s">
        <v>209</v>
      </c>
      <c r="N342" s="62" t="s">
        <v>3823</v>
      </c>
      <c r="O342" s="48" t="s">
        <v>281</v>
      </c>
      <c r="P342" s="48" t="s">
        <v>3824</v>
      </c>
      <c r="Q342" s="48" t="s">
        <v>3825</v>
      </c>
      <c r="R342" s="48" t="s">
        <v>3826</v>
      </c>
      <c r="S342" s="48" t="s">
        <v>3827</v>
      </c>
      <c r="T342" s="48" t="s">
        <v>3828</v>
      </c>
      <c r="U342" s="48" t="s">
        <v>3829</v>
      </c>
      <c r="V342" s="48" t="s">
        <v>3830</v>
      </c>
      <c r="W342" s="122" t="s">
        <v>263</v>
      </c>
      <c r="X342" s="48" t="s">
        <v>3831</v>
      </c>
      <c r="Y342" s="48" t="s">
        <v>3832</v>
      </c>
      <c r="Z342" s="61"/>
      <c r="AA342" s="148" t="s">
        <v>546</v>
      </c>
      <c r="AB342" s="148" t="s">
        <v>547</v>
      </c>
      <c r="AC342" s="148" t="s">
        <v>548</v>
      </c>
      <c r="AD342" s="48" t="s">
        <v>273</v>
      </c>
      <c r="AE342" s="48" t="s">
        <v>273</v>
      </c>
      <c r="AF342" s="48" t="s">
        <v>273</v>
      </c>
      <c r="AG342" s="48" t="s">
        <v>273</v>
      </c>
      <c r="AH342" s="48" t="s">
        <v>273</v>
      </c>
      <c r="AI342" s="48" t="s">
        <v>273</v>
      </c>
      <c r="AJ342" s="48" t="s">
        <v>273</v>
      </c>
      <c r="AK342" s="48" t="s">
        <v>549</v>
      </c>
      <c r="AL342" s="48" t="s">
        <v>550</v>
      </c>
      <c r="AM342" s="48" t="s">
        <v>3833</v>
      </c>
      <c r="AN342" s="48" t="s">
        <v>273</v>
      </c>
      <c r="AO342" s="48" t="s">
        <v>273</v>
      </c>
      <c r="AP342" s="48" t="s">
        <v>273</v>
      </c>
      <c r="AQ342" s="48" t="s">
        <v>273</v>
      </c>
      <c r="AR342" s="48" t="s">
        <v>273</v>
      </c>
      <c r="AS342" s="48" t="s">
        <v>273</v>
      </c>
      <c r="AT342" s="48" t="s">
        <v>273</v>
      </c>
      <c r="AU342" s="93">
        <v>41000</v>
      </c>
      <c r="AV342" s="93"/>
      <c r="AW342" s="93"/>
      <c r="AX342" s="93"/>
      <c r="AY342" s="93"/>
    </row>
    <row r="343" spans="1:52" ht="16.5" customHeight="1" x14ac:dyDescent="0.15">
      <c r="A343" s="121" t="s">
        <v>3834</v>
      </c>
      <c r="B343" s="47" t="s">
        <v>3835</v>
      </c>
      <c r="C343" s="48" t="e">
        <f ca="1">INDIRECT("'["&amp;$C$1&amp;".xls]"&amp;$B343&amp;"'!$i$7")</f>
        <v>#REF!</v>
      </c>
      <c r="D343" s="62" t="e">
        <f ca="1">INDIRECT("'["&amp;$C$1&amp;".xls]"&amp;$B343&amp;"'!$b$7")</f>
        <v>#REF!</v>
      </c>
      <c r="E343" s="48" t="e">
        <f ca="1">IF(INDIRECT("'["&amp;$C$1&amp;".xls]"&amp;$B343&amp;"'!$i$2")="","",INDIRECT("'["&amp;$C$1&amp;".xls]"&amp;$B343&amp;"'!$i$2"))</f>
        <v>#REF!</v>
      </c>
      <c r="F343" s="61" t="e">
        <f ca="1">INDIRECT("'["&amp;$C$1&amp;".xls]"&amp;$B343&amp;"'!$b$2")</f>
        <v>#REF!</v>
      </c>
      <c r="G343" s="61" t="e">
        <f ca="1">INDIRECT("'["&amp;$C$1&amp;".xls]"&amp;$B343&amp;"'!$a$20")</f>
        <v>#REF!</v>
      </c>
      <c r="H343" s="88" t="e">
        <f ca="1">INDIRECT("'["&amp;$C$1&amp;".xls]"&amp;$B343&amp;"'!$Q$22")</f>
        <v>#REF!</v>
      </c>
      <c r="I343" s="61" t="e">
        <f ca="1">INDIRECT("'["&amp;$C$1&amp;".xls]"&amp;$B343&amp;"'!$f$6")</f>
        <v>#REF!</v>
      </c>
      <c r="J343" s="87"/>
      <c r="K343" s="62" t="e">
        <f ca="1">INDIRECT("'["&amp;$C$1&amp;".xls]"&amp;$B343&amp;"'!$f$25")</f>
        <v>#REF!</v>
      </c>
      <c r="L343" s="62"/>
      <c r="M343" s="62" t="e">
        <f ca="1">INDIRECT("'["&amp;$C$1&amp;".xls]"&amp;$B343&amp;"'!$f$4")</f>
        <v>#REF!</v>
      </c>
      <c r="N343" s="62" t="e">
        <f ca="1">INDIRECT("'["&amp;$C$1&amp;".xls]"&amp;$B343&amp;"'!$i$4")</f>
        <v>#REF!</v>
      </c>
      <c r="O343" s="48" t="e">
        <f ca="1">INDIRECT("'["&amp;$C$1&amp;".xls]"&amp;$B343&amp;"'!$l$4")</f>
        <v>#REF!</v>
      </c>
      <c r="P343" s="48" t="e">
        <f ca="1">INDIRECT("'["&amp;$C$1&amp;".xls]"&amp;$B343&amp;"'!$b$5")</f>
        <v>#REF!</v>
      </c>
      <c r="Q343" s="48" t="e">
        <f ca="1">INDIRECT("'["&amp;$C$1&amp;".xls]"&amp;$B343&amp;"'!$f$5")</f>
        <v>#REF!</v>
      </c>
      <c r="R343" s="48"/>
      <c r="S343" s="48" t="e">
        <f ca="1">INDIRECT("'["&amp;$C$1&amp;".xls]"&amp;$B343&amp;"'!$i$5")</f>
        <v>#REF!</v>
      </c>
      <c r="T343" s="48" t="e">
        <f ca="1">INDIRECT("'["&amp;$C$1&amp;".xls]"&amp;$B343&amp;"'!$l$5")</f>
        <v>#REF!</v>
      </c>
      <c r="U343" s="48" t="e">
        <f ca="1">INDIRECT("'["&amp;$C$1&amp;".xls]"&amp;$B343&amp;"'!$b$4")</f>
        <v>#REF!</v>
      </c>
      <c r="V343" s="48"/>
      <c r="W343" s="48"/>
      <c r="X343" s="48"/>
      <c r="Y343" s="48"/>
      <c r="Z343" s="61"/>
      <c r="AA343" s="48" t="e">
        <f ca="1">IF(INDIRECT("'["&amp;$C$1&amp;".xls]"&amp;$B343&amp;"'!$P$25")="","",IF(INDIRECT("'["&amp;$C$1&amp;".xls]"&amp;$B343&amp;"'!$O$25")="済み",INDIRECT("'["&amp;$C$1&amp;".xls]"&amp;$B343&amp;"'!$P$25"),""))</f>
        <v>#REF!</v>
      </c>
      <c r="AB343" s="48" t="e">
        <f ca="1">IF(INDIRECT("'["&amp;$C$1&amp;".xls]"&amp;$B343&amp;"'!$P$26")="","",IF(INDIRECT("'["&amp;$C$1&amp;".xls]"&amp;$B343&amp;"'!$O$26")="済み",INDIRECT("'["&amp;$C$1&amp;".xls]"&amp;$B343&amp;"'!$P$26"),""))</f>
        <v>#REF!</v>
      </c>
      <c r="AC343" s="48" t="e">
        <f ca="1">IF(INDIRECT("'["&amp;$C$1&amp;".xls]"&amp;$B343&amp;"'!$P$27")="","",IF(INDIRECT("'["&amp;$C$1&amp;".xls]"&amp;$B343&amp;"'!$O$27")="済み",INDIRECT("'["&amp;$C$1&amp;".xls]"&amp;$B343&amp;"'!$P$27"),""))</f>
        <v>#REF!</v>
      </c>
      <c r="AD343" s="48" t="e">
        <f ca="1">IF(INDIRECT("'["&amp;$C$1&amp;".xls]"&amp;$B343&amp;"'!$P$28")="","",IF(INDIRECT("'["&amp;$C$1&amp;".xls]"&amp;$B343&amp;"'!$O$28")="済み",INDIRECT("'["&amp;$C$1&amp;".xls]"&amp;$B343&amp;"'!$P$28"),""))</f>
        <v>#REF!</v>
      </c>
      <c r="AE343" s="48" t="e">
        <f ca="1">IF(INDIRECT("'["&amp;$C$1&amp;".xls]"&amp;$B343&amp;"'!$P$29")="","",IF(INDIRECT("'["&amp;$C$1&amp;".xls]"&amp;$B343&amp;"'!$O$29")="済み",INDIRECT("'["&amp;$C$1&amp;".xls]"&amp;$B343&amp;"'!$P$29"),""))</f>
        <v>#REF!</v>
      </c>
      <c r="AF343" s="48" t="e">
        <f ca="1">IF(INDIRECT("'["&amp;$C$1&amp;".xls]"&amp;$B343&amp;"'!$P$30")="","",IF(INDIRECT("'["&amp;$C$1&amp;".xls]"&amp;$B343&amp;"'!$O$30")="済み",INDIRECT("'["&amp;$C$1&amp;".xls]"&amp;$B343&amp;"'!$P$30"),""))</f>
        <v>#REF!</v>
      </c>
      <c r="AG343" s="48" t="e">
        <f ca="1">IF(INDIRECT("'["&amp;$C$1&amp;".xls]"&amp;$B343&amp;"'!$P$31")="","",IF(INDIRECT("'["&amp;$C$1&amp;".xls]"&amp;$B343&amp;"'!$O$31")="済み",INDIRECT("'["&amp;$C$1&amp;".xls]"&amp;$B343&amp;"'!$P$31"),""))</f>
        <v>#REF!</v>
      </c>
      <c r="AH343" s="48" t="e">
        <f ca="1">IF(INDIRECT("'["&amp;$C$1&amp;".xls]"&amp;$B343&amp;"'!$P$32")="","",IF(INDIRECT("'["&amp;$C$1&amp;".xls]"&amp;$B343&amp;"'!$O$32")="済み",INDIRECT("'["&amp;$C$1&amp;".xls]"&amp;$B343&amp;"'!$P$32"),""))</f>
        <v>#REF!</v>
      </c>
      <c r="AI343" s="48" t="e">
        <f ca="1">IF(INDIRECT("'["&amp;$C$1&amp;".xls]"&amp;$B343&amp;"'!$P$33")="","",IF(INDIRECT("'["&amp;$C$1&amp;".xls]"&amp;$B343&amp;"'!$O$33")="済み",INDIRECT("'["&amp;$C$1&amp;".xls]"&amp;$B343&amp;"'!$P$33"),""))</f>
        <v>#REF!</v>
      </c>
      <c r="AJ343" s="48" t="e">
        <f ca="1">IF(INDIRECT("'["&amp;$C$1&amp;".xls]"&amp;$B343&amp;"'!$P$34")="","",IF(INDIRECT("'["&amp;$C$1&amp;".xls]"&amp;$B343&amp;"'!$O$34")="済み",INDIRECT("'["&amp;$C$1&amp;".xls]"&amp;$B343&amp;"'!$P$34"),""))</f>
        <v>#REF!</v>
      </c>
      <c r="AK343" s="48" t="e">
        <f ca="1">IF(INDIRECT("'["&amp;$C$1&amp;".xls]"&amp;$B343&amp;"'!$T25")="","",IF(INDIRECT("'["&amp;$C$1&amp;".xls]"&amp;$B343&amp;"'!$O$25")="済み",INDIRECT("'["&amp;$C$1&amp;".xls]"&amp;$B343&amp;"'!$T$25"),""))</f>
        <v>#REF!</v>
      </c>
      <c r="AL343" s="48" t="e">
        <f ca="1">IF(INDIRECT("'["&amp;$C$1&amp;".xls]"&amp;$B343&amp;"'!$T26")="","",IF(INDIRECT("'["&amp;$C$1&amp;".xls]"&amp;$B343&amp;"'!$O$26")="済み",INDIRECT("'["&amp;$C$1&amp;".xls]"&amp;$B343&amp;"'!$T$26"),""))</f>
        <v>#REF!</v>
      </c>
      <c r="AM343" s="48" t="e">
        <f ca="1">IF(INDIRECT("'["&amp;$C$1&amp;".xls]"&amp;$B343&amp;"'!$T27")="","",IF(INDIRECT("'["&amp;$C$1&amp;".xls]"&amp;$B343&amp;"'!$O$27")="済み",INDIRECT("'["&amp;$C$1&amp;".xls]"&amp;$B343&amp;"'!$T$27"),""))</f>
        <v>#REF!</v>
      </c>
      <c r="AN343" s="48" t="e">
        <f ca="1">IF(INDIRECT("'["&amp;$C$1&amp;".xls]"&amp;$B343&amp;"'!$T28")="","",IF(INDIRECT("'["&amp;$C$1&amp;".xls]"&amp;$B343&amp;"'!$O$28")="済み",INDIRECT("'["&amp;$C$1&amp;".xls]"&amp;$B343&amp;"'!$T$28"),""))</f>
        <v>#REF!</v>
      </c>
      <c r="AO343" s="48" t="e">
        <f ca="1">IF(INDIRECT("'["&amp;$C$1&amp;".xls]"&amp;$B343&amp;"'!$T29")="","",IF(INDIRECT("'["&amp;$C$1&amp;".xls]"&amp;$B343&amp;"'!$O$29")="済み",INDIRECT("'["&amp;$C$1&amp;".xls]"&amp;$B343&amp;"'!$T$29"),""))</f>
        <v>#REF!</v>
      </c>
      <c r="AP343" s="48" t="e">
        <f ca="1">IF(INDIRECT("'["&amp;$C$1&amp;".xls]"&amp;$B343&amp;"'!$T30")="","",IF(INDIRECT("'["&amp;$C$1&amp;".xls]"&amp;$B343&amp;"'!$O$30")="済み",INDIRECT("'["&amp;$C$1&amp;".xls]"&amp;$B343&amp;"'!$T$30"),""))</f>
        <v>#REF!</v>
      </c>
      <c r="AQ343" s="48" t="e">
        <f ca="1">IF(INDIRECT("'["&amp;$C$1&amp;".xls]"&amp;$B343&amp;"'!$T31")="","",IF(INDIRECT("'["&amp;$C$1&amp;".xls]"&amp;$B343&amp;"'!$O$31")="済み",INDIRECT("'["&amp;$C$1&amp;".xls]"&amp;$B343&amp;"'!$T$31"),""))</f>
        <v>#REF!</v>
      </c>
      <c r="AR343" s="48" t="e">
        <f ca="1">IF(INDIRECT("'["&amp;$C$1&amp;".xls]"&amp;$B343&amp;"'!$T32")="","",IF(INDIRECT("'["&amp;$C$1&amp;".xls]"&amp;$B343&amp;"'!$O$32")="済み",INDIRECT("'["&amp;$C$1&amp;".xls]"&amp;$B343&amp;"'!$T$32"),""))</f>
        <v>#REF!</v>
      </c>
      <c r="AS343" s="48" t="e">
        <f ca="1">IF(INDIRECT("'["&amp;$C$1&amp;".xls]"&amp;$B343&amp;"'!$T33")="","",IF(INDIRECT("'["&amp;$C$1&amp;".xls]"&amp;$B343&amp;"'!$O$33")="済み",INDIRECT("'["&amp;$C$1&amp;".xls]"&amp;$B343&amp;"'!$T$33"),""))</f>
        <v>#REF!</v>
      </c>
      <c r="AT343" s="48" t="e">
        <f ca="1">IF(INDIRECT("'["&amp;$C$1&amp;".xls]"&amp;$B343&amp;"'!$T34")="","",IF(INDIRECT("'["&amp;$C$1&amp;".xls]"&amp;$B343&amp;"'!$O$34")="済み",INDIRECT("'["&amp;$C$1&amp;".xls]"&amp;$B343&amp;"'!$T$34"),""))</f>
        <v>#REF!</v>
      </c>
      <c r="AU343" s="93" t="e">
        <f ca="1">INDIRECT("'["&amp;$C$1&amp;".xls]"&amp;$B343&amp;"'!$B$6")</f>
        <v>#REF!</v>
      </c>
      <c r="AV343" s="93"/>
      <c r="AW343" s="93"/>
      <c r="AX343" s="93"/>
      <c r="AY343" s="93"/>
    </row>
    <row r="344" spans="1:52" ht="16.5" customHeight="1" x14ac:dyDescent="0.15">
      <c r="A344" s="146" t="s">
        <v>3836</v>
      </c>
      <c r="B344" s="147" t="s">
        <v>3837</v>
      </c>
      <c r="C344" s="48" t="s">
        <v>298</v>
      </c>
      <c r="D344" s="62" t="s">
        <v>3838</v>
      </c>
      <c r="E344" s="48" t="s">
        <v>273</v>
      </c>
      <c r="F344" s="61">
        <v>42508</v>
      </c>
      <c r="G344" s="61">
        <v>42508</v>
      </c>
      <c r="H344" s="125">
        <v>42541</v>
      </c>
      <c r="I344" s="61" t="s">
        <v>279</v>
      </c>
      <c r="J344" s="87"/>
      <c r="K344" s="62" t="s">
        <v>14</v>
      </c>
      <c r="L344" s="62">
        <v>3</v>
      </c>
      <c r="M344" s="62" t="s">
        <v>2422</v>
      </c>
      <c r="N344" s="62" t="s">
        <v>3839</v>
      </c>
      <c r="O344" s="48" t="s">
        <v>2424</v>
      </c>
      <c r="P344" s="48" t="s">
        <v>3840</v>
      </c>
      <c r="Q344" s="48" t="s">
        <v>3841</v>
      </c>
      <c r="R344" s="48" t="s">
        <v>3842</v>
      </c>
      <c r="S344" s="48" t="s">
        <v>3843</v>
      </c>
      <c r="T344" s="48" t="s">
        <v>3844</v>
      </c>
      <c r="U344" s="48" t="s">
        <v>3845</v>
      </c>
      <c r="V344" s="122" t="s">
        <v>263</v>
      </c>
      <c r="W344" s="122" t="s">
        <v>263</v>
      </c>
      <c r="X344" s="48" t="s">
        <v>3843</v>
      </c>
      <c r="Y344" s="48" t="s">
        <v>3846</v>
      </c>
      <c r="Z344" s="61"/>
      <c r="AA344" s="48" t="s">
        <v>1195</v>
      </c>
      <c r="AB344" s="48" t="s">
        <v>273</v>
      </c>
      <c r="AC344" s="48" t="s">
        <v>273</v>
      </c>
      <c r="AD344" s="48" t="s">
        <v>273</v>
      </c>
      <c r="AE344" s="48" t="s">
        <v>273</v>
      </c>
      <c r="AF344" s="48" t="s">
        <v>273</v>
      </c>
      <c r="AG344" s="48" t="s">
        <v>273</v>
      </c>
      <c r="AH344" s="48" t="s">
        <v>273</v>
      </c>
      <c r="AI344" s="48" t="s">
        <v>273</v>
      </c>
      <c r="AJ344" s="48" t="s">
        <v>273</v>
      </c>
      <c r="AK344" s="48" t="s">
        <v>1196</v>
      </c>
      <c r="AL344" s="48" t="s">
        <v>273</v>
      </c>
      <c r="AM344" s="48" t="s">
        <v>273</v>
      </c>
      <c r="AN344" s="48" t="s">
        <v>273</v>
      </c>
      <c r="AO344" s="48" t="s">
        <v>273</v>
      </c>
      <c r="AP344" s="48" t="s">
        <v>273</v>
      </c>
      <c r="AQ344" s="48" t="s">
        <v>273</v>
      </c>
      <c r="AR344" s="48" t="s">
        <v>273</v>
      </c>
      <c r="AS344" s="48" t="s">
        <v>273</v>
      </c>
      <c r="AT344" s="48" t="s">
        <v>273</v>
      </c>
      <c r="AU344" s="93">
        <v>38443</v>
      </c>
      <c r="AV344" s="93"/>
      <c r="AW344" s="93"/>
      <c r="AX344" s="93"/>
      <c r="AY344" s="93"/>
    </row>
    <row r="345" spans="1:52" ht="16.5" customHeight="1" x14ac:dyDescent="0.15">
      <c r="A345" s="146" t="s">
        <v>3847</v>
      </c>
      <c r="B345" s="147" t="s">
        <v>3848</v>
      </c>
      <c r="C345" s="48" t="s">
        <v>298</v>
      </c>
      <c r="D345" s="62" t="s">
        <v>263</v>
      </c>
      <c r="E345" s="48" t="s">
        <v>264</v>
      </c>
      <c r="F345" s="61">
        <v>42508</v>
      </c>
      <c r="G345" s="61">
        <v>42508</v>
      </c>
      <c r="H345" s="125">
        <v>42534</v>
      </c>
      <c r="I345" s="61" t="s">
        <v>279</v>
      </c>
      <c r="J345" s="87"/>
      <c r="K345" s="62" t="s">
        <v>14</v>
      </c>
      <c r="L345" s="62">
        <v>3</v>
      </c>
      <c r="M345" s="62" t="s">
        <v>409</v>
      </c>
      <c r="N345" s="62" t="s">
        <v>3849</v>
      </c>
      <c r="O345" s="48" t="s">
        <v>1770</v>
      </c>
      <c r="P345" s="48" t="s">
        <v>3850</v>
      </c>
      <c r="Q345" s="48" t="s">
        <v>3851</v>
      </c>
      <c r="R345" s="48" t="s">
        <v>2270</v>
      </c>
      <c r="S345" s="48" t="s">
        <v>2271</v>
      </c>
      <c r="T345" s="48" t="s">
        <v>3852</v>
      </c>
      <c r="U345" s="48" t="s">
        <v>3853</v>
      </c>
      <c r="V345" s="122" t="s">
        <v>263</v>
      </c>
      <c r="W345" s="122" t="s">
        <v>263</v>
      </c>
      <c r="X345" s="48" t="s">
        <v>3854</v>
      </c>
      <c r="Y345" s="48" t="s">
        <v>3855</v>
      </c>
      <c r="Z345" s="61"/>
      <c r="AA345" s="148" t="s">
        <v>546</v>
      </c>
      <c r="AB345" s="148" t="s">
        <v>547</v>
      </c>
      <c r="AC345" s="148" t="s">
        <v>548</v>
      </c>
      <c r="AD345" s="48" t="s">
        <v>273</v>
      </c>
      <c r="AE345" s="48" t="s">
        <v>273</v>
      </c>
      <c r="AF345" s="48" t="s">
        <v>273</v>
      </c>
      <c r="AG345" s="48" t="s">
        <v>273</v>
      </c>
      <c r="AH345" s="48" t="s">
        <v>273</v>
      </c>
      <c r="AI345" s="48" t="s">
        <v>273</v>
      </c>
      <c r="AJ345" s="48" t="s">
        <v>273</v>
      </c>
      <c r="AK345" s="48" t="s">
        <v>3856</v>
      </c>
      <c r="AL345" s="48" t="s">
        <v>550</v>
      </c>
      <c r="AM345" s="48" t="s">
        <v>3833</v>
      </c>
      <c r="AN345" s="48" t="s">
        <v>273</v>
      </c>
      <c r="AO345" s="48" t="s">
        <v>273</v>
      </c>
      <c r="AP345" s="48" t="s">
        <v>273</v>
      </c>
      <c r="AQ345" s="48" t="s">
        <v>273</v>
      </c>
      <c r="AR345" s="48" t="s">
        <v>273</v>
      </c>
      <c r="AS345" s="48" t="s">
        <v>273</v>
      </c>
      <c r="AT345" s="48" t="s">
        <v>273</v>
      </c>
      <c r="AU345" s="93">
        <v>41030</v>
      </c>
      <c r="AV345" s="93"/>
      <c r="AW345" s="93"/>
      <c r="AX345" s="93"/>
      <c r="AY345" s="93"/>
    </row>
    <row r="346" spans="1:52" ht="16.5" customHeight="1" x14ac:dyDescent="0.15">
      <c r="A346" s="146" t="s">
        <v>3857</v>
      </c>
      <c r="B346" s="147" t="s">
        <v>3858</v>
      </c>
      <c r="C346" s="48" t="s">
        <v>298</v>
      </c>
      <c r="D346" s="62" t="s">
        <v>263</v>
      </c>
      <c r="E346" s="48" t="s">
        <v>300</v>
      </c>
      <c r="F346" s="61">
        <v>42508</v>
      </c>
      <c r="G346" s="61">
        <v>42508</v>
      </c>
      <c r="H346" s="125">
        <v>42548</v>
      </c>
      <c r="I346" s="61">
        <v>38596</v>
      </c>
      <c r="J346" s="87"/>
      <c r="K346" s="124" t="s">
        <v>263</v>
      </c>
      <c r="L346" s="124" t="s">
        <v>263</v>
      </c>
      <c r="M346" s="62" t="s">
        <v>394</v>
      </c>
      <c r="N346" s="62" t="s">
        <v>3859</v>
      </c>
      <c r="O346" s="48" t="s">
        <v>555</v>
      </c>
      <c r="P346" s="48" t="s">
        <v>1425</v>
      </c>
      <c r="Q346" s="48" t="s">
        <v>398</v>
      </c>
      <c r="R346" s="48" t="s">
        <v>399</v>
      </c>
      <c r="S346" s="48" t="s">
        <v>400</v>
      </c>
      <c r="T346" s="48" t="s">
        <v>401</v>
      </c>
      <c r="U346" s="48" t="s">
        <v>3860</v>
      </c>
      <c r="V346" s="122" t="s">
        <v>263</v>
      </c>
      <c r="W346" s="122" t="s">
        <v>263</v>
      </c>
      <c r="X346" s="48" t="s">
        <v>3861</v>
      </c>
      <c r="Y346" s="48" t="s">
        <v>3862</v>
      </c>
      <c r="Z346" s="61"/>
      <c r="AA346" s="48" t="s">
        <v>273</v>
      </c>
      <c r="AB346" s="48" t="s">
        <v>273</v>
      </c>
      <c r="AC346" s="48" t="s">
        <v>273</v>
      </c>
      <c r="AD346" s="48" t="s">
        <v>273</v>
      </c>
      <c r="AE346" s="48" t="s">
        <v>273</v>
      </c>
      <c r="AF346" s="48" t="s">
        <v>273</v>
      </c>
      <c r="AG346" s="48" t="s">
        <v>273</v>
      </c>
      <c r="AH346" s="48" t="s">
        <v>273</v>
      </c>
      <c r="AI346" s="48" t="s">
        <v>273</v>
      </c>
      <c r="AJ346" s="48" t="s">
        <v>273</v>
      </c>
      <c r="AK346" s="48" t="s">
        <v>273</v>
      </c>
      <c r="AL346" s="48" t="s">
        <v>273</v>
      </c>
      <c r="AM346" s="48" t="s">
        <v>273</v>
      </c>
      <c r="AN346" s="48" t="s">
        <v>273</v>
      </c>
      <c r="AO346" s="48" t="s">
        <v>273</v>
      </c>
      <c r="AP346" s="48" t="s">
        <v>273</v>
      </c>
      <c r="AQ346" s="48" t="s">
        <v>273</v>
      </c>
      <c r="AR346" s="48" t="s">
        <v>273</v>
      </c>
      <c r="AS346" s="48" t="s">
        <v>273</v>
      </c>
      <c r="AT346" s="48" t="s">
        <v>273</v>
      </c>
      <c r="AU346" s="93">
        <v>38261</v>
      </c>
      <c r="AV346" s="93"/>
      <c r="AW346" s="93"/>
      <c r="AX346" s="93"/>
      <c r="AY346" s="93"/>
    </row>
    <row r="347" spans="1:52" ht="16.5" customHeight="1" x14ac:dyDescent="0.15">
      <c r="A347" s="146" t="s">
        <v>3863</v>
      </c>
      <c r="B347" s="147" t="s">
        <v>3864</v>
      </c>
      <c r="C347" s="48" t="s">
        <v>3865</v>
      </c>
      <c r="D347" s="62" t="s">
        <v>3866</v>
      </c>
      <c r="E347" s="48" t="s">
        <v>264</v>
      </c>
      <c r="F347" s="61">
        <v>42509</v>
      </c>
      <c r="G347" s="61">
        <v>42509</v>
      </c>
      <c r="H347" s="125">
        <v>42528</v>
      </c>
      <c r="I347" s="61" t="s">
        <v>279</v>
      </c>
      <c r="J347" s="87"/>
      <c r="K347" s="62" t="s">
        <v>14</v>
      </c>
      <c r="L347" s="62">
        <v>3</v>
      </c>
      <c r="M347" s="62" t="s">
        <v>209</v>
      </c>
      <c r="N347" s="62" t="s">
        <v>3867</v>
      </c>
      <c r="O347" s="48" t="s">
        <v>281</v>
      </c>
      <c r="P347" s="48" t="s">
        <v>267</v>
      </c>
      <c r="Q347" s="48" t="s">
        <v>3159</v>
      </c>
      <c r="R347" s="48" t="s">
        <v>1948</v>
      </c>
      <c r="S347" s="130" t="s">
        <v>1949</v>
      </c>
      <c r="T347" s="130" t="s">
        <v>1950</v>
      </c>
      <c r="U347" s="48" t="s">
        <v>3868</v>
      </c>
      <c r="V347" s="122" t="s">
        <v>263</v>
      </c>
      <c r="W347" s="122" t="s">
        <v>263</v>
      </c>
      <c r="X347" s="48" t="s">
        <v>3869</v>
      </c>
      <c r="Y347" s="48" t="s">
        <v>3870</v>
      </c>
      <c r="Z347" s="61"/>
      <c r="AA347" s="48" t="s">
        <v>2886</v>
      </c>
      <c r="AB347" s="48" t="s">
        <v>3871</v>
      </c>
      <c r="AC347" s="48" t="s">
        <v>3872</v>
      </c>
      <c r="AD347" s="48" t="s">
        <v>273</v>
      </c>
      <c r="AE347" s="48" t="s">
        <v>273</v>
      </c>
      <c r="AF347" s="48" t="s">
        <v>273</v>
      </c>
      <c r="AG347" s="48" t="s">
        <v>273</v>
      </c>
      <c r="AH347" s="48" t="s">
        <v>273</v>
      </c>
      <c r="AI347" s="48" t="s">
        <v>273</v>
      </c>
      <c r="AJ347" s="48" t="s">
        <v>273</v>
      </c>
      <c r="AK347" s="48" t="s">
        <v>3873</v>
      </c>
      <c r="AL347" s="48" t="s">
        <v>3874</v>
      </c>
      <c r="AM347" s="48" t="s">
        <v>274</v>
      </c>
      <c r="AN347" s="48" t="s">
        <v>273</v>
      </c>
      <c r="AO347" s="48" t="s">
        <v>273</v>
      </c>
      <c r="AP347" s="48" t="s">
        <v>273</v>
      </c>
      <c r="AQ347" s="48" t="s">
        <v>273</v>
      </c>
      <c r="AR347" s="48" t="s">
        <v>273</v>
      </c>
      <c r="AS347" s="48" t="s">
        <v>273</v>
      </c>
      <c r="AT347" s="48" t="s">
        <v>273</v>
      </c>
      <c r="AU347" s="93">
        <v>40909</v>
      </c>
      <c r="AV347" s="93"/>
      <c r="AW347" s="93"/>
      <c r="AX347" s="93"/>
      <c r="AY347" s="93"/>
    </row>
    <row r="348" spans="1:52" ht="16.5" customHeight="1" x14ac:dyDescent="0.15">
      <c r="A348" s="144" t="s">
        <v>3875</v>
      </c>
      <c r="B348" s="145" t="s">
        <v>3876</v>
      </c>
      <c r="C348" s="48" t="s">
        <v>3877</v>
      </c>
      <c r="D348" s="62" t="s">
        <v>263</v>
      </c>
      <c r="E348" s="48" t="s">
        <v>264</v>
      </c>
      <c r="F348" s="61">
        <v>42509</v>
      </c>
      <c r="G348" s="61">
        <v>42509</v>
      </c>
      <c r="H348" s="125">
        <v>42520</v>
      </c>
      <c r="I348" s="61" t="s">
        <v>1249</v>
      </c>
      <c r="J348" s="87"/>
      <c r="K348" s="62" t="s">
        <v>14</v>
      </c>
      <c r="L348" s="62">
        <v>3</v>
      </c>
      <c r="M348" s="62" t="s">
        <v>209</v>
      </c>
      <c r="N348" s="62" t="s">
        <v>1735</v>
      </c>
      <c r="O348" s="48" t="s">
        <v>1736</v>
      </c>
      <c r="P348" s="48" t="s">
        <v>267</v>
      </c>
      <c r="Q348" s="48" t="s">
        <v>892</v>
      </c>
      <c r="R348" s="122" t="s">
        <v>263</v>
      </c>
      <c r="S348" s="48" t="s">
        <v>269</v>
      </c>
      <c r="T348" s="48" t="s">
        <v>270</v>
      </c>
      <c r="U348" s="48" t="s">
        <v>1737</v>
      </c>
      <c r="V348" s="122" t="s">
        <v>263</v>
      </c>
      <c r="W348" s="122" t="s">
        <v>263</v>
      </c>
      <c r="X348" s="122" t="s">
        <v>263</v>
      </c>
      <c r="Y348" s="122" t="s">
        <v>263</v>
      </c>
      <c r="Z348" s="61"/>
      <c r="AA348" s="129" t="s">
        <v>2215</v>
      </c>
      <c r="AB348" s="48" t="s">
        <v>273</v>
      </c>
      <c r="AC348" s="48" t="s">
        <v>273</v>
      </c>
      <c r="AD348" s="48" t="s">
        <v>273</v>
      </c>
      <c r="AE348" s="48" t="s">
        <v>273</v>
      </c>
      <c r="AF348" s="48" t="s">
        <v>273</v>
      </c>
      <c r="AG348" s="48" t="s">
        <v>273</v>
      </c>
      <c r="AH348" s="48" t="s">
        <v>273</v>
      </c>
      <c r="AI348" s="48" t="s">
        <v>273</v>
      </c>
      <c r="AJ348" s="48" t="s">
        <v>273</v>
      </c>
      <c r="AK348" s="48" t="s">
        <v>2216</v>
      </c>
      <c r="AL348" s="48" t="s">
        <v>273</v>
      </c>
      <c r="AM348" s="48" t="s">
        <v>273</v>
      </c>
      <c r="AN348" s="48" t="s">
        <v>273</v>
      </c>
      <c r="AO348" s="48" t="s">
        <v>273</v>
      </c>
      <c r="AP348" s="48" t="s">
        <v>273</v>
      </c>
      <c r="AQ348" s="48" t="s">
        <v>273</v>
      </c>
      <c r="AR348" s="48" t="s">
        <v>273</v>
      </c>
      <c r="AS348" s="48" t="s">
        <v>273</v>
      </c>
      <c r="AT348" s="48" t="s">
        <v>273</v>
      </c>
      <c r="AU348" s="93">
        <v>39569</v>
      </c>
      <c r="AV348" s="93"/>
      <c r="AW348" s="93"/>
      <c r="AX348" s="93"/>
      <c r="AY348" s="93"/>
      <c r="AZ348" s="49" t="s">
        <v>3479</v>
      </c>
    </row>
    <row r="349" spans="1:52" ht="16.5" customHeight="1" x14ac:dyDescent="0.15">
      <c r="A349" s="146" t="s">
        <v>3878</v>
      </c>
      <c r="B349" s="147" t="s">
        <v>3879</v>
      </c>
      <c r="C349" s="48" t="s">
        <v>330</v>
      </c>
      <c r="D349" s="62" t="s">
        <v>3880</v>
      </c>
      <c r="E349" s="48" t="s">
        <v>300</v>
      </c>
      <c r="F349" s="61">
        <v>42509</v>
      </c>
      <c r="G349" s="61">
        <v>42509</v>
      </c>
      <c r="H349" s="125">
        <v>42524</v>
      </c>
      <c r="I349" s="61" t="s">
        <v>279</v>
      </c>
      <c r="J349" s="87"/>
      <c r="K349" s="62" t="s">
        <v>14</v>
      </c>
      <c r="L349" s="124" t="s">
        <v>263</v>
      </c>
      <c r="M349" s="62" t="s">
        <v>442</v>
      </c>
      <c r="N349" s="62" t="s">
        <v>3881</v>
      </c>
      <c r="O349" s="48" t="s">
        <v>872</v>
      </c>
      <c r="P349" s="48" t="s">
        <v>2282</v>
      </c>
      <c r="Q349" s="48" t="s">
        <v>3882</v>
      </c>
      <c r="R349" s="48" t="s">
        <v>3883</v>
      </c>
      <c r="S349" s="130" t="s">
        <v>3884</v>
      </c>
      <c r="T349" s="48" t="s">
        <v>3885</v>
      </c>
      <c r="U349" s="48" t="s">
        <v>3886</v>
      </c>
      <c r="V349" s="122" t="s">
        <v>263</v>
      </c>
      <c r="W349" s="122" t="s">
        <v>263</v>
      </c>
      <c r="X349" s="48" t="s">
        <v>3887</v>
      </c>
      <c r="Y349" s="48" t="s">
        <v>3888</v>
      </c>
      <c r="Z349" s="61"/>
      <c r="AA349" s="48" t="s">
        <v>273</v>
      </c>
      <c r="AB349" s="48" t="s">
        <v>273</v>
      </c>
      <c r="AC349" s="48" t="s">
        <v>273</v>
      </c>
      <c r="AD349" s="48" t="s">
        <v>273</v>
      </c>
      <c r="AE349" s="48" t="s">
        <v>273</v>
      </c>
      <c r="AF349" s="48" t="s">
        <v>273</v>
      </c>
      <c r="AG349" s="48" t="s">
        <v>273</v>
      </c>
      <c r="AH349" s="48" t="s">
        <v>273</v>
      </c>
      <c r="AI349" s="48" t="s">
        <v>273</v>
      </c>
      <c r="AJ349" s="48" t="s">
        <v>273</v>
      </c>
      <c r="AK349" s="48" t="s">
        <v>273</v>
      </c>
      <c r="AL349" s="48" t="s">
        <v>273</v>
      </c>
      <c r="AM349" s="48" t="s">
        <v>273</v>
      </c>
      <c r="AN349" s="48" t="s">
        <v>273</v>
      </c>
      <c r="AO349" s="48" t="s">
        <v>273</v>
      </c>
      <c r="AP349" s="48" t="s">
        <v>273</v>
      </c>
      <c r="AQ349" s="48" t="s">
        <v>273</v>
      </c>
      <c r="AR349" s="48" t="s">
        <v>273</v>
      </c>
      <c r="AS349" s="48" t="s">
        <v>273</v>
      </c>
      <c r="AT349" s="48" t="s">
        <v>273</v>
      </c>
      <c r="AU349" s="93">
        <v>39508</v>
      </c>
      <c r="AV349" s="93"/>
      <c r="AW349" s="93"/>
      <c r="AX349" s="93"/>
      <c r="AY349" s="93"/>
      <c r="AZ349" s="49" t="s">
        <v>3889</v>
      </c>
    </row>
    <row r="350" spans="1:52" ht="16.5" customHeight="1" x14ac:dyDescent="0.15">
      <c r="A350" s="199" t="s">
        <v>3890</v>
      </c>
      <c r="B350" s="209" t="s">
        <v>3891</v>
      </c>
      <c r="C350" s="48" t="s">
        <v>330</v>
      </c>
      <c r="D350" s="62" t="s">
        <v>3892</v>
      </c>
      <c r="E350" s="48" t="s">
        <v>300</v>
      </c>
      <c r="F350" s="61">
        <v>42509</v>
      </c>
      <c r="G350" s="61">
        <v>42509</v>
      </c>
      <c r="H350" s="125">
        <v>42695</v>
      </c>
      <c r="I350" s="61" t="s">
        <v>279</v>
      </c>
      <c r="J350" s="87"/>
      <c r="K350" s="124" t="s">
        <v>2818</v>
      </c>
      <c r="L350" s="124" t="s">
        <v>2818</v>
      </c>
      <c r="M350" s="62" t="s">
        <v>3893</v>
      </c>
      <c r="N350" s="62" t="s">
        <v>3894</v>
      </c>
      <c r="O350" s="48" t="s">
        <v>3895</v>
      </c>
      <c r="P350" s="48" t="s">
        <v>3896</v>
      </c>
      <c r="Q350" s="48" t="s">
        <v>1003</v>
      </c>
      <c r="R350" s="48" t="s">
        <v>3897</v>
      </c>
      <c r="S350" s="48" t="s">
        <v>1005</v>
      </c>
      <c r="T350" s="48" t="s">
        <v>3898</v>
      </c>
      <c r="U350" s="48" t="s">
        <v>3899</v>
      </c>
      <c r="V350" s="122" t="s">
        <v>2818</v>
      </c>
      <c r="W350" s="122" t="s">
        <v>2818</v>
      </c>
      <c r="X350" s="48" t="s">
        <v>3900</v>
      </c>
      <c r="Y350" s="48" t="s">
        <v>3901</v>
      </c>
      <c r="Z350" s="61"/>
      <c r="AA350" s="48" t="s">
        <v>273</v>
      </c>
      <c r="AB350" s="48" t="s">
        <v>273</v>
      </c>
      <c r="AC350" s="48" t="s">
        <v>273</v>
      </c>
      <c r="AD350" s="48" t="s">
        <v>273</v>
      </c>
      <c r="AE350" s="48" t="s">
        <v>273</v>
      </c>
      <c r="AF350" s="48" t="s">
        <v>273</v>
      </c>
      <c r="AG350" s="48" t="s">
        <v>273</v>
      </c>
      <c r="AH350" s="48" t="s">
        <v>273</v>
      </c>
      <c r="AI350" s="48" t="s">
        <v>273</v>
      </c>
      <c r="AJ350" s="48" t="s">
        <v>273</v>
      </c>
      <c r="AK350" s="48" t="s">
        <v>273</v>
      </c>
      <c r="AL350" s="48" t="s">
        <v>273</v>
      </c>
      <c r="AM350" s="48" t="s">
        <v>273</v>
      </c>
      <c r="AN350" s="48" t="s">
        <v>273</v>
      </c>
      <c r="AO350" s="48" t="s">
        <v>273</v>
      </c>
      <c r="AP350" s="48" t="s">
        <v>273</v>
      </c>
      <c r="AQ350" s="48" t="s">
        <v>273</v>
      </c>
      <c r="AR350" s="48" t="s">
        <v>273</v>
      </c>
      <c r="AS350" s="48" t="s">
        <v>273</v>
      </c>
      <c r="AT350" s="48" t="s">
        <v>273</v>
      </c>
      <c r="AU350" s="93">
        <v>39814</v>
      </c>
      <c r="AV350" s="93"/>
      <c r="AW350" s="93"/>
      <c r="AX350" s="93"/>
      <c r="AY350" s="93"/>
    </row>
    <row r="351" spans="1:52" ht="16.5" customHeight="1" x14ac:dyDescent="0.15">
      <c r="A351" s="144" t="s">
        <v>3902</v>
      </c>
      <c r="B351" s="145" t="s">
        <v>3903</v>
      </c>
      <c r="C351" s="48" t="s">
        <v>3904</v>
      </c>
      <c r="D351" s="62" t="s">
        <v>3905</v>
      </c>
      <c r="E351" s="48" t="s">
        <v>264</v>
      </c>
      <c r="F351" s="61">
        <v>42510</v>
      </c>
      <c r="G351" s="61">
        <v>42510</v>
      </c>
      <c r="H351" s="125">
        <v>42520</v>
      </c>
      <c r="I351" s="61">
        <v>41486</v>
      </c>
      <c r="J351" s="87"/>
      <c r="K351" s="62" t="s">
        <v>14</v>
      </c>
      <c r="L351" s="124" t="s">
        <v>263</v>
      </c>
      <c r="M351" s="62" t="s">
        <v>209</v>
      </c>
      <c r="N351" s="62" t="s">
        <v>3906</v>
      </c>
      <c r="O351" s="48" t="s">
        <v>3907</v>
      </c>
      <c r="P351" s="48" t="s">
        <v>428</v>
      </c>
      <c r="Q351" s="48" t="s">
        <v>1742</v>
      </c>
      <c r="R351" s="48" t="s">
        <v>430</v>
      </c>
      <c r="S351" s="48" t="s">
        <v>3908</v>
      </c>
      <c r="T351" s="48" t="s">
        <v>3909</v>
      </c>
      <c r="U351" s="48" t="s">
        <v>3910</v>
      </c>
      <c r="V351" s="122" t="s">
        <v>263</v>
      </c>
      <c r="W351" s="48" t="s">
        <v>614</v>
      </c>
      <c r="X351" s="48" t="s">
        <v>3911</v>
      </c>
      <c r="Y351" s="48" t="s">
        <v>3912</v>
      </c>
      <c r="Z351" s="61"/>
      <c r="AA351" s="48" t="s">
        <v>2886</v>
      </c>
      <c r="AB351" s="48" t="s">
        <v>273</v>
      </c>
      <c r="AC351" s="48" t="s">
        <v>273</v>
      </c>
      <c r="AD351" s="48" t="s">
        <v>273</v>
      </c>
      <c r="AE351" s="48" t="s">
        <v>273</v>
      </c>
      <c r="AF351" s="48" t="s">
        <v>273</v>
      </c>
      <c r="AG351" s="48" t="s">
        <v>273</v>
      </c>
      <c r="AH351" s="48" t="s">
        <v>273</v>
      </c>
      <c r="AI351" s="48" t="s">
        <v>273</v>
      </c>
      <c r="AJ351" s="48" t="s">
        <v>273</v>
      </c>
      <c r="AK351" s="48" t="e">
        <v>#N/A</v>
      </c>
      <c r="AL351" s="48" t="s">
        <v>273</v>
      </c>
      <c r="AM351" s="48" t="s">
        <v>273</v>
      </c>
      <c r="AN351" s="48" t="s">
        <v>273</v>
      </c>
      <c r="AO351" s="48" t="s">
        <v>273</v>
      </c>
      <c r="AP351" s="48" t="s">
        <v>273</v>
      </c>
      <c r="AQ351" s="48" t="s">
        <v>273</v>
      </c>
      <c r="AR351" s="48" t="s">
        <v>273</v>
      </c>
      <c r="AS351" s="48" t="s">
        <v>273</v>
      </c>
      <c r="AT351" s="48" t="s">
        <v>273</v>
      </c>
      <c r="AU351" s="93">
        <v>41306</v>
      </c>
      <c r="AV351" s="93"/>
      <c r="AW351" s="93"/>
      <c r="AX351" s="93"/>
      <c r="AY351" s="93"/>
      <c r="AZ351" s="49" t="s">
        <v>3913</v>
      </c>
    </row>
    <row r="352" spans="1:52" ht="16.5" customHeight="1" x14ac:dyDescent="0.15">
      <c r="A352" s="146" t="s">
        <v>3914</v>
      </c>
      <c r="B352" s="147" t="s">
        <v>3915</v>
      </c>
      <c r="C352" s="48" t="s">
        <v>3916</v>
      </c>
      <c r="D352" s="62" t="s">
        <v>3917</v>
      </c>
      <c r="E352" s="48" t="s">
        <v>264</v>
      </c>
      <c r="F352" s="61">
        <v>42510</v>
      </c>
      <c r="G352" s="61">
        <v>42510</v>
      </c>
      <c r="H352" s="125">
        <v>42527</v>
      </c>
      <c r="I352" s="61" t="s">
        <v>279</v>
      </c>
      <c r="J352" s="87"/>
      <c r="K352" s="62" t="s">
        <v>14</v>
      </c>
      <c r="L352" s="62">
        <v>3</v>
      </c>
      <c r="M352" s="62" t="s">
        <v>209</v>
      </c>
      <c r="N352" s="62" t="s">
        <v>3918</v>
      </c>
      <c r="O352" s="48" t="s">
        <v>3919</v>
      </c>
      <c r="P352" s="48" t="s">
        <v>267</v>
      </c>
      <c r="Q352" s="48" t="s">
        <v>3920</v>
      </c>
      <c r="R352" s="48" t="s">
        <v>3921</v>
      </c>
      <c r="S352" s="48" t="s">
        <v>1484</v>
      </c>
      <c r="T352" s="48" t="s">
        <v>1485</v>
      </c>
      <c r="U352" s="48" t="s">
        <v>3922</v>
      </c>
      <c r="V352" s="48" t="s">
        <v>3923</v>
      </c>
      <c r="W352" s="122" t="s">
        <v>263</v>
      </c>
      <c r="X352" s="48" t="s">
        <v>3924</v>
      </c>
      <c r="Y352" s="48" t="s">
        <v>3925</v>
      </c>
      <c r="Z352" s="61"/>
      <c r="AA352" s="48" t="s">
        <v>2886</v>
      </c>
      <c r="AB352" s="48" t="s">
        <v>273</v>
      </c>
      <c r="AC352" s="48" t="s">
        <v>273</v>
      </c>
      <c r="AD352" s="48" t="s">
        <v>273</v>
      </c>
      <c r="AE352" s="48" t="s">
        <v>273</v>
      </c>
      <c r="AF352" s="48" t="s">
        <v>273</v>
      </c>
      <c r="AG352" s="48" t="s">
        <v>273</v>
      </c>
      <c r="AH352" s="48" t="s">
        <v>273</v>
      </c>
      <c r="AI352" s="48" t="s">
        <v>273</v>
      </c>
      <c r="AJ352" s="48" t="s">
        <v>273</v>
      </c>
      <c r="AK352" s="48" t="s">
        <v>3926</v>
      </c>
      <c r="AL352" s="48" t="s">
        <v>273</v>
      </c>
      <c r="AM352" s="48" t="s">
        <v>273</v>
      </c>
      <c r="AN352" s="48" t="s">
        <v>273</v>
      </c>
      <c r="AO352" s="48" t="s">
        <v>273</v>
      </c>
      <c r="AP352" s="48" t="s">
        <v>273</v>
      </c>
      <c r="AQ352" s="48" t="s">
        <v>273</v>
      </c>
      <c r="AR352" s="48" t="s">
        <v>273</v>
      </c>
      <c r="AS352" s="48" t="s">
        <v>273</v>
      </c>
      <c r="AT352" s="48" t="s">
        <v>273</v>
      </c>
      <c r="AU352" s="93">
        <v>42401</v>
      </c>
      <c r="AV352" s="93"/>
      <c r="AW352" s="93"/>
      <c r="AX352" s="93"/>
      <c r="AY352" s="93"/>
    </row>
    <row r="353" spans="1:52" ht="16.5" customHeight="1" x14ac:dyDescent="0.15">
      <c r="A353" s="146" t="s">
        <v>3927</v>
      </c>
      <c r="B353" s="147" t="s">
        <v>3928</v>
      </c>
      <c r="C353" s="48" t="s">
        <v>3929</v>
      </c>
      <c r="D353" s="62" t="s">
        <v>263</v>
      </c>
      <c r="E353" s="48" t="s">
        <v>264</v>
      </c>
      <c r="F353" s="61">
        <v>42510</v>
      </c>
      <c r="G353" s="61">
        <v>42510</v>
      </c>
      <c r="H353" s="125">
        <v>42528</v>
      </c>
      <c r="I353" s="61" t="s">
        <v>1249</v>
      </c>
      <c r="J353" s="87"/>
      <c r="K353" s="62" t="s">
        <v>14</v>
      </c>
      <c r="L353" s="62">
        <v>3</v>
      </c>
      <c r="M353" s="62" t="s">
        <v>471</v>
      </c>
      <c r="N353" s="62" t="s">
        <v>3930</v>
      </c>
      <c r="O353" s="48" t="s">
        <v>502</v>
      </c>
      <c r="P353" s="48" t="s">
        <v>267</v>
      </c>
      <c r="Q353" s="48" t="s">
        <v>3931</v>
      </c>
      <c r="R353" s="48" t="s">
        <v>3932</v>
      </c>
      <c r="S353" s="130" t="s">
        <v>3933</v>
      </c>
      <c r="T353" s="130" t="s">
        <v>3934</v>
      </c>
      <c r="U353" s="48" t="s">
        <v>3935</v>
      </c>
      <c r="V353" s="122" t="s">
        <v>263</v>
      </c>
      <c r="W353" s="122" t="s">
        <v>263</v>
      </c>
      <c r="X353" s="48" t="s">
        <v>3936</v>
      </c>
      <c r="Y353" s="48" t="s">
        <v>3937</v>
      </c>
      <c r="Z353" s="61"/>
      <c r="AA353" s="48" t="s">
        <v>508</v>
      </c>
      <c r="AB353" s="48" t="s">
        <v>273</v>
      </c>
      <c r="AC353" s="48" t="s">
        <v>273</v>
      </c>
      <c r="AD353" s="48" t="s">
        <v>273</v>
      </c>
      <c r="AE353" s="48" t="s">
        <v>273</v>
      </c>
      <c r="AF353" s="48" t="s">
        <v>273</v>
      </c>
      <c r="AG353" s="48" t="s">
        <v>273</v>
      </c>
      <c r="AH353" s="48" t="s">
        <v>273</v>
      </c>
      <c r="AI353" s="48" t="s">
        <v>273</v>
      </c>
      <c r="AJ353" s="48" t="s">
        <v>273</v>
      </c>
      <c r="AK353" s="48" t="s">
        <v>509</v>
      </c>
      <c r="AL353" s="48" t="s">
        <v>273</v>
      </c>
      <c r="AM353" s="48" t="s">
        <v>273</v>
      </c>
      <c r="AN353" s="48" t="s">
        <v>273</v>
      </c>
      <c r="AO353" s="48" t="s">
        <v>273</v>
      </c>
      <c r="AP353" s="48" t="s">
        <v>273</v>
      </c>
      <c r="AQ353" s="48" t="s">
        <v>273</v>
      </c>
      <c r="AR353" s="48" t="s">
        <v>273</v>
      </c>
      <c r="AS353" s="48" t="s">
        <v>273</v>
      </c>
      <c r="AT353" s="48" t="s">
        <v>273</v>
      </c>
      <c r="AU353" s="93">
        <v>41699</v>
      </c>
      <c r="AV353" s="93"/>
      <c r="AW353" s="93"/>
      <c r="AX353" s="93"/>
      <c r="AY353" s="93"/>
    </row>
    <row r="354" spans="1:52" ht="16.5" customHeight="1" x14ac:dyDescent="0.15">
      <c r="A354" s="121" t="s">
        <v>3938</v>
      </c>
      <c r="B354" s="47" t="s">
        <v>3939</v>
      </c>
      <c r="C354" s="48" t="e">
        <f ca="1">INDIRECT("'["&amp;$C$1&amp;".xls]"&amp;$B354&amp;"'!$i$7")</f>
        <v>#REF!</v>
      </c>
      <c r="D354" s="62" t="e">
        <f ca="1">INDIRECT("'["&amp;$C$1&amp;".xls]"&amp;$B354&amp;"'!$b$7")</f>
        <v>#REF!</v>
      </c>
      <c r="E354" s="48" t="e">
        <f ca="1">IF(INDIRECT("'["&amp;$C$1&amp;".xls]"&amp;$B354&amp;"'!$i$2")="","",INDIRECT("'["&amp;$C$1&amp;".xls]"&amp;$B354&amp;"'!$i$2"))</f>
        <v>#REF!</v>
      </c>
      <c r="F354" s="61" t="e">
        <f ca="1">INDIRECT("'["&amp;$C$1&amp;".xls]"&amp;$B354&amp;"'!$b$2")</f>
        <v>#REF!</v>
      </c>
      <c r="G354" s="61" t="e">
        <f ca="1">INDIRECT("'["&amp;$C$1&amp;".xls]"&amp;$B354&amp;"'!$a$20")</f>
        <v>#REF!</v>
      </c>
      <c r="H354" s="88" t="e">
        <f ca="1">INDIRECT("'["&amp;$C$1&amp;".xls]"&amp;$B354&amp;"'!$Q$22")</f>
        <v>#REF!</v>
      </c>
      <c r="I354" s="61" t="e">
        <f ca="1">INDIRECT("'["&amp;$C$1&amp;".xls]"&amp;$B354&amp;"'!$f$6")</f>
        <v>#REF!</v>
      </c>
      <c r="J354" s="87"/>
      <c r="K354" s="62" t="e">
        <f ca="1">INDIRECT("'["&amp;$C$1&amp;".xls]"&amp;$B354&amp;"'!$f$25")</f>
        <v>#REF!</v>
      </c>
      <c r="L354" s="62"/>
      <c r="M354" s="62" t="e">
        <f ca="1">INDIRECT("'["&amp;$C$1&amp;".xls]"&amp;$B354&amp;"'!$f$4")</f>
        <v>#REF!</v>
      </c>
      <c r="N354" s="62" t="e">
        <f ca="1">INDIRECT("'["&amp;$C$1&amp;".xls]"&amp;$B354&amp;"'!$i$4")</f>
        <v>#REF!</v>
      </c>
      <c r="O354" s="48" t="e">
        <f ca="1">INDIRECT("'["&amp;$C$1&amp;".xls]"&amp;$B354&amp;"'!$l$4")</f>
        <v>#REF!</v>
      </c>
      <c r="P354" s="48" t="e">
        <f ca="1">INDIRECT("'["&amp;$C$1&amp;".xls]"&amp;$B354&amp;"'!$b$5")</f>
        <v>#REF!</v>
      </c>
      <c r="Q354" s="48" t="e">
        <f ca="1">INDIRECT("'["&amp;$C$1&amp;".xls]"&amp;$B354&amp;"'!$f$5")</f>
        <v>#REF!</v>
      </c>
      <c r="R354" s="48"/>
      <c r="S354" s="48" t="e">
        <f ca="1">INDIRECT("'["&amp;$C$1&amp;".xls]"&amp;$B354&amp;"'!$i$5")</f>
        <v>#REF!</v>
      </c>
      <c r="T354" s="48" t="e">
        <f ca="1">INDIRECT("'["&amp;$C$1&amp;".xls]"&amp;$B354&amp;"'!$l$5")</f>
        <v>#REF!</v>
      </c>
      <c r="U354" s="48" t="e">
        <f ca="1">INDIRECT("'["&amp;$C$1&amp;".xls]"&amp;$B354&amp;"'!$b$4")</f>
        <v>#REF!</v>
      </c>
      <c r="V354" s="48"/>
      <c r="W354" s="48"/>
      <c r="X354" s="48"/>
      <c r="Y354" s="48"/>
      <c r="Z354" s="61"/>
      <c r="AA354" s="48" t="e">
        <f ca="1">IF(INDIRECT("'["&amp;$C$1&amp;".xls]"&amp;$B354&amp;"'!$P$25")="","",IF(INDIRECT("'["&amp;$C$1&amp;".xls]"&amp;$B354&amp;"'!$O$25")="済み",INDIRECT("'["&amp;$C$1&amp;".xls]"&amp;$B354&amp;"'!$P$25"),""))</f>
        <v>#REF!</v>
      </c>
      <c r="AB354" s="48" t="e">
        <f ca="1">IF(INDIRECT("'["&amp;$C$1&amp;".xls]"&amp;$B354&amp;"'!$P$26")="","",IF(INDIRECT("'["&amp;$C$1&amp;".xls]"&amp;$B354&amp;"'!$O$26")="済み",INDIRECT("'["&amp;$C$1&amp;".xls]"&amp;$B354&amp;"'!$P$26"),""))</f>
        <v>#REF!</v>
      </c>
      <c r="AC354" s="48" t="e">
        <f ca="1">IF(INDIRECT("'["&amp;$C$1&amp;".xls]"&amp;$B354&amp;"'!$P$27")="","",IF(INDIRECT("'["&amp;$C$1&amp;".xls]"&amp;$B354&amp;"'!$O$27")="済み",INDIRECT("'["&amp;$C$1&amp;".xls]"&amp;$B354&amp;"'!$P$27"),""))</f>
        <v>#REF!</v>
      </c>
      <c r="AD354" s="48" t="e">
        <f ca="1">IF(INDIRECT("'["&amp;$C$1&amp;".xls]"&amp;$B354&amp;"'!$P$28")="","",IF(INDIRECT("'["&amp;$C$1&amp;".xls]"&amp;$B354&amp;"'!$O$28")="済み",INDIRECT("'["&amp;$C$1&amp;".xls]"&amp;$B354&amp;"'!$P$28"),""))</f>
        <v>#REF!</v>
      </c>
      <c r="AE354" s="48" t="e">
        <f ca="1">IF(INDIRECT("'["&amp;$C$1&amp;".xls]"&amp;$B354&amp;"'!$P$29")="","",IF(INDIRECT("'["&amp;$C$1&amp;".xls]"&amp;$B354&amp;"'!$O$29")="済み",INDIRECT("'["&amp;$C$1&amp;".xls]"&amp;$B354&amp;"'!$P$29"),""))</f>
        <v>#REF!</v>
      </c>
      <c r="AF354" s="48" t="e">
        <f ca="1">IF(INDIRECT("'["&amp;$C$1&amp;".xls]"&amp;$B354&amp;"'!$P$30")="","",IF(INDIRECT("'["&amp;$C$1&amp;".xls]"&amp;$B354&amp;"'!$O$30")="済み",INDIRECT("'["&amp;$C$1&amp;".xls]"&amp;$B354&amp;"'!$P$30"),""))</f>
        <v>#REF!</v>
      </c>
      <c r="AG354" s="48" t="e">
        <f ca="1">IF(INDIRECT("'["&amp;$C$1&amp;".xls]"&amp;$B354&amp;"'!$P$31")="","",IF(INDIRECT("'["&amp;$C$1&amp;".xls]"&amp;$B354&amp;"'!$O$31")="済み",INDIRECT("'["&amp;$C$1&amp;".xls]"&amp;$B354&amp;"'!$P$31"),""))</f>
        <v>#REF!</v>
      </c>
      <c r="AH354" s="48" t="e">
        <f ca="1">IF(INDIRECT("'["&amp;$C$1&amp;".xls]"&amp;$B354&amp;"'!$P$32")="","",IF(INDIRECT("'["&amp;$C$1&amp;".xls]"&amp;$B354&amp;"'!$O$32")="済み",INDIRECT("'["&amp;$C$1&amp;".xls]"&amp;$B354&amp;"'!$P$32"),""))</f>
        <v>#REF!</v>
      </c>
      <c r="AI354" s="48" t="e">
        <f ca="1">IF(INDIRECT("'["&amp;$C$1&amp;".xls]"&amp;$B354&amp;"'!$P$33")="","",IF(INDIRECT("'["&amp;$C$1&amp;".xls]"&amp;$B354&amp;"'!$O$33")="済み",INDIRECT("'["&amp;$C$1&amp;".xls]"&amp;$B354&amp;"'!$P$33"),""))</f>
        <v>#REF!</v>
      </c>
      <c r="AJ354" s="48" t="e">
        <f ca="1">IF(INDIRECT("'["&amp;$C$1&amp;".xls]"&amp;$B354&amp;"'!$P$34")="","",IF(INDIRECT("'["&amp;$C$1&amp;".xls]"&amp;$B354&amp;"'!$O$34")="済み",INDIRECT("'["&amp;$C$1&amp;".xls]"&amp;$B354&amp;"'!$P$34"),""))</f>
        <v>#REF!</v>
      </c>
      <c r="AK354" s="48" t="e">
        <f ca="1">IF(INDIRECT("'["&amp;$C$1&amp;".xls]"&amp;$B354&amp;"'!$T25")="","",IF(INDIRECT("'["&amp;$C$1&amp;".xls]"&amp;$B354&amp;"'!$O$25")="済み",INDIRECT("'["&amp;$C$1&amp;".xls]"&amp;$B354&amp;"'!$T$25"),""))</f>
        <v>#REF!</v>
      </c>
      <c r="AL354" s="48" t="e">
        <f ca="1">IF(INDIRECT("'["&amp;$C$1&amp;".xls]"&amp;$B354&amp;"'!$T26")="","",IF(INDIRECT("'["&amp;$C$1&amp;".xls]"&amp;$B354&amp;"'!$O$26")="済み",INDIRECT("'["&amp;$C$1&amp;".xls]"&amp;$B354&amp;"'!$T$26"),""))</f>
        <v>#REF!</v>
      </c>
      <c r="AM354" s="48" t="e">
        <f ca="1">IF(INDIRECT("'["&amp;$C$1&amp;".xls]"&amp;$B354&amp;"'!$T27")="","",IF(INDIRECT("'["&amp;$C$1&amp;".xls]"&amp;$B354&amp;"'!$O$27")="済み",INDIRECT("'["&amp;$C$1&amp;".xls]"&amp;$B354&amp;"'!$T$27"),""))</f>
        <v>#REF!</v>
      </c>
      <c r="AN354" s="48" t="e">
        <f ca="1">IF(INDIRECT("'["&amp;$C$1&amp;".xls]"&amp;$B354&amp;"'!$T28")="","",IF(INDIRECT("'["&amp;$C$1&amp;".xls]"&amp;$B354&amp;"'!$O$28")="済み",INDIRECT("'["&amp;$C$1&amp;".xls]"&amp;$B354&amp;"'!$T$28"),""))</f>
        <v>#REF!</v>
      </c>
      <c r="AO354" s="48" t="e">
        <f ca="1">IF(INDIRECT("'["&amp;$C$1&amp;".xls]"&amp;$B354&amp;"'!$T29")="","",IF(INDIRECT("'["&amp;$C$1&amp;".xls]"&amp;$B354&amp;"'!$O$29")="済み",INDIRECT("'["&amp;$C$1&amp;".xls]"&amp;$B354&amp;"'!$T$29"),""))</f>
        <v>#REF!</v>
      </c>
      <c r="AP354" s="48" t="e">
        <f ca="1">IF(INDIRECT("'["&amp;$C$1&amp;".xls]"&amp;$B354&amp;"'!$T30")="","",IF(INDIRECT("'["&amp;$C$1&amp;".xls]"&amp;$B354&amp;"'!$O$30")="済み",INDIRECT("'["&amp;$C$1&amp;".xls]"&amp;$B354&amp;"'!$T$30"),""))</f>
        <v>#REF!</v>
      </c>
      <c r="AQ354" s="48" t="e">
        <f ca="1">IF(INDIRECT("'["&amp;$C$1&amp;".xls]"&amp;$B354&amp;"'!$T31")="","",IF(INDIRECT("'["&amp;$C$1&amp;".xls]"&amp;$B354&amp;"'!$O$31")="済み",INDIRECT("'["&amp;$C$1&amp;".xls]"&amp;$B354&amp;"'!$T$31"),""))</f>
        <v>#REF!</v>
      </c>
      <c r="AR354" s="48" t="e">
        <f ca="1">IF(INDIRECT("'["&amp;$C$1&amp;".xls]"&amp;$B354&amp;"'!$T32")="","",IF(INDIRECT("'["&amp;$C$1&amp;".xls]"&amp;$B354&amp;"'!$O$32")="済み",INDIRECT("'["&amp;$C$1&amp;".xls]"&amp;$B354&amp;"'!$T$32"),""))</f>
        <v>#REF!</v>
      </c>
      <c r="AS354" s="48" t="e">
        <f ca="1">IF(INDIRECT("'["&amp;$C$1&amp;".xls]"&amp;$B354&amp;"'!$T33")="","",IF(INDIRECT("'["&amp;$C$1&amp;".xls]"&amp;$B354&amp;"'!$O$33")="済み",INDIRECT("'["&amp;$C$1&amp;".xls]"&amp;$B354&amp;"'!$T$33"),""))</f>
        <v>#REF!</v>
      </c>
      <c r="AT354" s="48" t="e">
        <f ca="1">IF(INDIRECT("'["&amp;$C$1&amp;".xls]"&amp;$B354&amp;"'!$T34")="","",IF(INDIRECT("'["&amp;$C$1&amp;".xls]"&amp;$B354&amp;"'!$O$34")="済み",INDIRECT("'["&amp;$C$1&amp;".xls]"&amp;$B354&amp;"'!$T$34"),""))</f>
        <v>#REF!</v>
      </c>
      <c r="AU354" s="93" t="e">
        <f ca="1">INDIRECT("'["&amp;$C$1&amp;".xls]"&amp;$B354&amp;"'!$B$6")</f>
        <v>#REF!</v>
      </c>
      <c r="AV354" s="93"/>
      <c r="AW354" s="93"/>
      <c r="AX354" s="93"/>
      <c r="AY354" s="93"/>
    </row>
    <row r="355" spans="1:52" ht="16.5" customHeight="1" x14ac:dyDescent="0.15">
      <c r="A355" s="146" t="s">
        <v>3940</v>
      </c>
      <c r="B355" s="147" t="s">
        <v>3941</v>
      </c>
      <c r="C355" s="48" t="s">
        <v>298</v>
      </c>
      <c r="D355" s="62" t="s">
        <v>3942</v>
      </c>
      <c r="E355" s="48" t="s">
        <v>300</v>
      </c>
      <c r="F355" s="61">
        <v>42510</v>
      </c>
      <c r="G355" s="61">
        <v>42510</v>
      </c>
      <c r="H355" s="125">
        <v>42536</v>
      </c>
      <c r="I355" s="61" t="s">
        <v>279</v>
      </c>
      <c r="J355" s="87"/>
      <c r="K355" s="124" t="s">
        <v>263</v>
      </c>
      <c r="L355" s="124" t="s">
        <v>263</v>
      </c>
      <c r="M355" s="62" t="s">
        <v>442</v>
      </c>
      <c r="N355" s="62" t="s">
        <v>3943</v>
      </c>
      <c r="O355" s="48" t="s">
        <v>872</v>
      </c>
      <c r="P355" s="48" t="s">
        <v>3944</v>
      </c>
      <c r="Q355" s="48" t="s">
        <v>3945</v>
      </c>
      <c r="R355" s="48" t="s">
        <v>3946</v>
      </c>
      <c r="S355" s="48" t="s">
        <v>3947</v>
      </c>
      <c r="T355" s="48" t="s">
        <v>3948</v>
      </c>
      <c r="U355" s="48" t="s">
        <v>3949</v>
      </c>
      <c r="V355" s="48"/>
      <c r="W355" s="48"/>
      <c r="X355" s="48" t="s">
        <v>3950</v>
      </c>
      <c r="Y355" s="48" t="s">
        <v>3951</v>
      </c>
      <c r="Z355" s="61"/>
      <c r="AA355" s="48" t="s">
        <v>273</v>
      </c>
      <c r="AB355" s="48" t="s">
        <v>273</v>
      </c>
      <c r="AC355" s="48" t="s">
        <v>273</v>
      </c>
      <c r="AD355" s="48" t="s">
        <v>273</v>
      </c>
      <c r="AE355" s="48" t="s">
        <v>273</v>
      </c>
      <c r="AF355" s="48" t="s">
        <v>273</v>
      </c>
      <c r="AG355" s="48" t="s">
        <v>273</v>
      </c>
      <c r="AH355" s="48" t="s">
        <v>273</v>
      </c>
      <c r="AI355" s="48" t="s">
        <v>273</v>
      </c>
      <c r="AJ355" s="48" t="s">
        <v>273</v>
      </c>
      <c r="AK355" s="48" t="s">
        <v>273</v>
      </c>
      <c r="AL355" s="48" t="s">
        <v>273</v>
      </c>
      <c r="AM355" s="48" t="s">
        <v>273</v>
      </c>
      <c r="AN355" s="48" t="s">
        <v>273</v>
      </c>
      <c r="AO355" s="48" t="s">
        <v>273</v>
      </c>
      <c r="AP355" s="48" t="s">
        <v>273</v>
      </c>
      <c r="AQ355" s="48" t="s">
        <v>273</v>
      </c>
      <c r="AR355" s="48" t="s">
        <v>273</v>
      </c>
      <c r="AS355" s="48" t="s">
        <v>273</v>
      </c>
      <c r="AT355" s="48" t="s">
        <v>273</v>
      </c>
      <c r="AU355" s="93">
        <v>38930</v>
      </c>
      <c r="AV355" s="93"/>
      <c r="AW355" s="93"/>
      <c r="AX355" s="93"/>
      <c r="AY355" s="93"/>
      <c r="AZ355" s="49" t="s">
        <v>3952</v>
      </c>
    </row>
    <row r="356" spans="1:52" ht="16.5" customHeight="1" x14ac:dyDescent="0.15">
      <c r="A356" s="146" t="s">
        <v>3953</v>
      </c>
      <c r="B356" s="147" t="s">
        <v>3954</v>
      </c>
      <c r="C356" s="48" t="s">
        <v>298</v>
      </c>
      <c r="D356" s="62" t="s">
        <v>3955</v>
      </c>
      <c r="E356" s="48" t="s">
        <v>300</v>
      </c>
      <c r="F356" s="61">
        <v>42510</v>
      </c>
      <c r="G356" s="61">
        <v>42510</v>
      </c>
      <c r="H356" s="125">
        <v>42548</v>
      </c>
      <c r="I356" s="61" t="s">
        <v>279</v>
      </c>
      <c r="J356" s="87"/>
      <c r="K356" s="62">
        <v>0</v>
      </c>
      <c r="L356" s="62"/>
      <c r="M356" s="62" t="s">
        <v>442</v>
      </c>
      <c r="N356" s="62" t="s">
        <v>3956</v>
      </c>
      <c r="O356" s="48" t="s">
        <v>636</v>
      </c>
      <c r="P356" s="48" t="s">
        <v>1167</v>
      </c>
      <c r="Q356" s="48" t="s">
        <v>3957</v>
      </c>
      <c r="R356" s="48"/>
      <c r="S356" s="48" t="s">
        <v>1650</v>
      </c>
      <c r="T356" s="48" t="s">
        <v>1171</v>
      </c>
      <c r="U356" s="48" t="s">
        <v>3958</v>
      </c>
      <c r="V356" s="48"/>
      <c r="W356" s="48"/>
      <c r="X356" s="48"/>
      <c r="Y356" s="48"/>
      <c r="Z356" s="61"/>
      <c r="AA356" s="48" t="s">
        <v>3414</v>
      </c>
      <c r="AB356" s="48" t="s">
        <v>453</v>
      </c>
      <c r="AC356" s="48" t="s">
        <v>645</v>
      </c>
      <c r="AD356" s="48" t="s">
        <v>389</v>
      </c>
      <c r="AE356" s="48" t="s">
        <v>581</v>
      </c>
      <c r="AF356" s="48" t="s">
        <v>273</v>
      </c>
      <c r="AG356" s="48" t="s">
        <v>273</v>
      </c>
      <c r="AH356" s="48" t="s">
        <v>273</v>
      </c>
      <c r="AI356" s="48" t="s">
        <v>273</v>
      </c>
      <c r="AJ356" s="48" t="s">
        <v>273</v>
      </c>
      <c r="AK356" s="48" t="s">
        <v>3415</v>
      </c>
      <c r="AL356" s="48" t="s">
        <v>454</v>
      </c>
      <c r="AM356" s="48" t="s">
        <v>646</v>
      </c>
      <c r="AN356" s="48" t="s">
        <v>391</v>
      </c>
      <c r="AO356" s="48" t="s">
        <v>582</v>
      </c>
      <c r="AP356" s="48" t="s">
        <v>273</v>
      </c>
      <c r="AQ356" s="48" t="s">
        <v>273</v>
      </c>
      <c r="AR356" s="48" t="s">
        <v>273</v>
      </c>
      <c r="AS356" s="48" t="s">
        <v>273</v>
      </c>
      <c r="AT356" s="48" t="s">
        <v>273</v>
      </c>
      <c r="AU356" s="93">
        <v>39479</v>
      </c>
      <c r="AV356" s="93"/>
      <c r="AW356" s="93"/>
      <c r="AX356" s="93"/>
      <c r="AY356" s="93"/>
    </row>
    <row r="357" spans="1:52" ht="16.5" customHeight="1" x14ac:dyDescent="0.15">
      <c r="A357" s="151" t="s">
        <v>3959</v>
      </c>
      <c r="B357" s="152" t="s">
        <v>3960</v>
      </c>
      <c r="C357" s="48" t="s">
        <v>298</v>
      </c>
      <c r="D357" s="62" t="s">
        <v>3961</v>
      </c>
      <c r="E357" s="48" t="s">
        <v>264</v>
      </c>
      <c r="F357" s="61">
        <v>42510</v>
      </c>
      <c r="G357" s="61">
        <v>42510</v>
      </c>
      <c r="H357" s="125">
        <v>42564</v>
      </c>
      <c r="I357" s="61" t="s">
        <v>279</v>
      </c>
      <c r="J357" s="87"/>
      <c r="K357" s="62" t="s">
        <v>16</v>
      </c>
      <c r="L357" s="124" t="s">
        <v>263</v>
      </c>
      <c r="M357" s="62" t="s">
        <v>209</v>
      </c>
      <c r="N357" s="62" t="s">
        <v>3962</v>
      </c>
      <c r="O357" s="48" t="s">
        <v>3963</v>
      </c>
      <c r="P357" s="48" t="s">
        <v>3964</v>
      </c>
      <c r="Q357" s="48" t="s">
        <v>3965</v>
      </c>
      <c r="R357" s="48" t="s">
        <v>3966</v>
      </c>
      <c r="S357" s="48" t="s">
        <v>3967</v>
      </c>
      <c r="T357" s="48" t="s">
        <v>3968</v>
      </c>
      <c r="U357" s="48" t="s">
        <v>3969</v>
      </c>
      <c r="V357" s="48" t="s">
        <v>3970</v>
      </c>
      <c r="W357" s="122" t="s">
        <v>263</v>
      </c>
      <c r="X357" s="48" t="s">
        <v>3971</v>
      </c>
      <c r="Y357" s="48" t="s">
        <v>3972</v>
      </c>
      <c r="Z357" s="61"/>
      <c r="AA357" s="48" t="s">
        <v>781</v>
      </c>
      <c r="AB357" s="48" t="s">
        <v>273</v>
      </c>
      <c r="AC357" s="48" t="s">
        <v>273</v>
      </c>
      <c r="AD357" s="48" t="s">
        <v>273</v>
      </c>
      <c r="AE357" s="48" t="s">
        <v>273</v>
      </c>
      <c r="AF357" s="48" t="s">
        <v>273</v>
      </c>
      <c r="AG357" s="48" t="s">
        <v>273</v>
      </c>
      <c r="AH357" s="48" t="s">
        <v>273</v>
      </c>
      <c r="AI357" s="48" t="s">
        <v>273</v>
      </c>
      <c r="AJ357" s="48" t="s">
        <v>273</v>
      </c>
      <c r="AK357" s="48" t="s">
        <v>785</v>
      </c>
      <c r="AL357" s="48" t="s">
        <v>273</v>
      </c>
      <c r="AM357" s="48" t="s">
        <v>273</v>
      </c>
      <c r="AN357" s="48" t="s">
        <v>273</v>
      </c>
      <c r="AO357" s="48" t="s">
        <v>273</v>
      </c>
      <c r="AP357" s="48" t="s">
        <v>273</v>
      </c>
      <c r="AQ357" s="48" t="s">
        <v>273</v>
      </c>
      <c r="AR357" s="48" t="s">
        <v>273</v>
      </c>
      <c r="AS357" s="48" t="s">
        <v>273</v>
      </c>
      <c r="AT357" s="48" t="s">
        <v>273</v>
      </c>
      <c r="AU357" s="93">
        <v>41122</v>
      </c>
      <c r="AV357" s="93"/>
      <c r="AW357" s="93"/>
      <c r="AX357" s="93"/>
      <c r="AY357" s="93"/>
      <c r="AZ357" s="49" t="s">
        <v>3973</v>
      </c>
    </row>
    <row r="358" spans="1:52" ht="16.5" customHeight="1" x14ac:dyDescent="0.15">
      <c r="A358" s="121" t="s">
        <v>3974</v>
      </c>
      <c r="B358" s="47" t="s">
        <v>3975</v>
      </c>
      <c r="C358" s="48" t="e">
        <f ca="1">INDIRECT("'["&amp;$C$1&amp;".xls]"&amp;$B358&amp;"'!$i$7")</f>
        <v>#REF!</v>
      </c>
      <c r="D358" s="62" t="e">
        <f ca="1">INDIRECT("'["&amp;$C$1&amp;".xls]"&amp;$B358&amp;"'!$b$7")</f>
        <v>#REF!</v>
      </c>
      <c r="E358" s="48" t="e">
        <f ca="1">IF(INDIRECT("'["&amp;$C$1&amp;".xls]"&amp;$B358&amp;"'!$i$2")="","",INDIRECT("'["&amp;$C$1&amp;".xls]"&amp;$B358&amp;"'!$i$2"))</f>
        <v>#REF!</v>
      </c>
      <c r="F358" s="61" t="e">
        <f ca="1">INDIRECT("'["&amp;$C$1&amp;".xls]"&amp;$B358&amp;"'!$b$2")</f>
        <v>#REF!</v>
      </c>
      <c r="G358" s="61" t="e">
        <f ca="1">INDIRECT("'["&amp;$C$1&amp;".xls]"&amp;$B358&amp;"'!$a$20")</f>
        <v>#REF!</v>
      </c>
      <c r="H358" s="88" t="e">
        <f ca="1">INDIRECT("'["&amp;$C$1&amp;".xls]"&amp;$B358&amp;"'!$Q$22")</f>
        <v>#REF!</v>
      </c>
      <c r="I358" s="61" t="e">
        <f ca="1">INDIRECT("'["&amp;$C$1&amp;".xls]"&amp;$B358&amp;"'!$f$6")</f>
        <v>#REF!</v>
      </c>
      <c r="J358" s="87"/>
      <c r="K358" s="62" t="e">
        <f ca="1">INDIRECT("'["&amp;$C$1&amp;".xls]"&amp;$B358&amp;"'!$f$25")</f>
        <v>#REF!</v>
      </c>
      <c r="L358" s="62"/>
      <c r="M358" s="62" t="e">
        <f ca="1">INDIRECT("'["&amp;$C$1&amp;".xls]"&amp;$B358&amp;"'!$f$4")</f>
        <v>#REF!</v>
      </c>
      <c r="N358" s="62" t="e">
        <f ca="1">INDIRECT("'["&amp;$C$1&amp;".xls]"&amp;$B358&amp;"'!$i$4")</f>
        <v>#REF!</v>
      </c>
      <c r="O358" s="48" t="e">
        <f ca="1">INDIRECT("'["&amp;$C$1&amp;".xls]"&amp;$B358&amp;"'!$l$4")</f>
        <v>#REF!</v>
      </c>
      <c r="P358" s="48" t="e">
        <f ca="1">INDIRECT("'["&amp;$C$1&amp;".xls]"&amp;$B358&amp;"'!$b$5")</f>
        <v>#REF!</v>
      </c>
      <c r="Q358" s="48" t="e">
        <f ca="1">INDIRECT("'["&amp;$C$1&amp;".xls]"&amp;$B358&amp;"'!$f$5")</f>
        <v>#REF!</v>
      </c>
      <c r="R358" s="48"/>
      <c r="S358" s="48" t="e">
        <f ca="1">INDIRECT("'["&amp;$C$1&amp;".xls]"&amp;$B358&amp;"'!$i$5")</f>
        <v>#REF!</v>
      </c>
      <c r="T358" s="48" t="e">
        <f ca="1">INDIRECT("'["&amp;$C$1&amp;".xls]"&amp;$B358&amp;"'!$l$5")</f>
        <v>#REF!</v>
      </c>
      <c r="U358" s="48" t="e">
        <f ca="1">INDIRECT("'["&amp;$C$1&amp;".xls]"&amp;$B358&amp;"'!$b$4")</f>
        <v>#REF!</v>
      </c>
      <c r="V358" s="48"/>
      <c r="W358" s="48"/>
      <c r="X358" s="48"/>
      <c r="Y358" s="48"/>
      <c r="Z358" s="61"/>
      <c r="AA358" s="48" t="e">
        <f ca="1">IF(INDIRECT("'["&amp;$C$1&amp;".xls]"&amp;$B358&amp;"'!$P$25")="","",IF(INDIRECT("'["&amp;$C$1&amp;".xls]"&amp;$B358&amp;"'!$O$25")="済み",INDIRECT("'["&amp;$C$1&amp;".xls]"&amp;$B358&amp;"'!$P$25"),""))</f>
        <v>#REF!</v>
      </c>
      <c r="AB358" s="48" t="e">
        <f ca="1">IF(INDIRECT("'["&amp;$C$1&amp;".xls]"&amp;$B358&amp;"'!$P$26")="","",IF(INDIRECT("'["&amp;$C$1&amp;".xls]"&amp;$B358&amp;"'!$O$26")="済み",INDIRECT("'["&amp;$C$1&amp;".xls]"&amp;$B358&amp;"'!$P$26"),""))</f>
        <v>#REF!</v>
      </c>
      <c r="AC358" s="48" t="e">
        <f ca="1">IF(INDIRECT("'["&amp;$C$1&amp;".xls]"&amp;$B358&amp;"'!$P$27")="","",IF(INDIRECT("'["&amp;$C$1&amp;".xls]"&amp;$B358&amp;"'!$O$27")="済み",INDIRECT("'["&amp;$C$1&amp;".xls]"&amp;$B358&amp;"'!$P$27"),""))</f>
        <v>#REF!</v>
      </c>
      <c r="AD358" s="48" t="e">
        <f ca="1">IF(INDIRECT("'["&amp;$C$1&amp;".xls]"&amp;$B358&amp;"'!$P$28")="","",IF(INDIRECT("'["&amp;$C$1&amp;".xls]"&amp;$B358&amp;"'!$O$28")="済み",INDIRECT("'["&amp;$C$1&amp;".xls]"&amp;$B358&amp;"'!$P$28"),""))</f>
        <v>#REF!</v>
      </c>
      <c r="AE358" s="48" t="e">
        <f ca="1">IF(INDIRECT("'["&amp;$C$1&amp;".xls]"&amp;$B358&amp;"'!$P$29")="","",IF(INDIRECT("'["&amp;$C$1&amp;".xls]"&amp;$B358&amp;"'!$O$29")="済み",INDIRECT("'["&amp;$C$1&amp;".xls]"&amp;$B358&amp;"'!$P$29"),""))</f>
        <v>#REF!</v>
      </c>
      <c r="AF358" s="48" t="e">
        <f ca="1">IF(INDIRECT("'["&amp;$C$1&amp;".xls]"&amp;$B358&amp;"'!$P$30")="","",IF(INDIRECT("'["&amp;$C$1&amp;".xls]"&amp;$B358&amp;"'!$O$30")="済み",INDIRECT("'["&amp;$C$1&amp;".xls]"&amp;$B358&amp;"'!$P$30"),""))</f>
        <v>#REF!</v>
      </c>
      <c r="AG358" s="48" t="e">
        <f ca="1">IF(INDIRECT("'["&amp;$C$1&amp;".xls]"&amp;$B358&amp;"'!$P$31")="","",IF(INDIRECT("'["&amp;$C$1&amp;".xls]"&amp;$B358&amp;"'!$O$31")="済み",INDIRECT("'["&amp;$C$1&amp;".xls]"&amp;$B358&amp;"'!$P$31"),""))</f>
        <v>#REF!</v>
      </c>
      <c r="AH358" s="48" t="e">
        <f ca="1">IF(INDIRECT("'["&amp;$C$1&amp;".xls]"&amp;$B358&amp;"'!$P$32")="","",IF(INDIRECT("'["&amp;$C$1&amp;".xls]"&amp;$B358&amp;"'!$O$32")="済み",INDIRECT("'["&amp;$C$1&amp;".xls]"&amp;$B358&amp;"'!$P$32"),""))</f>
        <v>#REF!</v>
      </c>
      <c r="AI358" s="48" t="e">
        <f ca="1">IF(INDIRECT("'["&amp;$C$1&amp;".xls]"&amp;$B358&amp;"'!$P$33")="","",IF(INDIRECT("'["&amp;$C$1&amp;".xls]"&amp;$B358&amp;"'!$O$33")="済み",INDIRECT("'["&amp;$C$1&amp;".xls]"&amp;$B358&amp;"'!$P$33"),""))</f>
        <v>#REF!</v>
      </c>
      <c r="AJ358" s="48" t="e">
        <f ca="1">IF(INDIRECT("'["&amp;$C$1&amp;".xls]"&amp;$B358&amp;"'!$P$34")="","",IF(INDIRECT("'["&amp;$C$1&amp;".xls]"&amp;$B358&amp;"'!$O$34")="済み",INDIRECT("'["&amp;$C$1&amp;".xls]"&amp;$B358&amp;"'!$P$34"),""))</f>
        <v>#REF!</v>
      </c>
      <c r="AK358" s="48" t="e">
        <f ca="1">IF(INDIRECT("'["&amp;$C$1&amp;".xls]"&amp;$B358&amp;"'!$T25")="","",IF(INDIRECT("'["&amp;$C$1&amp;".xls]"&amp;$B358&amp;"'!$O$25")="済み",INDIRECT("'["&amp;$C$1&amp;".xls]"&amp;$B358&amp;"'!$T$25"),""))</f>
        <v>#REF!</v>
      </c>
      <c r="AL358" s="48" t="e">
        <f ca="1">IF(INDIRECT("'["&amp;$C$1&amp;".xls]"&amp;$B358&amp;"'!$T26")="","",IF(INDIRECT("'["&amp;$C$1&amp;".xls]"&amp;$B358&amp;"'!$O$26")="済み",INDIRECT("'["&amp;$C$1&amp;".xls]"&amp;$B358&amp;"'!$T$26"),""))</f>
        <v>#REF!</v>
      </c>
      <c r="AM358" s="48" t="e">
        <f ca="1">IF(INDIRECT("'["&amp;$C$1&amp;".xls]"&amp;$B358&amp;"'!$T27")="","",IF(INDIRECT("'["&amp;$C$1&amp;".xls]"&amp;$B358&amp;"'!$O$27")="済み",INDIRECT("'["&amp;$C$1&amp;".xls]"&amp;$B358&amp;"'!$T$27"),""))</f>
        <v>#REF!</v>
      </c>
      <c r="AN358" s="48" t="e">
        <f ca="1">IF(INDIRECT("'["&amp;$C$1&amp;".xls]"&amp;$B358&amp;"'!$T28")="","",IF(INDIRECT("'["&amp;$C$1&amp;".xls]"&amp;$B358&amp;"'!$O$28")="済み",INDIRECT("'["&amp;$C$1&amp;".xls]"&amp;$B358&amp;"'!$T$28"),""))</f>
        <v>#REF!</v>
      </c>
      <c r="AO358" s="48" t="e">
        <f ca="1">IF(INDIRECT("'["&amp;$C$1&amp;".xls]"&amp;$B358&amp;"'!$T29")="","",IF(INDIRECT("'["&amp;$C$1&amp;".xls]"&amp;$B358&amp;"'!$O$29")="済み",INDIRECT("'["&amp;$C$1&amp;".xls]"&amp;$B358&amp;"'!$T$29"),""))</f>
        <v>#REF!</v>
      </c>
      <c r="AP358" s="48" t="e">
        <f ca="1">IF(INDIRECT("'["&amp;$C$1&amp;".xls]"&amp;$B358&amp;"'!$T30")="","",IF(INDIRECT("'["&amp;$C$1&amp;".xls]"&amp;$B358&amp;"'!$O$30")="済み",INDIRECT("'["&amp;$C$1&amp;".xls]"&amp;$B358&amp;"'!$T$30"),""))</f>
        <v>#REF!</v>
      </c>
      <c r="AQ358" s="48" t="e">
        <f ca="1">IF(INDIRECT("'["&amp;$C$1&amp;".xls]"&amp;$B358&amp;"'!$T31")="","",IF(INDIRECT("'["&amp;$C$1&amp;".xls]"&amp;$B358&amp;"'!$O$31")="済み",INDIRECT("'["&amp;$C$1&amp;".xls]"&amp;$B358&amp;"'!$T$31"),""))</f>
        <v>#REF!</v>
      </c>
      <c r="AR358" s="48" t="e">
        <f ca="1">IF(INDIRECT("'["&amp;$C$1&amp;".xls]"&amp;$B358&amp;"'!$T32")="","",IF(INDIRECT("'["&amp;$C$1&amp;".xls]"&amp;$B358&amp;"'!$O$32")="済み",INDIRECT("'["&amp;$C$1&amp;".xls]"&amp;$B358&amp;"'!$T$32"),""))</f>
        <v>#REF!</v>
      </c>
      <c r="AS358" s="48" t="e">
        <f ca="1">IF(INDIRECT("'["&amp;$C$1&amp;".xls]"&amp;$B358&amp;"'!$T33")="","",IF(INDIRECT("'["&amp;$C$1&amp;".xls]"&amp;$B358&amp;"'!$O$33")="済み",INDIRECT("'["&amp;$C$1&amp;".xls]"&amp;$B358&amp;"'!$T$33"),""))</f>
        <v>#REF!</v>
      </c>
      <c r="AT358" s="48" t="e">
        <f ca="1">IF(INDIRECT("'["&amp;$C$1&amp;".xls]"&amp;$B358&amp;"'!$T34")="","",IF(INDIRECT("'["&amp;$C$1&amp;".xls]"&amp;$B358&amp;"'!$O$34")="済み",INDIRECT("'["&amp;$C$1&amp;".xls]"&amp;$B358&amp;"'!$T$34"),""))</f>
        <v>#REF!</v>
      </c>
      <c r="AU358" s="93" t="e">
        <f ca="1">INDIRECT("'["&amp;$C$1&amp;".xls]"&amp;$B358&amp;"'!$B$6")</f>
        <v>#REF!</v>
      </c>
      <c r="AV358" s="93"/>
      <c r="AW358" s="93"/>
      <c r="AX358" s="93"/>
      <c r="AY358" s="93"/>
    </row>
    <row r="359" spans="1:52" ht="16.5" customHeight="1" x14ac:dyDescent="0.15">
      <c r="A359" s="146" t="s">
        <v>3976</v>
      </c>
      <c r="B359" s="147" t="s">
        <v>3977</v>
      </c>
      <c r="C359" s="48" t="s">
        <v>298</v>
      </c>
      <c r="D359" s="62" t="s">
        <v>3978</v>
      </c>
      <c r="E359" s="48" t="s">
        <v>300</v>
      </c>
      <c r="F359" s="61">
        <v>42513</v>
      </c>
      <c r="G359" s="61">
        <v>42513</v>
      </c>
      <c r="H359" s="125">
        <v>42537</v>
      </c>
      <c r="I359" s="61" t="s">
        <v>279</v>
      </c>
      <c r="J359" s="87"/>
      <c r="K359" s="62" t="s">
        <v>14</v>
      </c>
      <c r="L359" s="124" t="s">
        <v>263</v>
      </c>
      <c r="M359" s="62">
        <v>180</v>
      </c>
      <c r="N359" s="62" t="s">
        <v>3979</v>
      </c>
      <c r="O359" s="48" t="s">
        <v>1528</v>
      </c>
      <c r="P359" s="48" t="s">
        <v>3980</v>
      </c>
      <c r="Q359" s="122" t="s">
        <v>3981</v>
      </c>
      <c r="R359" s="48" t="s">
        <v>3982</v>
      </c>
      <c r="S359" s="122" t="s">
        <v>3983</v>
      </c>
      <c r="T359" s="122" t="s">
        <v>263</v>
      </c>
      <c r="U359" s="48" t="s">
        <v>3980</v>
      </c>
      <c r="V359" s="122" t="s">
        <v>263</v>
      </c>
      <c r="W359" s="122" t="s">
        <v>263</v>
      </c>
      <c r="X359" s="122" t="s">
        <v>263</v>
      </c>
      <c r="Y359" s="48" t="s">
        <v>3984</v>
      </c>
      <c r="Z359" s="61"/>
      <c r="AA359" s="48" t="s">
        <v>273</v>
      </c>
      <c r="AB359" s="48" t="s">
        <v>273</v>
      </c>
      <c r="AC359" s="48" t="s">
        <v>273</v>
      </c>
      <c r="AD359" s="48" t="s">
        <v>273</v>
      </c>
      <c r="AE359" s="48" t="s">
        <v>273</v>
      </c>
      <c r="AF359" s="48" t="s">
        <v>273</v>
      </c>
      <c r="AG359" s="48" t="s">
        <v>273</v>
      </c>
      <c r="AH359" s="48" t="s">
        <v>273</v>
      </c>
      <c r="AI359" s="48" t="s">
        <v>273</v>
      </c>
      <c r="AJ359" s="48" t="s">
        <v>273</v>
      </c>
      <c r="AK359" s="48" t="s">
        <v>273</v>
      </c>
      <c r="AL359" s="48" t="s">
        <v>273</v>
      </c>
      <c r="AM359" s="48" t="s">
        <v>273</v>
      </c>
      <c r="AN359" s="48" t="s">
        <v>273</v>
      </c>
      <c r="AO359" s="48" t="s">
        <v>273</v>
      </c>
      <c r="AP359" s="48" t="s">
        <v>273</v>
      </c>
      <c r="AQ359" s="48" t="s">
        <v>273</v>
      </c>
      <c r="AR359" s="48" t="s">
        <v>273</v>
      </c>
      <c r="AS359" s="48" t="s">
        <v>273</v>
      </c>
      <c r="AT359" s="48" t="s">
        <v>273</v>
      </c>
      <c r="AU359" s="93">
        <v>36586</v>
      </c>
      <c r="AV359" s="93"/>
      <c r="AW359" s="93"/>
      <c r="AX359" s="93"/>
      <c r="AY359" s="93"/>
      <c r="AZ359" s="49" t="s">
        <v>3985</v>
      </c>
    </row>
    <row r="360" spans="1:52" ht="16.5" customHeight="1" x14ac:dyDescent="0.15">
      <c r="A360" s="146" t="s">
        <v>3986</v>
      </c>
      <c r="B360" s="147" t="s">
        <v>3987</v>
      </c>
      <c r="C360" s="48" t="s">
        <v>298</v>
      </c>
      <c r="D360" s="62" t="s">
        <v>3988</v>
      </c>
      <c r="E360" s="48" t="s">
        <v>300</v>
      </c>
      <c r="F360" s="61">
        <v>42513</v>
      </c>
      <c r="G360" s="61">
        <v>42513</v>
      </c>
      <c r="H360" s="125">
        <v>42548</v>
      </c>
      <c r="I360" s="61" t="s">
        <v>279</v>
      </c>
      <c r="J360" s="87"/>
      <c r="K360" s="62" t="s">
        <v>14</v>
      </c>
      <c r="L360" s="62">
        <v>3</v>
      </c>
      <c r="M360" s="62" t="s">
        <v>755</v>
      </c>
      <c r="N360" s="62" t="s">
        <v>3989</v>
      </c>
      <c r="O360" s="48" t="s">
        <v>792</v>
      </c>
      <c r="P360" s="48" t="s">
        <v>3990</v>
      </c>
      <c r="Q360" s="48" t="s">
        <v>3991</v>
      </c>
      <c r="R360" s="48" t="s">
        <v>3992</v>
      </c>
      <c r="S360" s="48" t="s">
        <v>3993</v>
      </c>
      <c r="T360" s="48" t="s">
        <v>3994</v>
      </c>
      <c r="U360" s="48" t="s">
        <v>3995</v>
      </c>
      <c r="V360" s="122" t="s">
        <v>263</v>
      </c>
      <c r="W360" s="122" t="s">
        <v>263</v>
      </c>
      <c r="X360" s="48" t="s">
        <v>3996</v>
      </c>
      <c r="Y360" s="48" t="s">
        <v>3997</v>
      </c>
      <c r="Z360" s="61"/>
      <c r="AA360" s="48" t="s">
        <v>781</v>
      </c>
      <c r="AB360" s="48" t="s">
        <v>291</v>
      </c>
      <c r="AC360" s="48" t="s">
        <v>1054</v>
      </c>
      <c r="AD360" s="48" t="s">
        <v>273</v>
      </c>
      <c r="AE360" s="48" t="s">
        <v>273</v>
      </c>
      <c r="AF360" s="48" t="s">
        <v>273</v>
      </c>
      <c r="AG360" s="48" t="s">
        <v>273</v>
      </c>
      <c r="AH360" s="48" t="s">
        <v>273</v>
      </c>
      <c r="AI360" s="48" t="s">
        <v>273</v>
      </c>
      <c r="AJ360" s="48" t="s">
        <v>273</v>
      </c>
      <c r="AK360" s="48" t="s">
        <v>785</v>
      </c>
      <c r="AL360" s="48" t="s">
        <v>293</v>
      </c>
      <c r="AM360" s="48" t="s">
        <v>1057</v>
      </c>
      <c r="AN360" s="48" t="s">
        <v>273</v>
      </c>
      <c r="AO360" s="48" t="s">
        <v>273</v>
      </c>
      <c r="AP360" s="48" t="s">
        <v>273</v>
      </c>
      <c r="AQ360" s="48" t="s">
        <v>273</v>
      </c>
      <c r="AR360" s="48" t="s">
        <v>273</v>
      </c>
      <c r="AS360" s="48" t="s">
        <v>273</v>
      </c>
      <c r="AT360" s="48" t="s">
        <v>273</v>
      </c>
      <c r="AU360" s="93">
        <v>40179</v>
      </c>
      <c r="AV360" s="93"/>
      <c r="AW360" s="93"/>
      <c r="AX360" s="93"/>
      <c r="AY360" s="93"/>
    </row>
    <row r="361" spans="1:52" ht="16.5" customHeight="1" x14ac:dyDescent="0.15">
      <c r="A361" s="156" t="s">
        <v>3998</v>
      </c>
      <c r="B361" s="157" t="s">
        <v>3999</v>
      </c>
      <c r="C361" s="48" t="s">
        <v>298</v>
      </c>
      <c r="D361" s="62" t="s">
        <v>4000</v>
      </c>
      <c r="E361" s="48" t="s">
        <v>264</v>
      </c>
      <c r="F361" s="61">
        <v>42513</v>
      </c>
      <c r="G361" s="61">
        <v>42513</v>
      </c>
      <c r="H361" s="125">
        <v>42629</v>
      </c>
      <c r="I361" s="61" t="s">
        <v>279</v>
      </c>
      <c r="J361" s="87"/>
      <c r="K361" s="62" t="s">
        <v>16</v>
      </c>
      <c r="L361" s="62">
        <v>3</v>
      </c>
      <c r="M361" s="62" t="s">
        <v>1712</v>
      </c>
      <c r="N361" s="62" t="s">
        <v>4001</v>
      </c>
      <c r="O361" s="48" t="s">
        <v>4002</v>
      </c>
      <c r="P361" s="48" t="s">
        <v>4003</v>
      </c>
      <c r="Q361" s="48" t="s">
        <v>1404</v>
      </c>
      <c r="R361" s="48" t="s">
        <v>1323</v>
      </c>
      <c r="S361" s="48" t="s">
        <v>4004</v>
      </c>
      <c r="T361" s="48" t="s">
        <v>1325</v>
      </c>
      <c r="U361" s="48" t="s">
        <v>4005</v>
      </c>
      <c r="V361" s="48" t="s">
        <v>4006</v>
      </c>
      <c r="W361" s="48" t="s">
        <v>324</v>
      </c>
      <c r="X361" s="48" t="s">
        <v>4007</v>
      </c>
      <c r="Y361" s="48" t="s">
        <v>4008</v>
      </c>
      <c r="Z361" s="61"/>
      <c r="AA361" s="48" t="s">
        <v>4009</v>
      </c>
      <c r="AB361" s="48" t="s">
        <v>273</v>
      </c>
      <c r="AC361" s="48" t="s">
        <v>273</v>
      </c>
      <c r="AD361" s="48" t="s">
        <v>273</v>
      </c>
      <c r="AE361" s="48" t="s">
        <v>273</v>
      </c>
      <c r="AF361" s="48" t="s">
        <v>273</v>
      </c>
      <c r="AG361" s="48" t="s">
        <v>273</v>
      </c>
      <c r="AH361" s="48" t="s">
        <v>273</v>
      </c>
      <c r="AI361" s="48" t="s">
        <v>273</v>
      </c>
      <c r="AJ361" s="48" t="s">
        <v>273</v>
      </c>
      <c r="AK361" s="48" t="s">
        <v>4010</v>
      </c>
      <c r="AL361" s="48" t="s">
        <v>273</v>
      </c>
      <c r="AM361" s="48" t="s">
        <v>273</v>
      </c>
      <c r="AN361" s="48" t="s">
        <v>273</v>
      </c>
      <c r="AO361" s="48" t="s">
        <v>273</v>
      </c>
      <c r="AP361" s="48" t="s">
        <v>273</v>
      </c>
      <c r="AQ361" s="48" t="s">
        <v>273</v>
      </c>
      <c r="AR361" s="48" t="s">
        <v>273</v>
      </c>
      <c r="AS361" s="48" t="s">
        <v>273</v>
      </c>
      <c r="AT361" s="48" t="s">
        <v>273</v>
      </c>
      <c r="AU361" s="93">
        <v>42064</v>
      </c>
      <c r="AV361" s="93"/>
      <c r="AW361" s="93"/>
      <c r="AX361" s="93"/>
      <c r="AY361" s="93"/>
      <c r="AZ361" s="49" t="s">
        <v>4011</v>
      </c>
    </row>
    <row r="362" spans="1:52" ht="16.5" customHeight="1" x14ac:dyDescent="0.15">
      <c r="A362" s="182" t="s">
        <v>4012</v>
      </c>
      <c r="B362" s="183" t="s">
        <v>4013</v>
      </c>
      <c r="C362" s="48" t="s">
        <v>330</v>
      </c>
      <c r="D362" s="62" t="s">
        <v>4014</v>
      </c>
      <c r="E362" s="48" t="s">
        <v>300</v>
      </c>
      <c r="F362" s="61">
        <v>42514</v>
      </c>
      <c r="G362" s="61">
        <v>42514</v>
      </c>
      <c r="H362" s="125">
        <v>42668</v>
      </c>
      <c r="I362" s="61" t="s">
        <v>279</v>
      </c>
      <c r="J362" s="87"/>
      <c r="K362" s="124" t="s">
        <v>2818</v>
      </c>
      <c r="L362" s="124" t="s">
        <v>2818</v>
      </c>
      <c r="M362" s="62" t="s">
        <v>4015</v>
      </c>
      <c r="N362" s="62" t="s">
        <v>4016</v>
      </c>
      <c r="O362" s="48" t="s">
        <v>4017</v>
      </c>
      <c r="P362" s="48" t="s">
        <v>267</v>
      </c>
      <c r="Q362" s="48" t="s">
        <v>3920</v>
      </c>
      <c r="R362" s="122" t="s">
        <v>263</v>
      </c>
      <c r="S362" s="48" t="s">
        <v>1484</v>
      </c>
      <c r="T362" s="48" t="s">
        <v>1485</v>
      </c>
      <c r="U362" s="48" t="s">
        <v>4018</v>
      </c>
      <c r="V362" s="122" t="s">
        <v>263</v>
      </c>
      <c r="W362" s="122" t="s">
        <v>263</v>
      </c>
      <c r="X362" s="48" t="s">
        <v>4019</v>
      </c>
      <c r="Y362" s="48" t="s">
        <v>4020</v>
      </c>
      <c r="Z362" s="61"/>
      <c r="AA362" s="48" t="s">
        <v>273</v>
      </c>
      <c r="AB362" s="48" t="s">
        <v>273</v>
      </c>
      <c r="AC362" s="48" t="s">
        <v>273</v>
      </c>
      <c r="AD362" s="48" t="s">
        <v>273</v>
      </c>
      <c r="AE362" s="48" t="s">
        <v>273</v>
      </c>
      <c r="AF362" s="48" t="s">
        <v>273</v>
      </c>
      <c r="AG362" s="48" t="s">
        <v>273</v>
      </c>
      <c r="AH362" s="48" t="s">
        <v>273</v>
      </c>
      <c r="AI362" s="48" t="s">
        <v>273</v>
      </c>
      <c r="AJ362" s="48" t="s">
        <v>273</v>
      </c>
      <c r="AK362" s="48" t="s">
        <v>273</v>
      </c>
      <c r="AL362" s="48" t="s">
        <v>273</v>
      </c>
      <c r="AM362" s="48" t="s">
        <v>273</v>
      </c>
      <c r="AN362" s="48" t="s">
        <v>273</v>
      </c>
      <c r="AO362" s="48" t="s">
        <v>273</v>
      </c>
      <c r="AP362" s="48" t="s">
        <v>273</v>
      </c>
      <c r="AQ362" s="48" t="s">
        <v>273</v>
      </c>
      <c r="AR362" s="48" t="s">
        <v>273</v>
      </c>
      <c r="AS362" s="48" t="s">
        <v>273</v>
      </c>
      <c r="AT362" s="48" t="s">
        <v>273</v>
      </c>
      <c r="AU362" s="93">
        <v>41518</v>
      </c>
      <c r="AV362" s="93"/>
      <c r="AW362" s="93"/>
      <c r="AX362" s="93"/>
      <c r="AY362" s="93"/>
    </row>
    <row r="363" spans="1:52" ht="16.5" customHeight="1" x14ac:dyDescent="0.15">
      <c r="A363" s="153" t="s">
        <v>4021</v>
      </c>
      <c r="B363" s="154" t="s">
        <v>4022</v>
      </c>
      <c r="C363" s="48" t="s">
        <v>330</v>
      </c>
      <c r="D363" s="62" t="s">
        <v>263</v>
      </c>
      <c r="E363" s="48" t="s">
        <v>300</v>
      </c>
      <c r="F363" s="61">
        <v>42514</v>
      </c>
      <c r="G363" s="61">
        <v>42514</v>
      </c>
      <c r="H363" s="125">
        <v>42587</v>
      </c>
      <c r="I363" s="61">
        <v>40210</v>
      </c>
      <c r="J363" s="87"/>
      <c r="K363" s="124" t="s">
        <v>263</v>
      </c>
      <c r="L363" s="124" t="s">
        <v>263</v>
      </c>
      <c r="M363" s="62" t="s">
        <v>394</v>
      </c>
      <c r="N363" s="62" t="s">
        <v>4023</v>
      </c>
      <c r="O363" s="48" t="s">
        <v>396</v>
      </c>
      <c r="P363" s="48" t="s">
        <v>1425</v>
      </c>
      <c r="Q363" s="48" t="s">
        <v>4024</v>
      </c>
      <c r="R363" s="48" t="s">
        <v>399</v>
      </c>
      <c r="S363" s="48" t="s">
        <v>400</v>
      </c>
      <c r="T363" s="48" t="s">
        <v>401</v>
      </c>
      <c r="U363" s="48" t="s">
        <v>4025</v>
      </c>
      <c r="V363" s="122" t="s">
        <v>263</v>
      </c>
      <c r="W363" s="122" t="s">
        <v>263</v>
      </c>
      <c r="X363" s="48" t="s">
        <v>4026</v>
      </c>
      <c r="Y363" s="48" t="s">
        <v>4027</v>
      </c>
      <c r="Z363" s="61"/>
      <c r="AA363" s="48" t="s">
        <v>273</v>
      </c>
      <c r="AB363" s="48" t="s">
        <v>273</v>
      </c>
      <c r="AC363" s="48" t="s">
        <v>273</v>
      </c>
      <c r="AD363" s="48" t="s">
        <v>273</v>
      </c>
      <c r="AE363" s="48" t="s">
        <v>273</v>
      </c>
      <c r="AF363" s="48" t="s">
        <v>273</v>
      </c>
      <c r="AG363" s="48" t="s">
        <v>273</v>
      </c>
      <c r="AH363" s="48" t="s">
        <v>273</v>
      </c>
      <c r="AI363" s="48" t="s">
        <v>273</v>
      </c>
      <c r="AJ363" s="48" t="s">
        <v>273</v>
      </c>
      <c r="AK363" s="48" t="s">
        <v>273</v>
      </c>
      <c r="AL363" s="48" t="s">
        <v>273</v>
      </c>
      <c r="AM363" s="48" t="s">
        <v>273</v>
      </c>
      <c r="AN363" s="48" t="s">
        <v>273</v>
      </c>
      <c r="AO363" s="48" t="s">
        <v>273</v>
      </c>
      <c r="AP363" s="48" t="s">
        <v>273</v>
      </c>
      <c r="AQ363" s="48" t="s">
        <v>273</v>
      </c>
      <c r="AR363" s="48" t="s">
        <v>273</v>
      </c>
      <c r="AS363" s="48" t="s">
        <v>273</v>
      </c>
      <c r="AT363" s="48" t="s">
        <v>273</v>
      </c>
      <c r="AU363" s="93">
        <v>39845</v>
      </c>
      <c r="AV363" s="93"/>
      <c r="AW363" s="93"/>
      <c r="AX363" s="93"/>
      <c r="AY363" s="93"/>
      <c r="AZ363" s="49" t="s">
        <v>4028</v>
      </c>
    </row>
    <row r="364" spans="1:52" ht="16.5" customHeight="1" x14ac:dyDescent="0.15">
      <c r="A364" s="199" t="s">
        <v>4029</v>
      </c>
      <c r="B364" s="209" t="s">
        <v>4030</v>
      </c>
      <c r="C364" s="48" t="s">
        <v>298</v>
      </c>
      <c r="D364" s="62" t="s">
        <v>4031</v>
      </c>
      <c r="E364" s="48" t="s">
        <v>300</v>
      </c>
      <c r="F364" s="61">
        <v>42514</v>
      </c>
      <c r="G364" s="61">
        <v>42514</v>
      </c>
      <c r="H364" s="125">
        <v>42690</v>
      </c>
      <c r="I364" s="61" t="s">
        <v>279</v>
      </c>
      <c r="J364" s="87"/>
      <c r="K364" s="62" t="s">
        <v>2506</v>
      </c>
      <c r="L364" s="62">
        <v>3</v>
      </c>
      <c r="M364" s="62" t="s">
        <v>409</v>
      </c>
      <c r="N364" s="62" t="s">
        <v>4032</v>
      </c>
      <c r="O364" s="48" t="s">
        <v>4033</v>
      </c>
      <c r="P364" s="48" t="s">
        <v>1437</v>
      </c>
      <c r="Q364" s="48" t="s">
        <v>3456</v>
      </c>
      <c r="R364" s="48" t="s">
        <v>4034</v>
      </c>
      <c r="S364" s="48" t="s">
        <v>4035</v>
      </c>
      <c r="T364" s="48" t="s">
        <v>4036</v>
      </c>
      <c r="U364" s="48" t="s">
        <v>4037</v>
      </c>
      <c r="V364" s="122" t="s">
        <v>263</v>
      </c>
      <c r="W364" s="48" t="s">
        <v>2309</v>
      </c>
      <c r="X364" s="48" t="s">
        <v>4038</v>
      </c>
      <c r="Y364" s="48" t="s">
        <v>4039</v>
      </c>
      <c r="Z364" s="61"/>
      <c r="AA364" s="48" t="s">
        <v>887</v>
      </c>
      <c r="AB364" s="48" t="s">
        <v>291</v>
      </c>
      <c r="AC364" s="48" t="s">
        <v>273</v>
      </c>
      <c r="AD364" s="48" t="s">
        <v>273</v>
      </c>
      <c r="AE364" s="48" t="s">
        <v>273</v>
      </c>
      <c r="AF364" s="48" t="s">
        <v>273</v>
      </c>
      <c r="AG364" s="48" t="s">
        <v>273</v>
      </c>
      <c r="AH364" s="48" t="s">
        <v>273</v>
      </c>
      <c r="AI364" s="48" t="s">
        <v>273</v>
      </c>
      <c r="AJ364" s="48" t="s">
        <v>273</v>
      </c>
      <c r="AK364" s="48" t="s">
        <v>888</v>
      </c>
      <c r="AL364" s="48" t="s">
        <v>293</v>
      </c>
      <c r="AM364" s="48" t="s">
        <v>273</v>
      </c>
      <c r="AN364" s="48" t="s">
        <v>273</v>
      </c>
      <c r="AO364" s="48" t="s">
        <v>273</v>
      </c>
      <c r="AP364" s="48" t="s">
        <v>273</v>
      </c>
      <c r="AQ364" s="48" t="s">
        <v>273</v>
      </c>
      <c r="AR364" s="48" t="s">
        <v>273</v>
      </c>
      <c r="AS364" s="48" t="s">
        <v>273</v>
      </c>
      <c r="AT364" s="48" t="s">
        <v>273</v>
      </c>
      <c r="AU364" s="93">
        <v>39722</v>
      </c>
      <c r="AV364" s="93"/>
      <c r="AW364" s="93"/>
      <c r="AX364" s="93"/>
      <c r="AY364" s="93"/>
    </row>
    <row r="365" spans="1:52" ht="16.5" customHeight="1" x14ac:dyDescent="0.15">
      <c r="A365" s="144" t="s">
        <v>4040</v>
      </c>
      <c r="B365" s="145" t="s">
        <v>4041</v>
      </c>
      <c r="C365" s="48" t="s">
        <v>330</v>
      </c>
      <c r="D365" s="62" t="s">
        <v>4042</v>
      </c>
      <c r="E365" s="48" t="s">
        <v>300</v>
      </c>
      <c r="F365" s="61">
        <v>42514</v>
      </c>
      <c r="G365" s="61">
        <v>42514</v>
      </c>
      <c r="H365" s="125">
        <v>42515</v>
      </c>
      <c r="I365" s="61" t="s">
        <v>279</v>
      </c>
      <c r="J365" s="87"/>
      <c r="K365" s="62" t="s">
        <v>14</v>
      </c>
      <c r="L365" s="124" t="s">
        <v>263</v>
      </c>
      <c r="M365" s="62" t="s">
        <v>4043</v>
      </c>
      <c r="N365" s="62" t="s">
        <v>4044</v>
      </c>
      <c r="O365" s="48" t="s">
        <v>4045</v>
      </c>
      <c r="P365" s="48" t="s">
        <v>4046</v>
      </c>
      <c r="Q365" s="48" t="s">
        <v>4047</v>
      </c>
      <c r="R365" s="48" t="s">
        <v>4048</v>
      </c>
      <c r="S365" s="48" t="s">
        <v>2612</v>
      </c>
      <c r="T365" s="48" t="s">
        <v>2613</v>
      </c>
      <c r="U365" s="48" t="s">
        <v>4049</v>
      </c>
      <c r="V365" s="48" t="s">
        <v>4050</v>
      </c>
      <c r="W365" s="48" t="s">
        <v>3401</v>
      </c>
      <c r="X365" s="48" t="s">
        <v>4051</v>
      </c>
      <c r="Y365" s="48" t="s">
        <v>4052</v>
      </c>
      <c r="Z365" s="61"/>
      <c r="AA365" s="48" t="s">
        <v>273</v>
      </c>
      <c r="AB365" s="48" t="s">
        <v>273</v>
      </c>
      <c r="AC365" s="48" t="s">
        <v>273</v>
      </c>
      <c r="AD365" s="48" t="s">
        <v>273</v>
      </c>
      <c r="AE365" s="48" t="s">
        <v>273</v>
      </c>
      <c r="AF365" s="48" t="s">
        <v>273</v>
      </c>
      <c r="AG365" s="48" t="s">
        <v>273</v>
      </c>
      <c r="AH365" s="48" t="s">
        <v>273</v>
      </c>
      <c r="AI365" s="48" t="s">
        <v>273</v>
      </c>
      <c r="AJ365" s="48" t="s">
        <v>273</v>
      </c>
      <c r="AK365" s="48" t="s">
        <v>273</v>
      </c>
      <c r="AL365" s="48" t="s">
        <v>273</v>
      </c>
      <c r="AM365" s="48" t="s">
        <v>273</v>
      </c>
      <c r="AN365" s="48" t="s">
        <v>273</v>
      </c>
      <c r="AO365" s="48" t="s">
        <v>273</v>
      </c>
      <c r="AP365" s="48" t="s">
        <v>273</v>
      </c>
      <c r="AQ365" s="48" t="s">
        <v>273</v>
      </c>
      <c r="AR365" s="48" t="s">
        <v>273</v>
      </c>
      <c r="AS365" s="48" t="s">
        <v>273</v>
      </c>
      <c r="AT365" s="48" t="s">
        <v>273</v>
      </c>
      <c r="AU365" s="93">
        <v>40118</v>
      </c>
      <c r="AV365" s="93"/>
      <c r="AW365" s="93"/>
      <c r="AX365" s="93"/>
      <c r="AY365" s="93"/>
    </row>
    <row r="366" spans="1:52" ht="16.5" customHeight="1" x14ac:dyDescent="0.15">
      <c r="A366" s="146" t="s">
        <v>4053</v>
      </c>
      <c r="B366" s="147" t="s">
        <v>4054</v>
      </c>
      <c r="C366" s="48" t="s">
        <v>298</v>
      </c>
      <c r="D366" s="62" t="s">
        <v>263</v>
      </c>
      <c r="E366" s="48" t="s">
        <v>300</v>
      </c>
      <c r="F366" s="61">
        <v>42514</v>
      </c>
      <c r="G366" s="61">
        <v>42514</v>
      </c>
      <c r="H366" s="125">
        <v>42527</v>
      </c>
      <c r="I366" s="61" t="s">
        <v>1249</v>
      </c>
      <c r="J366" s="87"/>
      <c r="K366" s="62" t="s">
        <v>12</v>
      </c>
      <c r="L366" s="62">
        <v>3</v>
      </c>
      <c r="M366" s="62" t="s">
        <v>209</v>
      </c>
      <c r="N366" s="62" t="s">
        <v>4055</v>
      </c>
      <c r="O366" s="48" t="s">
        <v>1334</v>
      </c>
      <c r="P366" s="48" t="s">
        <v>267</v>
      </c>
      <c r="Q366" s="48" t="s">
        <v>268</v>
      </c>
      <c r="R366" s="48"/>
      <c r="S366" s="48" t="s">
        <v>269</v>
      </c>
      <c r="T366" s="48" t="s">
        <v>270</v>
      </c>
      <c r="U366" s="48" t="s">
        <v>4056</v>
      </c>
      <c r="V366" s="48"/>
      <c r="W366" s="48"/>
      <c r="X366" s="48"/>
      <c r="Y366" s="48"/>
      <c r="Z366" s="61"/>
      <c r="AA366" s="148" t="s">
        <v>546</v>
      </c>
      <c r="AB366" s="148" t="s">
        <v>547</v>
      </c>
      <c r="AC366" s="148" t="s">
        <v>548</v>
      </c>
      <c r="AD366" s="48" t="s">
        <v>273</v>
      </c>
      <c r="AE366" s="48" t="s">
        <v>273</v>
      </c>
      <c r="AF366" s="48" t="s">
        <v>273</v>
      </c>
      <c r="AG366" s="48" t="s">
        <v>273</v>
      </c>
      <c r="AH366" s="48" t="s">
        <v>273</v>
      </c>
      <c r="AI366" s="48" t="s">
        <v>273</v>
      </c>
      <c r="AJ366" s="48" t="s">
        <v>273</v>
      </c>
      <c r="AK366" s="48" t="s">
        <v>549</v>
      </c>
      <c r="AL366" s="48" t="s">
        <v>550</v>
      </c>
      <c r="AM366" s="48" t="s">
        <v>551</v>
      </c>
      <c r="AN366" s="48" t="s">
        <v>273</v>
      </c>
      <c r="AO366" s="48" t="s">
        <v>273</v>
      </c>
      <c r="AP366" s="48" t="s">
        <v>273</v>
      </c>
      <c r="AQ366" s="48" t="s">
        <v>273</v>
      </c>
      <c r="AR366" s="48" t="s">
        <v>273</v>
      </c>
      <c r="AS366" s="48" t="s">
        <v>273</v>
      </c>
      <c r="AT366" s="48" t="s">
        <v>273</v>
      </c>
      <c r="AU366" s="93">
        <v>40391</v>
      </c>
      <c r="AV366" s="93"/>
      <c r="AW366" s="93"/>
      <c r="AX366" s="93"/>
      <c r="AY366" s="93"/>
    </row>
    <row r="367" spans="1:52" ht="16.5" customHeight="1" x14ac:dyDescent="0.15">
      <c r="A367" s="146" t="s">
        <v>4057</v>
      </c>
      <c r="B367" s="147" t="s">
        <v>4058</v>
      </c>
      <c r="C367" s="48" t="s">
        <v>298</v>
      </c>
      <c r="D367" s="62" t="s">
        <v>263</v>
      </c>
      <c r="E367" s="48" t="s">
        <v>300</v>
      </c>
      <c r="F367" s="61">
        <v>42515</v>
      </c>
      <c r="G367" s="61">
        <v>42515</v>
      </c>
      <c r="H367" s="125">
        <v>42535</v>
      </c>
      <c r="I367" s="61">
        <v>39539</v>
      </c>
      <c r="J367" s="87"/>
      <c r="K367" s="124" t="s">
        <v>263</v>
      </c>
      <c r="L367" s="124" t="s">
        <v>263</v>
      </c>
      <c r="M367" s="62" t="s">
        <v>394</v>
      </c>
      <c r="N367" s="62" t="s">
        <v>4059</v>
      </c>
      <c r="O367" s="48" t="s">
        <v>396</v>
      </c>
      <c r="P367" s="48" t="s">
        <v>4060</v>
      </c>
      <c r="Q367" s="48" t="s">
        <v>4061</v>
      </c>
      <c r="R367" s="48" t="s">
        <v>399</v>
      </c>
      <c r="S367" s="48" t="s">
        <v>400</v>
      </c>
      <c r="T367" s="48" t="s">
        <v>401</v>
      </c>
      <c r="U367" s="48" t="s">
        <v>4062</v>
      </c>
      <c r="V367" s="122" t="s">
        <v>263</v>
      </c>
      <c r="W367" s="122" t="s">
        <v>263</v>
      </c>
      <c r="X367" s="48" t="s">
        <v>4063</v>
      </c>
      <c r="Y367" s="48" t="s">
        <v>4064</v>
      </c>
      <c r="Z367" s="61"/>
      <c r="AA367" s="48" t="s">
        <v>273</v>
      </c>
      <c r="AB367" s="48" t="s">
        <v>273</v>
      </c>
      <c r="AC367" s="48" t="s">
        <v>273</v>
      </c>
      <c r="AD367" s="48" t="s">
        <v>273</v>
      </c>
      <c r="AE367" s="48" t="s">
        <v>273</v>
      </c>
      <c r="AF367" s="48" t="s">
        <v>273</v>
      </c>
      <c r="AG367" s="48" t="s">
        <v>273</v>
      </c>
      <c r="AH367" s="48" t="s">
        <v>273</v>
      </c>
      <c r="AI367" s="48" t="s">
        <v>273</v>
      </c>
      <c r="AJ367" s="48" t="s">
        <v>273</v>
      </c>
      <c r="AK367" s="48" t="s">
        <v>273</v>
      </c>
      <c r="AL367" s="48" t="s">
        <v>273</v>
      </c>
      <c r="AM367" s="48" t="s">
        <v>273</v>
      </c>
      <c r="AN367" s="48" t="s">
        <v>273</v>
      </c>
      <c r="AO367" s="48" t="s">
        <v>273</v>
      </c>
      <c r="AP367" s="48" t="s">
        <v>273</v>
      </c>
      <c r="AQ367" s="48" t="s">
        <v>273</v>
      </c>
      <c r="AR367" s="48" t="s">
        <v>273</v>
      </c>
      <c r="AS367" s="48" t="s">
        <v>273</v>
      </c>
      <c r="AT367" s="48" t="s">
        <v>273</v>
      </c>
      <c r="AU367" s="93">
        <v>39264</v>
      </c>
      <c r="AV367" s="93"/>
      <c r="AW367" s="93"/>
      <c r="AX367" s="93"/>
      <c r="AY367" s="93"/>
      <c r="AZ367" s="49" t="s">
        <v>4065</v>
      </c>
    </row>
    <row r="368" spans="1:52" ht="16.5" customHeight="1" x14ac:dyDescent="0.15">
      <c r="A368" s="146" t="s">
        <v>4066</v>
      </c>
      <c r="B368" s="147" t="s">
        <v>4067</v>
      </c>
      <c r="C368" s="48" t="s">
        <v>330</v>
      </c>
      <c r="D368" s="62" t="s">
        <v>4068</v>
      </c>
      <c r="E368" s="48" t="s">
        <v>273</v>
      </c>
      <c r="F368" s="61">
        <v>42515</v>
      </c>
      <c r="G368" s="61">
        <v>42515</v>
      </c>
      <c r="H368" s="125">
        <v>42523</v>
      </c>
      <c r="I368" s="61">
        <v>40210</v>
      </c>
      <c r="J368" s="87"/>
      <c r="K368" s="62" t="s">
        <v>14</v>
      </c>
      <c r="L368" s="62">
        <v>3</v>
      </c>
      <c r="M368" s="62" t="s">
        <v>409</v>
      </c>
      <c r="N368" s="62" t="s">
        <v>4069</v>
      </c>
      <c r="O368" s="48" t="s">
        <v>606</v>
      </c>
      <c r="P368" s="48" t="s">
        <v>4070</v>
      </c>
      <c r="Q368" s="48" t="s">
        <v>1557</v>
      </c>
      <c r="R368" s="48" t="s">
        <v>3317</v>
      </c>
      <c r="S368" s="48" t="s">
        <v>3318</v>
      </c>
      <c r="T368" s="48" t="s">
        <v>3319</v>
      </c>
      <c r="U368" s="48" t="s">
        <v>3320</v>
      </c>
      <c r="V368" s="48" t="s">
        <v>4071</v>
      </c>
      <c r="W368" s="48" t="s">
        <v>4072</v>
      </c>
      <c r="X368" s="48" t="s">
        <v>3321</v>
      </c>
      <c r="Y368" s="48" t="s">
        <v>4073</v>
      </c>
      <c r="Z368" s="61"/>
      <c r="AA368" s="48" t="s">
        <v>273</v>
      </c>
      <c r="AB368" s="48" t="s">
        <v>273</v>
      </c>
      <c r="AC368" s="48" t="s">
        <v>273</v>
      </c>
      <c r="AD368" s="48" t="s">
        <v>273</v>
      </c>
      <c r="AE368" s="48" t="s">
        <v>273</v>
      </c>
      <c r="AF368" s="48" t="s">
        <v>273</v>
      </c>
      <c r="AG368" s="48" t="s">
        <v>273</v>
      </c>
      <c r="AH368" s="48" t="s">
        <v>273</v>
      </c>
      <c r="AI368" s="48" t="s">
        <v>273</v>
      </c>
      <c r="AJ368" s="48" t="s">
        <v>273</v>
      </c>
      <c r="AK368" s="48" t="s">
        <v>273</v>
      </c>
      <c r="AL368" s="48" t="s">
        <v>273</v>
      </c>
      <c r="AM368" s="48" t="s">
        <v>273</v>
      </c>
      <c r="AN368" s="48" t="s">
        <v>273</v>
      </c>
      <c r="AO368" s="48" t="s">
        <v>273</v>
      </c>
      <c r="AP368" s="48" t="s">
        <v>273</v>
      </c>
      <c r="AQ368" s="48" t="s">
        <v>273</v>
      </c>
      <c r="AR368" s="48" t="s">
        <v>273</v>
      </c>
      <c r="AS368" s="48" t="s">
        <v>273</v>
      </c>
      <c r="AT368" s="48" t="s">
        <v>273</v>
      </c>
      <c r="AU368" s="93">
        <v>40087</v>
      </c>
      <c r="AV368" s="93"/>
      <c r="AW368" s="93"/>
      <c r="AX368" s="93"/>
      <c r="AY368" s="93"/>
    </row>
    <row r="369" spans="1:52" ht="16.5" customHeight="1" x14ac:dyDescent="0.15">
      <c r="A369" s="121" t="s">
        <v>4074</v>
      </c>
      <c r="B369" s="47" t="s">
        <v>4075</v>
      </c>
      <c r="C369" s="48" t="e">
        <f ca="1">INDIRECT("'["&amp;$C$1&amp;".xls]"&amp;$B369&amp;"'!$i$7")</f>
        <v>#REF!</v>
      </c>
      <c r="D369" s="62" t="e">
        <f ca="1">INDIRECT("'["&amp;$C$1&amp;".xls]"&amp;$B369&amp;"'!$b$7")</f>
        <v>#REF!</v>
      </c>
      <c r="E369" s="48" t="e">
        <f ca="1">IF(INDIRECT("'["&amp;$C$1&amp;".xls]"&amp;$B369&amp;"'!$i$2")="","",INDIRECT("'["&amp;$C$1&amp;".xls]"&amp;$B369&amp;"'!$i$2"))</f>
        <v>#REF!</v>
      </c>
      <c r="F369" s="61" t="e">
        <f ca="1">INDIRECT("'["&amp;$C$1&amp;".xls]"&amp;$B369&amp;"'!$b$2")</f>
        <v>#REF!</v>
      </c>
      <c r="G369" s="61" t="e">
        <f ca="1">INDIRECT("'["&amp;$C$1&amp;".xls]"&amp;$B369&amp;"'!$a$20")</f>
        <v>#REF!</v>
      </c>
      <c r="H369" s="88" t="e">
        <f ca="1">INDIRECT("'["&amp;$C$1&amp;".xls]"&amp;$B369&amp;"'!$Q$22")</f>
        <v>#REF!</v>
      </c>
      <c r="I369" s="61" t="e">
        <f ca="1">INDIRECT("'["&amp;$C$1&amp;".xls]"&amp;$B369&amp;"'!$f$6")</f>
        <v>#REF!</v>
      </c>
      <c r="J369" s="87"/>
      <c r="K369" s="62" t="e">
        <f ca="1">INDIRECT("'["&amp;$C$1&amp;".xls]"&amp;$B369&amp;"'!$f$25")</f>
        <v>#REF!</v>
      </c>
      <c r="L369" s="62"/>
      <c r="M369" s="62" t="e">
        <f ca="1">INDIRECT("'["&amp;$C$1&amp;".xls]"&amp;$B369&amp;"'!$f$4")</f>
        <v>#REF!</v>
      </c>
      <c r="N369" s="62" t="e">
        <f ca="1">INDIRECT("'["&amp;$C$1&amp;".xls]"&amp;$B369&amp;"'!$i$4")</f>
        <v>#REF!</v>
      </c>
      <c r="O369" s="48" t="e">
        <f ca="1">INDIRECT("'["&amp;$C$1&amp;".xls]"&amp;$B369&amp;"'!$l$4")</f>
        <v>#REF!</v>
      </c>
      <c r="P369" s="48" t="e">
        <f ca="1">INDIRECT("'["&amp;$C$1&amp;".xls]"&amp;$B369&amp;"'!$b$5")</f>
        <v>#REF!</v>
      </c>
      <c r="Q369" s="48" t="e">
        <f ca="1">INDIRECT("'["&amp;$C$1&amp;".xls]"&amp;$B369&amp;"'!$f$5")</f>
        <v>#REF!</v>
      </c>
      <c r="R369" s="48"/>
      <c r="S369" s="48" t="e">
        <f ca="1">INDIRECT("'["&amp;$C$1&amp;".xls]"&amp;$B369&amp;"'!$i$5")</f>
        <v>#REF!</v>
      </c>
      <c r="T369" s="48" t="e">
        <f ca="1">INDIRECT("'["&amp;$C$1&amp;".xls]"&amp;$B369&amp;"'!$l$5")</f>
        <v>#REF!</v>
      </c>
      <c r="U369" s="48" t="e">
        <f ca="1">INDIRECT("'["&amp;$C$1&amp;".xls]"&amp;$B369&amp;"'!$b$4")</f>
        <v>#REF!</v>
      </c>
      <c r="V369" s="48"/>
      <c r="W369" s="48"/>
      <c r="X369" s="48"/>
      <c r="Y369" s="48"/>
      <c r="Z369" s="61"/>
      <c r="AA369" s="48" t="e">
        <f ca="1">IF(INDIRECT("'["&amp;$C$1&amp;".xls]"&amp;$B369&amp;"'!$P$25")="","",IF(INDIRECT("'["&amp;$C$1&amp;".xls]"&amp;$B369&amp;"'!$O$25")="済み",INDIRECT("'["&amp;$C$1&amp;".xls]"&amp;$B369&amp;"'!$P$25"),""))</f>
        <v>#REF!</v>
      </c>
      <c r="AB369" s="48" t="e">
        <f ca="1">IF(INDIRECT("'["&amp;$C$1&amp;".xls]"&amp;$B369&amp;"'!$P$26")="","",IF(INDIRECT("'["&amp;$C$1&amp;".xls]"&amp;$B369&amp;"'!$O$26")="済み",INDIRECT("'["&amp;$C$1&amp;".xls]"&amp;$B369&amp;"'!$P$26"),""))</f>
        <v>#REF!</v>
      </c>
      <c r="AC369" s="48" t="e">
        <f ca="1">IF(INDIRECT("'["&amp;$C$1&amp;".xls]"&amp;$B369&amp;"'!$P$27")="","",IF(INDIRECT("'["&amp;$C$1&amp;".xls]"&amp;$B369&amp;"'!$O$27")="済み",INDIRECT("'["&amp;$C$1&amp;".xls]"&amp;$B369&amp;"'!$P$27"),""))</f>
        <v>#REF!</v>
      </c>
      <c r="AD369" s="48" t="e">
        <f ca="1">IF(INDIRECT("'["&amp;$C$1&amp;".xls]"&amp;$B369&amp;"'!$P$28")="","",IF(INDIRECT("'["&amp;$C$1&amp;".xls]"&amp;$B369&amp;"'!$O$28")="済み",INDIRECT("'["&amp;$C$1&amp;".xls]"&amp;$B369&amp;"'!$P$28"),""))</f>
        <v>#REF!</v>
      </c>
      <c r="AE369" s="48" t="e">
        <f ca="1">IF(INDIRECT("'["&amp;$C$1&amp;".xls]"&amp;$B369&amp;"'!$P$29")="","",IF(INDIRECT("'["&amp;$C$1&amp;".xls]"&amp;$B369&amp;"'!$O$29")="済み",INDIRECT("'["&amp;$C$1&amp;".xls]"&amp;$B369&amp;"'!$P$29"),""))</f>
        <v>#REF!</v>
      </c>
      <c r="AF369" s="48" t="e">
        <f ca="1">IF(INDIRECT("'["&amp;$C$1&amp;".xls]"&amp;$B369&amp;"'!$P$30")="","",IF(INDIRECT("'["&amp;$C$1&amp;".xls]"&amp;$B369&amp;"'!$O$30")="済み",INDIRECT("'["&amp;$C$1&amp;".xls]"&amp;$B369&amp;"'!$P$30"),""))</f>
        <v>#REF!</v>
      </c>
      <c r="AG369" s="48" t="e">
        <f ca="1">IF(INDIRECT("'["&amp;$C$1&amp;".xls]"&amp;$B369&amp;"'!$P$31")="","",IF(INDIRECT("'["&amp;$C$1&amp;".xls]"&amp;$B369&amp;"'!$O$31")="済み",INDIRECT("'["&amp;$C$1&amp;".xls]"&amp;$B369&amp;"'!$P$31"),""))</f>
        <v>#REF!</v>
      </c>
      <c r="AH369" s="48" t="e">
        <f ca="1">IF(INDIRECT("'["&amp;$C$1&amp;".xls]"&amp;$B369&amp;"'!$P$32")="","",IF(INDIRECT("'["&amp;$C$1&amp;".xls]"&amp;$B369&amp;"'!$O$32")="済み",INDIRECT("'["&amp;$C$1&amp;".xls]"&amp;$B369&amp;"'!$P$32"),""))</f>
        <v>#REF!</v>
      </c>
      <c r="AI369" s="48" t="e">
        <f ca="1">IF(INDIRECT("'["&amp;$C$1&amp;".xls]"&amp;$B369&amp;"'!$P$33")="","",IF(INDIRECT("'["&amp;$C$1&amp;".xls]"&amp;$B369&amp;"'!$O$33")="済み",INDIRECT("'["&amp;$C$1&amp;".xls]"&amp;$B369&amp;"'!$P$33"),""))</f>
        <v>#REF!</v>
      </c>
      <c r="AJ369" s="48" t="e">
        <f ca="1">IF(INDIRECT("'["&amp;$C$1&amp;".xls]"&amp;$B369&amp;"'!$P$34")="","",IF(INDIRECT("'["&amp;$C$1&amp;".xls]"&amp;$B369&amp;"'!$O$34")="済み",INDIRECT("'["&amp;$C$1&amp;".xls]"&amp;$B369&amp;"'!$P$34"),""))</f>
        <v>#REF!</v>
      </c>
      <c r="AK369" s="48" t="e">
        <f ca="1">IF(INDIRECT("'["&amp;$C$1&amp;".xls]"&amp;$B369&amp;"'!$T25")="","",IF(INDIRECT("'["&amp;$C$1&amp;".xls]"&amp;$B369&amp;"'!$O$25")="済み",INDIRECT("'["&amp;$C$1&amp;".xls]"&amp;$B369&amp;"'!$T$25"),""))</f>
        <v>#REF!</v>
      </c>
      <c r="AL369" s="48" t="e">
        <f ca="1">IF(INDIRECT("'["&amp;$C$1&amp;".xls]"&amp;$B369&amp;"'!$T26")="","",IF(INDIRECT("'["&amp;$C$1&amp;".xls]"&amp;$B369&amp;"'!$O$26")="済み",INDIRECT("'["&amp;$C$1&amp;".xls]"&amp;$B369&amp;"'!$T$26"),""))</f>
        <v>#REF!</v>
      </c>
      <c r="AM369" s="48" t="e">
        <f ca="1">IF(INDIRECT("'["&amp;$C$1&amp;".xls]"&amp;$B369&amp;"'!$T27")="","",IF(INDIRECT("'["&amp;$C$1&amp;".xls]"&amp;$B369&amp;"'!$O$27")="済み",INDIRECT("'["&amp;$C$1&amp;".xls]"&amp;$B369&amp;"'!$T$27"),""))</f>
        <v>#REF!</v>
      </c>
      <c r="AN369" s="48" t="e">
        <f ca="1">IF(INDIRECT("'["&amp;$C$1&amp;".xls]"&amp;$B369&amp;"'!$T28")="","",IF(INDIRECT("'["&amp;$C$1&amp;".xls]"&amp;$B369&amp;"'!$O$28")="済み",INDIRECT("'["&amp;$C$1&amp;".xls]"&amp;$B369&amp;"'!$T$28"),""))</f>
        <v>#REF!</v>
      </c>
      <c r="AO369" s="48" t="e">
        <f ca="1">IF(INDIRECT("'["&amp;$C$1&amp;".xls]"&amp;$B369&amp;"'!$T29")="","",IF(INDIRECT("'["&amp;$C$1&amp;".xls]"&amp;$B369&amp;"'!$O$29")="済み",INDIRECT("'["&amp;$C$1&amp;".xls]"&amp;$B369&amp;"'!$T$29"),""))</f>
        <v>#REF!</v>
      </c>
      <c r="AP369" s="48" t="e">
        <f ca="1">IF(INDIRECT("'["&amp;$C$1&amp;".xls]"&amp;$B369&amp;"'!$T30")="","",IF(INDIRECT("'["&amp;$C$1&amp;".xls]"&amp;$B369&amp;"'!$O$30")="済み",INDIRECT("'["&amp;$C$1&amp;".xls]"&amp;$B369&amp;"'!$T$30"),""))</f>
        <v>#REF!</v>
      </c>
      <c r="AQ369" s="48" t="e">
        <f ca="1">IF(INDIRECT("'["&amp;$C$1&amp;".xls]"&amp;$B369&amp;"'!$T31")="","",IF(INDIRECT("'["&amp;$C$1&amp;".xls]"&amp;$B369&amp;"'!$O$31")="済み",INDIRECT("'["&amp;$C$1&amp;".xls]"&amp;$B369&amp;"'!$T$31"),""))</f>
        <v>#REF!</v>
      </c>
      <c r="AR369" s="48" t="e">
        <f ca="1">IF(INDIRECT("'["&amp;$C$1&amp;".xls]"&amp;$B369&amp;"'!$T32")="","",IF(INDIRECT("'["&amp;$C$1&amp;".xls]"&amp;$B369&amp;"'!$O$32")="済み",INDIRECT("'["&amp;$C$1&amp;".xls]"&amp;$B369&amp;"'!$T$32"),""))</f>
        <v>#REF!</v>
      </c>
      <c r="AS369" s="48" t="e">
        <f ca="1">IF(INDIRECT("'["&amp;$C$1&amp;".xls]"&amp;$B369&amp;"'!$T33")="","",IF(INDIRECT("'["&amp;$C$1&amp;".xls]"&amp;$B369&amp;"'!$O$33")="済み",INDIRECT("'["&amp;$C$1&amp;".xls]"&amp;$B369&amp;"'!$T$33"),""))</f>
        <v>#REF!</v>
      </c>
      <c r="AT369" s="48" t="e">
        <f ca="1">IF(INDIRECT("'["&amp;$C$1&amp;".xls]"&amp;$B369&amp;"'!$T34")="","",IF(INDIRECT("'["&amp;$C$1&amp;".xls]"&amp;$B369&amp;"'!$O$34")="済み",INDIRECT("'["&amp;$C$1&amp;".xls]"&amp;$B369&amp;"'!$T$34"),""))</f>
        <v>#REF!</v>
      </c>
      <c r="AU369" s="93" t="e">
        <f ca="1">INDIRECT("'["&amp;$C$1&amp;".xls]"&amp;$B369&amp;"'!$B$6")</f>
        <v>#REF!</v>
      </c>
      <c r="AV369" s="93"/>
      <c r="AW369" s="93"/>
      <c r="AX369" s="93"/>
      <c r="AY369" s="93"/>
    </row>
    <row r="370" spans="1:52" ht="16.5" customHeight="1" x14ac:dyDescent="0.15">
      <c r="A370" s="151" t="s">
        <v>4076</v>
      </c>
      <c r="B370" s="152" t="s">
        <v>4077</v>
      </c>
      <c r="C370" s="48" t="s">
        <v>330</v>
      </c>
      <c r="D370" s="62" t="s">
        <v>4078</v>
      </c>
      <c r="E370" s="48" t="s">
        <v>264</v>
      </c>
      <c r="F370" s="61">
        <v>42516</v>
      </c>
      <c r="G370" s="61">
        <v>42516</v>
      </c>
      <c r="H370" s="125">
        <v>42571</v>
      </c>
      <c r="I370" s="61" t="s">
        <v>279</v>
      </c>
      <c r="J370" s="87"/>
      <c r="K370" s="62" t="s">
        <v>16</v>
      </c>
      <c r="L370" s="124" t="s">
        <v>263</v>
      </c>
      <c r="M370" s="62" t="s">
        <v>333</v>
      </c>
      <c r="N370" s="62" t="s">
        <v>4079</v>
      </c>
      <c r="O370" s="48" t="s">
        <v>4080</v>
      </c>
      <c r="P370" s="48" t="s">
        <v>4081</v>
      </c>
      <c r="Q370" s="48" t="s">
        <v>318</v>
      </c>
      <c r="R370" s="48" t="s">
        <v>4082</v>
      </c>
      <c r="S370" s="48" t="s">
        <v>4083</v>
      </c>
      <c r="T370" s="48" t="s">
        <v>3885</v>
      </c>
      <c r="U370" s="48" t="s">
        <v>4084</v>
      </c>
      <c r="V370" s="122" t="s">
        <v>263</v>
      </c>
      <c r="W370" s="122" t="s">
        <v>263</v>
      </c>
      <c r="X370" s="48" t="s">
        <v>4085</v>
      </c>
      <c r="Y370" s="48" t="s">
        <v>4086</v>
      </c>
      <c r="Z370" s="61"/>
      <c r="AA370" s="48" t="s">
        <v>273</v>
      </c>
      <c r="AB370" s="48" t="s">
        <v>273</v>
      </c>
      <c r="AC370" s="48" t="s">
        <v>273</v>
      </c>
      <c r="AD370" s="48" t="s">
        <v>273</v>
      </c>
      <c r="AE370" s="48" t="s">
        <v>273</v>
      </c>
      <c r="AF370" s="48" t="s">
        <v>273</v>
      </c>
      <c r="AG370" s="48" t="s">
        <v>273</v>
      </c>
      <c r="AH370" s="48" t="s">
        <v>273</v>
      </c>
      <c r="AI370" s="48" t="s">
        <v>273</v>
      </c>
      <c r="AJ370" s="48" t="s">
        <v>273</v>
      </c>
      <c r="AK370" s="48" t="s">
        <v>273</v>
      </c>
      <c r="AL370" s="48" t="s">
        <v>273</v>
      </c>
      <c r="AM370" s="48" t="s">
        <v>273</v>
      </c>
      <c r="AN370" s="48" t="s">
        <v>273</v>
      </c>
      <c r="AO370" s="48" t="s">
        <v>273</v>
      </c>
      <c r="AP370" s="48" t="s">
        <v>273</v>
      </c>
      <c r="AQ370" s="48" t="s">
        <v>273</v>
      </c>
      <c r="AR370" s="48" t="s">
        <v>273</v>
      </c>
      <c r="AS370" s="48" t="s">
        <v>273</v>
      </c>
      <c r="AT370" s="48" t="s">
        <v>273</v>
      </c>
      <c r="AU370" s="93">
        <v>42036</v>
      </c>
      <c r="AV370" s="93"/>
      <c r="AW370" s="93"/>
      <c r="AX370" s="93"/>
      <c r="AY370" s="93"/>
      <c r="AZ370" s="49" t="s">
        <v>4087</v>
      </c>
    </row>
    <row r="371" spans="1:52" ht="16.5" customHeight="1" x14ac:dyDescent="0.15">
      <c r="A371" s="146" t="s">
        <v>4088</v>
      </c>
      <c r="B371" s="147" t="s">
        <v>4089</v>
      </c>
      <c r="C371" s="48" t="s">
        <v>298</v>
      </c>
      <c r="D371" s="62" t="s">
        <v>4090</v>
      </c>
      <c r="E371" s="48" t="s">
        <v>300</v>
      </c>
      <c r="F371" s="61">
        <v>42516</v>
      </c>
      <c r="G371" s="61">
        <v>42516</v>
      </c>
      <c r="H371" s="125">
        <v>42537</v>
      </c>
      <c r="I371" s="61" t="s">
        <v>279</v>
      </c>
      <c r="J371" s="87"/>
      <c r="K371" s="62" t="s">
        <v>14</v>
      </c>
      <c r="L371" s="62">
        <v>3</v>
      </c>
      <c r="M371" s="62" t="s">
        <v>1712</v>
      </c>
      <c r="N371" s="62" t="s">
        <v>4091</v>
      </c>
      <c r="O371" s="48" t="s">
        <v>1714</v>
      </c>
      <c r="P371" s="48" t="s">
        <v>4092</v>
      </c>
      <c r="Q371" s="48" t="s">
        <v>4093</v>
      </c>
      <c r="R371" s="48" t="s">
        <v>4094</v>
      </c>
      <c r="S371" s="48" t="s">
        <v>4095</v>
      </c>
      <c r="T371" s="48" t="s">
        <v>4096</v>
      </c>
      <c r="U371" s="48" t="s">
        <v>4097</v>
      </c>
      <c r="V371" s="122" t="s">
        <v>263</v>
      </c>
      <c r="W371" s="48" t="s">
        <v>3518</v>
      </c>
      <c r="X371" s="48" t="s">
        <v>4098</v>
      </c>
      <c r="Y371" s="48" t="s">
        <v>4099</v>
      </c>
      <c r="Z371" s="61"/>
      <c r="AA371" s="48" t="s">
        <v>273</v>
      </c>
      <c r="AB371" s="48" t="s">
        <v>273</v>
      </c>
      <c r="AC371" s="48" t="s">
        <v>273</v>
      </c>
      <c r="AD371" s="48" t="s">
        <v>273</v>
      </c>
      <c r="AE371" s="48" t="s">
        <v>273</v>
      </c>
      <c r="AF371" s="48" t="s">
        <v>273</v>
      </c>
      <c r="AG371" s="48" t="s">
        <v>273</v>
      </c>
      <c r="AH371" s="48" t="s">
        <v>273</v>
      </c>
      <c r="AI371" s="48" t="s">
        <v>273</v>
      </c>
      <c r="AJ371" s="48" t="s">
        <v>273</v>
      </c>
      <c r="AK371" s="48" t="e">
        <v>#N/A</v>
      </c>
      <c r="AL371" s="48" t="s">
        <v>273</v>
      </c>
      <c r="AM371" s="48" t="s">
        <v>273</v>
      </c>
      <c r="AN371" s="48" t="s">
        <v>273</v>
      </c>
      <c r="AO371" s="48" t="s">
        <v>273</v>
      </c>
      <c r="AP371" s="48" t="s">
        <v>273</v>
      </c>
      <c r="AQ371" s="48" t="s">
        <v>273</v>
      </c>
      <c r="AR371" s="48" t="s">
        <v>273</v>
      </c>
      <c r="AS371" s="48" t="s">
        <v>273</v>
      </c>
      <c r="AT371" s="48" t="s">
        <v>273</v>
      </c>
      <c r="AU371" s="93">
        <v>40330</v>
      </c>
      <c r="AV371" s="93"/>
      <c r="AW371" s="93"/>
      <c r="AX371" s="93"/>
      <c r="AY371" s="93"/>
      <c r="AZ371" s="49" t="s">
        <v>4100</v>
      </c>
    </row>
    <row r="372" spans="1:52" ht="16.5" customHeight="1" x14ac:dyDescent="0.15">
      <c r="A372" s="121" t="s">
        <v>4101</v>
      </c>
      <c r="B372" s="47" t="s">
        <v>4102</v>
      </c>
      <c r="C372" s="48" t="e">
        <f ca="1">INDIRECT("'["&amp;$C$1&amp;".xls]"&amp;$B372&amp;"'!$i$7")</f>
        <v>#REF!</v>
      </c>
      <c r="D372" s="62" t="e">
        <f ca="1">INDIRECT("'["&amp;$C$1&amp;".xls]"&amp;$B372&amp;"'!$b$7")</f>
        <v>#REF!</v>
      </c>
      <c r="E372" s="48" t="e">
        <f ca="1">IF(INDIRECT("'["&amp;$C$1&amp;".xls]"&amp;$B372&amp;"'!$i$2")="","",INDIRECT("'["&amp;$C$1&amp;".xls]"&amp;$B372&amp;"'!$i$2"))</f>
        <v>#REF!</v>
      </c>
      <c r="F372" s="61" t="e">
        <f ca="1">INDIRECT("'["&amp;$C$1&amp;".xls]"&amp;$B372&amp;"'!$b$2")</f>
        <v>#REF!</v>
      </c>
      <c r="G372" s="61" t="e">
        <f ca="1">INDIRECT("'["&amp;$C$1&amp;".xls]"&amp;$B372&amp;"'!$a$20")</f>
        <v>#REF!</v>
      </c>
      <c r="H372" s="88" t="e">
        <f ca="1">INDIRECT("'["&amp;$C$1&amp;".xls]"&amp;$B372&amp;"'!$Q$22")</f>
        <v>#REF!</v>
      </c>
      <c r="I372" s="61" t="e">
        <f ca="1">INDIRECT("'["&amp;$C$1&amp;".xls]"&amp;$B372&amp;"'!$f$6")</f>
        <v>#REF!</v>
      </c>
      <c r="J372" s="87"/>
      <c r="K372" s="62" t="e">
        <f ca="1">INDIRECT("'["&amp;$C$1&amp;".xls]"&amp;$B372&amp;"'!$f$25")</f>
        <v>#REF!</v>
      </c>
      <c r="L372" s="62"/>
      <c r="M372" s="62" t="e">
        <f ca="1">INDIRECT("'["&amp;$C$1&amp;".xls]"&amp;$B372&amp;"'!$f$4")</f>
        <v>#REF!</v>
      </c>
      <c r="N372" s="62" t="e">
        <f ca="1">INDIRECT("'["&amp;$C$1&amp;".xls]"&amp;$B372&amp;"'!$i$4")</f>
        <v>#REF!</v>
      </c>
      <c r="O372" s="48" t="e">
        <f ca="1">INDIRECT("'["&amp;$C$1&amp;".xls]"&amp;$B372&amp;"'!$l$4")</f>
        <v>#REF!</v>
      </c>
      <c r="P372" s="48" t="e">
        <f ca="1">INDIRECT("'["&amp;$C$1&amp;".xls]"&amp;$B372&amp;"'!$b$5")</f>
        <v>#REF!</v>
      </c>
      <c r="Q372" s="48" t="e">
        <f ca="1">INDIRECT("'["&amp;$C$1&amp;".xls]"&amp;$B372&amp;"'!$f$5")</f>
        <v>#REF!</v>
      </c>
      <c r="R372" s="48"/>
      <c r="S372" s="48" t="e">
        <f ca="1">INDIRECT("'["&amp;$C$1&amp;".xls]"&amp;$B372&amp;"'!$i$5")</f>
        <v>#REF!</v>
      </c>
      <c r="T372" s="48" t="e">
        <f ca="1">INDIRECT("'["&amp;$C$1&amp;".xls]"&amp;$B372&amp;"'!$l$5")</f>
        <v>#REF!</v>
      </c>
      <c r="U372" s="48" t="e">
        <f ca="1">INDIRECT("'["&amp;$C$1&amp;".xls]"&amp;$B372&amp;"'!$b$4")</f>
        <v>#REF!</v>
      </c>
      <c r="V372" s="48"/>
      <c r="W372" s="48"/>
      <c r="X372" s="48"/>
      <c r="Y372" s="48"/>
      <c r="Z372" s="61"/>
      <c r="AA372" s="48" t="e">
        <f ca="1">IF(INDIRECT("'["&amp;$C$1&amp;".xls]"&amp;$B372&amp;"'!$P$25")="","",IF(INDIRECT("'["&amp;$C$1&amp;".xls]"&amp;$B372&amp;"'!$O$25")="済み",INDIRECT("'["&amp;$C$1&amp;".xls]"&amp;$B372&amp;"'!$P$25"),""))</f>
        <v>#REF!</v>
      </c>
      <c r="AB372" s="48" t="e">
        <f ca="1">IF(INDIRECT("'["&amp;$C$1&amp;".xls]"&amp;$B372&amp;"'!$P$26")="","",IF(INDIRECT("'["&amp;$C$1&amp;".xls]"&amp;$B372&amp;"'!$O$26")="済み",INDIRECT("'["&amp;$C$1&amp;".xls]"&amp;$B372&amp;"'!$P$26"),""))</f>
        <v>#REF!</v>
      </c>
      <c r="AC372" s="48" t="e">
        <f ca="1">IF(INDIRECT("'["&amp;$C$1&amp;".xls]"&amp;$B372&amp;"'!$P$27")="","",IF(INDIRECT("'["&amp;$C$1&amp;".xls]"&amp;$B372&amp;"'!$O$27")="済み",INDIRECT("'["&amp;$C$1&amp;".xls]"&amp;$B372&amp;"'!$P$27"),""))</f>
        <v>#REF!</v>
      </c>
      <c r="AD372" s="48" t="e">
        <f ca="1">IF(INDIRECT("'["&amp;$C$1&amp;".xls]"&amp;$B372&amp;"'!$P$28")="","",IF(INDIRECT("'["&amp;$C$1&amp;".xls]"&amp;$B372&amp;"'!$O$28")="済み",INDIRECT("'["&amp;$C$1&amp;".xls]"&amp;$B372&amp;"'!$P$28"),""))</f>
        <v>#REF!</v>
      </c>
      <c r="AE372" s="48" t="e">
        <f ca="1">IF(INDIRECT("'["&amp;$C$1&amp;".xls]"&amp;$B372&amp;"'!$P$29")="","",IF(INDIRECT("'["&amp;$C$1&amp;".xls]"&amp;$B372&amp;"'!$O$29")="済み",INDIRECT("'["&amp;$C$1&amp;".xls]"&amp;$B372&amp;"'!$P$29"),""))</f>
        <v>#REF!</v>
      </c>
      <c r="AF372" s="48" t="e">
        <f ca="1">IF(INDIRECT("'["&amp;$C$1&amp;".xls]"&amp;$B372&amp;"'!$P$30")="","",IF(INDIRECT("'["&amp;$C$1&amp;".xls]"&amp;$B372&amp;"'!$O$30")="済み",INDIRECT("'["&amp;$C$1&amp;".xls]"&amp;$B372&amp;"'!$P$30"),""))</f>
        <v>#REF!</v>
      </c>
      <c r="AG372" s="48" t="e">
        <f ca="1">IF(INDIRECT("'["&amp;$C$1&amp;".xls]"&amp;$B372&amp;"'!$P$31")="","",IF(INDIRECT("'["&amp;$C$1&amp;".xls]"&amp;$B372&amp;"'!$O$31")="済み",INDIRECT("'["&amp;$C$1&amp;".xls]"&amp;$B372&amp;"'!$P$31"),""))</f>
        <v>#REF!</v>
      </c>
      <c r="AH372" s="48" t="e">
        <f ca="1">IF(INDIRECT("'["&amp;$C$1&amp;".xls]"&amp;$B372&amp;"'!$P$32")="","",IF(INDIRECT("'["&amp;$C$1&amp;".xls]"&amp;$B372&amp;"'!$O$32")="済み",INDIRECT("'["&amp;$C$1&amp;".xls]"&amp;$B372&amp;"'!$P$32"),""))</f>
        <v>#REF!</v>
      </c>
      <c r="AI372" s="48" t="e">
        <f ca="1">IF(INDIRECT("'["&amp;$C$1&amp;".xls]"&amp;$B372&amp;"'!$P$33")="","",IF(INDIRECT("'["&amp;$C$1&amp;".xls]"&amp;$B372&amp;"'!$O$33")="済み",INDIRECT("'["&amp;$C$1&amp;".xls]"&amp;$B372&amp;"'!$P$33"),""))</f>
        <v>#REF!</v>
      </c>
      <c r="AJ372" s="48" t="e">
        <f ca="1">IF(INDIRECT("'["&amp;$C$1&amp;".xls]"&amp;$B372&amp;"'!$P$34")="","",IF(INDIRECT("'["&amp;$C$1&amp;".xls]"&amp;$B372&amp;"'!$O$34")="済み",INDIRECT("'["&amp;$C$1&amp;".xls]"&amp;$B372&amp;"'!$P$34"),""))</f>
        <v>#REF!</v>
      </c>
      <c r="AK372" s="48" t="e">
        <f ca="1">IF(INDIRECT("'["&amp;$C$1&amp;".xls]"&amp;$B372&amp;"'!$T25")="","",IF(INDIRECT("'["&amp;$C$1&amp;".xls]"&amp;$B372&amp;"'!$O$25")="済み",INDIRECT("'["&amp;$C$1&amp;".xls]"&amp;$B372&amp;"'!$T$25"),""))</f>
        <v>#REF!</v>
      </c>
      <c r="AL372" s="48" t="e">
        <f ca="1">IF(INDIRECT("'["&amp;$C$1&amp;".xls]"&amp;$B372&amp;"'!$T26")="","",IF(INDIRECT("'["&amp;$C$1&amp;".xls]"&amp;$B372&amp;"'!$O$26")="済み",INDIRECT("'["&amp;$C$1&amp;".xls]"&amp;$B372&amp;"'!$T$26"),""))</f>
        <v>#REF!</v>
      </c>
      <c r="AM372" s="48" t="e">
        <f ca="1">IF(INDIRECT("'["&amp;$C$1&amp;".xls]"&amp;$B372&amp;"'!$T27")="","",IF(INDIRECT("'["&amp;$C$1&amp;".xls]"&amp;$B372&amp;"'!$O$27")="済み",INDIRECT("'["&amp;$C$1&amp;".xls]"&amp;$B372&amp;"'!$T$27"),""))</f>
        <v>#REF!</v>
      </c>
      <c r="AN372" s="48" t="e">
        <f ca="1">IF(INDIRECT("'["&amp;$C$1&amp;".xls]"&amp;$B372&amp;"'!$T28")="","",IF(INDIRECT("'["&amp;$C$1&amp;".xls]"&amp;$B372&amp;"'!$O$28")="済み",INDIRECT("'["&amp;$C$1&amp;".xls]"&amp;$B372&amp;"'!$T$28"),""))</f>
        <v>#REF!</v>
      </c>
      <c r="AO372" s="48" t="e">
        <f ca="1">IF(INDIRECT("'["&amp;$C$1&amp;".xls]"&amp;$B372&amp;"'!$T29")="","",IF(INDIRECT("'["&amp;$C$1&amp;".xls]"&amp;$B372&amp;"'!$O$29")="済み",INDIRECT("'["&amp;$C$1&amp;".xls]"&amp;$B372&amp;"'!$T$29"),""))</f>
        <v>#REF!</v>
      </c>
      <c r="AP372" s="48" t="e">
        <f ca="1">IF(INDIRECT("'["&amp;$C$1&amp;".xls]"&amp;$B372&amp;"'!$T30")="","",IF(INDIRECT("'["&amp;$C$1&amp;".xls]"&amp;$B372&amp;"'!$O$30")="済み",INDIRECT("'["&amp;$C$1&amp;".xls]"&amp;$B372&amp;"'!$T$30"),""))</f>
        <v>#REF!</v>
      </c>
      <c r="AQ372" s="48" t="e">
        <f ca="1">IF(INDIRECT("'["&amp;$C$1&amp;".xls]"&amp;$B372&amp;"'!$T31")="","",IF(INDIRECT("'["&amp;$C$1&amp;".xls]"&amp;$B372&amp;"'!$O$31")="済み",INDIRECT("'["&amp;$C$1&amp;".xls]"&amp;$B372&amp;"'!$T$31"),""))</f>
        <v>#REF!</v>
      </c>
      <c r="AR372" s="48" t="e">
        <f ca="1">IF(INDIRECT("'["&amp;$C$1&amp;".xls]"&amp;$B372&amp;"'!$T32")="","",IF(INDIRECT("'["&amp;$C$1&amp;".xls]"&amp;$B372&amp;"'!$O$32")="済み",INDIRECT("'["&amp;$C$1&amp;".xls]"&amp;$B372&amp;"'!$T$32"),""))</f>
        <v>#REF!</v>
      </c>
      <c r="AS372" s="48" t="e">
        <f ca="1">IF(INDIRECT("'["&amp;$C$1&amp;".xls]"&amp;$B372&amp;"'!$T33")="","",IF(INDIRECT("'["&amp;$C$1&amp;".xls]"&amp;$B372&amp;"'!$O$33")="済み",INDIRECT("'["&amp;$C$1&amp;".xls]"&amp;$B372&amp;"'!$T$33"),""))</f>
        <v>#REF!</v>
      </c>
      <c r="AT372" s="48" t="e">
        <f ca="1">IF(INDIRECT("'["&amp;$C$1&amp;".xls]"&amp;$B372&amp;"'!$T34")="","",IF(INDIRECT("'["&amp;$C$1&amp;".xls]"&amp;$B372&amp;"'!$O$34")="済み",INDIRECT("'["&amp;$C$1&amp;".xls]"&amp;$B372&amp;"'!$T$34"),""))</f>
        <v>#REF!</v>
      </c>
      <c r="AU372" s="93" t="e">
        <f ca="1">INDIRECT("'["&amp;$C$1&amp;".xls]"&amp;$B372&amp;"'!$B$6")</f>
        <v>#REF!</v>
      </c>
      <c r="AV372" s="93"/>
      <c r="AW372" s="93"/>
      <c r="AX372" s="93"/>
      <c r="AY372" s="93"/>
    </row>
    <row r="373" spans="1:52" ht="16.5" customHeight="1" x14ac:dyDescent="0.15">
      <c r="A373" s="146" t="s">
        <v>4103</v>
      </c>
      <c r="B373" s="147" t="s">
        <v>4104</v>
      </c>
      <c r="C373" s="48" t="s">
        <v>298</v>
      </c>
      <c r="D373" s="62" t="s">
        <v>263</v>
      </c>
      <c r="E373" s="48" t="s">
        <v>300</v>
      </c>
      <c r="F373" s="61">
        <v>42517</v>
      </c>
      <c r="G373" s="61">
        <v>42517</v>
      </c>
      <c r="H373" s="125">
        <v>42547</v>
      </c>
      <c r="I373" s="61">
        <v>39630</v>
      </c>
      <c r="J373" s="87"/>
      <c r="K373" s="62" t="s">
        <v>14</v>
      </c>
      <c r="L373" s="62">
        <v>3</v>
      </c>
      <c r="M373" s="62" t="s">
        <v>1360</v>
      </c>
      <c r="N373" s="62" t="s">
        <v>4105</v>
      </c>
      <c r="O373" s="48" t="s">
        <v>1362</v>
      </c>
      <c r="P373" s="48" t="s">
        <v>4106</v>
      </c>
      <c r="Q373" s="48" t="s">
        <v>2700</v>
      </c>
      <c r="R373" s="48" t="s">
        <v>399</v>
      </c>
      <c r="S373" s="48" t="s">
        <v>400</v>
      </c>
      <c r="T373" s="48" t="s">
        <v>401</v>
      </c>
      <c r="U373" s="48" t="s">
        <v>4107</v>
      </c>
      <c r="V373" s="122" t="s">
        <v>263</v>
      </c>
      <c r="W373" s="122" t="s">
        <v>263</v>
      </c>
      <c r="X373" s="48" t="s">
        <v>1777</v>
      </c>
      <c r="Y373" s="48" t="s">
        <v>4108</v>
      </c>
      <c r="Z373" s="61"/>
      <c r="AA373" s="48" t="s">
        <v>1231</v>
      </c>
      <c r="AB373" s="48" t="s">
        <v>273</v>
      </c>
      <c r="AC373" s="48" t="s">
        <v>273</v>
      </c>
      <c r="AD373" s="48" t="s">
        <v>273</v>
      </c>
      <c r="AE373" s="48" t="s">
        <v>273</v>
      </c>
      <c r="AF373" s="48" t="s">
        <v>273</v>
      </c>
      <c r="AG373" s="48" t="s">
        <v>273</v>
      </c>
      <c r="AH373" s="48" t="s">
        <v>273</v>
      </c>
      <c r="AI373" s="48" t="s">
        <v>273</v>
      </c>
      <c r="AJ373" s="48" t="s">
        <v>273</v>
      </c>
      <c r="AK373" s="48" t="s">
        <v>1232</v>
      </c>
      <c r="AL373" s="48" t="s">
        <v>273</v>
      </c>
      <c r="AM373" s="48" t="s">
        <v>273</v>
      </c>
      <c r="AN373" s="48" t="s">
        <v>273</v>
      </c>
      <c r="AO373" s="48" t="s">
        <v>273</v>
      </c>
      <c r="AP373" s="48" t="s">
        <v>273</v>
      </c>
      <c r="AQ373" s="48" t="s">
        <v>273</v>
      </c>
      <c r="AR373" s="48" t="s">
        <v>273</v>
      </c>
      <c r="AS373" s="48" t="s">
        <v>273</v>
      </c>
      <c r="AT373" s="48" t="s">
        <v>273</v>
      </c>
      <c r="AU373" s="93">
        <v>39630</v>
      </c>
      <c r="AV373" s="93"/>
      <c r="AW373" s="93"/>
      <c r="AX373" s="93"/>
      <c r="AY373" s="93"/>
    </row>
    <row r="374" spans="1:52" ht="16.5" customHeight="1" x14ac:dyDescent="0.15">
      <c r="A374" s="121" t="s">
        <v>4109</v>
      </c>
      <c r="B374" s="47" t="s">
        <v>4110</v>
      </c>
      <c r="C374" s="48" t="e">
        <f ca="1">INDIRECT("'["&amp;$C$1&amp;".xls]"&amp;$B374&amp;"'!$i$7")</f>
        <v>#REF!</v>
      </c>
      <c r="D374" s="62" t="e">
        <f ca="1">INDIRECT("'["&amp;$C$1&amp;".xls]"&amp;$B374&amp;"'!$b$7")</f>
        <v>#REF!</v>
      </c>
      <c r="E374" s="48" t="e">
        <f ca="1">IF(INDIRECT("'["&amp;$C$1&amp;".xls]"&amp;$B374&amp;"'!$i$2")="","",INDIRECT("'["&amp;$C$1&amp;".xls]"&amp;$B374&amp;"'!$i$2"))</f>
        <v>#REF!</v>
      </c>
      <c r="F374" s="61" t="e">
        <f ca="1">INDIRECT("'["&amp;$C$1&amp;".xls]"&amp;$B374&amp;"'!$b$2")</f>
        <v>#REF!</v>
      </c>
      <c r="G374" s="61" t="e">
        <f ca="1">INDIRECT("'["&amp;$C$1&amp;".xls]"&amp;$B374&amp;"'!$a$20")</f>
        <v>#REF!</v>
      </c>
      <c r="H374" s="88" t="e">
        <f ca="1">INDIRECT("'["&amp;$C$1&amp;".xls]"&amp;$B374&amp;"'!$Q$22")</f>
        <v>#REF!</v>
      </c>
      <c r="I374" s="61" t="e">
        <f ca="1">INDIRECT("'["&amp;$C$1&amp;".xls]"&amp;$B374&amp;"'!$f$6")</f>
        <v>#REF!</v>
      </c>
      <c r="J374" s="87"/>
      <c r="K374" s="62" t="e">
        <f ca="1">INDIRECT("'["&amp;$C$1&amp;".xls]"&amp;$B374&amp;"'!$f$25")</f>
        <v>#REF!</v>
      </c>
      <c r="L374" s="62"/>
      <c r="M374" s="62" t="e">
        <f ca="1">INDIRECT("'["&amp;$C$1&amp;".xls]"&amp;$B374&amp;"'!$f$4")</f>
        <v>#REF!</v>
      </c>
      <c r="N374" s="62" t="e">
        <f ca="1">INDIRECT("'["&amp;$C$1&amp;".xls]"&amp;$B374&amp;"'!$i$4")</f>
        <v>#REF!</v>
      </c>
      <c r="O374" s="48" t="e">
        <f ca="1">INDIRECT("'["&amp;$C$1&amp;".xls]"&amp;$B374&amp;"'!$l$4")</f>
        <v>#REF!</v>
      </c>
      <c r="P374" s="48" t="e">
        <f ca="1">INDIRECT("'["&amp;$C$1&amp;".xls]"&amp;$B374&amp;"'!$b$5")</f>
        <v>#REF!</v>
      </c>
      <c r="Q374" s="48" t="e">
        <f ca="1">INDIRECT("'["&amp;$C$1&amp;".xls]"&amp;$B374&amp;"'!$f$5")</f>
        <v>#REF!</v>
      </c>
      <c r="R374" s="48" t="s">
        <v>399</v>
      </c>
      <c r="S374" s="48" t="e">
        <f ca="1">INDIRECT("'["&amp;$C$1&amp;".xls]"&amp;$B374&amp;"'!$i$5")</f>
        <v>#REF!</v>
      </c>
      <c r="T374" s="48" t="e">
        <f ca="1">INDIRECT("'["&amp;$C$1&amp;".xls]"&amp;$B374&amp;"'!$l$5")</f>
        <v>#REF!</v>
      </c>
      <c r="U374" s="48" t="e">
        <f ca="1">INDIRECT("'["&amp;$C$1&amp;".xls]"&amp;$B374&amp;"'!$b$4")</f>
        <v>#REF!</v>
      </c>
      <c r="V374" s="48"/>
      <c r="W374" s="48"/>
      <c r="X374" s="48"/>
      <c r="Y374" s="48"/>
      <c r="Z374" s="61"/>
      <c r="AA374" s="48" t="e">
        <f ca="1">IF(INDIRECT("'["&amp;$C$1&amp;".xls]"&amp;$B374&amp;"'!$P$25")="","",IF(INDIRECT("'["&amp;$C$1&amp;".xls]"&amp;$B374&amp;"'!$O$25")="済み",INDIRECT("'["&amp;$C$1&amp;".xls]"&amp;$B374&amp;"'!$P$25"),""))</f>
        <v>#REF!</v>
      </c>
      <c r="AB374" s="48" t="e">
        <f ca="1">IF(INDIRECT("'["&amp;$C$1&amp;".xls]"&amp;$B374&amp;"'!$P$26")="","",IF(INDIRECT("'["&amp;$C$1&amp;".xls]"&amp;$B374&amp;"'!$O$26")="済み",INDIRECT("'["&amp;$C$1&amp;".xls]"&amp;$B374&amp;"'!$P$26"),""))</f>
        <v>#REF!</v>
      </c>
      <c r="AC374" s="48" t="e">
        <f ca="1">IF(INDIRECT("'["&amp;$C$1&amp;".xls]"&amp;$B374&amp;"'!$P$27")="","",IF(INDIRECT("'["&amp;$C$1&amp;".xls]"&amp;$B374&amp;"'!$O$27")="済み",INDIRECT("'["&amp;$C$1&amp;".xls]"&amp;$B374&amp;"'!$P$27"),""))</f>
        <v>#REF!</v>
      </c>
      <c r="AD374" s="48" t="e">
        <f ca="1">IF(INDIRECT("'["&amp;$C$1&amp;".xls]"&amp;$B374&amp;"'!$P$28")="","",IF(INDIRECT("'["&amp;$C$1&amp;".xls]"&amp;$B374&amp;"'!$O$28")="済み",INDIRECT("'["&amp;$C$1&amp;".xls]"&amp;$B374&amp;"'!$P$28"),""))</f>
        <v>#REF!</v>
      </c>
      <c r="AE374" s="48" t="e">
        <f ca="1">IF(INDIRECT("'["&amp;$C$1&amp;".xls]"&amp;$B374&amp;"'!$P$29")="","",IF(INDIRECT("'["&amp;$C$1&amp;".xls]"&amp;$B374&amp;"'!$O$29")="済み",INDIRECT("'["&amp;$C$1&amp;".xls]"&amp;$B374&amp;"'!$P$29"),""))</f>
        <v>#REF!</v>
      </c>
      <c r="AF374" s="48" t="e">
        <f ca="1">IF(INDIRECT("'["&amp;$C$1&amp;".xls]"&amp;$B374&amp;"'!$P$30")="","",IF(INDIRECT("'["&amp;$C$1&amp;".xls]"&amp;$B374&amp;"'!$O$30")="済み",INDIRECT("'["&amp;$C$1&amp;".xls]"&amp;$B374&amp;"'!$P$30"),""))</f>
        <v>#REF!</v>
      </c>
      <c r="AG374" s="48" t="e">
        <f ca="1">IF(INDIRECT("'["&amp;$C$1&amp;".xls]"&amp;$B374&amp;"'!$P$31")="","",IF(INDIRECT("'["&amp;$C$1&amp;".xls]"&amp;$B374&amp;"'!$O$31")="済み",INDIRECT("'["&amp;$C$1&amp;".xls]"&amp;$B374&amp;"'!$P$31"),""))</f>
        <v>#REF!</v>
      </c>
      <c r="AH374" s="48" t="e">
        <f ca="1">IF(INDIRECT("'["&amp;$C$1&amp;".xls]"&amp;$B374&amp;"'!$P$32")="","",IF(INDIRECT("'["&amp;$C$1&amp;".xls]"&amp;$B374&amp;"'!$O$32")="済み",INDIRECT("'["&amp;$C$1&amp;".xls]"&amp;$B374&amp;"'!$P$32"),""))</f>
        <v>#REF!</v>
      </c>
      <c r="AI374" s="48" t="e">
        <f ca="1">IF(INDIRECT("'["&amp;$C$1&amp;".xls]"&amp;$B374&amp;"'!$P$33")="","",IF(INDIRECT("'["&amp;$C$1&amp;".xls]"&amp;$B374&amp;"'!$O$33")="済み",INDIRECT("'["&amp;$C$1&amp;".xls]"&amp;$B374&amp;"'!$P$33"),""))</f>
        <v>#REF!</v>
      </c>
      <c r="AJ374" s="48" t="e">
        <f ca="1">IF(INDIRECT("'["&amp;$C$1&amp;".xls]"&amp;$B374&amp;"'!$P$34")="","",IF(INDIRECT("'["&amp;$C$1&amp;".xls]"&amp;$B374&amp;"'!$O$34")="済み",INDIRECT("'["&amp;$C$1&amp;".xls]"&amp;$B374&amp;"'!$P$34"),""))</f>
        <v>#REF!</v>
      </c>
      <c r="AK374" s="48" t="e">
        <f ca="1">IF(INDIRECT("'["&amp;$C$1&amp;".xls]"&amp;$B374&amp;"'!$T25")="","",IF(INDIRECT("'["&amp;$C$1&amp;".xls]"&amp;$B374&amp;"'!$O$25")="済み",INDIRECT("'["&amp;$C$1&amp;".xls]"&amp;$B374&amp;"'!$T$25"),""))</f>
        <v>#REF!</v>
      </c>
      <c r="AL374" s="48" t="e">
        <f ca="1">IF(INDIRECT("'["&amp;$C$1&amp;".xls]"&amp;$B374&amp;"'!$T26")="","",IF(INDIRECT("'["&amp;$C$1&amp;".xls]"&amp;$B374&amp;"'!$O$26")="済み",INDIRECT("'["&amp;$C$1&amp;".xls]"&amp;$B374&amp;"'!$T$26"),""))</f>
        <v>#REF!</v>
      </c>
      <c r="AM374" s="48" t="e">
        <f ca="1">IF(INDIRECT("'["&amp;$C$1&amp;".xls]"&amp;$B374&amp;"'!$T27")="","",IF(INDIRECT("'["&amp;$C$1&amp;".xls]"&amp;$B374&amp;"'!$O$27")="済み",INDIRECT("'["&amp;$C$1&amp;".xls]"&amp;$B374&amp;"'!$T$27"),""))</f>
        <v>#REF!</v>
      </c>
      <c r="AN374" s="48" t="e">
        <f ca="1">IF(INDIRECT("'["&amp;$C$1&amp;".xls]"&amp;$B374&amp;"'!$T28")="","",IF(INDIRECT("'["&amp;$C$1&amp;".xls]"&amp;$B374&amp;"'!$O$28")="済み",INDIRECT("'["&amp;$C$1&amp;".xls]"&amp;$B374&amp;"'!$T$28"),""))</f>
        <v>#REF!</v>
      </c>
      <c r="AO374" s="48" t="e">
        <f ca="1">IF(INDIRECT("'["&amp;$C$1&amp;".xls]"&amp;$B374&amp;"'!$T29")="","",IF(INDIRECT("'["&amp;$C$1&amp;".xls]"&amp;$B374&amp;"'!$O$29")="済み",INDIRECT("'["&amp;$C$1&amp;".xls]"&amp;$B374&amp;"'!$T$29"),""))</f>
        <v>#REF!</v>
      </c>
      <c r="AP374" s="48" t="e">
        <f ca="1">IF(INDIRECT("'["&amp;$C$1&amp;".xls]"&amp;$B374&amp;"'!$T30")="","",IF(INDIRECT("'["&amp;$C$1&amp;".xls]"&amp;$B374&amp;"'!$O$30")="済み",INDIRECT("'["&amp;$C$1&amp;".xls]"&amp;$B374&amp;"'!$T$30"),""))</f>
        <v>#REF!</v>
      </c>
      <c r="AQ374" s="48" t="e">
        <f ca="1">IF(INDIRECT("'["&amp;$C$1&amp;".xls]"&amp;$B374&amp;"'!$T31")="","",IF(INDIRECT("'["&amp;$C$1&amp;".xls]"&amp;$B374&amp;"'!$O$31")="済み",INDIRECT("'["&amp;$C$1&amp;".xls]"&amp;$B374&amp;"'!$T$31"),""))</f>
        <v>#REF!</v>
      </c>
      <c r="AR374" s="48" t="e">
        <f ca="1">IF(INDIRECT("'["&amp;$C$1&amp;".xls]"&amp;$B374&amp;"'!$T32")="","",IF(INDIRECT("'["&amp;$C$1&amp;".xls]"&amp;$B374&amp;"'!$O$32")="済み",INDIRECT("'["&amp;$C$1&amp;".xls]"&amp;$B374&amp;"'!$T$32"),""))</f>
        <v>#REF!</v>
      </c>
      <c r="AS374" s="48" t="e">
        <f ca="1">IF(INDIRECT("'["&amp;$C$1&amp;".xls]"&amp;$B374&amp;"'!$T33")="","",IF(INDIRECT("'["&amp;$C$1&amp;".xls]"&amp;$B374&amp;"'!$O$33")="済み",INDIRECT("'["&amp;$C$1&amp;".xls]"&amp;$B374&amp;"'!$T$33"),""))</f>
        <v>#REF!</v>
      </c>
      <c r="AT374" s="48" t="e">
        <f ca="1">IF(INDIRECT("'["&amp;$C$1&amp;".xls]"&amp;$B374&amp;"'!$T34")="","",IF(INDIRECT("'["&amp;$C$1&amp;".xls]"&amp;$B374&amp;"'!$O$34")="済み",INDIRECT("'["&amp;$C$1&amp;".xls]"&amp;$B374&amp;"'!$T$34"),""))</f>
        <v>#REF!</v>
      </c>
      <c r="AU374" s="93" t="e">
        <f ca="1">INDIRECT("'["&amp;$C$1&amp;".xls]"&amp;$B374&amp;"'!$B$6")</f>
        <v>#REF!</v>
      </c>
      <c r="AV374" s="93"/>
      <c r="AW374" s="93"/>
      <c r="AX374" s="93"/>
      <c r="AY374" s="93"/>
    </row>
    <row r="375" spans="1:52" ht="16.5" customHeight="1" x14ac:dyDescent="0.15">
      <c r="A375" s="146" t="s">
        <v>4111</v>
      </c>
      <c r="B375" s="147" t="s">
        <v>4112</v>
      </c>
      <c r="C375" s="48" t="s">
        <v>298</v>
      </c>
      <c r="D375" s="62" t="s">
        <v>263</v>
      </c>
      <c r="E375" s="48" t="s">
        <v>300</v>
      </c>
      <c r="F375" s="61">
        <v>42517</v>
      </c>
      <c r="G375" s="61">
        <v>42517</v>
      </c>
      <c r="H375" s="125">
        <v>42535</v>
      </c>
      <c r="I375" s="61">
        <v>41395</v>
      </c>
      <c r="J375" s="87"/>
      <c r="K375" s="62" t="s">
        <v>14</v>
      </c>
      <c r="L375" s="62">
        <v>3</v>
      </c>
      <c r="M375" s="62" t="s">
        <v>1215</v>
      </c>
      <c r="N375" s="62" t="s">
        <v>4113</v>
      </c>
      <c r="O375" s="48" t="s">
        <v>1217</v>
      </c>
      <c r="P375" s="48" t="s">
        <v>4114</v>
      </c>
      <c r="Q375" s="48" t="s">
        <v>318</v>
      </c>
      <c r="R375" s="48" t="s">
        <v>399</v>
      </c>
      <c r="S375" s="48" t="s">
        <v>400</v>
      </c>
      <c r="T375" s="48" t="s">
        <v>401</v>
      </c>
      <c r="U375" s="48" t="s">
        <v>4115</v>
      </c>
      <c r="V375" s="122" t="s">
        <v>263</v>
      </c>
      <c r="W375" s="122" t="s">
        <v>263</v>
      </c>
      <c r="X375" s="48" t="s">
        <v>4116</v>
      </c>
      <c r="Y375" s="48" t="s">
        <v>4117</v>
      </c>
      <c r="Z375" s="61"/>
      <c r="AA375" s="48" t="s">
        <v>273</v>
      </c>
      <c r="AB375" s="48" t="s">
        <v>273</v>
      </c>
      <c r="AC375" s="48" t="s">
        <v>273</v>
      </c>
      <c r="AD375" s="48" t="s">
        <v>273</v>
      </c>
      <c r="AE375" s="48" t="s">
        <v>273</v>
      </c>
      <c r="AF375" s="48" t="s">
        <v>273</v>
      </c>
      <c r="AG375" s="48" t="s">
        <v>273</v>
      </c>
      <c r="AH375" s="48" t="s">
        <v>273</v>
      </c>
      <c r="AI375" s="48" t="s">
        <v>273</v>
      </c>
      <c r="AJ375" s="48" t="s">
        <v>273</v>
      </c>
      <c r="AK375" s="48" t="s">
        <v>273</v>
      </c>
      <c r="AL375" s="48" t="s">
        <v>273</v>
      </c>
      <c r="AM375" s="48" t="s">
        <v>273</v>
      </c>
      <c r="AN375" s="48" t="s">
        <v>273</v>
      </c>
      <c r="AO375" s="48" t="s">
        <v>273</v>
      </c>
      <c r="AP375" s="48" t="s">
        <v>273</v>
      </c>
      <c r="AQ375" s="48" t="s">
        <v>273</v>
      </c>
      <c r="AR375" s="48" t="s">
        <v>273</v>
      </c>
      <c r="AS375" s="48" t="s">
        <v>273</v>
      </c>
      <c r="AT375" s="48" t="s">
        <v>273</v>
      </c>
      <c r="AU375" s="93">
        <v>41306</v>
      </c>
      <c r="AV375" s="93"/>
      <c r="AW375" s="93"/>
      <c r="AX375" s="93"/>
      <c r="AY375" s="93"/>
      <c r="AZ375" s="49" t="s">
        <v>4118</v>
      </c>
    </row>
    <row r="376" spans="1:52" ht="16.5" customHeight="1" x14ac:dyDescent="0.15">
      <c r="A376" s="151" t="s">
        <v>4119</v>
      </c>
      <c r="B376" s="152" t="s">
        <v>4120</v>
      </c>
      <c r="C376" s="48" t="s">
        <v>298</v>
      </c>
      <c r="D376" s="62" t="s">
        <v>263</v>
      </c>
      <c r="E376" s="48" t="s">
        <v>300</v>
      </c>
      <c r="F376" s="61">
        <v>42517</v>
      </c>
      <c r="G376" s="61">
        <v>42517</v>
      </c>
      <c r="H376" s="125">
        <v>42564</v>
      </c>
      <c r="I376" s="61" t="s">
        <v>279</v>
      </c>
      <c r="J376" s="87"/>
      <c r="K376" s="124" t="s">
        <v>263</v>
      </c>
      <c r="L376" s="124" t="s">
        <v>263</v>
      </c>
      <c r="M376" s="62">
        <v>180</v>
      </c>
      <c r="N376" s="62" t="s">
        <v>4121</v>
      </c>
      <c r="O376" s="48" t="s">
        <v>377</v>
      </c>
      <c r="P376" s="48" t="s">
        <v>4122</v>
      </c>
      <c r="Q376" s="48" t="s">
        <v>4123</v>
      </c>
      <c r="R376" s="48" t="s">
        <v>3932</v>
      </c>
      <c r="S376" s="48" t="s">
        <v>3933</v>
      </c>
      <c r="T376" s="48" t="s">
        <v>3934</v>
      </c>
      <c r="U376" s="48" t="s">
        <v>4124</v>
      </c>
      <c r="V376" s="122" t="s">
        <v>263</v>
      </c>
      <c r="W376" s="122" t="s">
        <v>263</v>
      </c>
      <c r="X376" s="48" t="s">
        <v>4125</v>
      </c>
      <c r="Y376" s="48" t="s">
        <v>4126</v>
      </c>
      <c r="Z376" s="61"/>
      <c r="AA376" s="48" t="s">
        <v>273</v>
      </c>
      <c r="AB376" s="48" t="s">
        <v>273</v>
      </c>
      <c r="AC376" s="48" t="s">
        <v>273</v>
      </c>
      <c r="AD376" s="48" t="s">
        <v>273</v>
      </c>
      <c r="AE376" s="48" t="s">
        <v>273</v>
      </c>
      <c r="AF376" s="48" t="s">
        <v>273</v>
      </c>
      <c r="AG376" s="48" t="s">
        <v>273</v>
      </c>
      <c r="AH376" s="48" t="s">
        <v>273</v>
      </c>
      <c r="AI376" s="48" t="s">
        <v>273</v>
      </c>
      <c r="AJ376" s="48" t="s">
        <v>273</v>
      </c>
      <c r="AK376" s="48" t="s">
        <v>273</v>
      </c>
      <c r="AL376" s="48" t="s">
        <v>273</v>
      </c>
      <c r="AM376" s="48" t="s">
        <v>273</v>
      </c>
      <c r="AN376" s="48" t="s">
        <v>273</v>
      </c>
      <c r="AO376" s="48" t="s">
        <v>273</v>
      </c>
      <c r="AP376" s="48" t="s">
        <v>273</v>
      </c>
      <c r="AQ376" s="48" t="s">
        <v>273</v>
      </c>
      <c r="AR376" s="48" t="s">
        <v>273</v>
      </c>
      <c r="AS376" s="48" t="s">
        <v>273</v>
      </c>
      <c r="AT376" s="48" t="s">
        <v>273</v>
      </c>
      <c r="AU376" s="93">
        <v>36678</v>
      </c>
      <c r="AV376" s="93"/>
      <c r="AW376" s="93"/>
      <c r="AX376" s="93"/>
      <c r="AY376" s="93"/>
      <c r="AZ376" s="49" t="s">
        <v>4127</v>
      </c>
    </row>
    <row r="377" spans="1:52" ht="16.5" customHeight="1" x14ac:dyDescent="0.15">
      <c r="A377" s="182" t="s">
        <v>4128</v>
      </c>
      <c r="B377" s="183" t="s">
        <v>4129</v>
      </c>
      <c r="C377" s="48" t="s">
        <v>330</v>
      </c>
      <c r="D377" s="62" t="s">
        <v>263</v>
      </c>
      <c r="E377" s="48" t="s">
        <v>300</v>
      </c>
      <c r="F377" s="61">
        <v>42517</v>
      </c>
      <c r="G377" s="61">
        <v>42517</v>
      </c>
      <c r="H377" s="125">
        <v>42667</v>
      </c>
      <c r="I377" s="61" t="s">
        <v>279</v>
      </c>
      <c r="J377" s="87"/>
      <c r="K377" s="124" t="s">
        <v>2818</v>
      </c>
      <c r="L377" s="124" t="s">
        <v>2818</v>
      </c>
      <c r="M377" s="62">
        <v>180</v>
      </c>
      <c r="N377" s="62" t="s">
        <v>4130</v>
      </c>
      <c r="O377" s="48" t="s">
        <v>1528</v>
      </c>
      <c r="P377" s="48" t="s">
        <v>4131</v>
      </c>
      <c r="Q377" s="48" t="s">
        <v>4132</v>
      </c>
      <c r="R377" s="48" t="s">
        <v>4133</v>
      </c>
      <c r="S377" s="48" t="s">
        <v>4134</v>
      </c>
      <c r="T377" s="48" t="s">
        <v>4135</v>
      </c>
      <c r="U377" s="48" t="s">
        <v>4136</v>
      </c>
      <c r="V377" s="122" t="s">
        <v>263</v>
      </c>
      <c r="W377" s="122" t="s">
        <v>263</v>
      </c>
      <c r="X377" s="48" t="s">
        <v>4137</v>
      </c>
      <c r="Y377" s="48" t="s">
        <v>4138</v>
      </c>
      <c r="Z377" s="61"/>
      <c r="AA377" s="48" t="s">
        <v>273</v>
      </c>
      <c r="AB377" s="48" t="s">
        <v>273</v>
      </c>
      <c r="AC377" s="48" t="s">
        <v>273</v>
      </c>
      <c r="AD377" s="48" t="s">
        <v>273</v>
      </c>
      <c r="AE377" s="48" t="s">
        <v>273</v>
      </c>
      <c r="AF377" s="48" t="s">
        <v>273</v>
      </c>
      <c r="AG377" s="48" t="s">
        <v>273</v>
      </c>
      <c r="AH377" s="48" t="s">
        <v>273</v>
      </c>
      <c r="AI377" s="48" t="s">
        <v>273</v>
      </c>
      <c r="AJ377" s="48" t="s">
        <v>273</v>
      </c>
      <c r="AK377" s="48" t="s">
        <v>273</v>
      </c>
      <c r="AL377" s="48" t="s">
        <v>273</v>
      </c>
      <c r="AM377" s="48" t="s">
        <v>273</v>
      </c>
      <c r="AN377" s="48" t="s">
        <v>273</v>
      </c>
      <c r="AO377" s="48" t="s">
        <v>273</v>
      </c>
      <c r="AP377" s="48" t="s">
        <v>273</v>
      </c>
      <c r="AQ377" s="48" t="s">
        <v>273</v>
      </c>
      <c r="AR377" s="48" t="s">
        <v>273</v>
      </c>
      <c r="AS377" s="48" t="s">
        <v>273</v>
      </c>
      <c r="AT377" s="48" t="s">
        <v>273</v>
      </c>
      <c r="AU377" s="93">
        <v>36586</v>
      </c>
      <c r="AV377" s="93"/>
      <c r="AW377" s="93"/>
      <c r="AX377" s="93"/>
      <c r="AY377" s="93"/>
    </row>
    <row r="378" spans="1:52" ht="16.5" customHeight="1" x14ac:dyDescent="0.15">
      <c r="A378" s="146" t="s">
        <v>4139</v>
      </c>
      <c r="B378" s="147" t="s">
        <v>4140</v>
      </c>
      <c r="C378" s="48" t="s">
        <v>4141</v>
      </c>
      <c r="D378" s="62" t="s">
        <v>263</v>
      </c>
      <c r="E378" s="48" t="s">
        <v>264</v>
      </c>
      <c r="F378" s="61">
        <v>42517</v>
      </c>
      <c r="G378" s="61">
        <v>42517</v>
      </c>
      <c r="H378" s="125">
        <v>42545</v>
      </c>
      <c r="I378" s="61">
        <v>41026</v>
      </c>
      <c r="J378" s="87"/>
      <c r="K378" s="62" t="s">
        <v>14</v>
      </c>
      <c r="L378" s="62">
        <v>3</v>
      </c>
      <c r="M378" s="62" t="s">
        <v>409</v>
      </c>
      <c r="N378" s="62" t="s">
        <v>4142</v>
      </c>
      <c r="O378" s="48" t="s">
        <v>535</v>
      </c>
      <c r="P378" s="48" t="s">
        <v>4143</v>
      </c>
      <c r="Q378" s="48" t="s">
        <v>4144</v>
      </c>
      <c r="R378" s="48" t="s">
        <v>4145</v>
      </c>
      <c r="S378" s="48" t="s">
        <v>4146</v>
      </c>
      <c r="T378" s="48" t="s">
        <v>4147</v>
      </c>
      <c r="U378" s="48" t="s">
        <v>4148</v>
      </c>
      <c r="V378" s="122" t="s">
        <v>263</v>
      </c>
      <c r="W378" s="122" t="s">
        <v>263</v>
      </c>
      <c r="X378" s="48" t="s">
        <v>4149</v>
      </c>
      <c r="Y378" s="48" t="s">
        <v>4150</v>
      </c>
      <c r="Z378" s="61"/>
      <c r="AA378" s="48" t="s">
        <v>978</v>
      </c>
      <c r="AB378" s="48" t="s">
        <v>887</v>
      </c>
      <c r="AC378" s="48" t="s">
        <v>4151</v>
      </c>
      <c r="AD378" s="48"/>
      <c r="AE378" s="48" t="s">
        <v>273</v>
      </c>
      <c r="AF378" s="48" t="s">
        <v>273</v>
      </c>
      <c r="AG378" s="48" t="s">
        <v>273</v>
      </c>
      <c r="AH378" s="48" t="s">
        <v>273</v>
      </c>
      <c r="AI378" s="48" t="s">
        <v>273</v>
      </c>
      <c r="AJ378" s="48" t="s">
        <v>273</v>
      </c>
      <c r="AK378" s="48" t="s">
        <v>600</v>
      </c>
      <c r="AL378" s="48" t="s">
        <v>888</v>
      </c>
      <c r="AM378" s="48" t="s">
        <v>4152</v>
      </c>
      <c r="AN378" s="48"/>
      <c r="AO378" s="48" t="s">
        <v>273</v>
      </c>
      <c r="AP378" s="48" t="s">
        <v>273</v>
      </c>
      <c r="AQ378" s="48" t="s">
        <v>273</v>
      </c>
      <c r="AR378" s="48" t="s">
        <v>273</v>
      </c>
      <c r="AS378" s="48" t="s">
        <v>273</v>
      </c>
      <c r="AT378" s="48" t="s">
        <v>273</v>
      </c>
      <c r="AU378" s="93">
        <v>40940</v>
      </c>
      <c r="AV378" s="93"/>
      <c r="AW378" s="93"/>
      <c r="AX378" s="93"/>
      <c r="AY378" s="93"/>
    </row>
    <row r="379" spans="1:52" ht="16.5" customHeight="1" x14ac:dyDescent="0.15">
      <c r="A379" s="146" t="s">
        <v>4153</v>
      </c>
      <c r="B379" s="147" t="s">
        <v>4154</v>
      </c>
      <c r="C379" s="48" t="s">
        <v>298</v>
      </c>
      <c r="D379" s="62" t="s">
        <v>4155</v>
      </c>
      <c r="E379" s="48" t="s">
        <v>264</v>
      </c>
      <c r="F379" s="61">
        <v>42520</v>
      </c>
      <c r="G379" s="61">
        <v>42520</v>
      </c>
      <c r="H379" s="125">
        <v>42537</v>
      </c>
      <c r="I379" s="61">
        <v>0</v>
      </c>
      <c r="J379" s="87"/>
      <c r="K379" s="62" t="s">
        <v>14</v>
      </c>
      <c r="L379" s="124" t="s">
        <v>263</v>
      </c>
      <c r="M379" s="62" t="s">
        <v>209</v>
      </c>
      <c r="N379" s="62" t="s">
        <v>4156</v>
      </c>
      <c r="O379" s="48" t="s">
        <v>4157</v>
      </c>
      <c r="P379" s="48" t="s">
        <v>267</v>
      </c>
      <c r="Q379" s="48" t="s">
        <v>1801</v>
      </c>
      <c r="R379" s="48" t="s">
        <v>4158</v>
      </c>
      <c r="S379" s="130" t="s">
        <v>4159</v>
      </c>
      <c r="T379" s="130" t="s">
        <v>4160</v>
      </c>
      <c r="U379" s="48" t="s">
        <v>4161</v>
      </c>
      <c r="V379" s="122" t="s">
        <v>263</v>
      </c>
      <c r="W379" s="122" t="s">
        <v>263</v>
      </c>
      <c r="X379" s="48" t="s">
        <v>4162</v>
      </c>
      <c r="Y379" s="48" t="s">
        <v>4163</v>
      </c>
      <c r="Z379" s="61"/>
      <c r="AA379" s="48" t="s">
        <v>273</v>
      </c>
      <c r="AB379" s="48" t="s">
        <v>273</v>
      </c>
      <c r="AC379" s="48" t="s">
        <v>273</v>
      </c>
      <c r="AD379" s="48" t="s">
        <v>273</v>
      </c>
      <c r="AE379" s="48" t="s">
        <v>273</v>
      </c>
      <c r="AF379" s="48" t="s">
        <v>273</v>
      </c>
      <c r="AG379" s="48" t="s">
        <v>273</v>
      </c>
      <c r="AH379" s="48" t="s">
        <v>273</v>
      </c>
      <c r="AI379" s="48" t="s">
        <v>273</v>
      </c>
      <c r="AJ379" s="48" t="s">
        <v>273</v>
      </c>
      <c r="AK379" s="48"/>
      <c r="AL379" s="48" t="s">
        <v>273</v>
      </c>
      <c r="AM379" s="48" t="s">
        <v>273</v>
      </c>
      <c r="AN379" s="48" t="s">
        <v>273</v>
      </c>
      <c r="AO379" s="48" t="s">
        <v>273</v>
      </c>
      <c r="AP379" s="48" t="s">
        <v>273</v>
      </c>
      <c r="AQ379" s="48" t="s">
        <v>273</v>
      </c>
      <c r="AR379" s="48" t="s">
        <v>273</v>
      </c>
      <c r="AS379" s="48" t="s">
        <v>273</v>
      </c>
      <c r="AT379" s="48" t="s">
        <v>273</v>
      </c>
      <c r="AU379" s="93">
        <v>40909</v>
      </c>
      <c r="AV379" s="93"/>
      <c r="AW379" s="93"/>
      <c r="AX379" s="93"/>
      <c r="AY379" s="93"/>
      <c r="AZ379" s="49" t="s">
        <v>4164</v>
      </c>
    </row>
    <row r="380" spans="1:52" ht="16.5" customHeight="1" x14ac:dyDescent="0.15">
      <c r="A380" s="146" t="s">
        <v>4165</v>
      </c>
      <c r="B380" s="147" t="s">
        <v>4166</v>
      </c>
      <c r="C380" s="48" t="s">
        <v>4167</v>
      </c>
      <c r="D380" s="62" t="s">
        <v>4168</v>
      </c>
      <c r="E380" s="48" t="s">
        <v>264</v>
      </c>
      <c r="F380" s="61">
        <v>42520</v>
      </c>
      <c r="G380" s="61">
        <v>42520</v>
      </c>
      <c r="H380" s="125">
        <v>42530</v>
      </c>
      <c r="I380" s="61" t="s">
        <v>279</v>
      </c>
      <c r="J380" s="87"/>
      <c r="K380" s="62" t="s">
        <v>14</v>
      </c>
      <c r="L380" s="62">
        <v>3</v>
      </c>
      <c r="M380" s="62" t="s">
        <v>680</v>
      </c>
      <c r="N380" s="62" t="s">
        <v>4169</v>
      </c>
      <c r="O380" s="48" t="s">
        <v>2657</v>
      </c>
      <c r="P380" s="48" t="s">
        <v>267</v>
      </c>
      <c r="Q380" s="48" t="s">
        <v>1801</v>
      </c>
      <c r="R380" s="130" t="s">
        <v>4158</v>
      </c>
      <c r="S380" s="130" t="s">
        <v>4159</v>
      </c>
      <c r="T380" s="130" t="s">
        <v>4160</v>
      </c>
      <c r="U380" s="48" t="s">
        <v>4170</v>
      </c>
      <c r="V380" s="122" t="s">
        <v>263</v>
      </c>
      <c r="W380" s="122" t="s">
        <v>263</v>
      </c>
      <c r="X380" s="48" t="s">
        <v>4171</v>
      </c>
      <c r="Y380" s="48" t="s">
        <v>4172</v>
      </c>
      <c r="Z380" s="61"/>
      <c r="AA380" s="129" t="s">
        <v>2215</v>
      </c>
      <c r="AB380" s="48" t="s">
        <v>273</v>
      </c>
      <c r="AC380" s="48" t="s">
        <v>273</v>
      </c>
      <c r="AD380" s="48" t="s">
        <v>273</v>
      </c>
      <c r="AE380" s="48" t="s">
        <v>273</v>
      </c>
      <c r="AF380" s="48" t="s">
        <v>273</v>
      </c>
      <c r="AG380" s="48" t="s">
        <v>273</v>
      </c>
      <c r="AH380" s="48" t="s">
        <v>273</v>
      </c>
      <c r="AI380" s="48" t="s">
        <v>273</v>
      </c>
      <c r="AJ380" s="48" t="s">
        <v>273</v>
      </c>
      <c r="AK380" s="48" t="s">
        <v>2216</v>
      </c>
      <c r="AL380" s="48" t="s">
        <v>273</v>
      </c>
      <c r="AM380" s="48" t="s">
        <v>273</v>
      </c>
      <c r="AN380" s="48" t="s">
        <v>273</v>
      </c>
      <c r="AO380" s="48" t="s">
        <v>273</v>
      </c>
      <c r="AP380" s="48" t="s">
        <v>273</v>
      </c>
      <c r="AQ380" s="48" t="s">
        <v>273</v>
      </c>
      <c r="AR380" s="48" t="s">
        <v>273</v>
      </c>
      <c r="AS380" s="48" t="s">
        <v>273</v>
      </c>
      <c r="AT380" s="48" t="s">
        <v>273</v>
      </c>
      <c r="AU380" s="93">
        <v>41548</v>
      </c>
      <c r="AV380" s="93"/>
      <c r="AW380" s="93"/>
      <c r="AX380" s="93"/>
      <c r="AY380" s="93"/>
    </row>
    <row r="381" spans="1:52" ht="16.5" customHeight="1" x14ac:dyDescent="0.15">
      <c r="A381" s="146" t="s">
        <v>4173</v>
      </c>
      <c r="B381" s="147" t="s">
        <v>4174</v>
      </c>
      <c r="C381" s="48" t="s">
        <v>298</v>
      </c>
      <c r="D381" s="62" t="s">
        <v>4175</v>
      </c>
      <c r="E381" s="48" t="s">
        <v>300</v>
      </c>
      <c r="F381" s="61">
        <v>42520</v>
      </c>
      <c r="G381" s="61">
        <v>42520</v>
      </c>
      <c r="H381" s="125">
        <v>42542</v>
      </c>
      <c r="I381" s="61" t="s">
        <v>279</v>
      </c>
      <c r="J381" s="87"/>
      <c r="K381" s="124" t="s">
        <v>263</v>
      </c>
      <c r="L381" s="124" t="s">
        <v>263</v>
      </c>
      <c r="M381" s="62" t="s">
        <v>4176</v>
      </c>
      <c r="N381" s="62" t="s">
        <v>4177</v>
      </c>
      <c r="O381" s="48" t="s">
        <v>4178</v>
      </c>
      <c r="P381" s="48" t="s">
        <v>1016</v>
      </c>
      <c r="Q381" s="48" t="s">
        <v>4024</v>
      </c>
      <c r="R381" s="48" t="s">
        <v>1018</v>
      </c>
      <c r="S381" s="48" t="s">
        <v>1019</v>
      </c>
      <c r="T381" s="48" t="s">
        <v>1020</v>
      </c>
      <c r="U381" s="48" t="s">
        <v>4179</v>
      </c>
      <c r="V381" s="122" t="s">
        <v>263</v>
      </c>
      <c r="W381" s="122" t="s">
        <v>263</v>
      </c>
      <c r="X381" s="48" t="s">
        <v>4180</v>
      </c>
      <c r="Y381" s="48" t="s">
        <v>4181</v>
      </c>
      <c r="Z381" s="61"/>
      <c r="AA381" s="48" t="s">
        <v>273</v>
      </c>
      <c r="AB381" s="48" t="s">
        <v>273</v>
      </c>
      <c r="AC381" s="48" t="s">
        <v>273</v>
      </c>
      <c r="AD381" s="48" t="s">
        <v>273</v>
      </c>
      <c r="AE381" s="48" t="s">
        <v>273</v>
      </c>
      <c r="AF381" s="48" t="s">
        <v>273</v>
      </c>
      <c r="AG381" s="48" t="s">
        <v>273</v>
      </c>
      <c r="AH381" s="48" t="s">
        <v>273</v>
      </c>
      <c r="AI381" s="48" t="s">
        <v>273</v>
      </c>
      <c r="AJ381" s="48" t="s">
        <v>273</v>
      </c>
      <c r="AK381" s="48" t="s">
        <v>273</v>
      </c>
      <c r="AL381" s="48" t="s">
        <v>273</v>
      </c>
      <c r="AM381" s="48" t="s">
        <v>273</v>
      </c>
      <c r="AN381" s="48" t="s">
        <v>273</v>
      </c>
      <c r="AO381" s="48" t="s">
        <v>273</v>
      </c>
      <c r="AP381" s="48" t="s">
        <v>273</v>
      </c>
      <c r="AQ381" s="48" t="s">
        <v>273</v>
      </c>
      <c r="AR381" s="48" t="s">
        <v>273</v>
      </c>
      <c r="AS381" s="48" t="s">
        <v>273</v>
      </c>
      <c r="AT381" s="48" t="s">
        <v>273</v>
      </c>
      <c r="AU381" s="93">
        <v>39661</v>
      </c>
      <c r="AV381" s="93"/>
      <c r="AW381" s="93"/>
      <c r="AX381" s="93"/>
      <c r="AY381" s="93"/>
      <c r="AZ381" s="49" t="s">
        <v>4182</v>
      </c>
    </row>
    <row r="382" spans="1:52" ht="16.5" customHeight="1" x14ac:dyDescent="0.15">
      <c r="A382" s="146" t="s">
        <v>4183</v>
      </c>
      <c r="B382" s="147" t="s">
        <v>4184</v>
      </c>
      <c r="C382" s="48" t="s">
        <v>4185</v>
      </c>
      <c r="D382" s="62" t="s">
        <v>4186</v>
      </c>
      <c r="E382" s="48" t="s">
        <v>264</v>
      </c>
      <c r="F382" s="61">
        <v>42520</v>
      </c>
      <c r="G382" s="61">
        <v>42520</v>
      </c>
      <c r="H382" s="125">
        <v>42530</v>
      </c>
      <c r="I382" s="61" t="s">
        <v>279</v>
      </c>
      <c r="J382" s="87"/>
      <c r="K382" s="62" t="s">
        <v>14</v>
      </c>
      <c r="L382" s="62">
        <v>3</v>
      </c>
      <c r="M382" s="62" t="s">
        <v>651</v>
      </c>
      <c r="N382" s="62" t="s">
        <v>4187</v>
      </c>
      <c r="O382" s="48" t="s">
        <v>653</v>
      </c>
      <c r="P382" s="48" t="s">
        <v>1203</v>
      </c>
      <c r="Q382" s="48" t="s">
        <v>1204</v>
      </c>
      <c r="R382" s="48" t="s">
        <v>4188</v>
      </c>
      <c r="S382" s="48" t="s">
        <v>1206</v>
      </c>
      <c r="T382" s="48" t="s">
        <v>1207</v>
      </c>
      <c r="U382" s="48" t="s">
        <v>1208</v>
      </c>
      <c r="V382" s="122" t="s">
        <v>263</v>
      </c>
      <c r="W382" s="122" t="s">
        <v>263</v>
      </c>
      <c r="X382" s="48" t="s">
        <v>1210</v>
      </c>
      <c r="Y382" s="48" t="s">
        <v>4189</v>
      </c>
      <c r="Z382" s="61"/>
      <c r="AA382" s="48" t="s">
        <v>4190</v>
      </c>
      <c r="AB382" s="48" t="s">
        <v>273</v>
      </c>
      <c r="AC382" s="48" t="s">
        <v>273</v>
      </c>
      <c r="AD382" s="48" t="s">
        <v>273</v>
      </c>
      <c r="AE382" s="48" t="s">
        <v>273</v>
      </c>
      <c r="AF382" s="48" t="s">
        <v>273</v>
      </c>
      <c r="AG382" s="48" t="s">
        <v>273</v>
      </c>
      <c r="AH382" s="48" t="s">
        <v>273</v>
      </c>
      <c r="AI382" s="48" t="s">
        <v>273</v>
      </c>
      <c r="AJ382" s="48" t="s">
        <v>273</v>
      </c>
      <c r="AK382" s="48" t="s">
        <v>4191</v>
      </c>
      <c r="AL382" s="48" t="s">
        <v>273</v>
      </c>
      <c r="AM382" s="48" t="s">
        <v>273</v>
      </c>
      <c r="AN382" s="48" t="s">
        <v>273</v>
      </c>
      <c r="AO382" s="48" t="s">
        <v>273</v>
      </c>
      <c r="AP382" s="48" t="s">
        <v>273</v>
      </c>
      <c r="AQ382" s="48" t="s">
        <v>273</v>
      </c>
      <c r="AR382" s="48" t="s">
        <v>273</v>
      </c>
      <c r="AS382" s="48" t="s">
        <v>273</v>
      </c>
      <c r="AT382" s="48" t="s">
        <v>273</v>
      </c>
      <c r="AU382" s="93">
        <v>41760</v>
      </c>
      <c r="AV382" s="93"/>
      <c r="AW382" s="93"/>
      <c r="AX382" s="93"/>
      <c r="AY382" s="93"/>
    </row>
    <row r="383" spans="1:52" ht="16.5" customHeight="1" x14ac:dyDescent="0.15">
      <c r="A383" s="156" t="s">
        <v>4192</v>
      </c>
      <c r="B383" s="157" t="s">
        <v>4193</v>
      </c>
      <c r="C383" s="48" t="s">
        <v>298</v>
      </c>
      <c r="D383" s="62" t="s">
        <v>4194</v>
      </c>
      <c r="E383" s="48" t="s">
        <v>300</v>
      </c>
      <c r="F383" s="61">
        <v>42521</v>
      </c>
      <c r="G383" s="61">
        <v>42521</v>
      </c>
      <c r="H383" s="125">
        <v>42633</v>
      </c>
      <c r="I383" s="61" t="s">
        <v>279</v>
      </c>
      <c r="J383" s="87"/>
      <c r="K383" s="62" t="s">
        <v>16</v>
      </c>
      <c r="L383" s="124" t="s">
        <v>263</v>
      </c>
      <c r="M383" s="62" t="s">
        <v>4176</v>
      </c>
      <c r="N383" s="62" t="s">
        <v>4195</v>
      </c>
      <c r="O383" s="48" t="s">
        <v>4196</v>
      </c>
      <c r="P383" s="130" t="s">
        <v>267</v>
      </c>
      <c r="Q383" s="130" t="s">
        <v>4197</v>
      </c>
      <c r="R383" s="48" t="s">
        <v>2441</v>
      </c>
      <c r="S383" s="48" t="s">
        <v>2442</v>
      </c>
      <c r="T383" s="48" t="s">
        <v>2443</v>
      </c>
      <c r="U383" s="48" t="s">
        <v>4198</v>
      </c>
      <c r="V383" s="122" t="s">
        <v>263</v>
      </c>
      <c r="W383" s="122" t="s">
        <v>263</v>
      </c>
      <c r="X383" s="48" t="s">
        <v>4199</v>
      </c>
      <c r="Y383" s="48" t="s">
        <v>3562</v>
      </c>
      <c r="Z383" s="61"/>
      <c r="AA383" s="48" t="s">
        <v>4200</v>
      </c>
      <c r="AB383" s="48" t="s">
        <v>273</v>
      </c>
      <c r="AC383" s="48" t="s">
        <v>273</v>
      </c>
      <c r="AD383" s="48" t="s">
        <v>273</v>
      </c>
      <c r="AE383" s="48" t="s">
        <v>273</v>
      </c>
      <c r="AF383" s="48" t="s">
        <v>273</v>
      </c>
      <c r="AG383" s="48" t="s">
        <v>273</v>
      </c>
      <c r="AH383" s="48" t="s">
        <v>273</v>
      </c>
      <c r="AI383" s="48" t="s">
        <v>273</v>
      </c>
      <c r="AJ383" s="48" t="s">
        <v>273</v>
      </c>
      <c r="AK383" s="48" t="s">
        <v>4201</v>
      </c>
      <c r="AL383" s="48" t="s">
        <v>273</v>
      </c>
      <c r="AM383" s="48" t="s">
        <v>273</v>
      </c>
      <c r="AN383" s="48" t="s">
        <v>273</v>
      </c>
      <c r="AO383" s="48" t="s">
        <v>273</v>
      </c>
      <c r="AP383" s="48" t="s">
        <v>273</v>
      </c>
      <c r="AQ383" s="48" t="s">
        <v>273</v>
      </c>
      <c r="AR383" s="48" t="s">
        <v>273</v>
      </c>
      <c r="AS383" s="48" t="s">
        <v>273</v>
      </c>
      <c r="AT383" s="48" t="s">
        <v>273</v>
      </c>
      <c r="AU383" s="93">
        <v>40603</v>
      </c>
      <c r="AV383" s="93"/>
      <c r="AW383" s="93"/>
      <c r="AX383" s="93"/>
      <c r="AY383" s="93"/>
      <c r="AZ383" s="49" t="s">
        <v>4202</v>
      </c>
    </row>
    <row r="384" spans="1:52" ht="16.5" customHeight="1" x14ac:dyDescent="0.15">
      <c r="A384" s="199" t="s">
        <v>4203</v>
      </c>
      <c r="B384" s="209" t="s">
        <v>4204</v>
      </c>
      <c r="C384" s="48" t="s">
        <v>298</v>
      </c>
      <c r="D384" s="62" t="s">
        <v>4205</v>
      </c>
      <c r="E384" s="48" t="s">
        <v>300</v>
      </c>
      <c r="F384" s="61">
        <v>42521</v>
      </c>
      <c r="G384" s="61">
        <v>42521</v>
      </c>
      <c r="H384" s="125">
        <v>42699</v>
      </c>
      <c r="I384" s="61">
        <v>40142</v>
      </c>
      <c r="J384" s="87"/>
      <c r="K384" s="62" t="s">
        <v>2506</v>
      </c>
      <c r="L384" s="62">
        <v>3</v>
      </c>
      <c r="M384" s="62" t="s">
        <v>209</v>
      </c>
      <c r="N384" s="62" t="s">
        <v>4206</v>
      </c>
      <c r="O384" s="48" t="s">
        <v>3510</v>
      </c>
      <c r="P384" s="48" t="s">
        <v>4207</v>
      </c>
      <c r="Q384" s="48" t="s">
        <v>4208</v>
      </c>
      <c r="R384" s="48" t="s">
        <v>4209</v>
      </c>
      <c r="S384" s="48" t="s">
        <v>4210</v>
      </c>
      <c r="T384" s="48" t="s">
        <v>4211</v>
      </c>
      <c r="U384" s="48" t="s">
        <v>4212</v>
      </c>
      <c r="V384" s="48" t="s">
        <v>4213</v>
      </c>
      <c r="W384" s="48" t="s">
        <v>4214</v>
      </c>
      <c r="X384" s="48" t="s">
        <v>4215</v>
      </c>
      <c r="Y384" s="48" t="s">
        <v>4216</v>
      </c>
      <c r="Z384" s="61"/>
      <c r="AA384" s="48" t="s">
        <v>327</v>
      </c>
      <c r="AB384" s="48" t="s">
        <v>291</v>
      </c>
      <c r="AC384" s="48" t="s">
        <v>273</v>
      </c>
      <c r="AD384" s="48" t="s">
        <v>273</v>
      </c>
      <c r="AE384" s="48" t="s">
        <v>273</v>
      </c>
      <c r="AF384" s="48" t="s">
        <v>273</v>
      </c>
      <c r="AG384" s="48" t="s">
        <v>273</v>
      </c>
      <c r="AH384" s="48" t="s">
        <v>273</v>
      </c>
      <c r="AI384" s="48" t="s">
        <v>273</v>
      </c>
      <c r="AJ384" s="48" t="s">
        <v>273</v>
      </c>
      <c r="AK384" s="48" t="s">
        <v>274</v>
      </c>
      <c r="AL384" s="48" t="s">
        <v>293</v>
      </c>
      <c r="AM384" s="48" t="s">
        <v>273</v>
      </c>
      <c r="AN384" s="48" t="s">
        <v>273</v>
      </c>
      <c r="AO384" s="48" t="s">
        <v>273</v>
      </c>
      <c r="AP384" s="48" t="s">
        <v>273</v>
      </c>
      <c r="AQ384" s="48" t="s">
        <v>273</v>
      </c>
      <c r="AR384" s="48" t="s">
        <v>273</v>
      </c>
      <c r="AS384" s="48" t="s">
        <v>273</v>
      </c>
      <c r="AT384" s="48" t="s">
        <v>273</v>
      </c>
      <c r="AU384" s="93">
        <v>39934</v>
      </c>
      <c r="AV384" s="93"/>
      <c r="AW384" s="93"/>
      <c r="AX384" s="93"/>
      <c r="AY384" s="93"/>
    </row>
    <row r="385" spans="1:52" ht="16.5" customHeight="1" x14ac:dyDescent="0.15">
      <c r="A385" s="146" t="s">
        <v>4217</v>
      </c>
      <c r="B385" s="147" t="s">
        <v>4218</v>
      </c>
      <c r="C385" s="48" t="s">
        <v>4219</v>
      </c>
      <c r="D385" s="62" t="s">
        <v>4220</v>
      </c>
      <c r="E385" s="48" t="s">
        <v>264</v>
      </c>
      <c r="F385" s="61">
        <v>42521</v>
      </c>
      <c r="G385" s="61">
        <v>42521</v>
      </c>
      <c r="H385" s="125">
        <v>42537</v>
      </c>
      <c r="I385" s="61">
        <v>41806</v>
      </c>
      <c r="J385" s="87"/>
      <c r="K385" s="62" t="s">
        <v>14</v>
      </c>
      <c r="L385" s="62">
        <v>3</v>
      </c>
      <c r="M385" s="62" t="s">
        <v>209</v>
      </c>
      <c r="N385" s="62" t="s">
        <v>4221</v>
      </c>
      <c r="O385" s="48" t="s">
        <v>4222</v>
      </c>
      <c r="P385" s="48" t="s">
        <v>1699</v>
      </c>
      <c r="Q385" s="48" t="s">
        <v>4223</v>
      </c>
      <c r="R385" s="48" t="s">
        <v>1701</v>
      </c>
      <c r="S385" s="48" t="s">
        <v>1702</v>
      </c>
      <c r="T385" s="48" t="s">
        <v>2985</v>
      </c>
      <c r="U385" s="48" t="s">
        <v>4224</v>
      </c>
      <c r="V385" s="48" t="s">
        <v>4225</v>
      </c>
      <c r="W385" s="48" t="s">
        <v>4226</v>
      </c>
      <c r="X385" s="48" t="s">
        <v>4227</v>
      </c>
      <c r="Y385" s="48" t="s">
        <v>4228</v>
      </c>
      <c r="Z385" s="61"/>
      <c r="AA385" s="48" t="s">
        <v>327</v>
      </c>
      <c r="AB385" s="48" t="s">
        <v>273</v>
      </c>
      <c r="AC385" s="48" t="s">
        <v>273</v>
      </c>
      <c r="AD385" s="48" t="s">
        <v>273</v>
      </c>
      <c r="AE385" s="48" t="s">
        <v>273</v>
      </c>
      <c r="AF385" s="48" t="s">
        <v>273</v>
      </c>
      <c r="AG385" s="48" t="s">
        <v>273</v>
      </c>
      <c r="AH385" s="48" t="s">
        <v>273</v>
      </c>
      <c r="AI385" s="48" t="s">
        <v>273</v>
      </c>
      <c r="AJ385" s="48" t="s">
        <v>273</v>
      </c>
      <c r="AK385" s="48" t="s">
        <v>274</v>
      </c>
      <c r="AL385" s="48" t="s">
        <v>273</v>
      </c>
      <c r="AM385" s="48" t="s">
        <v>273</v>
      </c>
      <c r="AN385" s="48" t="s">
        <v>273</v>
      </c>
      <c r="AO385" s="48" t="s">
        <v>273</v>
      </c>
      <c r="AP385" s="48" t="s">
        <v>273</v>
      </c>
      <c r="AQ385" s="48" t="s">
        <v>273</v>
      </c>
      <c r="AR385" s="48" t="s">
        <v>273</v>
      </c>
      <c r="AS385" s="48" t="s">
        <v>273</v>
      </c>
      <c r="AT385" s="48" t="s">
        <v>273</v>
      </c>
      <c r="AU385" s="93">
        <v>41699</v>
      </c>
      <c r="AV385" s="93"/>
      <c r="AW385" s="93"/>
      <c r="AX385" s="93"/>
      <c r="AY385" s="93"/>
    </row>
    <row r="386" spans="1:52" ht="16.5" customHeight="1" x14ac:dyDescent="0.15">
      <c r="A386" s="199" t="s">
        <v>4229</v>
      </c>
      <c r="B386" s="209" t="s">
        <v>4230</v>
      </c>
      <c r="C386" s="48" t="s">
        <v>330</v>
      </c>
      <c r="D386" s="62" t="s">
        <v>4231</v>
      </c>
      <c r="E386" s="48" t="s">
        <v>300</v>
      </c>
      <c r="F386" s="61">
        <v>42521</v>
      </c>
      <c r="G386" s="61">
        <v>42521</v>
      </c>
      <c r="H386" s="125">
        <v>42685</v>
      </c>
      <c r="I386" s="61" t="s">
        <v>279</v>
      </c>
      <c r="J386" s="87"/>
      <c r="K386" s="124" t="s">
        <v>4232</v>
      </c>
      <c r="L386" s="124" t="s">
        <v>4232</v>
      </c>
      <c r="M386" s="62" t="s">
        <v>235</v>
      </c>
      <c r="N386" s="62" t="s">
        <v>4233</v>
      </c>
      <c r="O386" s="48" t="s">
        <v>1079</v>
      </c>
      <c r="P386" s="48" t="s">
        <v>4234</v>
      </c>
      <c r="Q386" s="48" t="s">
        <v>4235</v>
      </c>
      <c r="R386" s="48" t="s">
        <v>4236</v>
      </c>
      <c r="S386" s="48" t="s">
        <v>2126</v>
      </c>
      <c r="T386" s="48" t="s">
        <v>2127</v>
      </c>
      <c r="U386" s="48" t="s">
        <v>4237</v>
      </c>
      <c r="V386" s="122" t="s">
        <v>4232</v>
      </c>
      <c r="W386" s="122" t="s">
        <v>4232</v>
      </c>
      <c r="X386" s="48" t="s">
        <v>4238</v>
      </c>
      <c r="Y386" s="48" t="s">
        <v>4239</v>
      </c>
      <c r="Z386" s="61"/>
      <c r="AA386" s="48" t="s">
        <v>273</v>
      </c>
      <c r="AB386" s="48" t="s">
        <v>273</v>
      </c>
      <c r="AC386" s="48" t="s">
        <v>273</v>
      </c>
      <c r="AD386" s="48" t="s">
        <v>273</v>
      </c>
      <c r="AE386" s="48" t="s">
        <v>273</v>
      </c>
      <c r="AF386" s="48" t="s">
        <v>273</v>
      </c>
      <c r="AG386" s="48" t="s">
        <v>273</v>
      </c>
      <c r="AH386" s="48" t="s">
        <v>273</v>
      </c>
      <c r="AI386" s="48" t="s">
        <v>273</v>
      </c>
      <c r="AJ386" s="48" t="s">
        <v>273</v>
      </c>
      <c r="AK386" s="48" t="s">
        <v>273</v>
      </c>
      <c r="AL386" s="48" t="s">
        <v>273</v>
      </c>
      <c r="AM386" s="48" t="s">
        <v>273</v>
      </c>
      <c r="AN386" s="48" t="s">
        <v>273</v>
      </c>
      <c r="AO386" s="48" t="s">
        <v>273</v>
      </c>
      <c r="AP386" s="48" t="s">
        <v>273</v>
      </c>
      <c r="AQ386" s="48" t="s">
        <v>273</v>
      </c>
      <c r="AR386" s="48" t="s">
        <v>273</v>
      </c>
      <c r="AS386" s="48" t="s">
        <v>273</v>
      </c>
      <c r="AT386" s="48" t="s">
        <v>273</v>
      </c>
      <c r="AU386" s="93">
        <v>39356</v>
      </c>
      <c r="AV386" s="93"/>
      <c r="AW386" s="93"/>
      <c r="AX386" s="93"/>
      <c r="AY386" s="93"/>
    </row>
    <row r="387" spans="1:52" ht="16.5" customHeight="1" x14ac:dyDescent="0.15">
      <c r="A387" s="146" t="s">
        <v>4240</v>
      </c>
      <c r="B387" s="147" t="s">
        <v>4241</v>
      </c>
      <c r="C387" s="48" t="s">
        <v>330</v>
      </c>
      <c r="D387" s="62" t="s">
        <v>263</v>
      </c>
      <c r="E387" s="48" t="s">
        <v>264</v>
      </c>
      <c r="F387" s="61">
        <v>42521</v>
      </c>
      <c r="G387" s="61">
        <v>42521</v>
      </c>
      <c r="H387" s="125">
        <v>42528</v>
      </c>
      <c r="I387" s="61">
        <v>42051</v>
      </c>
      <c r="J387" s="87"/>
      <c r="K387" s="62">
        <v>0</v>
      </c>
      <c r="L387" s="62"/>
      <c r="M387" s="62" t="s">
        <v>3452</v>
      </c>
      <c r="N387" s="62" t="s">
        <v>4242</v>
      </c>
      <c r="O387" s="48" t="s">
        <v>4243</v>
      </c>
      <c r="P387" s="48" t="s">
        <v>267</v>
      </c>
      <c r="Q387" s="48" t="s">
        <v>2440</v>
      </c>
      <c r="R387" s="48" t="s">
        <v>4244</v>
      </c>
      <c r="S387" s="48" t="s">
        <v>2442</v>
      </c>
      <c r="T387" s="48" t="s">
        <v>2443</v>
      </c>
      <c r="U387" s="48" t="s">
        <v>3485</v>
      </c>
      <c r="V387" s="122" t="s">
        <v>263</v>
      </c>
      <c r="W387" s="122" t="s">
        <v>263</v>
      </c>
      <c r="X387" s="48" t="s">
        <v>3486</v>
      </c>
      <c r="Y387" s="48" t="s">
        <v>3487</v>
      </c>
      <c r="Z387" s="61"/>
      <c r="AA387" s="48" t="s">
        <v>273</v>
      </c>
      <c r="AB387" s="48" t="s">
        <v>273</v>
      </c>
      <c r="AC387" s="48" t="s">
        <v>273</v>
      </c>
      <c r="AD387" s="48" t="s">
        <v>273</v>
      </c>
      <c r="AE387" s="48" t="s">
        <v>273</v>
      </c>
      <c r="AF387" s="48" t="s">
        <v>273</v>
      </c>
      <c r="AG387" s="48" t="s">
        <v>273</v>
      </c>
      <c r="AH387" s="48" t="s">
        <v>273</v>
      </c>
      <c r="AI387" s="48" t="s">
        <v>273</v>
      </c>
      <c r="AJ387" s="48" t="s">
        <v>273</v>
      </c>
      <c r="AK387" s="48" t="s">
        <v>273</v>
      </c>
      <c r="AL387" s="48" t="s">
        <v>273</v>
      </c>
      <c r="AM387" s="48" t="s">
        <v>273</v>
      </c>
      <c r="AN387" s="48" t="s">
        <v>273</v>
      </c>
      <c r="AO387" s="48" t="s">
        <v>273</v>
      </c>
      <c r="AP387" s="48" t="s">
        <v>273</v>
      </c>
      <c r="AQ387" s="48" t="s">
        <v>273</v>
      </c>
      <c r="AR387" s="48" t="s">
        <v>273</v>
      </c>
      <c r="AS387" s="48" t="s">
        <v>273</v>
      </c>
      <c r="AT387" s="48" t="s">
        <v>273</v>
      </c>
      <c r="AU387" s="93">
        <v>41821</v>
      </c>
      <c r="AV387" s="93"/>
      <c r="AW387" s="93"/>
      <c r="AX387" s="93"/>
      <c r="AY387" s="93"/>
    </row>
    <row r="388" spans="1:52" ht="16.5" customHeight="1" x14ac:dyDescent="0.15">
      <c r="A388" s="153" t="s">
        <v>4245</v>
      </c>
      <c r="B388" s="155" t="s">
        <v>4246</v>
      </c>
      <c r="C388" s="48" t="s">
        <v>4247</v>
      </c>
      <c r="D388" s="62" t="s">
        <v>4248</v>
      </c>
      <c r="E388" s="48" t="s">
        <v>300</v>
      </c>
      <c r="F388" s="61">
        <v>42522</v>
      </c>
      <c r="G388" s="61">
        <v>42522</v>
      </c>
      <c r="H388" s="125">
        <v>42584</v>
      </c>
      <c r="I388" s="61" t="s">
        <v>279</v>
      </c>
      <c r="J388" s="87"/>
      <c r="K388" s="62" t="s">
        <v>16</v>
      </c>
      <c r="L388" s="62">
        <v>3</v>
      </c>
      <c r="M388" s="62" t="s">
        <v>209</v>
      </c>
      <c r="N388" s="62" t="s">
        <v>4249</v>
      </c>
      <c r="O388" s="48" t="s">
        <v>316</v>
      </c>
      <c r="P388" s="48" t="s">
        <v>4250</v>
      </c>
      <c r="Q388" s="48" t="s">
        <v>4251</v>
      </c>
      <c r="R388" s="48" t="s">
        <v>4252</v>
      </c>
      <c r="S388" s="48" t="s">
        <v>1610</v>
      </c>
      <c r="T388" s="48" t="s">
        <v>1611</v>
      </c>
      <c r="U388" s="48" t="s">
        <v>4253</v>
      </c>
      <c r="V388" s="122" t="s">
        <v>263</v>
      </c>
      <c r="W388" s="122" t="s">
        <v>4254</v>
      </c>
      <c r="X388" s="48" t="s">
        <v>4255</v>
      </c>
      <c r="Y388" s="48" t="s">
        <v>3789</v>
      </c>
      <c r="Z388" s="61"/>
      <c r="AA388" s="48" t="s">
        <v>327</v>
      </c>
      <c r="AB388" s="48" t="s">
        <v>291</v>
      </c>
      <c r="AC388" s="48" t="s">
        <v>273</v>
      </c>
      <c r="AD388" s="48" t="s">
        <v>273</v>
      </c>
      <c r="AE388" s="48" t="s">
        <v>273</v>
      </c>
      <c r="AF388" s="48" t="s">
        <v>273</v>
      </c>
      <c r="AG388" s="48" t="s">
        <v>273</v>
      </c>
      <c r="AH388" s="48" t="s">
        <v>273</v>
      </c>
      <c r="AI388" s="48" t="s">
        <v>273</v>
      </c>
      <c r="AJ388" s="48" t="s">
        <v>273</v>
      </c>
      <c r="AK388" s="48" t="s">
        <v>274</v>
      </c>
      <c r="AL388" s="48" t="s">
        <v>293</v>
      </c>
      <c r="AM388" s="48" t="s">
        <v>273</v>
      </c>
      <c r="AN388" s="48" t="s">
        <v>273</v>
      </c>
      <c r="AO388" s="48" t="s">
        <v>273</v>
      </c>
      <c r="AP388" s="48" t="s">
        <v>273</v>
      </c>
      <c r="AQ388" s="48" t="s">
        <v>273</v>
      </c>
      <c r="AR388" s="48" t="s">
        <v>273</v>
      </c>
      <c r="AS388" s="48" t="s">
        <v>273</v>
      </c>
      <c r="AT388" s="48" t="s">
        <v>273</v>
      </c>
      <c r="AU388" s="93">
        <v>40299</v>
      </c>
      <c r="AV388" s="93"/>
      <c r="AW388" s="93"/>
      <c r="AX388" s="93"/>
      <c r="AY388" s="93"/>
      <c r="AZ388" s="49" t="s">
        <v>4256</v>
      </c>
    </row>
    <row r="389" spans="1:52" ht="16.5" customHeight="1" x14ac:dyDescent="0.15">
      <c r="A389" s="151" t="s">
        <v>4257</v>
      </c>
      <c r="B389" s="152" t="s">
        <v>4258</v>
      </c>
      <c r="C389" s="48" t="s">
        <v>298</v>
      </c>
      <c r="D389" s="62" t="s">
        <v>263</v>
      </c>
      <c r="E389" s="48" t="s">
        <v>264</v>
      </c>
      <c r="F389" s="61">
        <v>42522</v>
      </c>
      <c r="G389" s="61">
        <v>42522</v>
      </c>
      <c r="H389" s="125">
        <v>42565</v>
      </c>
      <c r="I389" s="61">
        <v>41537</v>
      </c>
      <c r="J389" s="87"/>
      <c r="K389" s="62" t="s">
        <v>16</v>
      </c>
      <c r="L389" s="62">
        <v>3</v>
      </c>
      <c r="M389" s="62" t="s">
        <v>471</v>
      </c>
      <c r="N389" s="62" t="s">
        <v>4259</v>
      </c>
      <c r="O389" s="48" t="s">
        <v>502</v>
      </c>
      <c r="P389" s="48" t="s">
        <v>3689</v>
      </c>
      <c r="Q389" s="48" t="s">
        <v>4260</v>
      </c>
      <c r="R389" s="48" t="s">
        <v>399</v>
      </c>
      <c r="S389" s="48" t="s">
        <v>400</v>
      </c>
      <c r="T389" s="48" t="s">
        <v>401</v>
      </c>
      <c r="U389" s="48" t="s">
        <v>3611</v>
      </c>
      <c r="V389" s="122" t="s">
        <v>263</v>
      </c>
      <c r="W389" s="122" t="s">
        <v>263</v>
      </c>
      <c r="X389" s="48" t="s">
        <v>4261</v>
      </c>
      <c r="Y389" s="48" t="s">
        <v>4262</v>
      </c>
      <c r="Z389" s="61"/>
      <c r="AA389" s="48" t="s">
        <v>783</v>
      </c>
      <c r="AB389" s="48" t="s">
        <v>273</v>
      </c>
      <c r="AC389" s="48" t="s">
        <v>273</v>
      </c>
      <c r="AD389" s="48" t="s">
        <v>273</v>
      </c>
      <c r="AE389" s="48" t="s">
        <v>273</v>
      </c>
      <c r="AF389" s="48" t="s">
        <v>273</v>
      </c>
      <c r="AG389" s="48" t="s">
        <v>273</v>
      </c>
      <c r="AH389" s="48" t="s">
        <v>273</v>
      </c>
      <c r="AI389" s="48" t="s">
        <v>273</v>
      </c>
      <c r="AJ389" s="48" t="s">
        <v>273</v>
      </c>
      <c r="AK389" s="48" t="s">
        <v>787</v>
      </c>
      <c r="AL389" s="48" t="s">
        <v>273</v>
      </c>
      <c r="AM389" s="48" t="s">
        <v>273</v>
      </c>
      <c r="AN389" s="48" t="s">
        <v>273</v>
      </c>
      <c r="AO389" s="48" t="s">
        <v>273</v>
      </c>
      <c r="AP389" s="48" t="s">
        <v>273</v>
      </c>
      <c r="AQ389" s="48" t="s">
        <v>273</v>
      </c>
      <c r="AR389" s="48" t="s">
        <v>273</v>
      </c>
      <c r="AS389" s="48" t="s">
        <v>273</v>
      </c>
      <c r="AT389" s="48" t="s">
        <v>273</v>
      </c>
      <c r="AU389" s="93">
        <v>41395</v>
      </c>
      <c r="AV389" s="93"/>
      <c r="AW389" s="93"/>
      <c r="AX389" s="93"/>
      <c r="AY389" s="93"/>
    </row>
    <row r="390" spans="1:52" ht="16.5" customHeight="1" x14ac:dyDescent="0.15">
      <c r="A390" s="182" t="s">
        <v>4263</v>
      </c>
      <c r="B390" s="183" t="s">
        <v>4264</v>
      </c>
      <c r="C390" s="48" t="s">
        <v>4265</v>
      </c>
      <c r="D390" s="62" t="s">
        <v>263</v>
      </c>
      <c r="E390" s="48" t="s">
        <v>264</v>
      </c>
      <c r="F390" s="61">
        <v>42522</v>
      </c>
      <c r="G390" s="61">
        <v>42522</v>
      </c>
      <c r="H390" s="125">
        <v>42656</v>
      </c>
      <c r="I390" s="61">
        <v>41723</v>
      </c>
      <c r="J390" s="87"/>
      <c r="K390" s="62" t="s">
        <v>14</v>
      </c>
      <c r="L390" s="62">
        <v>3</v>
      </c>
      <c r="M390" s="62" t="s">
        <v>471</v>
      </c>
      <c r="N390" s="62" t="s">
        <v>4266</v>
      </c>
      <c r="O390" s="48" t="s">
        <v>502</v>
      </c>
      <c r="P390" s="48" t="s">
        <v>1741</v>
      </c>
      <c r="Q390" s="48" t="s">
        <v>4267</v>
      </c>
      <c r="R390" s="48" t="s">
        <v>399</v>
      </c>
      <c r="S390" s="48" t="s">
        <v>400</v>
      </c>
      <c r="T390" s="48" t="s">
        <v>401</v>
      </c>
      <c r="U390" s="48" t="s">
        <v>4268</v>
      </c>
      <c r="V390" s="122" t="s">
        <v>263</v>
      </c>
      <c r="W390" s="122" t="s">
        <v>263</v>
      </c>
      <c r="X390" s="48" t="s">
        <v>4269</v>
      </c>
      <c r="Y390" s="48" t="s">
        <v>4270</v>
      </c>
      <c r="Z390" s="61"/>
      <c r="AA390" s="48" t="s">
        <v>508</v>
      </c>
      <c r="AB390" s="48" t="s">
        <v>1158</v>
      </c>
      <c r="AC390" s="48" t="s">
        <v>273</v>
      </c>
      <c r="AD390" s="48" t="s">
        <v>273</v>
      </c>
      <c r="AE390" s="48" t="s">
        <v>273</v>
      </c>
      <c r="AF390" s="48" t="s">
        <v>273</v>
      </c>
      <c r="AG390" s="48" t="s">
        <v>273</v>
      </c>
      <c r="AH390" s="48" t="s">
        <v>273</v>
      </c>
      <c r="AI390" s="48" t="s">
        <v>273</v>
      </c>
      <c r="AJ390" s="48" t="s">
        <v>273</v>
      </c>
      <c r="AK390" s="48" t="s">
        <v>509</v>
      </c>
      <c r="AL390" s="48" t="s">
        <v>1160</v>
      </c>
      <c r="AM390" s="48" t="s">
        <v>273</v>
      </c>
      <c r="AN390" s="48" t="s">
        <v>273</v>
      </c>
      <c r="AO390" s="48" t="s">
        <v>273</v>
      </c>
      <c r="AP390" s="48" t="s">
        <v>273</v>
      </c>
      <c r="AQ390" s="48" t="s">
        <v>273</v>
      </c>
      <c r="AR390" s="48" t="s">
        <v>273</v>
      </c>
      <c r="AS390" s="48" t="s">
        <v>273</v>
      </c>
      <c r="AT390" s="48" t="s">
        <v>273</v>
      </c>
      <c r="AU390" s="93">
        <v>41579</v>
      </c>
      <c r="AV390" s="93"/>
      <c r="AW390" s="93"/>
      <c r="AX390" s="93"/>
      <c r="AY390" s="93"/>
    </row>
    <row r="391" spans="1:52" ht="16.5" customHeight="1" x14ac:dyDescent="0.15">
      <c r="A391" s="146" t="s">
        <v>4271</v>
      </c>
      <c r="B391" s="147" t="s">
        <v>4272</v>
      </c>
      <c r="C391" s="48" t="s">
        <v>4273</v>
      </c>
      <c r="D391" s="62" t="s">
        <v>263</v>
      </c>
      <c r="E391" s="48" t="s">
        <v>264</v>
      </c>
      <c r="F391" s="61">
        <v>42522</v>
      </c>
      <c r="G391" s="61">
        <v>42522</v>
      </c>
      <c r="H391" s="125">
        <v>42537</v>
      </c>
      <c r="I391" s="61">
        <v>42030</v>
      </c>
      <c r="J391" s="87"/>
      <c r="K391" s="62" t="s">
        <v>14</v>
      </c>
      <c r="L391" s="62">
        <v>3</v>
      </c>
      <c r="M391" s="62" t="s">
        <v>471</v>
      </c>
      <c r="N391" s="62" t="s">
        <v>4274</v>
      </c>
      <c r="O391" s="48" t="s">
        <v>502</v>
      </c>
      <c r="P391" s="48" t="s">
        <v>4275</v>
      </c>
      <c r="Q391" s="48" t="s">
        <v>1716</v>
      </c>
      <c r="R391" s="48" t="s">
        <v>399</v>
      </c>
      <c r="S391" s="48" t="s">
        <v>400</v>
      </c>
      <c r="T391" s="48" t="s">
        <v>401</v>
      </c>
      <c r="U391" s="48" t="s">
        <v>4276</v>
      </c>
      <c r="V391" s="122" t="s">
        <v>263</v>
      </c>
      <c r="W391" s="122" t="s">
        <v>263</v>
      </c>
      <c r="X391" s="48" t="s">
        <v>4277</v>
      </c>
      <c r="Y391" s="48" t="s">
        <v>4278</v>
      </c>
      <c r="Z391" s="61"/>
      <c r="AA391" s="48" t="s">
        <v>508</v>
      </c>
      <c r="AB391" s="48" t="s">
        <v>273</v>
      </c>
      <c r="AC391" s="48" t="s">
        <v>273</v>
      </c>
      <c r="AD391" s="48" t="s">
        <v>273</v>
      </c>
      <c r="AE391" s="48" t="s">
        <v>273</v>
      </c>
      <c r="AF391" s="48" t="s">
        <v>273</v>
      </c>
      <c r="AG391" s="48" t="s">
        <v>273</v>
      </c>
      <c r="AH391" s="48" t="s">
        <v>273</v>
      </c>
      <c r="AI391" s="48" t="s">
        <v>273</v>
      </c>
      <c r="AJ391" s="48" t="s">
        <v>273</v>
      </c>
      <c r="AK391" s="48" t="s">
        <v>509</v>
      </c>
      <c r="AL391" s="48" t="s">
        <v>273</v>
      </c>
      <c r="AM391" s="48" t="s">
        <v>273</v>
      </c>
      <c r="AN391" s="48" t="s">
        <v>273</v>
      </c>
      <c r="AO391" s="48" t="s">
        <v>273</v>
      </c>
      <c r="AP391" s="48" t="s">
        <v>273</v>
      </c>
      <c r="AQ391" s="48" t="s">
        <v>273</v>
      </c>
      <c r="AR391" s="48" t="s">
        <v>273</v>
      </c>
      <c r="AS391" s="48" t="s">
        <v>273</v>
      </c>
      <c r="AT391" s="48" t="s">
        <v>273</v>
      </c>
      <c r="AU391" s="93">
        <v>41699</v>
      </c>
      <c r="AV391" s="93"/>
      <c r="AW391" s="93"/>
      <c r="AX391" s="93"/>
      <c r="AY391" s="93"/>
    </row>
    <row r="392" spans="1:52" ht="16.5" customHeight="1" x14ac:dyDescent="0.15">
      <c r="A392" s="182" t="s">
        <v>4279</v>
      </c>
      <c r="B392" s="183" t="s">
        <v>4280</v>
      </c>
      <c r="C392" s="48" t="s">
        <v>4281</v>
      </c>
      <c r="D392" s="62" t="s">
        <v>4282</v>
      </c>
      <c r="E392" s="48" t="s">
        <v>264</v>
      </c>
      <c r="F392" s="61">
        <v>42523</v>
      </c>
      <c r="G392" s="61">
        <v>42523</v>
      </c>
      <c r="H392" s="125">
        <v>42647</v>
      </c>
      <c r="I392" s="61" t="s">
        <v>279</v>
      </c>
      <c r="J392" s="87"/>
      <c r="K392" s="62" t="s">
        <v>16</v>
      </c>
      <c r="L392" s="62">
        <v>3</v>
      </c>
      <c r="M392" s="62" t="s">
        <v>209</v>
      </c>
      <c r="N392" s="62" t="s">
        <v>4283</v>
      </c>
      <c r="O392" s="48" t="s">
        <v>4284</v>
      </c>
      <c r="P392" s="48" t="s">
        <v>4285</v>
      </c>
      <c r="Q392" s="48" t="s">
        <v>4286</v>
      </c>
      <c r="R392" s="130" t="s">
        <v>4287</v>
      </c>
      <c r="S392" s="130" t="s">
        <v>4288</v>
      </c>
      <c r="T392" s="130" t="s">
        <v>4289</v>
      </c>
      <c r="U392" s="48" t="s">
        <v>4290</v>
      </c>
      <c r="V392" s="122" t="s">
        <v>263</v>
      </c>
      <c r="W392" s="122" t="s">
        <v>263</v>
      </c>
      <c r="X392" s="48" t="s">
        <v>4291</v>
      </c>
      <c r="Y392" s="48" t="s">
        <v>4292</v>
      </c>
      <c r="Z392" s="61"/>
      <c r="AA392" s="48" t="s">
        <v>272</v>
      </c>
      <c r="AB392" s="48" t="s">
        <v>1139</v>
      </c>
      <c r="AC392" s="48" t="s">
        <v>291</v>
      </c>
      <c r="AD392" s="48" t="s">
        <v>292</v>
      </c>
      <c r="AE392" s="48" t="s">
        <v>273</v>
      </c>
      <c r="AF392" s="48" t="s">
        <v>273</v>
      </c>
      <c r="AG392" s="48" t="s">
        <v>273</v>
      </c>
      <c r="AH392" s="48" t="s">
        <v>273</v>
      </c>
      <c r="AI392" s="48" t="s">
        <v>273</v>
      </c>
      <c r="AJ392" s="48" t="s">
        <v>273</v>
      </c>
      <c r="AK392" s="48" t="s">
        <v>274</v>
      </c>
      <c r="AL392" s="48" t="s">
        <v>1140</v>
      </c>
      <c r="AM392" s="48" t="s">
        <v>293</v>
      </c>
      <c r="AN392" s="48" t="s">
        <v>294</v>
      </c>
      <c r="AO392" s="48" t="s">
        <v>273</v>
      </c>
      <c r="AP392" s="48" t="s">
        <v>273</v>
      </c>
      <c r="AQ392" s="48" t="s">
        <v>273</v>
      </c>
      <c r="AR392" s="48" t="s">
        <v>273</v>
      </c>
      <c r="AS392" s="48" t="s">
        <v>273</v>
      </c>
      <c r="AT392" s="48" t="s">
        <v>273</v>
      </c>
      <c r="AU392" s="93">
        <v>41091</v>
      </c>
      <c r="AV392" s="93"/>
      <c r="AW392" s="93"/>
      <c r="AX392" s="93"/>
      <c r="AY392" s="93"/>
      <c r="AZ392" s="49" t="s">
        <v>4293</v>
      </c>
    </row>
    <row r="393" spans="1:52" ht="16.5" customHeight="1" x14ac:dyDescent="0.15">
      <c r="A393" s="146" t="s">
        <v>4294</v>
      </c>
      <c r="B393" s="147" t="s">
        <v>4295</v>
      </c>
      <c r="C393" s="48" t="s">
        <v>4296</v>
      </c>
      <c r="D393" s="62" t="s">
        <v>263</v>
      </c>
      <c r="E393" s="48" t="s">
        <v>300</v>
      </c>
      <c r="F393" s="61">
        <v>42523</v>
      </c>
      <c r="G393" s="61">
        <v>42523</v>
      </c>
      <c r="H393" s="125">
        <v>42545</v>
      </c>
      <c r="I393" s="61">
        <v>40238</v>
      </c>
      <c r="J393" s="87"/>
      <c r="K393" s="62" t="s">
        <v>14</v>
      </c>
      <c r="L393" s="62">
        <v>3</v>
      </c>
      <c r="M393" s="62" t="s">
        <v>4297</v>
      </c>
      <c r="N393" s="62" t="s">
        <v>4298</v>
      </c>
      <c r="O393" s="48" t="s">
        <v>4299</v>
      </c>
      <c r="P393" s="48" t="s">
        <v>707</v>
      </c>
      <c r="Q393" s="48" t="s">
        <v>4300</v>
      </c>
      <c r="R393" s="48" t="s">
        <v>399</v>
      </c>
      <c r="S393" s="48" t="s">
        <v>400</v>
      </c>
      <c r="T393" s="48" t="s">
        <v>401</v>
      </c>
      <c r="U393" s="48" t="s">
        <v>322</v>
      </c>
      <c r="V393" s="122" t="s">
        <v>263</v>
      </c>
      <c r="W393" s="122" t="s">
        <v>263</v>
      </c>
      <c r="X393" s="48" t="s">
        <v>325</v>
      </c>
      <c r="Y393" s="48" t="s">
        <v>479</v>
      </c>
      <c r="Z393" s="61"/>
      <c r="AA393" s="48" t="s">
        <v>561</v>
      </c>
      <c r="AB393" s="48" t="s">
        <v>1231</v>
      </c>
      <c r="AC393" s="48" t="s">
        <v>273</v>
      </c>
      <c r="AD393" s="48" t="s">
        <v>273</v>
      </c>
      <c r="AE393" s="48" t="s">
        <v>273</v>
      </c>
      <c r="AF393" s="48" t="s">
        <v>273</v>
      </c>
      <c r="AG393" s="48" t="s">
        <v>273</v>
      </c>
      <c r="AH393" s="48" t="s">
        <v>273</v>
      </c>
      <c r="AI393" s="48" t="s">
        <v>273</v>
      </c>
      <c r="AJ393" s="48" t="s">
        <v>273</v>
      </c>
      <c r="AK393" s="48" t="s">
        <v>563</v>
      </c>
      <c r="AL393" s="48" t="s">
        <v>1232</v>
      </c>
      <c r="AM393" s="48" t="s">
        <v>273</v>
      </c>
      <c r="AN393" s="48" t="s">
        <v>273</v>
      </c>
      <c r="AO393" s="48" t="s">
        <v>273</v>
      </c>
      <c r="AP393" s="48" t="s">
        <v>273</v>
      </c>
      <c r="AQ393" s="48" t="s">
        <v>273</v>
      </c>
      <c r="AR393" s="48" t="s">
        <v>273</v>
      </c>
      <c r="AS393" s="48" t="s">
        <v>273</v>
      </c>
      <c r="AT393" s="48" t="s">
        <v>273</v>
      </c>
      <c r="AU393" s="93">
        <v>38261</v>
      </c>
      <c r="AV393" s="93"/>
      <c r="AW393" s="93"/>
      <c r="AX393" s="93"/>
      <c r="AY393" s="93"/>
    </row>
    <row r="394" spans="1:52" ht="16.5" customHeight="1" x14ac:dyDescent="0.15">
      <c r="A394" s="121" t="s">
        <v>4301</v>
      </c>
      <c r="B394" s="47" t="s">
        <v>4302</v>
      </c>
      <c r="C394" s="48" t="e">
        <f ca="1">INDIRECT("'["&amp;$C$1&amp;".xls]"&amp;$B394&amp;"'!$i$7")</f>
        <v>#REF!</v>
      </c>
      <c r="D394" s="62" t="e">
        <f ca="1">INDIRECT("'["&amp;$C$1&amp;".xls]"&amp;$B394&amp;"'!$b$7")</f>
        <v>#REF!</v>
      </c>
      <c r="E394" s="48" t="e">
        <f ca="1">IF(INDIRECT("'["&amp;$C$1&amp;".xls]"&amp;$B394&amp;"'!$i$2")="","",INDIRECT("'["&amp;$C$1&amp;".xls]"&amp;$B394&amp;"'!$i$2"))</f>
        <v>#REF!</v>
      </c>
      <c r="F394" s="61" t="e">
        <f ca="1">INDIRECT("'["&amp;$C$1&amp;".xls]"&amp;$B394&amp;"'!$b$2")</f>
        <v>#REF!</v>
      </c>
      <c r="G394" s="61" t="e">
        <f ca="1">INDIRECT("'["&amp;$C$1&amp;".xls]"&amp;$B394&amp;"'!$a$20")</f>
        <v>#REF!</v>
      </c>
      <c r="H394" s="88" t="e">
        <f ca="1">INDIRECT("'["&amp;$C$1&amp;".xls]"&amp;$B394&amp;"'!$Q$22")</f>
        <v>#REF!</v>
      </c>
      <c r="I394" s="61" t="e">
        <f ca="1">INDIRECT("'["&amp;$C$1&amp;".xls]"&amp;$B394&amp;"'!$f$6")</f>
        <v>#REF!</v>
      </c>
      <c r="J394" s="87"/>
      <c r="K394" s="62" t="e">
        <f ca="1">INDIRECT("'["&amp;$C$1&amp;".xls]"&amp;$B394&amp;"'!$f$25")</f>
        <v>#REF!</v>
      </c>
      <c r="L394" s="62"/>
      <c r="M394" s="62" t="e">
        <f ca="1">INDIRECT("'["&amp;$C$1&amp;".xls]"&amp;$B394&amp;"'!$f$4")</f>
        <v>#REF!</v>
      </c>
      <c r="N394" s="62" t="e">
        <f ca="1">INDIRECT("'["&amp;$C$1&amp;".xls]"&amp;$B394&amp;"'!$i$4")</f>
        <v>#REF!</v>
      </c>
      <c r="O394" s="48" t="e">
        <f ca="1">INDIRECT("'["&amp;$C$1&amp;".xls]"&amp;$B394&amp;"'!$l$4")</f>
        <v>#REF!</v>
      </c>
      <c r="P394" s="48" t="e">
        <f ca="1">INDIRECT("'["&amp;$C$1&amp;".xls]"&amp;$B394&amp;"'!$b$5")</f>
        <v>#REF!</v>
      </c>
      <c r="Q394" s="48" t="e">
        <f ca="1">INDIRECT("'["&amp;$C$1&amp;".xls]"&amp;$B394&amp;"'!$f$5")</f>
        <v>#REF!</v>
      </c>
      <c r="R394" s="48"/>
      <c r="S394" s="48" t="e">
        <f ca="1">INDIRECT("'["&amp;$C$1&amp;".xls]"&amp;$B394&amp;"'!$i$5")</f>
        <v>#REF!</v>
      </c>
      <c r="T394" s="48" t="e">
        <f ca="1">INDIRECT("'["&amp;$C$1&amp;".xls]"&amp;$B394&amp;"'!$l$5")</f>
        <v>#REF!</v>
      </c>
      <c r="U394" s="48" t="e">
        <f ca="1">INDIRECT("'["&amp;$C$1&amp;".xls]"&amp;$B394&amp;"'!$b$4")</f>
        <v>#REF!</v>
      </c>
      <c r="V394" s="48"/>
      <c r="W394" s="48"/>
      <c r="X394" s="48"/>
      <c r="Y394" s="48"/>
      <c r="Z394" s="61"/>
      <c r="AA394" s="48" t="e">
        <f ca="1">IF(INDIRECT("'["&amp;$C$1&amp;".xls]"&amp;$B394&amp;"'!$P$25")="","",IF(INDIRECT("'["&amp;$C$1&amp;".xls]"&amp;$B394&amp;"'!$O$25")="済み",INDIRECT("'["&amp;$C$1&amp;".xls]"&amp;$B394&amp;"'!$P$25"),""))</f>
        <v>#REF!</v>
      </c>
      <c r="AB394" s="48" t="e">
        <f ca="1">IF(INDIRECT("'["&amp;$C$1&amp;".xls]"&amp;$B394&amp;"'!$P$26")="","",IF(INDIRECT("'["&amp;$C$1&amp;".xls]"&amp;$B394&amp;"'!$O$26")="済み",INDIRECT("'["&amp;$C$1&amp;".xls]"&amp;$B394&amp;"'!$P$26"),""))</f>
        <v>#REF!</v>
      </c>
      <c r="AC394" s="48" t="e">
        <f ca="1">IF(INDIRECT("'["&amp;$C$1&amp;".xls]"&amp;$B394&amp;"'!$P$27")="","",IF(INDIRECT("'["&amp;$C$1&amp;".xls]"&amp;$B394&amp;"'!$O$27")="済み",INDIRECT("'["&amp;$C$1&amp;".xls]"&amp;$B394&amp;"'!$P$27"),""))</f>
        <v>#REF!</v>
      </c>
      <c r="AD394" s="48" t="e">
        <f ca="1">IF(INDIRECT("'["&amp;$C$1&amp;".xls]"&amp;$B394&amp;"'!$P$28")="","",IF(INDIRECT("'["&amp;$C$1&amp;".xls]"&amp;$B394&amp;"'!$O$28")="済み",INDIRECT("'["&amp;$C$1&amp;".xls]"&amp;$B394&amp;"'!$P$28"),""))</f>
        <v>#REF!</v>
      </c>
      <c r="AE394" s="48" t="e">
        <f ca="1">IF(INDIRECT("'["&amp;$C$1&amp;".xls]"&amp;$B394&amp;"'!$P$29")="","",IF(INDIRECT("'["&amp;$C$1&amp;".xls]"&amp;$B394&amp;"'!$O$29")="済み",INDIRECT("'["&amp;$C$1&amp;".xls]"&amp;$B394&amp;"'!$P$29"),""))</f>
        <v>#REF!</v>
      </c>
      <c r="AF394" s="48" t="e">
        <f ca="1">IF(INDIRECT("'["&amp;$C$1&amp;".xls]"&amp;$B394&amp;"'!$P$30")="","",IF(INDIRECT("'["&amp;$C$1&amp;".xls]"&amp;$B394&amp;"'!$O$30")="済み",INDIRECT("'["&amp;$C$1&amp;".xls]"&amp;$B394&amp;"'!$P$30"),""))</f>
        <v>#REF!</v>
      </c>
      <c r="AG394" s="48" t="e">
        <f ca="1">IF(INDIRECT("'["&amp;$C$1&amp;".xls]"&amp;$B394&amp;"'!$P$31")="","",IF(INDIRECT("'["&amp;$C$1&amp;".xls]"&amp;$B394&amp;"'!$O$31")="済み",INDIRECT("'["&amp;$C$1&amp;".xls]"&amp;$B394&amp;"'!$P$31"),""))</f>
        <v>#REF!</v>
      </c>
      <c r="AH394" s="48" t="e">
        <f ca="1">IF(INDIRECT("'["&amp;$C$1&amp;".xls]"&amp;$B394&amp;"'!$P$32")="","",IF(INDIRECT("'["&amp;$C$1&amp;".xls]"&amp;$B394&amp;"'!$O$32")="済み",INDIRECT("'["&amp;$C$1&amp;".xls]"&amp;$B394&amp;"'!$P$32"),""))</f>
        <v>#REF!</v>
      </c>
      <c r="AI394" s="48" t="e">
        <f ca="1">IF(INDIRECT("'["&amp;$C$1&amp;".xls]"&amp;$B394&amp;"'!$P$33")="","",IF(INDIRECT("'["&amp;$C$1&amp;".xls]"&amp;$B394&amp;"'!$O$33")="済み",INDIRECT("'["&amp;$C$1&amp;".xls]"&amp;$B394&amp;"'!$P$33"),""))</f>
        <v>#REF!</v>
      </c>
      <c r="AJ394" s="48" t="e">
        <f ca="1">IF(INDIRECT("'["&amp;$C$1&amp;".xls]"&amp;$B394&amp;"'!$P$34")="","",IF(INDIRECT("'["&amp;$C$1&amp;".xls]"&amp;$B394&amp;"'!$O$34")="済み",INDIRECT("'["&amp;$C$1&amp;".xls]"&amp;$B394&amp;"'!$P$34"),""))</f>
        <v>#REF!</v>
      </c>
      <c r="AK394" s="48" t="e">
        <f ca="1">IF(INDIRECT("'["&amp;$C$1&amp;".xls]"&amp;$B394&amp;"'!$T25")="","",IF(INDIRECT("'["&amp;$C$1&amp;".xls]"&amp;$B394&amp;"'!$O$25")="済み",INDIRECT("'["&amp;$C$1&amp;".xls]"&amp;$B394&amp;"'!$T$25"),""))</f>
        <v>#REF!</v>
      </c>
      <c r="AL394" s="48" t="e">
        <f ca="1">IF(INDIRECT("'["&amp;$C$1&amp;".xls]"&amp;$B394&amp;"'!$T26")="","",IF(INDIRECT("'["&amp;$C$1&amp;".xls]"&amp;$B394&amp;"'!$O$26")="済み",INDIRECT("'["&amp;$C$1&amp;".xls]"&amp;$B394&amp;"'!$T$26"),""))</f>
        <v>#REF!</v>
      </c>
      <c r="AM394" s="48" t="e">
        <f ca="1">IF(INDIRECT("'["&amp;$C$1&amp;".xls]"&amp;$B394&amp;"'!$T27")="","",IF(INDIRECT("'["&amp;$C$1&amp;".xls]"&amp;$B394&amp;"'!$O$27")="済み",INDIRECT("'["&amp;$C$1&amp;".xls]"&amp;$B394&amp;"'!$T$27"),""))</f>
        <v>#REF!</v>
      </c>
      <c r="AN394" s="48" t="e">
        <f ca="1">IF(INDIRECT("'["&amp;$C$1&amp;".xls]"&amp;$B394&amp;"'!$T28")="","",IF(INDIRECT("'["&amp;$C$1&amp;".xls]"&amp;$B394&amp;"'!$O$28")="済み",INDIRECT("'["&amp;$C$1&amp;".xls]"&amp;$B394&amp;"'!$T$28"),""))</f>
        <v>#REF!</v>
      </c>
      <c r="AO394" s="48" t="e">
        <f ca="1">IF(INDIRECT("'["&amp;$C$1&amp;".xls]"&amp;$B394&amp;"'!$T29")="","",IF(INDIRECT("'["&amp;$C$1&amp;".xls]"&amp;$B394&amp;"'!$O$29")="済み",INDIRECT("'["&amp;$C$1&amp;".xls]"&amp;$B394&amp;"'!$T$29"),""))</f>
        <v>#REF!</v>
      </c>
      <c r="AP394" s="48" t="e">
        <f ca="1">IF(INDIRECT("'["&amp;$C$1&amp;".xls]"&amp;$B394&amp;"'!$T30")="","",IF(INDIRECT("'["&amp;$C$1&amp;".xls]"&amp;$B394&amp;"'!$O$30")="済み",INDIRECT("'["&amp;$C$1&amp;".xls]"&amp;$B394&amp;"'!$T$30"),""))</f>
        <v>#REF!</v>
      </c>
      <c r="AQ394" s="48" t="e">
        <f ca="1">IF(INDIRECT("'["&amp;$C$1&amp;".xls]"&amp;$B394&amp;"'!$T31")="","",IF(INDIRECT("'["&amp;$C$1&amp;".xls]"&amp;$B394&amp;"'!$O$31")="済み",INDIRECT("'["&amp;$C$1&amp;".xls]"&amp;$B394&amp;"'!$T$31"),""))</f>
        <v>#REF!</v>
      </c>
      <c r="AR394" s="48" t="e">
        <f ca="1">IF(INDIRECT("'["&amp;$C$1&amp;".xls]"&amp;$B394&amp;"'!$T32")="","",IF(INDIRECT("'["&amp;$C$1&amp;".xls]"&amp;$B394&amp;"'!$O$32")="済み",INDIRECT("'["&amp;$C$1&amp;".xls]"&amp;$B394&amp;"'!$T$32"),""))</f>
        <v>#REF!</v>
      </c>
      <c r="AS394" s="48" t="e">
        <f ca="1">IF(INDIRECT("'["&amp;$C$1&amp;".xls]"&amp;$B394&amp;"'!$T33")="","",IF(INDIRECT("'["&amp;$C$1&amp;".xls]"&amp;$B394&amp;"'!$O$33")="済み",INDIRECT("'["&amp;$C$1&amp;".xls]"&amp;$B394&amp;"'!$T$33"),""))</f>
        <v>#REF!</v>
      </c>
      <c r="AT394" s="48" t="e">
        <f ca="1">IF(INDIRECT("'["&amp;$C$1&amp;".xls]"&amp;$B394&amp;"'!$T34")="","",IF(INDIRECT("'["&amp;$C$1&amp;".xls]"&amp;$B394&amp;"'!$O$34")="済み",INDIRECT("'["&amp;$C$1&amp;".xls]"&amp;$B394&amp;"'!$T$34"),""))</f>
        <v>#REF!</v>
      </c>
      <c r="AU394" s="93" t="e">
        <f ca="1">INDIRECT("'["&amp;$C$1&amp;".xls]"&amp;$B394&amp;"'!$B$6")</f>
        <v>#REF!</v>
      </c>
      <c r="AV394" s="93"/>
      <c r="AW394" s="93"/>
      <c r="AX394" s="93"/>
      <c r="AY394" s="93"/>
    </row>
    <row r="395" spans="1:52" ht="16.5" customHeight="1" x14ac:dyDescent="0.15">
      <c r="A395" s="182" t="s">
        <v>4303</v>
      </c>
      <c r="B395" s="183" t="s">
        <v>4304</v>
      </c>
      <c r="C395" s="48" t="s">
        <v>330</v>
      </c>
      <c r="D395" s="62" t="s">
        <v>4305</v>
      </c>
      <c r="E395" s="48" t="s">
        <v>300</v>
      </c>
      <c r="F395" s="61">
        <v>42524</v>
      </c>
      <c r="G395" s="61">
        <v>42524</v>
      </c>
      <c r="H395" s="125">
        <v>42655</v>
      </c>
      <c r="I395" s="61" t="s">
        <v>279</v>
      </c>
      <c r="J395" s="87"/>
      <c r="K395" s="62">
        <v>0</v>
      </c>
      <c r="L395" s="62"/>
      <c r="M395" s="62" t="s">
        <v>209</v>
      </c>
      <c r="N395" s="62" t="s">
        <v>4306</v>
      </c>
      <c r="O395" s="48" t="s">
        <v>1334</v>
      </c>
      <c r="P395" s="48" t="s">
        <v>4307</v>
      </c>
      <c r="Q395" s="48" t="s">
        <v>4308</v>
      </c>
      <c r="R395" s="48" t="s">
        <v>4309</v>
      </c>
      <c r="S395" s="48" t="s">
        <v>4310</v>
      </c>
      <c r="T395" s="48" t="s">
        <v>4311</v>
      </c>
      <c r="U395" s="48" t="s">
        <v>4312</v>
      </c>
      <c r="V395" s="48"/>
      <c r="W395" s="48" t="s">
        <v>4313</v>
      </c>
      <c r="X395" s="48" t="s">
        <v>4314</v>
      </c>
      <c r="Y395" s="48" t="s">
        <v>4315</v>
      </c>
      <c r="Z395" s="61"/>
      <c r="AA395" s="48" t="s">
        <v>327</v>
      </c>
      <c r="AB395" s="48" t="s">
        <v>273</v>
      </c>
      <c r="AC395" s="48" t="s">
        <v>273</v>
      </c>
      <c r="AD395" s="48" t="s">
        <v>273</v>
      </c>
      <c r="AE395" s="48" t="s">
        <v>273</v>
      </c>
      <c r="AF395" s="48" t="s">
        <v>273</v>
      </c>
      <c r="AG395" s="48" t="s">
        <v>273</v>
      </c>
      <c r="AH395" s="48" t="s">
        <v>273</v>
      </c>
      <c r="AI395" s="48" t="s">
        <v>273</v>
      </c>
      <c r="AJ395" s="48" t="s">
        <v>273</v>
      </c>
      <c r="AK395" s="48" t="s">
        <v>274</v>
      </c>
      <c r="AL395" s="48" t="s">
        <v>273</v>
      </c>
      <c r="AM395" s="48" t="s">
        <v>273</v>
      </c>
      <c r="AN395" s="48" t="s">
        <v>273</v>
      </c>
      <c r="AO395" s="48" t="s">
        <v>273</v>
      </c>
      <c r="AP395" s="48" t="s">
        <v>273</v>
      </c>
      <c r="AQ395" s="48" t="s">
        <v>273</v>
      </c>
      <c r="AR395" s="48" t="s">
        <v>273</v>
      </c>
      <c r="AS395" s="48" t="s">
        <v>273</v>
      </c>
      <c r="AT395" s="48" t="s">
        <v>273</v>
      </c>
      <c r="AU395" s="93">
        <v>40391</v>
      </c>
      <c r="AV395" s="93"/>
      <c r="AW395" s="93"/>
      <c r="AX395" s="93"/>
      <c r="AY395" s="93"/>
      <c r="AZ395" s="49" t="s">
        <v>4316</v>
      </c>
    </row>
    <row r="396" spans="1:52" ht="16.5" customHeight="1" x14ac:dyDescent="0.15">
      <c r="A396" s="146" t="s">
        <v>4317</v>
      </c>
      <c r="B396" s="147" t="s">
        <v>4318</v>
      </c>
      <c r="C396" s="48" t="s">
        <v>4319</v>
      </c>
      <c r="D396" s="62" t="s">
        <v>4320</v>
      </c>
      <c r="E396" s="48" t="s">
        <v>264</v>
      </c>
      <c r="F396" s="61">
        <v>42527</v>
      </c>
      <c r="G396" s="61">
        <v>42527</v>
      </c>
      <c r="H396" s="125">
        <v>42536</v>
      </c>
      <c r="I396" s="61" t="s">
        <v>279</v>
      </c>
      <c r="J396" s="87"/>
      <c r="K396" s="62" t="s">
        <v>14</v>
      </c>
      <c r="L396" s="62">
        <v>3</v>
      </c>
      <c r="M396" s="62" t="s">
        <v>651</v>
      </c>
      <c r="N396" s="62" t="s">
        <v>4321</v>
      </c>
      <c r="O396" s="48" t="s">
        <v>1065</v>
      </c>
      <c r="P396" s="48" t="s">
        <v>4322</v>
      </c>
      <c r="Q396" s="48" t="s">
        <v>1097</v>
      </c>
      <c r="R396" s="48" t="s">
        <v>4323</v>
      </c>
      <c r="S396" s="48" t="s">
        <v>4324</v>
      </c>
      <c r="T396" s="48" t="s">
        <v>4325</v>
      </c>
      <c r="U396" s="48" t="s">
        <v>4326</v>
      </c>
      <c r="V396" s="122" t="s">
        <v>263</v>
      </c>
      <c r="W396" s="122" t="s">
        <v>263</v>
      </c>
      <c r="X396" s="48" t="s">
        <v>4327</v>
      </c>
      <c r="Y396" s="48" t="s">
        <v>4328</v>
      </c>
      <c r="Z396" s="61"/>
      <c r="AA396" s="48" t="s">
        <v>1074</v>
      </c>
      <c r="AB396" s="48" t="s">
        <v>273</v>
      </c>
      <c r="AC396" s="48" t="s">
        <v>273</v>
      </c>
      <c r="AD396" s="48" t="s">
        <v>273</v>
      </c>
      <c r="AE396" s="48" t="s">
        <v>273</v>
      </c>
      <c r="AF396" s="48" t="s">
        <v>273</v>
      </c>
      <c r="AG396" s="48" t="s">
        <v>273</v>
      </c>
      <c r="AH396" s="48" t="s">
        <v>273</v>
      </c>
      <c r="AI396" s="48" t="s">
        <v>273</v>
      </c>
      <c r="AJ396" s="48" t="s">
        <v>273</v>
      </c>
      <c r="AK396" s="48" t="s">
        <v>1075</v>
      </c>
      <c r="AL396" s="48" t="s">
        <v>273</v>
      </c>
      <c r="AM396" s="48" t="s">
        <v>273</v>
      </c>
      <c r="AN396" s="48" t="s">
        <v>273</v>
      </c>
      <c r="AO396" s="48" t="s">
        <v>273</v>
      </c>
      <c r="AP396" s="48" t="s">
        <v>273</v>
      </c>
      <c r="AQ396" s="48" t="s">
        <v>273</v>
      </c>
      <c r="AR396" s="48" t="s">
        <v>273</v>
      </c>
      <c r="AS396" s="48" t="s">
        <v>273</v>
      </c>
      <c r="AT396" s="48" t="s">
        <v>273</v>
      </c>
      <c r="AU396" s="93">
        <v>41275</v>
      </c>
      <c r="AV396" s="93"/>
      <c r="AW396" s="93"/>
      <c r="AX396" s="93"/>
      <c r="AY396" s="93"/>
    </row>
    <row r="397" spans="1:52" ht="16.5" customHeight="1" x14ac:dyDescent="0.15">
      <c r="A397" s="151" t="s">
        <v>4329</v>
      </c>
      <c r="B397" s="152" t="s">
        <v>4330</v>
      </c>
      <c r="C397" s="48" t="s">
        <v>298</v>
      </c>
      <c r="D397" s="62" t="s">
        <v>4331</v>
      </c>
      <c r="E397" s="48" t="s">
        <v>300</v>
      </c>
      <c r="F397" s="61">
        <v>42527</v>
      </c>
      <c r="G397" s="61">
        <v>42527</v>
      </c>
      <c r="H397" s="125">
        <v>42558</v>
      </c>
      <c r="I397" s="61" t="s">
        <v>279</v>
      </c>
      <c r="J397" s="87"/>
      <c r="K397" s="62" t="s">
        <v>16</v>
      </c>
      <c r="L397" s="62">
        <v>3</v>
      </c>
      <c r="M397" s="62">
        <v>180</v>
      </c>
      <c r="N397" s="62" t="s">
        <v>4332</v>
      </c>
      <c r="O397" s="48" t="s">
        <v>1528</v>
      </c>
      <c r="P397" s="48" t="s">
        <v>4333</v>
      </c>
      <c r="Q397" s="48" t="s">
        <v>4334</v>
      </c>
      <c r="R397" s="48" t="s">
        <v>4335</v>
      </c>
      <c r="S397" s="48" t="s">
        <v>1019</v>
      </c>
      <c r="T397" s="48" t="s">
        <v>1020</v>
      </c>
      <c r="U397" s="48" t="s">
        <v>4107</v>
      </c>
      <c r="V397" s="122" t="s">
        <v>263</v>
      </c>
      <c r="W397" s="122" t="s">
        <v>263</v>
      </c>
      <c r="X397" s="48" t="s">
        <v>1777</v>
      </c>
      <c r="Y397" s="48" t="s">
        <v>1778</v>
      </c>
      <c r="Z397" s="61"/>
      <c r="AA397" s="48" t="s">
        <v>849</v>
      </c>
      <c r="AB397" s="48" t="s">
        <v>273</v>
      </c>
      <c r="AC397" s="48" t="s">
        <v>273</v>
      </c>
      <c r="AD397" s="48" t="s">
        <v>273</v>
      </c>
      <c r="AE397" s="48" t="s">
        <v>273</v>
      </c>
      <c r="AF397" s="48" t="s">
        <v>273</v>
      </c>
      <c r="AG397" s="48" t="s">
        <v>273</v>
      </c>
      <c r="AH397" s="48" t="s">
        <v>273</v>
      </c>
      <c r="AI397" s="48" t="s">
        <v>273</v>
      </c>
      <c r="AJ397" s="48" t="s">
        <v>273</v>
      </c>
      <c r="AK397" s="48" t="s">
        <v>850</v>
      </c>
      <c r="AL397" s="48" t="s">
        <v>273</v>
      </c>
      <c r="AM397" s="48" t="s">
        <v>273</v>
      </c>
      <c r="AN397" s="48" t="s">
        <v>273</v>
      </c>
      <c r="AO397" s="48" t="s">
        <v>273</v>
      </c>
      <c r="AP397" s="48" t="s">
        <v>273</v>
      </c>
      <c r="AQ397" s="48" t="s">
        <v>273</v>
      </c>
      <c r="AR397" s="48" t="s">
        <v>273</v>
      </c>
      <c r="AS397" s="48" t="s">
        <v>273</v>
      </c>
      <c r="AT397" s="48" t="s">
        <v>273</v>
      </c>
      <c r="AU397" s="93">
        <v>36586</v>
      </c>
      <c r="AV397" s="93"/>
      <c r="AW397" s="93"/>
      <c r="AX397" s="93"/>
      <c r="AY397" s="93"/>
    </row>
    <row r="398" spans="1:52" ht="16.5" customHeight="1" x14ac:dyDescent="0.15">
      <c r="A398" s="153" t="s">
        <v>4336</v>
      </c>
      <c r="B398" s="154" t="s">
        <v>4337</v>
      </c>
      <c r="C398" s="48" t="s">
        <v>4338</v>
      </c>
      <c r="D398" s="62" t="s">
        <v>4339</v>
      </c>
      <c r="E398" s="48" t="s">
        <v>300</v>
      </c>
      <c r="F398" s="61">
        <v>42527</v>
      </c>
      <c r="G398" s="61">
        <v>42527</v>
      </c>
      <c r="H398" s="125">
        <v>42584</v>
      </c>
      <c r="I398" s="61" t="s">
        <v>279</v>
      </c>
      <c r="J398" s="87"/>
      <c r="K398" s="62" t="s">
        <v>16</v>
      </c>
      <c r="L398" s="62">
        <v>1</v>
      </c>
      <c r="M398" s="62" t="s">
        <v>4340</v>
      </c>
      <c r="N398" s="62" t="s">
        <v>4341</v>
      </c>
      <c r="O398" s="48" t="s">
        <v>263</v>
      </c>
      <c r="P398" s="48" t="s">
        <v>4342</v>
      </c>
      <c r="Q398" s="48" t="s">
        <v>4343</v>
      </c>
      <c r="R398" s="48" t="s">
        <v>4344</v>
      </c>
      <c r="S398" s="48" t="s">
        <v>4345</v>
      </c>
      <c r="T398" s="48" t="s">
        <v>4346</v>
      </c>
      <c r="U398" s="48" t="s">
        <v>4347</v>
      </c>
      <c r="V398" s="122" t="s">
        <v>4348</v>
      </c>
      <c r="W398" s="122" t="s">
        <v>4349</v>
      </c>
      <c r="X398" s="48" t="s">
        <v>4350</v>
      </c>
      <c r="Y398" s="48" t="s">
        <v>4351</v>
      </c>
      <c r="Z398" s="61"/>
      <c r="AA398" s="48" t="s">
        <v>1958</v>
      </c>
      <c r="AB398" s="48" t="s">
        <v>273</v>
      </c>
      <c r="AC398" s="48" t="s">
        <v>273</v>
      </c>
      <c r="AD398" s="48" t="s">
        <v>273</v>
      </c>
      <c r="AE398" s="48" t="s">
        <v>273</v>
      </c>
      <c r="AF398" s="48" t="s">
        <v>273</v>
      </c>
      <c r="AG398" s="48" t="s">
        <v>273</v>
      </c>
      <c r="AH398" s="48" t="s">
        <v>273</v>
      </c>
      <c r="AI398" s="48" t="s">
        <v>273</v>
      </c>
      <c r="AJ398" s="48" t="s">
        <v>273</v>
      </c>
      <c r="AK398" s="48" t="s">
        <v>2092</v>
      </c>
      <c r="AL398" s="48" t="s">
        <v>273</v>
      </c>
      <c r="AM398" s="48" t="s">
        <v>273</v>
      </c>
      <c r="AN398" s="48" t="s">
        <v>273</v>
      </c>
      <c r="AO398" s="48" t="s">
        <v>273</v>
      </c>
      <c r="AP398" s="48" t="s">
        <v>273</v>
      </c>
      <c r="AQ398" s="48" t="s">
        <v>273</v>
      </c>
      <c r="AR398" s="48" t="s">
        <v>273</v>
      </c>
      <c r="AS398" s="48" t="s">
        <v>273</v>
      </c>
      <c r="AT398" s="48" t="s">
        <v>273</v>
      </c>
      <c r="AU398" s="93" t="s">
        <v>263</v>
      </c>
      <c r="AV398" s="93"/>
      <c r="AW398" s="93"/>
      <c r="AX398" s="93"/>
      <c r="AY398" s="93"/>
    </row>
    <row r="399" spans="1:52" ht="16.5" customHeight="1" x14ac:dyDescent="0.15">
      <c r="A399" s="151" t="s">
        <v>4352</v>
      </c>
      <c r="B399" s="152" t="s">
        <v>4353</v>
      </c>
      <c r="C399" s="48" t="s">
        <v>330</v>
      </c>
      <c r="D399" s="62" t="s">
        <v>4354</v>
      </c>
      <c r="E399" s="48" t="s">
        <v>300</v>
      </c>
      <c r="F399" s="61">
        <v>42527</v>
      </c>
      <c r="G399" s="61">
        <v>42527</v>
      </c>
      <c r="H399" s="125">
        <v>42577</v>
      </c>
      <c r="I399" s="61" t="s">
        <v>279</v>
      </c>
      <c r="J399" s="87"/>
      <c r="K399" s="62" t="s">
        <v>16</v>
      </c>
      <c r="L399" s="62">
        <v>3</v>
      </c>
      <c r="M399" s="62" t="s">
        <v>924</v>
      </c>
      <c r="N399" s="62" t="s">
        <v>4355</v>
      </c>
      <c r="O399" s="48" t="s">
        <v>2983</v>
      </c>
      <c r="P399" s="130" t="s">
        <v>4356</v>
      </c>
      <c r="Q399" s="48" t="s">
        <v>4357</v>
      </c>
      <c r="R399" s="48" t="s">
        <v>4358</v>
      </c>
      <c r="S399" s="48" t="s">
        <v>4359</v>
      </c>
      <c r="T399" s="48" t="s">
        <v>4360</v>
      </c>
      <c r="U399" s="48" t="s">
        <v>4361</v>
      </c>
      <c r="V399" s="48" t="s">
        <v>4362</v>
      </c>
      <c r="W399" s="48" t="s">
        <v>4363</v>
      </c>
      <c r="X399" s="48" t="s">
        <v>4364</v>
      </c>
      <c r="Y399" s="48" t="s">
        <v>4365</v>
      </c>
      <c r="Z399" s="61"/>
      <c r="AA399" s="48" t="s">
        <v>3190</v>
      </c>
      <c r="AB399" s="48" t="s">
        <v>453</v>
      </c>
      <c r="AC399" s="48" t="s">
        <v>389</v>
      </c>
      <c r="AD399" s="48" t="s">
        <v>645</v>
      </c>
      <c r="AE399" s="48" t="s">
        <v>581</v>
      </c>
      <c r="AF399" s="48" t="s">
        <v>273</v>
      </c>
      <c r="AG399" s="48" t="s">
        <v>273</v>
      </c>
      <c r="AH399" s="48" t="s">
        <v>273</v>
      </c>
      <c r="AI399" s="48" t="s">
        <v>273</v>
      </c>
      <c r="AJ399" s="48" t="s">
        <v>273</v>
      </c>
      <c r="AK399" s="48" t="s">
        <v>3191</v>
      </c>
      <c r="AL399" s="48" t="s">
        <v>454</v>
      </c>
      <c r="AM399" s="48" t="s">
        <v>391</v>
      </c>
      <c r="AN399" s="48" t="s">
        <v>646</v>
      </c>
      <c r="AO399" s="48" t="s">
        <v>582</v>
      </c>
      <c r="AP399" s="48" t="s">
        <v>273</v>
      </c>
      <c r="AQ399" s="48" t="s">
        <v>273</v>
      </c>
      <c r="AR399" s="48" t="s">
        <v>273</v>
      </c>
      <c r="AS399" s="48" t="s">
        <v>273</v>
      </c>
      <c r="AT399" s="48" t="s">
        <v>273</v>
      </c>
      <c r="AU399" s="93">
        <v>37226</v>
      </c>
      <c r="AV399" s="93"/>
      <c r="AW399" s="93"/>
      <c r="AX399" s="93"/>
      <c r="AY399" s="93"/>
    </row>
    <row r="400" spans="1:52" ht="16.5" customHeight="1" x14ac:dyDescent="0.15">
      <c r="A400" s="146" t="s">
        <v>4366</v>
      </c>
      <c r="B400" s="147" t="s">
        <v>4367</v>
      </c>
      <c r="C400" s="48" t="s">
        <v>4368</v>
      </c>
      <c r="D400" s="62" t="s">
        <v>263</v>
      </c>
      <c r="E400" s="48" t="s">
        <v>264</v>
      </c>
      <c r="F400" s="61">
        <v>42527</v>
      </c>
      <c r="G400" s="61">
        <v>42527</v>
      </c>
      <c r="H400" s="125">
        <v>42535</v>
      </c>
      <c r="I400" s="61" t="s">
        <v>279</v>
      </c>
      <c r="J400" s="87"/>
      <c r="K400" s="62" t="s">
        <v>9</v>
      </c>
      <c r="L400" s="62">
        <v>3</v>
      </c>
      <c r="M400" s="62" t="s">
        <v>755</v>
      </c>
      <c r="N400" s="62" t="s">
        <v>1587</v>
      </c>
      <c r="O400" s="48" t="s">
        <v>792</v>
      </c>
      <c r="P400" s="48" t="s">
        <v>267</v>
      </c>
      <c r="Q400" s="48" t="s">
        <v>263</v>
      </c>
      <c r="R400" s="122" t="s">
        <v>263</v>
      </c>
      <c r="S400" s="48" t="s">
        <v>269</v>
      </c>
      <c r="T400" s="48" t="s">
        <v>270</v>
      </c>
      <c r="U400" s="48" t="s">
        <v>4369</v>
      </c>
      <c r="V400" s="122" t="s">
        <v>263</v>
      </c>
      <c r="W400" s="122" t="s">
        <v>263</v>
      </c>
      <c r="X400" s="122" t="s">
        <v>263</v>
      </c>
      <c r="Y400" s="122" t="s">
        <v>263</v>
      </c>
      <c r="Z400" s="61"/>
      <c r="AA400" s="48" t="s">
        <v>1055</v>
      </c>
      <c r="AB400" s="48" t="s">
        <v>273</v>
      </c>
      <c r="AC400" s="48" t="s">
        <v>273</v>
      </c>
      <c r="AD400" s="48" t="s">
        <v>273</v>
      </c>
      <c r="AE400" s="48" t="s">
        <v>273</v>
      </c>
      <c r="AF400" s="48" t="s">
        <v>273</v>
      </c>
      <c r="AG400" s="48" t="s">
        <v>273</v>
      </c>
      <c r="AH400" s="48" t="s">
        <v>273</v>
      </c>
      <c r="AI400" s="48" t="s">
        <v>273</v>
      </c>
      <c r="AJ400" s="48" t="s">
        <v>273</v>
      </c>
      <c r="AK400" s="48" t="s">
        <v>1058</v>
      </c>
      <c r="AL400" s="48" t="s">
        <v>273</v>
      </c>
      <c r="AM400" s="48" t="s">
        <v>273</v>
      </c>
      <c r="AN400" s="48" t="s">
        <v>273</v>
      </c>
      <c r="AO400" s="48" t="s">
        <v>273</v>
      </c>
      <c r="AP400" s="48" t="s">
        <v>273</v>
      </c>
      <c r="AQ400" s="48" t="s">
        <v>273</v>
      </c>
      <c r="AR400" s="48" t="s">
        <v>273</v>
      </c>
      <c r="AS400" s="48" t="s">
        <v>273</v>
      </c>
      <c r="AT400" s="48" t="s">
        <v>273</v>
      </c>
      <c r="AU400" s="93">
        <v>40238</v>
      </c>
      <c r="AV400" s="93"/>
      <c r="AW400" s="93"/>
      <c r="AX400" s="93"/>
      <c r="AY400" s="93"/>
    </row>
    <row r="401" spans="1:52" ht="16.5" customHeight="1" x14ac:dyDescent="0.15">
      <c r="A401" s="182" t="s">
        <v>4370</v>
      </c>
      <c r="B401" s="183" t="s">
        <v>4371</v>
      </c>
      <c r="C401" s="48" t="s">
        <v>330</v>
      </c>
      <c r="D401" s="62" t="s">
        <v>4372</v>
      </c>
      <c r="E401" s="48" t="s">
        <v>300</v>
      </c>
      <c r="F401" s="61">
        <v>42529</v>
      </c>
      <c r="G401" s="61">
        <v>42529</v>
      </c>
      <c r="H401" s="125">
        <v>42674</v>
      </c>
      <c r="I401" s="61" t="s">
        <v>279</v>
      </c>
      <c r="J401" s="87"/>
      <c r="K401" s="124" t="s">
        <v>4232</v>
      </c>
      <c r="L401" s="124" t="s">
        <v>4232</v>
      </c>
      <c r="M401" s="62" t="s">
        <v>442</v>
      </c>
      <c r="N401" s="62" t="s">
        <v>4373</v>
      </c>
      <c r="O401" s="48" t="s">
        <v>1166</v>
      </c>
      <c r="P401" s="48" t="s">
        <v>1620</v>
      </c>
      <c r="Q401" s="48" t="s">
        <v>4374</v>
      </c>
      <c r="R401" s="48" t="s">
        <v>1622</v>
      </c>
      <c r="S401" s="48" t="s">
        <v>1623</v>
      </c>
      <c r="T401" s="48" t="s">
        <v>1624</v>
      </c>
      <c r="U401" s="48" t="s">
        <v>1625</v>
      </c>
      <c r="V401" s="122" t="s">
        <v>263</v>
      </c>
      <c r="W401" s="122" t="s">
        <v>263</v>
      </c>
      <c r="X401" s="48" t="s">
        <v>1626</v>
      </c>
      <c r="Y401" s="48" t="s">
        <v>4375</v>
      </c>
      <c r="Z401" s="61"/>
      <c r="AA401" s="48" t="s">
        <v>273</v>
      </c>
      <c r="AB401" s="48" t="s">
        <v>273</v>
      </c>
      <c r="AC401" s="48" t="s">
        <v>273</v>
      </c>
      <c r="AD401" s="48" t="s">
        <v>273</v>
      </c>
      <c r="AE401" s="48" t="s">
        <v>273</v>
      </c>
      <c r="AF401" s="48" t="s">
        <v>273</v>
      </c>
      <c r="AG401" s="48" t="s">
        <v>273</v>
      </c>
      <c r="AH401" s="48" t="s">
        <v>273</v>
      </c>
      <c r="AI401" s="48" t="s">
        <v>273</v>
      </c>
      <c r="AJ401" s="48" t="s">
        <v>273</v>
      </c>
      <c r="AK401" s="48" t="s">
        <v>273</v>
      </c>
      <c r="AL401" s="48" t="s">
        <v>273</v>
      </c>
      <c r="AM401" s="48" t="s">
        <v>273</v>
      </c>
      <c r="AN401" s="48" t="s">
        <v>273</v>
      </c>
      <c r="AO401" s="48" t="s">
        <v>273</v>
      </c>
      <c r="AP401" s="48" t="s">
        <v>273</v>
      </c>
      <c r="AQ401" s="48" t="s">
        <v>273</v>
      </c>
      <c r="AR401" s="48" t="s">
        <v>273</v>
      </c>
      <c r="AS401" s="48" t="s">
        <v>273</v>
      </c>
      <c r="AT401" s="48" t="s">
        <v>273</v>
      </c>
      <c r="AU401" s="93">
        <v>38139</v>
      </c>
      <c r="AV401" s="93"/>
      <c r="AW401" s="93"/>
      <c r="AX401" s="93"/>
      <c r="AY401" s="93"/>
    </row>
    <row r="402" spans="1:52" ht="16.5" customHeight="1" x14ac:dyDescent="0.15">
      <c r="A402" s="151" t="s">
        <v>4376</v>
      </c>
      <c r="B402" s="152" t="s">
        <v>4377</v>
      </c>
      <c r="C402" s="48" t="s">
        <v>298</v>
      </c>
      <c r="D402" s="62" t="s">
        <v>263</v>
      </c>
      <c r="E402" s="48" t="s">
        <v>300</v>
      </c>
      <c r="F402" s="61">
        <v>42529</v>
      </c>
      <c r="G402" s="61">
        <v>42529</v>
      </c>
      <c r="H402" s="125">
        <v>42558</v>
      </c>
      <c r="I402" s="61">
        <v>39898</v>
      </c>
      <c r="J402" s="87"/>
      <c r="K402" s="62" t="s">
        <v>16</v>
      </c>
      <c r="L402" s="62">
        <v>3</v>
      </c>
      <c r="M402" s="62" t="s">
        <v>394</v>
      </c>
      <c r="N402" s="62" t="s">
        <v>4378</v>
      </c>
      <c r="O402" s="48" t="s">
        <v>396</v>
      </c>
      <c r="P402" s="48" t="s">
        <v>1191</v>
      </c>
      <c r="Q402" s="48" t="s">
        <v>2993</v>
      </c>
      <c r="R402" s="48" t="s">
        <v>399</v>
      </c>
      <c r="S402" s="48" t="s">
        <v>400</v>
      </c>
      <c r="T402" s="48" t="s">
        <v>401</v>
      </c>
      <c r="U402" s="48" t="s">
        <v>4379</v>
      </c>
      <c r="V402" s="122" t="s">
        <v>263</v>
      </c>
      <c r="W402" s="122" t="s">
        <v>263</v>
      </c>
      <c r="X402" s="48" t="s">
        <v>4380</v>
      </c>
      <c r="Y402" s="48" t="s">
        <v>4381</v>
      </c>
      <c r="Z402" s="61"/>
      <c r="AA402" s="48" t="s">
        <v>273</v>
      </c>
      <c r="AB402" s="48" t="s">
        <v>273</v>
      </c>
      <c r="AC402" s="48" t="s">
        <v>273</v>
      </c>
      <c r="AD402" s="48" t="s">
        <v>273</v>
      </c>
      <c r="AE402" s="48" t="s">
        <v>273</v>
      </c>
      <c r="AF402" s="48" t="s">
        <v>273</v>
      </c>
      <c r="AG402" s="48" t="s">
        <v>273</v>
      </c>
      <c r="AH402" s="48" t="s">
        <v>273</v>
      </c>
      <c r="AI402" s="48" t="s">
        <v>273</v>
      </c>
      <c r="AJ402" s="48" t="s">
        <v>273</v>
      </c>
      <c r="AK402" s="48" t="s">
        <v>273</v>
      </c>
      <c r="AL402" s="48" t="s">
        <v>273</v>
      </c>
      <c r="AM402" s="48" t="s">
        <v>273</v>
      </c>
      <c r="AN402" s="48" t="s">
        <v>273</v>
      </c>
      <c r="AO402" s="48" t="s">
        <v>273</v>
      </c>
      <c r="AP402" s="48" t="s">
        <v>273</v>
      </c>
      <c r="AQ402" s="48" t="s">
        <v>273</v>
      </c>
      <c r="AR402" s="48" t="s">
        <v>273</v>
      </c>
      <c r="AS402" s="48" t="s">
        <v>273</v>
      </c>
      <c r="AT402" s="48" t="s">
        <v>273</v>
      </c>
      <c r="AU402" s="93">
        <v>39722</v>
      </c>
      <c r="AV402" s="93"/>
      <c r="AW402" s="93"/>
      <c r="AX402" s="93"/>
      <c r="AY402" s="93"/>
    </row>
    <row r="403" spans="1:52" ht="16.5" customHeight="1" x14ac:dyDescent="0.15">
      <c r="A403" s="146" t="s">
        <v>4382</v>
      </c>
      <c r="B403" s="147" t="s">
        <v>4383</v>
      </c>
      <c r="C403" s="48" t="s">
        <v>298</v>
      </c>
      <c r="D403" s="62" t="s">
        <v>263</v>
      </c>
      <c r="E403" s="48" t="s">
        <v>300</v>
      </c>
      <c r="F403" s="61">
        <v>42529</v>
      </c>
      <c r="G403" s="61">
        <v>42529</v>
      </c>
      <c r="H403" s="125">
        <v>42550</v>
      </c>
      <c r="I403" s="61">
        <v>40269</v>
      </c>
      <c r="J403" s="87"/>
      <c r="K403" s="62">
        <v>0</v>
      </c>
      <c r="L403" s="62"/>
      <c r="M403" s="62" t="s">
        <v>394</v>
      </c>
      <c r="N403" s="62" t="s">
        <v>4384</v>
      </c>
      <c r="O403" s="48" t="s">
        <v>396</v>
      </c>
      <c r="P403" s="48" t="s">
        <v>1425</v>
      </c>
      <c r="Q403" s="48" t="s">
        <v>2999</v>
      </c>
      <c r="R403" s="48" t="s">
        <v>399</v>
      </c>
      <c r="S403" s="48" t="s">
        <v>400</v>
      </c>
      <c r="T403" s="48" t="s">
        <v>401</v>
      </c>
      <c r="U403" s="48" t="s">
        <v>4385</v>
      </c>
      <c r="V403" s="48"/>
      <c r="W403" s="48"/>
      <c r="X403" s="48"/>
      <c r="Y403" s="48"/>
      <c r="Z403" s="61"/>
      <c r="AA403" s="48" t="s">
        <v>273</v>
      </c>
      <c r="AB403" s="48" t="s">
        <v>273</v>
      </c>
      <c r="AC403" s="48" t="s">
        <v>273</v>
      </c>
      <c r="AD403" s="48" t="s">
        <v>273</v>
      </c>
      <c r="AE403" s="48" t="s">
        <v>273</v>
      </c>
      <c r="AF403" s="48" t="s">
        <v>273</v>
      </c>
      <c r="AG403" s="48" t="s">
        <v>273</v>
      </c>
      <c r="AH403" s="48" t="s">
        <v>273</v>
      </c>
      <c r="AI403" s="48" t="s">
        <v>273</v>
      </c>
      <c r="AJ403" s="48" t="s">
        <v>273</v>
      </c>
      <c r="AK403" s="48" t="s">
        <v>273</v>
      </c>
      <c r="AL403" s="48" t="s">
        <v>273</v>
      </c>
      <c r="AM403" s="48" t="s">
        <v>273</v>
      </c>
      <c r="AN403" s="48" t="s">
        <v>273</v>
      </c>
      <c r="AO403" s="48" t="s">
        <v>273</v>
      </c>
      <c r="AP403" s="48" t="s">
        <v>273</v>
      </c>
      <c r="AQ403" s="48" t="s">
        <v>273</v>
      </c>
      <c r="AR403" s="48" t="s">
        <v>273</v>
      </c>
      <c r="AS403" s="48" t="s">
        <v>273</v>
      </c>
      <c r="AT403" s="48" t="s">
        <v>273</v>
      </c>
      <c r="AU403" s="93">
        <v>39845</v>
      </c>
      <c r="AV403" s="93"/>
      <c r="AW403" s="93"/>
      <c r="AX403" s="93"/>
      <c r="AY403" s="93"/>
    </row>
    <row r="404" spans="1:52" ht="16.5" customHeight="1" x14ac:dyDescent="0.15">
      <c r="A404" s="121" t="s">
        <v>4386</v>
      </c>
      <c r="B404" s="47" t="s">
        <v>4387</v>
      </c>
      <c r="C404" s="48" t="e">
        <f ca="1">INDIRECT("'["&amp;$C$1&amp;".xls]"&amp;$B404&amp;"'!$i$7")</f>
        <v>#REF!</v>
      </c>
      <c r="D404" s="62" t="e">
        <f ca="1">INDIRECT("'["&amp;$C$1&amp;".xls]"&amp;$B404&amp;"'!$b$7")</f>
        <v>#REF!</v>
      </c>
      <c r="E404" s="48" t="e">
        <f ca="1">IF(INDIRECT("'["&amp;$C$1&amp;".xls]"&amp;$B404&amp;"'!$i$2")="","",INDIRECT("'["&amp;$C$1&amp;".xls]"&amp;$B404&amp;"'!$i$2"))</f>
        <v>#REF!</v>
      </c>
      <c r="F404" s="61" t="e">
        <f ca="1">INDIRECT("'["&amp;$C$1&amp;".xls]"&amp;$B404&amp;"'!$b$2")</f>
        <v>#REF!</v>
      </c>
      <c r="G404" s="61" t="e">
        <f ca="1">INDIRECT("'["&amp;$C$1&amp;".xls]"&amp;$B404&amp;"'!$a$20")</f>
        <v>#REF!</v>
      </c>
      <c r="H404" s="88" t="e">
        <f ca="1">INDIRECT("'["&amp;$C$1&amp;".xls]"&amp;$B404&amp;"'!$Q$22")</f>
        <v>#REF!</v>
      </c>
      <c r="I404" s="61" t="e">
        <f ca="1">INDIRECT("'["&amp;$C$1&amp;".xls]"&amp;$B404&amp;"'!$f$6")</f>
        <v>#REF!</v>
      </c>
      <c r="J404" s="87"/>
      <c r="K404" s="62" t="e">
        <f ca="1">INDIRECT("'["&amp;$C$1&amp;".xls]"&amp;$B404&amp;"'!$f$25")</f>
        <v>#REF!</v>
      </c>
      <c r="L404" s="62"/>
      <c r="M404" s="62" t="e">
        <f ca="1">INDIRECT("'["&amp;$C$1&amp;".xls]"&amp;$B404&amp;"'!$f$4")</f>
        <v>#REF!</v>
      </c>
      <c r="N404" s="62" t="e">
        <f ca="1">INDIRECT("'["&amp;$C$1&amp;".xls]"&amp;$B404&amp;"'!$i$4")</f>
        <v>#REF!</v>
      </c>
      <c r="O404" s="48" t="e">
        <f ca="1">INDIRECT("'["&amp;$C$1&amp;".xls]"&amp;$B404&amp;"'!$l$4")</f>
        <v>#REF!</v>
      </c>
      <c r="P404" s="48" t="e">
        <f ca="1">INDIRECT("'["&amp;$C$1&amp;".xls]"&amp;$B404&amp;"'!$b$5")</f>
        <v>#REF!</v>
      </c>
      <c r="Q404" s="48" t="e">
        <f ca="1">INDIRECT("'["&amp;$C$1&amp;".xls]"&amp;$B404&amp;"'!$f$5")</f>
        <v>#REF!</v>
      </c>
      <c r="R404" s="48"/>
      <c r="S404" s="48" t="e">
        <f ca="1">INDIRECT("'["&amp;$C$1&amp;".xls]"&amp;$B404&amp;"'!$i$5")</f>
        <v>#REF!</v>
      </c>
      <c r="T404" s="48" t="e">
        <f ca="1">INDIRECT("'["&amp;$C$1&amp;".xls]"&amp;$B404&amp;"'!$l$5")</f>
        <v>#REF!</v>
      </c>
      <c r="U404" s="48" t="e">
        <f ca="1">INDIRECT("'["&amp;$C$1&amp;".xls]"&amp;$B404&amp;"'!$b$4")</f>
        <v>#REF!</v>
      </c>
      <c r="V404" s="48"/>
      <c r="W404" s="48"/>
      <c r="X404" s="48"/>
      <c r="Y404" s="48"/>
      <c r="Z404" s="61"/>
      <c r="AA404" s="48" t="e">
        <f ca="1">IF(INDIRECT("'["&amp;$C$1&amp;".xls]"&amp;$B404&amp;"'!$P$25")="","",IF(INDIRECT("'["&amp;$C$1&amp;".xls]"&amp;$B404&amp;"'!$O$25")="済み",INDIRECT("'["&amp;$C$1&amp;".xls]"&amp;$B404&amp;"'!$P$25"),""))</f>
        <v>#REF!</v>
      </c>
      <c r="AB404" s="48" t="e">
        <f ca="1">IF(INDIRECT("'["&amp;$C$1&amp;".xls]"&amp;$B404&amp;"'!$P$26")="","",IF(INDIRECT("'["&amp;$C$1&amp;".xls]"&amp;$B404&amp;"'!$O$26")="済み",INDIRECT("'["&amp;$C$1&amp;".xls]"&amp;$B404&amp;"'!$P$26"),""))</f>
        <v>#REF!</v>
      </c>
      <c r="AC404" s="48" t="e">
        <f ca="1">IF(INDIRECT("'["&amp;$C$1&amp;".xls]"&amp;$B404&amp;"'!$P$27")="","",IF(INDIRECT("'["&amp;$C$1&amp;".xls]"&amp;$B404&amp;"'!$O$27")="済み",INDIRECT("'["&amp;$C$1&amp;".xls]"&amp;$B404&amp;"'!$P$27"),""))</f>
        <v>#REF!</v>
      </c>
      <c r="AD404" s="48" t="e">
        <f ca="1">IF(INDIRECT("'["&amp;$C$1&amp;".xls]"&amp;$B404&amp;"'!$P$28")="","",IF(INDIRECT("'["&amp;$C$1&amp;".xls]"&amp;$B404&amp;"'!$O$28")="済み",INDIRECT("'["&amp;$C$1&amp;".xls]"&amp;$B404&amp;"'!$P$28"),""))</f>
        <v>#REF!</v>
      </c>
      <c r="AE404" s="48" t="e">
        <f ca="1">IF(INDIRECT("'["&amp;$C$1&amp;".xls]"&amp;$B404&amp;"'!$P$29")="","",IF(INDIRECT("'["&amp;$C$1&amp;".xls]"&amp;$B404&amp;"'!$O$29")="済み",INDIRECT("'["&amp;$C$1&amp;".xls]"&amp;$B404&amp;"'!$P$29"),""))</f>
        <v>#REF!</v>
      </c>
      <c r="AF404" s="48" t="e">
        <f ca="1">IF(INDIRECT("'["&amp;$C$1&amp;".xls]"&amp;$B404&amp;"'!$P$30")="","",IF(INDIRECT("'["&amp;$C$1&amp;".xls]"&amp;$B404&amp;"'!$O$30")="済み",INDIRECT("'["&amp;$C$1&amp;".xls]"&amp;$B404&amp;"'!$P$30"),""))</f>
        <v>#REF!</v>
      </c>
      <c r="AG404" s="48" t="e">
        <f ca="1">IF(INDIRECT("'["&amp;$C$1&amp;".xls]"&amp;$B404&amp;"'!$P$31")="","",IF(INDIRECT("'["&amp;$C$1&amp;".xls]"&amp;$B404&amp;"'!$O$31")="済み",INDIRECT("'["&amp;$C$1&amp;".xls]"&amp;$B404&amp;"'!$P$31"),""))</f>
        <v>#REF!</v>
      </c>
      <c r="AH404" s="48" t="e">
        <f ca="1">IF(INDIRECT("'["&amp;$C$1&amp;".xls]"&amp;$B404&amp;"'!$P$32")="","",IF(INDIRECT("'["&amp;$C$1&amp;".xls]"&amp;$B404&amp;"'!$O$32")="済み",INDIRECT("'["&amp;$C$1&amp;".xls]"&amp;$B404&amp;"'!$P$32"),""))</f>
        <v>#REF!</v>
      </c>
      <c r="AI404" s="48" t="e">
        <f ca="1">IF(INDIRECT("'["&amp;$C$1&amp;".xls]"&amp;$B404&amp;"'!$P$33")="","",IF(INDIRECT("'["&amp;$C$1&amp;".xls]"&amp;$B404&amp;"'!$O$33")="済み",INDIRECT("'["&amp;$C$1&amp;".xls]"&amp;$B404&amp;"'!$P$33"),""))</f>
        <v>#REF!</v>
      </c>
      <c r="AJ404" s="48" t="e">
        <f ca="1">IF(INDIRECT("'["&amp;$C$1&amp;".xls]"&amp;$B404&amp;"'!$P$34")="","",IF(INDIRECT("'["&amp;$C$1&amp;".xls]"&amp;$B404&amp;"'!$O$34")="済み",INDIRECT("'["&amp;$C$1&amp;".xls]"&amp;$B404&amp;"'!$P$34"),""))</f>
        <v>#REF!</v>
      </c>
      <c r="AK404" s="48" t="e">
        <f ca="1">IF(INDIRECT("'["&amp;$C$1&amp;".xls]"&amp;$B404&amp;"'!$T25")="","",IF(INDIRECT("'["&amp;$C$1&amp;".xls]"&amp;$B404&amp;"'!$O$25")="済み",INDIRECT("'["&amp;$C$1&amp;".xls]"&amp;$B404&amp;"'!$T$25"),""))</f>
        <v>#REF!</v>
      </c>
      <c r="AL404" s="48" t="e">
        <f ca="1">IF(INDIRECT("'["&amp;$C$1&amp;".xls]"&amp;$B404&amp;"'!$T26")="","",IF(INDIRECT("'["&amp;$C$1&amp;".xls]"&amp;$B404&amp;"'!$O$26")="済み",INDIRECT("'["&amp;$C$1&amp;".xls]"&amp;$B404&amp;"'!$T$26"),""))</f>
        <v>#REF!</v>
      </c>
      <c r="AM404" s="48" t="e">
        <f ca="1">IF(INDIRECT("'["&amp;$C$1&amp;".xls]"&amp;$B404&amp;"'!$T27")="","",IF(INDIRECT("'["&amp;$C$1&amp;".xls]"&amp;$B404&amp;"'!$O$27")="済み",INDIRECT("'["&amp;$C$1&amp;".xls]"&amp;$B404&amp;"'!$T$27"),""))</f>
        <v>#REF!</v>
      </c>
      <c r="AN404" s="48" t="e">
        <f ca="1">IF(INDIRECT("'["&amp;$C$1&amp;".xls]"&amp;$B404&amp;"'!$T28")="","",IF(INDIRECT("'["&amp;$C$1&amp;".xls]"&amp;$B404&amp;"'!$O$28")="済み",INDIRECT("'["&amp;$C$1&amp;".xls]"&amp;$B404&amp;"'!$T$28"),""))</f>
        <v>#REF!</v>
      </c>
      <c r="AO404" s="48" t="e">
        <f ca="1">IF(INDIRECT("'["&amp;$C$1&amp;".xls]"&amp;$B404&amp;"'!$T29")="","",IF(INDIRECT("'["&amp;$C$1&amp;".xls]"&amp;$B404&amp;"'!$O$29")="済み",INDIRECT("'["&amp;$C$1&amp;".xls]"&amp;$B404&amp;"'!$T$29"),""))</f>
        <v>#REF!</v>
      </c>
      <c r="AP404" s="48" t="e">
        <f ca="1">IF(INDIRECT("'["&amp;$C$1&amp;".xls]"&amp;$B404&amp;"'!$T30")="","",IF(INDIRECT("'["&amp;$C$1&amp;".xls]"&amp;$B404&amp;"'!$O$30")="済み",INDIRECT("'["&amp;$C$1&amp;".xls]"&amp;$B404&amp;"'!$T$30"),""))</f>
        <v>#REF!</v>
      </c>
      <c r="AQ404" s="48" t="e">
        <f ca="1">IF(INDIRECT("'["&amp;$C$1&amp;".xls]"&amp;$B404&amp;"'!$T31")="","",IF(INDIRECT("'["&amp;$C$1&amp;".xls]"&amp;$B404&amp;"'!$O$31")="済み",INDIRECT("'["&amp;$C$1&amp;".xls]"&amp;$B404&amp;"'!$T$31"),""))</f>
        <v>#REF!</v>
      </c>
      <c r="AR404" s="48" t="e">
        <f ca="1">IF(INDIRECT("'["&amp;$C$1&amp;".xls]"&amp;$B404&amp;"'!$T32")="","",IF(INDIRECT("'["&amp;$C$1&amp;".xls]"&amp;$B404&amp;"'!$O$32")="済み",INDIRECT("'["&amp;$C$1&amp;".xls]"&amp;$B404&amp;"'!$T$32"),""))</f>
        <v>#REF!</v>
      </c>
      <c r="AS404" s="48" t="e">
        <f ca="1">IF(INDIRECT("'["&amp;$C$1&amp;".xls]"&amp;$B404&amp;"'!$T33")="","",IF(INDIRECT("'["&amp;$C$1&amp;".xls]"&amp;$B404&amp;"'!$O$33")="済み",INDIRECT("'["&amp;$C$1&amp;".xls]"&amp;$B404&amp;"'!$T$33"),""))</f>
        <v>#REF!</v>
      </c>
      <c r="AT404" s="48" t="e">
        <f ca="1">IF(INDIRECT("'["&amp;$C$1&amp;".xls]"&amp;$B404&amp;"'!$T34")="","",IF(INDIRECT("'["&amp;$C$1&amp;".xls]"&amp;$B404&amp;"'!$O$34")="済み",INDIRECT("'["&amp;$C$1&amp;".xls]"&amp;$B404&amp;"'!$T$34"),""))</f>
        <v>#REF!</v>
      </c>
      <c r="AU404" s="93" t="e">
        <f ca="1">INDIRECT("'["&amp;$C$1&amp;".xls]"&amp;$B404&amp;"'!$B$6")</f>
        <v>#REF!</v>
      </c>
      <c r="AV404" s="93"/>
      <c r="AW404" s="93"/>
      <c r="AX404" s="93"/>
      <c r="AY404" s="93"/>
    </row>
    <row r="405" spans="1:52" ht="16.5" customHeight="1" x14ac:dyDescent="0.15">
      <c r="A405" s="146" t="s">
        <v>4388</v>
      </c>
      <c r="B405" s="147" t="s">
        <v>4389</v>
      </c>
      <c r="C405" s="48" t="s">
        <v>4390</v>
      </c>
      <c r="D405" s="62" t="s">
        <v>263</v>
      </c>
      <c r="E405" s="48" t="s">
        <v>264</v>
      </c>
      <c r="F405" s="61">
        <v>42530</v>
      </c>
      <c r="G405" s="61">
        <v>42530</v>
      </c>
      <c r="H405" s="125">
        <v>42536</v>
      </c>
      <c r="I405" s="61" t="s">
        <v>1249</v>
      </c>
      <c r="J405" s="87"/>
      <c r="K405" s="62" t="s">
        <v>12</v>
      </c>
      <c r="L405" s="124" t="s">
        <v>263</v>
      </c>
      <c r="M405" s="62" t="s">
        <v>209</v>
      </c>
      <c r="N405" s="62" t="s">
        <v>4391</v>
      </c>
      <c r="O405" s="48" t="s">
        <v>1873</v>
      </c>
      <c r="P405" s="48" t="s">
        <v>267</v>
      </c>
      <c r="Q405" s="48" t="s">
        <v>1801</v>
      </c>
      <c r="R405" s="122" t="s">
        <v>263</v>
      </c>
      <c r="S405" s="48" t="s">
        <v>269</v>
      </c>
      <c r="T405" s="48" t="s">
        <v>270</v>
      </c>
      <c r="U405" s="48" t="s">
        <v>4392</v>
      </c>
      <c r="V405" s="122" t="s">
        <v>263</v>
      </c>
      <c r="W405" s="122" t="s">
        <v>263</v>
      </c>
      <c r="X405" s="122" t="s">
        <v>263</v>
      </c>
      <c r="Y405" s="122" t="s">
        <v>263</v>
      </c>
      <c r="Z405" s="61"/>
      <c r="AA405" s="129" t="s">
        <v>2215</v>
      </c>
      <c r="AB405" s="48" t="s">
        <v>273</v>
      </c>
      <c r="AC405" s="48" t="s">
        <v>273</v>
      </c>
      <c r="AD405" s="48" t="s">
        <v>273</v>
      </c>
      <c r="AE405" s="48" t="s">
        <v>273</v>
      </c>
      <c r="AF405" s="48" t="s">
        <v>273</v>
      </c>
      <c r="AG405" s="48" t="s">
        <v>273</v>
      </c>
      <c r="AH405" s="48" t="s">
        <v>273</v>
      </c>
      <c r="AI405" s="48" t="s">
        <v>273</v>
      </c>
      <c r="AJ405" s="48" t="s">
        <v>273</v>
      </c>
      <c r="AK405" s="48" t="s">
        <v>2216</v>
      </c>
      <c r="AL405" s="48" t="s">
        <v>273</v>
      </c>
      <c r="AM405" s="48" t="s">
        <v>273</v>
      </c>
      <c r="AN405" s="48" t="s">
        <v>273</v>
      </c>
      <c r="AO405" s="48" t="s">
        <v>273</v>
      </c>
      <c r="AP405" s="48" t="s">
        <v>273</v>
      </c>
      <c r="AQ405" s="48" t="s">
        <v>273</v>
      </c>
      <c r="AR405" s="48" t="s">
        <v>273</v>
      </c>
      <c r="AS405" s="48" t="s">
        <v>273</v>
      </c>
      <c r="AT405" s="48" t="s">
        <v>273</v>
      </c>
      <c r="AU405" s="93">
        <v>39479</v>
      </c>
      <c r="AV405" s="93"/>
      <c r="AW405" s="93"/>
      <c r="AX405" s="93"/>
      <c r="AY405" s="93"/>
    </row>
    <row r="406" spans="1:52" ht="16.5" customHeight="1" x14ac:dyDescent="0.15">
      <c r="A406" s="153" t="s">
        <v>4393</v>
      </c>
      <c r="B406" s="154" t="s">
        <v>4394</v>
      </c>
      <c r="C406" s="48" t="s">
        <v>4395</v>
      </c>
      <c r="D406" s="62" t="s">
        <v>263</v>
      </c>
      <c r="E406" s="48" t="s">
        <v>264</v>
      </c>
      <c r="F406" s="61">
        <v>42530</v>
      </c>
      <c r="G406" s="61">
        <v>42530</v>
      </c>
      <c r="H406" s="125">
        <v>42605</v>
      </c>
      <c r="I406" s="61">
        <v>40940</v>
      </c>
      <c r="J406" s="87"/>
      <c r="K406" s="62" t="s">
        <v>16</v>
      </c>
      <c r="L406" s="62">
        <v>3</v>
      </c>
      <c r="M406" s="62" t="s">
        <v>471</v>
      </c>
      <c r="N406" s="62" t="s">
        <v>4396</v>
      </c>
      <c r="O406" s="48" t="s">
        <v>502</v>
      </c>
      <c r="P406" s="48" t="s">
        <v>707</v>
      </c>
      <c r="Q406" s="48" t="s">
        <v>4397</v>
      </c>
      <c r="R406" s="48" t="s">
        <v>399</v>
      </c>
      <c r="S406" s="48" t="s">
        <v>400</v>
      </c>
      <c r="T406" s="48" t="s">
        <v>401</v>
      </c>
      <c r="U406" s="48" t="s">
        <v>4398</v>
      </c>
      <c r="V406" s="122" t="s">
        <v>263</v>
      </c>
      <c r="W406" s="122" t="s">
        <v>263</v>
      </c>
      <c r="X406" s="48" t="s">
        <v>4399</v>
      </c>
      <c r="Y406" s="48" t="s">
        <v>4400</v>
      </c>
      <c r="Z406" s="61"/>
      <c r="AA406" s="48" t="s">
        <v>508</v>
      </c>
      <c r="AB406" s="48" t="s">
        <v>273</v>
      </c>
      <c r="AC406" s="48" t="s">
        <v>273</v>
      </c>
      <c r="AD406" s="48" t="s">
        <v>273</v>
      </c>
      <c r="AE406" s="48" t="s">
        <v>2404</v>
      </c>
      <c r="AF406" s="48" t="s">
        <v>273</v>
      </c>
      <c r="AG406" s="48" t="s">
        <v>273</v>
      </c>
      <c r="AH406" s="48" t="s">
        <v>273</v>
      </c>
      <c r="AI406" s="48" t="s">
        <v>273</v>
      </c>
      <c r="AJ406" s="48" t="s">
        <v>273</v>
      </c>
      <c r="AK406" s="48" t="s">
        <v>509</v>
      </c>
      <c r="AL406" s="48" t="s">
        <v>273</v>
      </c>
      <c r="AM406" s="48" t="s">
        <v>273</v>
      </c>
      <c r="AN406" s="48" t="s">
        <v>273</v>
      </c>
      <c r="AO406" s="48" t="s">
        <v>4401</v>
      </c>
      <c r="AP406" s="48" t="s">
        <v>273</v>
      </c>
      <c r="AQ406" s="48" t="s">
        <v>273</v>
      </c>
      <c r="AR406" s="48" t="s">
        <v>273</v>
      </c>
      <c r="AS406" s="48" t="s">
        <v>273</v>
      </c>
      <c r="AT406" s="48" t="s">
        <v>273</v>
      </c>
      <c r="AU406" s="93">
        <v>41214</v>
      </c>
      <c r="AV406" s="93"/>
      <c r="AW406" s="93"/>
      <c r="AX406" s="93"/>
      <c r="AY406" s="93"/>
    </row>
    <row r="407" spans="1:52" ht="16.5" customHeight="1" x14ac:dyDescent="0.15">
      <c r="A407" s="146" t="s">
        <v>4402</v>
      </c>
      <c r="B407" s="147" t="s">
        <v>4403</v>
      </c>
      <c r="C407" s="48" t="s">
        <v>4404</v>
      </c>
      <c r="D407" s="62" t="s">
        <v>4405</v>
      </c>
      <c r="E407" s="48" t="s">
        <v>264</v>
      </c>
      <c r="F407" s="61">
        <v>42530</v>
      </c>
      <c r="G407" s="61">
        <v>42530</v>
      </c>
      <c r="H407" s="125">
        <v>42537</v>
      </c>
      <c r="I407" s="61" t="s">
        <v>279</v>
      </c>
      <c r="J407" s="87"/>
      <c r="K407" s="62" t="s">
        <v>12</v>
      </c>
      <c r="L407" s="124" t="s">
        <v>263</v>
      </c>
      <c r="M407" s="62" t="s">
        <v>680</v>
      </c>
      <c r="N407" s="62" t="s">
        <v>4406</v>
      </c>
      <c r="O407" s="48" t="s">
        <v>3158</v>
      </c>
      <c r="P407" s="48" t="s">
        <v>267</v>
      </c>
      <c r="Q407" s="48" t="s">
        <v>1282</v>
      </c>
      <c r="R407" s="48" t="s">
        <v>4407</v>
      </c>
      <c r="S407" s="130" t="s">
        <v>2138</v>
      </c>
      <c r="T407" s="130" t="s">
        <v>2139</v>
      </c>
      <c r="U407" s="48" t="s">
        <v>4408</v>
      </c>
      <c r="V407" s="122" t="s">
        <v>263</v>
      </c>
      <c r="W407" s="122" t="s">
        <v>263</v>
      </c>
      <c r="X407" s="48" t="s">
        <v>4409</v>
      </c>
      <c r="Y407" s="48" t="s">
        <v>4410</v>
      </c>
      <c r="Z407" s="61"/>
      <c r="AA407" s="48" t="s">
        <v>273</v>
      </c>
      <c r="AB407" s="48" t="s">
        <v>273</v>
      </c>
      <c r="AC407" s="48" t="s">
        <v>273</v>
      </c>
      <c r="AD407" s="48" t="s">
        <v>273</v>
      </c>
      <c r="AE407" s="48" t="s">
        <v>273</v>
      </c>
      <c r="AF407" s="48" t="s">
        <v>273</v>
      </c>
      <c r="AG407" s="48" t="s">
        <v>273</v>
      </c>
      <c r="AH407" s="48" t="s">
        <v>273</v>
      </c>
      <c r="AI407" s="48" t="s">
        <v>273</v>
      </c>
      <c r="AJ407" s="48" t="s">
        <v>273</v>
      </c>
      <c r="AK407" s="48"/>
      <c r="AL407" s="48" t="s">
        <v>273</v>
      </c>
      <c r="AM407" s="48" t="s">
        <v>273</v>
      </c>
      <c r="AN407" s="48" t="s">
        <v>273</v>
      </c>
      <c r="AO407" s="48" t="s">
        <v>273</v>
      </c>
      <c r="AP407" s="48" t="s">
        <v>273</v>
      </c>
      <c r="AQ407" s="48" t="s">
        <v>273</v>
      </c>
      <c r="AR407" s="48" t="s">
        <v>273</v>
      </c>
      <c r="AS407" s="48" t="s">
        <v>273</v>
      </c>
      <c r="AT407" s="48" t="s">
        <v>273</v>
      </c>
      <c r="AU407" s="93">
        <v>41426</v>
      </c>
      <c r="AV407" s="93"/>
      <c r="AW407" s="93"/>
      <c r="AX407" s="93"/>
      <c r="AY407" s="93"/>
      <c r="AZ407" s="49" t="s">
        <v>4164</v>
      </c>
    </row>
    <row r="408" spans="1:52" ht="16.5" customHeight="1" x14ac:dyDescent="0.15">
      <c r="A408" s="146" t="s">
        <v>4411</v>
      </c>
      <c r="B408" s="147" t="s">
        <v>4412</v>
      </c>
      <c r="C408" s="48" t="s">
        <v>4413</v>
      </c>
      <c r="D408" s="62" t="s">
        <v>4414</v>
      </c>
      <c r="E408" s="48" t="s">
        <v>264</v>
      </c>
      <c r="F408" s="61">
        <v>42531</v>
      </c>
      <c r="G408" s="61">
        <v>42531</v>
      </c>
      <c r="H408" s="125">
        <v>42548</v>
      </c>
      <c r="I408" s="61">
        <v>41432</v>
      </c>
      <c r="J408" s="87"/>
      <c r="K408" s="62" t="s">
        <v>14</v>
      </c>
      <c r="L408" s="62">
        <v>3</v>
      </c>
      <c r="M408" s="62" t="s">
        <v>471</v>
      </c>
      <c r="N408" s="62" t="s">
        <v>3352</v>
      </c>
      <c r="O408" s="48" t="s">
        <v>502</v>
      </c>
      <c r="P408" s="48" t="s">
        <v>4415</v>
      </c>
      <c r="Q408" s="130" t="s">
        <v>3610</v>
      </c>
      <c r="R408" s="48" t="s">
        <v>4416</v>
      </c>
      <c r="S408" s="48" t="s">
        <v>4417</v>
      </c>
      <c r="T408" s="48" t="s">
        <v>4418</v>
      </c>
      <c r="U408" s="48" t="s">
        <v>3354</v>
      </c>
      <c r="V408" s="122" t="s">
        <v>263</v>
      </c>
      <c r="W408" s="122" t="s">
        <v>263</v>
      </c>
      <c r="X408" s="48" t="s">
        <v>3355</v>
      </c>
      <c r="Y408" s="48" t="s">
        <v>4419</v>
      </c>
      <c r="Z408" s="61"/>
      <c r="AA408" s="48" t="s">
        <v>508</v>
      </c>
      <c r="AB408" s="48" t="s">
        <v>529</v>
      </c>
      <c r="AC408" s="48" t="s">
        <v>1356</v>
      </c>
      <c r="AD408" s="48"/>
      <c r="AE408" s="48" t="s">
        <v>273</v>
      </c>
      <c r="AF408" s="48" t="s">
        <v>273</v>
      </c>
      <c r="AG408" s="48" t="s">
        <v>273</v>
      </c>
      <c r="AH408" s="48" t="s">
        <v>273</v>
      </c>
      <c r="AI408" s="48" t="s">
        <v>273</v>
      </c>
      <c r="AJ408" s="48" t="s">
        <v>273</v>
      </c>
      <c r="AK408" s="48" t="s">
        <v>509</v>
      </c>
      <c r="AL408" s="48" t="s">
        <v>530</v>
      </c>
      <c r="AM408" s="48" t="s">
        <v>1357</v>
      </c>
      <c r="AN408" s="48" t="s">
        <v>1357</v>
      </c>
      <c r="AO408" s="48" t="s">
        <v>273</v>
      </c>
      <c r="AP408" s="48" t="s">
        <v>273</v>
      </c>
      <c r="AQ408" s="48" t="s">
        <v>273</v>
      </c>
      <c r="AR408" s="48" t="s">
        <v>273</v>
      </c>
      <c r="AS408" s="48" t="s">
        <v>273</v>
      </c>
      <c r="AT408" s="48" t="s">
        <v>273</v>
      </c>
      <c r="AU408" s="93">
        <v>41334</v>
      </c>
      <c r="AV408" s="93"/>
      <c r="AW408" s="93"/>
      <c r="AX408" s="93"/>
      <c r="AY408" s="93"/>
      <c r="AZ408" s="49" t="s">
        <v>4420</v>
      </c>
    </row>
    <row r="409" spans="1:52" ht="16.5" customHeight="1" x14ac:dyDescent="0.15">
      <c r="A409" s="182" t="s">
        <v>4421</v>
      </c>
      <c r="B409" s="183" t="s">
        <v>4422</v>
      </c>
      <c r="C409" s="48" t="s">
        <v>330</v>
      </c>
      <c r="D409" s="62" t="s">
        <v>4423</v>
      </c>
      <c r="E409" s="48" t="s">
        <v>300</v>
      </c>
      <c r="F409" s="61">
        <v>42534</v>
      </c>
      <c r="G409" s="61">
        <v>42534</v>
      </c>
      <c r="H409" s="125">
        <v>42655</v>
      </c>
      <c r="I409" s="61" t="s">
        <v>279</v>
      </c>
      <c r="J409" s="87"/>
      <c r="K409" s="62" t="s">
        <v>16</v>
      </c>
      <c r="L409" s="62">
        <v>3</v>
      </c>
      <c r="M409" s="62" t="s">
        <v>755</v>
      </c>
      <c r="N409" s="62" t="s">
        <v>4424</v>
      </c>
      <c r="O409" s="48" t="s">
        <v>2572</v>
      </c>
      <c r="P409" s="48" t="s">
        <v>4425</v>
      </c>
      <c r="Q409" s="48" t="s">
        <v>572</v>
      </c>
      <c r="R409" s="48" t="s">
        <v>573</v>
      </c>
      <c r="S409" s="48" t="s">
        <v>574</v>
      </c>
      <c r="T409" s="48" t="s">
        <v>4426</v>
      </c>
      <c r="U409" s="48" t="s">
        <v>4427</v>
      </c>
      <c r="V409" s="48" t="s">
        <v>4428</v>
      </c>
      <c r="W409" s="48" t="s">
        <v>4429</v>
      </c>
      <c r="X409" s="48" t="s">
        <v>4430</v>
      </c>
      <c r="Y409" s="48" t="s">
        <v>4431</v>
      </c>
      <c r="Z409" s="61"/>
      <c r="AA409" s="48" t="s">
        <v>4432</v>
      </c>
      <c r="AB409" s="48" t="s">
        <v>4433</v>
      </c>
      <c r="AC409" s="48" t="s">
        <v>273</v>
      </c>
      <c r="AD409" s="48" t="s">
        <v>273</v>
      </c>
      <c r="AE409" s="48" t="s">
        <v>273</v>
      </c>
      <c r="AF409" s="48" t="s">
        <v>273</v>
      </c>
      <c r="AG409" s="48" t="s">
        <v>273</v>
      </c>
      <c r="AH409" s="48" t="s">
        <v>273</v>
      </c>
      <c r="AI409" s="48" t="s">
        <v>273</v>
      </c>
      <c r="AJ409" s="48" t="s">
        <v>273</v>
      </c>
      <c r="AK409" s="48" t="s">
        <v>1057</v>
      </c>
      <c r="AL409" s="48" t="s">
        <v>1058</v>
      </c>
      <c r="AM409" s="48" t="s">
        <v>273</v>
      </c>
      <c r="AN409" s="48" t="s">
        <v>273</v>
      </c>
      <c r="AO409" s="48" t="s">
        <v>273</v>
      </c>
      <c r="AP409" s="48" t="s">
        <v>273</v>
      </c>
      <c r="AQ409" s="48" t="s">
        <v>273</v>
      </c>
      <c r="AR409" s="48" t="s">
        <v>273</v>
      </c>
      <c r="AS409" s="48" t="s">
        <v>273</v>
      </c>
      <c r="AT409" s="48" t="s">
        <v>273</v>
      </c>
      <c r="AU409" s="93">
        <v>38412</v>
      </c>
      <c r="AV409" s="93"/>
      <c r="AW409" s="93"/>
      <c r="AX409" s="93"/>
      <c r="AY409" s="93"/>
    </row>
    <row r="410" spans="1:52" ht="16.5" customHeight="1" x14ac:dyDescent="0.15">
      <c r="A410" s="146" t="s">
        <v>4434</v>
      </c>
      <c r="B410" s="147" t="s">
        <v>4435</v>
      </c>
      <c r="C410" s="48" t="s">
        <v>298</v>
      </c>
      <c r="D410" s="62" t="s">
        <v>4436</v>
      </c>
      <c r="E410" s="48" t="s">
        <v>300</v>
      </c>
      <c r="F410" s="61">
        <v>42534</v>
      </c>
      <c r="G410" s="61">
        <v>42534</v>
      </c>
      <c r="H410" s="125">
        <v>42548</v>
      </c>
      <c r="I410" s="61" t="s">
        <v>279</v>
      </c>
      <c r="J410" s="87"/>
      <c r="K410" s="62" t="s">
        <v>14</v>
      </c>
      <c r="L410" s="62">
        <v>3</v>
      </c>
      <c r="M410" s="62" t="s">
        <v>209</v>
      </c>
      <c r="N410" s="62" t="s">
        <v>4437</v>
      </c>
      <c r="O410" s="48" t="s">
        <v>316</v>
      </c>
      <c r="P410" s="48" t="s">
        <v>4438</v>
      </c>
      <c r="Q410" s="48" t="s">
        <v>4439</v>
      </c>
      <c r="R410" s="48" t="s">
        <v>4440</v>
      </c>
      <c r="S410" s="130" t="s">
        <v>4441</v>
      </c>
      <c r="T410" s="130" t="s">
        <v>4442</v>
      </c>
      <c r="U410" s="48" t="s">
        <v>2524</v>
      </c>
      <c r="V410" s="48" t="s">
        <v>4443</v>
      </c>
      <c r="W410" s="48" t="s">
        <v>3401</v>
      </c>
      <c r="X410" s="48" t="s">
        <v>2525</v>
      </c>
      <c r="Y410" s="48" t="s">
        <v>2526</v>
      </c>
      <c r="Z410" s="61"/>
      <c r="AA410" s="48" t="s">
        <v>3871</v>
      </c>
      <c r="AB410" s="48" t="s">
        <v>2886</v>
      </c>
      <c r="AC410" s="48" t="s">
        <v>273</v>
      </c>
      <c r="AD410" s="48"/>
      <c r="AE410" s="48" t="s">
        <v>273</v>
      </c>
      <c r="AF410" s="48" t="s">
        <v>273</v>
      </c>
      <c r="AG410" s="48" t="s">
        <v>273</v>
      </c>
      <c r="AH410" s="48" t="s">
        <v>273</v>
      </c>
      <c r="AI410" s="48" t="s">
        <v>273</v>
      </c>
      <c r="AJ410" s="48" t="s">
        <v>273</v>
      </c>
      <c r="AK410" s="48" t="s">
        <v>3874</v>
      </c>
      <c r="AL410" s="48" t="s">
        <v>4444</v>
      </c>
      <c r="AM410" s="48"/>
      <c r="AN410" s="48"/>
      <c r="AO410" s="48" t="s">
        <v>273</v>
      </c>
      <c r="AP410" s="48" t="s">
        <v>273</v>
      </c>
      <c r="AQ410" s="48" t="s">
        <v>273</v>
      </c>
      <c r="AR410" s="48" t="s">
        <v>273</v>
      </c>
      <c r="AS410" s="48" t="s">
        <v>273</v>
      </c>
      <c r="AT410" s="48" t="s">
        <v>273</v>
      </c>
      <c r="AU410" s="93">
        <v>40299</v>
      </c>
      <c r="AV410" s="93"/>
      <c r="AW410" s="93"/>
      <c r="AX410" s="93"/>
      <c r="AY410" s="93"/>
    </row>
    <row r="411" spans="1:52" ht="16.5" customHeight="1" x14ac:dyDescent="0.15">
      <c r="A411" s="153" t="s">
        <v>4445</v>
      </c>
      <c r="B411" s="154" t="s">
        <v>4446</v>
      </c>
      <c r="C411" s="48" t="s">
        <v>298</v>
      </c>
      <c r="D411" s="62" t="s">
        <v>4447</v>
      </c>
      <c r="E411" s="48" t="s">
        <v>300</v>
      </c>
      <c r="F411" s="61">
        <v>42534</v>
      </c>
      <c r="G411" s="61">
        <v>42534</v>
      </c>
      <c r="H411" s="125">
        <v>42599</v>
      </c>
      <c r="I411" s="61" t="s">
        <v>279</v>
      </c>
      <c r="J411" s="87"/>
      <c r="K411" s="62" t="s">
        <v>16</v>
      </c>
      <c r="L411" s="62">
        <v>3</v>
      </c>
      <c r="M411" s="62" t="s">
        <v>680</v>
      </c>
      <c r="N411" s="62" t="s">
        <v>4448</v>
      </c>
      <c r="O411" s="48" t="s">
        <v>1459</v>
      </c>
      <c r="P411" s="48" t="s">
        <v>317</v>
      </c>
      <c r="Q411" s="48" t="s">
        <v>4449</v>
      </c>
      <c r="R411" s="48" t="s">
        <v>2883</v>
      </c>
      <c r="S411" s="48" t="s">
        <v>320</v>
      </c>
      <c r="T411" s="48" t="s">
        <v>321</v>
      </c>
      <c r="U411" s="48" t="s">
        <v>4450</v>
      </c>
      <c r="V411" s="122" t="s">
        <v>263</v>
      </c>
      <c r="W411" s="122" t="s">
        <v>263</v>
      </c>
      <c r="X411" s="48" t="s">
        <v>4269</v>
      </c>
      <c r="Y411" s="48" t="s">
        <v>4270</v>
      </c>
      <c r="Z411" s="61"/>
      <c r="AA411" s="48" t="s">
        <v>833</v>
      </c>
      <c r="AB411" s="48" t="s">
        <v>273</v>
      </c>
      <c r="AC411" s="48"/>
      <c r="AD411" s="48" t="s">
        <v>273</v>
      </c>
      <c r="AE411" s="48" t="s">
        <v>273</v>
      </c>
      <c r="AF411" s="48" t="s">
        <v>273</v>
      </c>
      <c r="AG411" s="48" t="s">
        <v>273</v>
      </c>
      <c r="AH411" s="48" t="s">
        <v>273</v>
      </c>
      <c r="AI411" s="48" t="s">
        <v>273</v>
      </c>
      <c r="AJ411" s="48" t="s">
        <v>273</v>
      </c>
      <c r="AK411" s="48" t="s">
        <v>834</v>
      </c>
      <c r="AL411" s="48" t="s">
        <v>273</v>
      </c>
      <c r="AM411" s="48"/>
      <c r="AN411" s="48" t="s">
        <v>273</v>
      </c>
      <c r="AO411" s="48" t="s">
        <v>273</v>
      </c>
      <c r="AP411" s="48" t="s">
        <v>273</v>
      </c>
      <c r="AQ411" s="48" t="s">
        <v>273</v>
      </c>
      <c r="AR411" s="48" t="s">
        <v>273</v>
      </c>
      <c r="AS411" s="48" t="s">
        <v>273</v>
      </c>
      <c r="AT411" s="48" t="s">
        <v>273</v>
      </c>
      <c r="AU411" s="93">
        <v>39753</v>
      </c>
      <c r="AV411" s="93"/>
      <c r="AW411" s="93"/>
      <c r="AX411" s="93"/>
      <c r="AY411" s="93"/>
      <c r="AZ411" s="49" t="s">
        <v>4451</v>
      </c>
    </row>
    <row r="412" spans="1:52" ht="16.5" customHeight="1" x14ac:dyDescent="0.15">
      <c r="A412" s="146" t="s">
        <v>4452</v>
      </c>
      <c r="B412" s="147" t="s">
        <v>4453</v>
      </c>
      <c r="C412" s="48" t="s">
        <v>4454</v>
      </c>
      <c r="D412" s="62" t="s">
        <v>4455</v>
      </c>
      <c r="E412" s="48" t="s">
        <v>264</v>
      </c>
      <c r="F412" s="61">
        <v>42534</v>
      </c>
      <c r="G412" s="61">
        <v>42534</v>
      </c>
      <c r="H412" s="125">
        <v>42548</v>
      </c>
      <c r="I412" s="61" t="s">
        <v>279</v>
      </c>
      <c r="J412" s="87"/>
      <c r="K412" s="62" t="s">
        <v>14</v>
      </c>
      <c r="L412" s="62">
        <v>3</v>
      </c>
      <c r="M412" s="62" t="s">
        <v>651</v>
      </c>
      <c r="N412" s="62" t="s">
        <v>4456</v>
      </c>
      <c r="O412" s="48" t="s">
        <v>1799</v>
      </c>
      <c r="P412" s="48" t="s">
        <v>4457</v>
      </c>
      <c r="Q412" s="48" t="s">
        <v>4458</v>
      </c>
      <c r="R412" s="48" t="s">
        <v>4459</v>
      </c>
      <c r="S412" s="48" t="s">
        <v>4460</v>
      </c>
      <c r="T412" s="48" t="s">
        <v>4461</v>
      </c>
      <c r="U412" s="48" t="s">
        <v>4462</v>
      </c>
      <c r="V412" s="122" t="s">
        <v>263</v>
      </c>
      <c r="W412" s="122" t="s">
        <v>263</v>
      </c>
      <c r="X412" s="48" t="s">
        <v>4463</v>
      </c>
      <c r="Y412" s="48" t="s">
        <v>4464</v>
      </c>
      <c r="Z412" s="61"/>
      <c r="AA412" s="48" t="s">
        <v>962</v>
      </c>
      <c r="AB412" s="48" t="s">
        <v>273</v>
      </c>
      <c r="AC412" s="48" t="s">
        <v>273</v>
      </c>
      <c r="AD412" s="48" t="s">
        <v>273</v>
      </c>
      <c r="AE412" s="48" t="s">
        <v>273</v>
      </c>
      <c r="AF412" s="48" t="s">
        <v>273</v>
      </c>
      <c r="AG412" s="48" t="s">
        <v>273</v>
      </c>
      <c r="AH412" s="48" t="s">
        <v>273</v>
      </c>
      <c r="AI412" s="48" t="s">
        <v>273</v>
      </c>
      <c r="AJ412" s="48" t="s">
        <v>273</v>
      </c>
      <c r="AK412" s="48" t="s">
        <v>963</v>
      </c>
      <c r="AL412" s="48" t="s">
        <v>273</v>
      </c>
      <c r="AM412" s="48" t="s">
        <v>273</v>
      </c>
      <c r="AN412" s="48" t="s">
        <v>273</v>
      </c>
      <c r="AO412" s="48" t="s">
        <v>273</v>
      </c>
      <c r="AP412" s="48" t="s">
        <v>273</v>
      </c>
      <c r="AQ412" s="48" t="s">
        <v>273</v>
      </c>
      <c r="AR412" s="48" t="s">
        <v>273</v>
      </c>
      <c r="AS412" s="48" t="s">
        <v>273</v>
      </c>
      <c r="AT412" s="48" t="s">
        <v>273</v>
      </c>
      <c r="AU412" s="93">
        <v>42125</v>
      </c>
      <c r="AV412" s="93"/>
      <c r="AW412" s="93"/>
      <c r="AX412" s="93"/>
      <c r="AY412" s="93"/>
    </row>
    <row r="413" spans="1:52" ht="16.5" customHeight="1" x14ac:dyDescent="0.15">
      <c r="A413" s="146" t="s">
        <v>4465</v>
      </c>
      <c r="B413" s="147" t="s">
        <v>4466</v>
      </c>
      <c r="C413" s="48" t="s">
        <v>298</v>
      </c>
      <c r="D413" s="62" t="s">
        <v>4467</v>
      </c>
      <c r="E413" s="48" t="s">
        <v>300</v>
      </c>
      <c r="F413" s="61">
        <v>42534</v>
      </c>
      <c r="G413" s="61">
        <v>42534</v>
      </c>
      <c r="H413" s="125">
        <v>42535</v>
      </c>
      <c r="I413" s="61" t="s">
        <v>279</v>
      </c>
      <c r="J413" s="87"/>
      <c r="K413" s="62">
        <v>0</v>
      </c>
      <c r="L413" s="62"/>
      <c r="M413" s="62" t="s">
        <v>755</v>
      </c>
      <c r="N413" s="62" t="s">
        <v>4468</v>
      </c>
      <c r="O413" s="48" t="s">
        <v>2103</v>
      </c>
      <c r="P413" s="48" t="s">
        <v>3273</v>
      </c>
      <c r="Q413" s="48" t="s">
        <v>4469</v>
      </c>
      <c r="R413" s="48" t="s">
        <v>3275</v>
      </c>
      <c r="S413" s="48" t="s">
        <v>3276</v>
      </c>
      <c r="T413" s="48" t="s">
        <v>3277</v>
      </c>
      <c r="U413" s="48" t="s">
        <v>4470</v>
      </c>
      <c r="V413" s="122" t="s">
        <v>263</v>
      </c>
      <c r="W413" s="122" t="s">
        <v>263</v>
      </c>
      <c r="X413" s="48" t="s">
        <v>4471</v>
      </c>
      <c r="Y413" s="48" t="s">
        <v>4472</v>
      </c>
      <c r="Z413" s="61"/>
      <c r="AA413" s="48" t="s">
        <v>273</v>
      </c>
      <c r="AB413" s="48" t="s">
        <v>273</v>
      </c>
      <c r="AC413" s="48" t="s">
        <v>273</v>
      </c>
      <c r="AD413" s="48" t="s">
        <v>273</v>
      </c>
      <c r="AE413" s="48" t="s">
        <v>273</v>
      </c>
      <c r="AF413" s="48" t="s">
        <v>273</v>
      </c>
      <c r="AG413" s="48" t="s">
        <v>273</v>
      </c>
      <c r="AH413" s="48" t="s">
        <v>273</v>
      </c>
      <c r="AI413" s="48" t="s">
        <v>273</v>
      </c>
      <c r="AJ413" s="48" t="s">
        <v>273</v>
      </c>
      <c r="AK413" s="48" t="s">
        <v>273</v>
      </c>
      <c r="AL413" s="48" t="s">
        <v>273</v>
      </c>
      <c r="AM413" s="48" t="s">
        <v>273</v>
      </c>
      <c r="AN413" s="48" t="s">
        <v>273</v>
      </c>
      <c r="AO413" s="48" t="s">
        <v>273</v>
      </c>
      <c r="AP413" s="48" t="s">
        <v>273</v>
      </c>
      <c r="AQ413" s="48" t="s">
        <v>273</v>
      </c>
      <c r="AR413" s="48" t="s">
        <v>273</v>
      </c>
      <c r="AS413" s="48" t="s">
        <v>273</v>
      </c>
      <c r="AT413" s="48" t="s">
        <v>273</v>
      </c>
      <c r="AU413" s="93">
        <v>39295</v>
      </c>
      <c r="AV413" s="93"/>
      <c r="AW413" s="93"/>
      <c r="AX413" s="93"/>
      <c r="AY413" s="93"/>
      <c r="AZ413" s="49" t="s">
        <v>4473</v>
      </c>
    </row>
    <row r="414" spans="1:52" ht="16.5" customHeight="1" x14ac:dyDescent="0.15">
      <c r="A414" s="146" t="s">
        <v>4474</v>
      </c>
      <c r="B414" s="147" t="s">
        <v>4475</v>
      </c>
      <c r="C414" s="48" t="s">
        <v>298</v>
      </c>
      <c r="D414" s="62" t="s">
        <v>4476</v>
      </c>
      <c r="E414" s="48" t="s">
        <v>300</v>
      </c>
      <c r="F414" s="61">
        <v>42534</v>
      </c>
      <c r="G414" s="61">
        <v>42534</v>
      </c>
      <c r="H414" s="125">
        <v>42548</v>
      </c>
      <c r="I414" s="61" t="s">
        <v>279</v>
      </c>
      <c r="J414" s="87"/>
      <c r="K414" s="62" t="s">
        <v>16</v>
      </c>
      <c r="L414" s="62">
        <v>3</v>
      </c>
      <c r="M414" s="62" t="s">
        <v>755</v>
      </c>
      <c r="N414" s="62" t="s">
        <v>4477</v>
      </c>
      <c r="O414" s="48" t="s">
        <v>792</v>
      </c>
      <c r="P414" s="48" t="s">
        <v>4478</v>
      </c>
      <c r="Q414" s="48" t="s">
        <v>3991</v>
      </c>
      <c r="R414" s="48" t="s">
        <v>4479</v>
      </c>
      <c r="S414" s="48" t="s">
        <v>4480</v>
      </c>
      <c r="T414" s="48" t="s">
        <v>4481</v>
      </c>
      <c r="U414" s="48" t="s">
        <v>4482</v>
      </c>
      <c r="V414" s="122" t="s">
        <v>263</v>
      </c>
      <c r="W414" s="122" t="s">
        <v>263</v>
      </c>
      <c r="X414" s="48" t="s">
        <v>4483</v>
      </c>
      <c r="Y414" s="48" t="s">
        <v>4484</v>
      </c>
      <c r="Z414" s="61"/>
      <c r="AA414" s="48" t="s">
        <v>273</v>
      </c>
      <c r="AB414" s="48" t="s">
        <v>273</v>
      </c>
      <c r="AC414" s="48" t="s">
        <v>273</v>
      </c>
      <c r="AD414" s="48" t="s">
        <v>273</v>
      </c>
      <c r="AE414" s="48" t="s">
        <v>273</v>
      </c>
      <c r="AF414" s="48" t="s">
        <v>273</v>
      </c>
      <c r="AG414" s="48" t="s">
        <v>273</v>
      </c>
      <c r="AH414" s="48" t="s">
        <v>273</v>
      </c>
      <c r="AI414" s="48" t="s">
        <v>273</v>
      </c>
      <c r="AJ414" s="48" t="s">
        <v>273</v>
      </c>
      <c r="AK414" s="48" t="s">
        <v>273</v>
      </c>
      <c r="AL414" s="48" t="s">
        <v>273</v>
      </c>
      <c r="AM414" s="48" t="s">
        <v>273</v>
      </c>
      <c r="AN414" s="48" t="s">
        <v>273</v>
      </c>
      <c r="AO414" s="48" t="s">
        <v>273</v>
      </c>
      <c r="AP414" s="48" t="s">
        <v>273</v>
      </c>
      <c r="AQ414" s="48" t="s">
        <v>273</v>
      </c>
      <c r="AR414" s="48" t="s">
        <v>273</v>
      </c>
      <c r="AS414" s="48" t="s">
        <v>273</v>
      </c>
      <c r="AT414" s="48" t="s">
        <v>273</v>
      </c>
      <c r="AU414" s="93">
        <v>40026</v>
      </c>
      <c r="AV414" s="93"/>
      <c r="AW414" s="93"/>
      <c r="AX414" s="93"/>
      <c r="AY414" s="93"/>
      <c r="AZ414" s="49" t="s">
        <v>4485</v>
      </c>
    </row>
    <row r="415" spans="1:52" ht="16.5" customHeight="1" x14ac:dyDescent="0.15">
      <c r="A415" s="151" t="s">
        <v>4486</v>
      </c>
      <c r="B415" s="152" t="s">
        <v>4487</v>
      </c>
      <c r="C415" s="48" t="s">
        <v>330</v>
      </c>
      <c r="D415" s="62" t="s">
        <v>263</v>
      </c>
      <c r="E415" s="48" t="s">
        <v>300</v>
      </c>
      <c r="F415" s="61">
        <v>42534</v>
      </c>
      <c r="G415" s="61">
        <v>42534</v>
      </c>
      <c r="H415" s="125">
        <v>42579</v>
      </c>
      <c r="I415" s="61">
        <v>39715</v>
      </c>
      <c r="J415" s="87"/>
      <c r="K415" s="62" t="s">
        <v>16</v>
      </c>
      <c r="L415" s="124" t="s">
        <v>263</v>
      </c>
      <c r="M415" s="62" t="s">
        <v>394</v>
      </c>
      <c r="N415" s="62" t="s">
        <v>4488</v>
      </c>
      <c r="O415" s="48" t="s">
        <v>396</v>
      </c>
      <c r="P415" s="48" t="s">
        <v>4489</v>
      </c>
      <c r="Q415" s="48" t="s">
        <v>4300</v>
      </c>
      <c r="R415" s="48" t="s">
        <v>399</v>
      </c>
      <c r="S415" s="48" t="s">
        <v>400</v>
      </c>
      <c r="T415" s="48" t="s">
        <v>401</v>
      </c>
      <c r="U415" s="48" t="s">
        <v>4490</v>
      </c>
      <c r="V415" s="122" t="s">
        <v>263</v>
      </c>
      <c r="W415" s="122" t="s">
        <v>263</v>
      </c>
      <c r="X415" s="48" t="s">
        <v>4491</v>
      </c>
      <c r="Y415" s="48" t="s">
        <v>4492</v>
      </c>
      <c r="Z415" s="61"/>
      <c r="AA415" s="48" t="s">
        <v>273</v>
      </c>
      <c r="AB415" s="48" t="s">
        <v>273</v>
      </c>
      <c r="AC415" s="48" t="s">
        <v>273</v>
      </c>
      <c r="AD415" s="48" t="s">
        <v>273</v>
      </c>
      <c r="AE415" s="48" t="s">
        <v>273</v>
      </c>
      <c r="AF415" s="48" t="s">
        <v>273</v>
      </c>
      <c r="AG415" s="48" t="s">
        <v>273</v>
      </c>
      <c r="AH415" s="48" t="s">
        <v>273</v>
      </c>
      <c r="AI415" s="48" t="s">
        <v>273</v>
      </c>
      <c r="AJ415" s="48" t="s">
        <v>273</v>
      </c>
      <c r="AK415" s="48" t="s">
        <v>273</v>
      </c>
      <c r="AL415" s="48" t="s">
        <v>273</v>
      </c>
      <c r="AM415" s="48" t="s">
        <v>273</v>
      </c>
      <c r="AN415" s="48" t="s">
        <v>273</v>
      </c>
      <c r="AO415" s="48" t="s">
        <v>273</v>
      </c>
      <c r="AP415" s="48" t="s">
        <v>273</v>
      </c>
      <c r="AQ415" s="48" t="s">
        <v>273</v>
      </c>
      <c r="AR415" s="48" t="s">
        <v>273</v>
      </c>
      <c r="AS415" s="48" t="s">
        <v>273</v>
      </c>
      <c r="AT415" s="48" t="s">
        <v>273</v>
      </c>
      <c r="AU415" s="93">
        <v>39630</v>
      </c>
      <c r="AV415" s="93"/>
      <c r="AW415" s="93"/>
      <c r="AX415" s="93"/>
      <c r="AY415" s="93"/>
      <c r="AZ415" s="49" t="s">
        <v>4493</v>
      </c>
    </row>
    <row r="416" spans="1:52" ht="16.5" customHeight="1" x14ac:dyDescent="0.15">
      <c r="A416" s="156" t="s">
        <v>4494</v>
      </c>
      <c r="B416" s="157" t="s">
        <v>4495</v>
      </c>
      <c r="C416" s="48" t="s">
        <v>330</v>
      </c>
      <c r="D416" s="62" t="s">
        <v>263</v>
      </c>
      <c r="E416" s="48" t="s">
        <v>300</v>
      </c>
      <c r="F416" s="61">
        <v>42535</v>
      </c>
      <c r="G416" s="61">
        <v>42535</v>
      </c>
      <c r="H416" s="125">
        <v>42639</v>
      </c>
      <c r="I416" s="61" t="s">
        <v>279</v>
      </c>
      <c r="J416" s="87"/>
      <c r="K416" s="124" t="s">
        <v>263</v>
      </c>
      <c r="L416" s="124" t="s">
        <v>263</v>
      </c>
      <c r="M416" s="62" t="s">
        <v>755</v>
      </c>
      <c r="N416" s="62" t="s">
        <v>4496</v>
      </c>
      <c r="O416" s="48" t="s">
        <v>4497</v>
      </c>
      <c r="P416" s="48" t="s">
        <v>4498</v>
      </c>
      <c r="Q416" s="48" t="s">
        <v>2724</v>
      </c>
      <c r="R416" s="48" t="s">
        <v>2725</v>
      </c>
      <c r="S416" s="48" t="s">
        <v>2726</v>
      </c>
      <c r="T416" s="48" t="s">
        <v>2727</v>
      </c>
      <c r="U416" s="48" t="s">
        <v>4499</v>
      </c>
      <c r="V416" s="48"/>
      <c r="W416" s="48"/>
      <c r="X416" s="48"/>
      <c r="Y416" s="48"/>
      <c r="Z416" s="61"/>
      <c r="AA416" s="48" t="s">
        <v>273</v>
      </c>
      <c r="AB416" s="48" t="s">
        <v>273</v>
      </c>
      <c r="AC416" s="48" t="s">
        <v>273</v>
      </c>
      <c r="AD416" s="48" t="s">
        <v>273</v>
      </c>
      <c r="AE416" s="48" t="s">
        <v>273</v>
      </c>
      <c r="AF416" s="48" t="s">
        <v>273</v>
      </c>
      <c r="AG416" s="48" t="s">
        <v>273</v>
      </c>
      <c r="AH416" s="48" t="s">
        <v>273</v>
      </c>
      <c r="AI416" s="48" t="s">
        <v>273</v>
      </c>
      <c r="AJ416" s="48" t="s">
        <v>273</v>
      </c>
      <c r="AK416" s="48" t="s">
        <v>273</v>
      </c>
      <c r="AL416" s="48" t="s">
        <v>273</v>
      </c>
      <c r="AM416" s="48" t="s">
        <v>273</v>
      </c>
      <c r="AN416" s="48" t="s">
        <v>273</v>
      </c>
      <c r="AO416" s="48" t="s">
        <v>273</v>
      </c>
      <c r="AP416" s="48" t="s">
        <v>273</v>
      </c>
      <c r="AQ416" s="48" t="s">
        <v>273</v>
      </c>
      <c r="AR416" s="48" t="s">
        <v>273</v>
      </c>
      <c r="AS416" s="48" t="s">
        <v>273</v>
      </c>
      <c r="AT416" s="48" t="s">
        <v>273</v>
      </c>
      <c r="AU416" s="93">
        <v>38596</v>
      </c>
      <c r="AV416" s="93"/>
      <c r="AW416" s="93"/>
      <c r="AX416" s="93"/>
      <c r="AY416" s="93"/>
      <c r="AZ416" s="49" t="s">
        <v>4500</v>
      </c>
    </row>
    <row r="417" spans="1:52" ht="16.5" customHeight="1" x14ac:dyDescent="0.15">
      <c r="A417" s="151" t="s">
        <v>4501</v>
      </c>
      <c r="B417" s="152" t="s">
        <v>4502</v>
      </c>
      <c r="C417" s="48" t="s">
        <v>298</v>
      </c>
      <c r="D417" s="62" t="s">
        <v>4503</v>
      </c>
      <c r="E417" s="48" t="s">
        <v>300</v>
      </c>
      <c r="F417" s="61">
        <v>42535</v>
      </c>
      <c r="G417" s="61">
        <v>42535</v>
      </c>
      <c r="H417" s="125">
        <v>42558</v>
      </c>
      <c r="I417" s="61" t="s">
        <v>279</v>
      </c>
      <c r="J417" s="87"/>
      <c r="K417" s="62" t="s">
        <v>16</v>
      </c>
      <c r="L417" s="62">
        <v>3</v>
      </c>
      <c r="M417" s="62" t="s">
        <v>442</v>
      </c>
      <c r="N417" s="62" t="s">
        <v>4504</v>
      </c>
      <c r="O417" s="48" t="s">
        <v>1894</v>
      </c>
      <c r="P417" s="48" t="s">
        <v>4505</v>
      </c>
      <c r="Q417" s="48" t="s">
        <v>4506</v>
      </c>
      <c r="R417" s="48" t="s">
        <v>4507</v>
      </c>
      <c r="S417" s="48" t="s">
        <v>4508</v>
      </c>
      <c r="T417" s="48" t="s">
        <v>4509</v>
      </c>
      <c r="U417" s="48" t="s">
        <v>4510</v>
      </c>
      <c r="V417" s="122" t="s">
        <v>263</v>
      </c>
      <c r="W417" s="122" t="s">
        <v>263</v>
      </c>
      <c r="X417" s="48" t="s">
        <v>2006</v>
      </c>
      <c r="Y417" s="48" t="s">
        <v>4511</v>
      </c>
      <c r="Z417" s="61"/>
      <c r="AA417" s="48" t="s">
        <v>453</v>
      </c>
      <c r="AB417" s="48" t="s">
        <v>273</v>
      </c>
      <c r="AC417" s="48" t="s">
        <v>273</v>
      </c>
      <c r="AD417" s="48" t="s">
        <v>273</v>
      </c>
      <c r="AE417" s="48" t="s">
        <v>273</v>
      </c>
      <c r="AF417" s="48" t="s">
        <v>273</v>
      </c>
      <c r="AG417" s="48" t="s">
        <v>273</v>
      </c>
      <c r="AH417" s="48" t="s">
        <v>273</v>
      </c>
      <c r="AI417" s="48" t="s">
        <v>273</v>
      </c>
      <c r="AJ417" s="48" t="s">
        <v>273</v>
      </c>
      <c r="AK417" s="48" t="s">
        <v>454</v>
      </c>
      <c r="AL417" s="48" t="s">
        <v>273</v>
      </c>
      <c r="AM417" s="48" t="s">
        <v>273</v>
      </c>
      <c r="AN417" s="48" t="s">
        <v>273</v>
      </c>
      <c r="AO417" s="48" t="s">
        <v>273</v>
      </c>
      <c r="AP417" s="48" t="s">
        <v>273</v>
      </c>
      <c r="AQ417" s="48" t="s">
        <v>273</v>
      </c>
      <c r="AR417" s="48" t="s">
        <v>273</v>
      </c>
      <c r="AS417" s="48" t="s">
        <v>273</v>
      </c>
      <c r="AT417" s="48" t="s">
        <v>273</v>
      </c>
      <c r="AU417" s="93">
        <v>38384</v>
      </c>
      <c r="AV417" s="93"/>
      <c r="AW417" s="93"/>
      <c r="AX417" s="93"/>
      <c r="AY417" s="93"/>
    </row>
    <row r="418" spans="1:52" ht="16.5" customHeight="1" x14ac:dyDescent="0.15">
      <c r="A418" s="151" t="s">
        <v>4512</v>
      </c>
      <c r="B418" s="152" t="s">
        <v>4513</v>
      </c>
      <c r="C418" s="48" t="s">
        <v>298</v>
      </c>
      <c r="D418" s="62" t="s">
        <v>4514</v>
      </c>
      <c r="E418" s="48" t="s">
        <v>300</v>
      </c>
      <c r="F418" s="61">
        <v>42536</v>
      </c>
      <c r="G418" s="61">
        <v>42536</v>
      </c>
      <c r="H418" s="125">
        <v>42563</v>
      </c>
      <c r="I418" s="61">
        <v>39835</v>
      </c>
      <c r="J418" s="87"/>
      <c r="K418" s="124" t="s">
        <v>263</v>
      </c>
      <c r="L418" s="124" t="s">
        <v>263</v>
      </c>
      <c r="M418" s="62" t="s">
        <v>394</v>
      </c>
      <c r="N418" s="62" t="s">
        <v>4515</v>
      </c>
      <c r="O418" s="48" t="s">
        <v>396</v>
      </c>
      <c r="P418" s="48" t="s">
        <v>2609</v>
      </c>
      <c r="Q418" s="130" t="s">
        <v>4516</v>
      </c>
      <c r="R418" s="48" t="s">
        <v>4517</v>
      </c>
      <c r="S418" s="48" t="s">
        <v>2612</v>
      </c>
      <c r="T418" s="48" t="s">
        <v>2613</v>
      </c>
      <c r="U418" s="48" t="s">
        <v>4518</v>
      </c>
      <c r="V418" s="122" t="s">
        <v>263</v>
      </c>
      <c r="W418" s="122" t="s">
        <v>263</v>
      </c>
      <c r="X418" s="48" t="s">
        <v>2612</v>
      </c>
      <c r="Y418" s="48" t="s">
        <v>4519</v>
      </c>
      <c r="Z418" s="61"/>
      <c r="AA418" s="48" t="s">
        <v>273</v>
      </c>
      <c r="AB418" s="48" t="s">
        <v>273</v>
      </c>
      <c r="AC418" s="48" t="s">
        <v>273</v>
      </c>
      <c r="AD418" s="48" t="s">
        <v>273</v>
      </c>
      <c r="AE418" s="48" t="s">
        <v>273</v>
      </c>
      <c r="AF418" s="48" t="s">
        <v>273</v>
      </c>
      <c r="AG418" s="48" t="s">
        <v>273</v>
      </c>
      <c r="AH418" s="48" t="s">
        <v>273</v>
      </c>
      <c r="AI418" s="48" t="s">
        <v>273</v>
      </c>
      <c r="AJ418" s="48" t="s">
        <v>273</v>
      </c>
      <c r="AK418" s="48" t="s">
        <v>273</v>
      </c>
      <c r="AL418" s="48" t="s">
        <v>273</v>
      </c>
      <c r="AM418" s="48" t="s">
        <v>273</v>
      </c>
      <c r="AN418" s="48" t="s">
        <v>273</v>
      </c>
      <c r="AO418" s="48" t="s">
        <v>273</v>
      </c>
      <c r="AP418" s="48" t="s">
        <v>273</v>
      </c>
      <c r="AQ418" s="48" t="s">
        <v>273</v>
      </c>
      <c r="AR418" s="48" t="s">
        <v>273</v>
      </c>
      <c r="AS418" s="48" t="s">
        <v>273</v>
      </c>
      <c r="AT418" s="48" t="s">
        <v>273</v>
      </c>
      <c r="AU418" s="93">
        <v>39630</v>
      </c>
      <c r="AV418" s="93"/>
      <c r="AW418" s="93"/>
      <c r="AX418" s="93"/>
      <c r="AY418" s="93"/>
      <c r="AZ418" s="49" t="s">
        <v>4520</v>
      </c>
    </row>
    <row r="419" spans="1:52" ht="16.5" customHeight="1" x14ac:dyDescent="0.15">
      <c r="A419" s="182" t="s">
        <v>4521</v>
      </c>
      <c r="B419" s="183" t="s">
        <v>4522</v>
      </c>
      <c r="C419" s="48" t="s">
        <v>4523</v>
      </c>
      <c r="D419" s="62" t="s">
        <v>263</v>
      </c>
      <c r="E419" s="48" t="s">
        <v>264</v>
      </c>
      <c r="F419" s="61">
        <v>42536</v>
      </c>
      <c r="G419" s="61">
        <v>42536</v>
      </c>
      <c r="H419" s="125">
        <v>42646</v>
      </c>
      <c r="I419" s="61">
        <v>41810</v>
      </c>
      <c r="J419" s="87"/>
      <c r="K419" s="62" t="s">
        <v>16</v>
      </c>
      <c r="L419" s="62">
        <v>3</v>
      </c>
      <c r="M419" s="62" t="s">
        <v>471</v>
      </c>
      <c r="N419" s="62" t="s">
        <v>4524</v>
      </c>
      <c r="O419" s="48" t="s">
        <v>502</v>
      </c>
      <c r="P419" s="48" t="s">
        <v>2161</v>
      </c>
      <c r="Q419" s="48" t="s">
        <v>2782</v>
      </c>
      <c r="R419" s="48" t="s">
        <v>399</v>
      </c>
      <c r="S419" s="48" t="s">
        <v>400</v>
      </c>
      <c r="T419" s="48" t="s">
        <v>401</v>
      </c>
      <c r="U419" s="48" t="s">
        <v>4525</v>
      </c>
      <c r="V419" s="122" t="s">
        <v>263</v>
      </c>
      <c r="W419" s="122" t="s">
        <v>263</v>
      </c>
      <c r="X419" s="48" t="s">
        <v>1752</v>
      </c>
      <c r="Y419" s="48" t="s">
        <v>2885</v>
      </c>
      <c r="Z419" s="61"/>
      <c r="AA419" s="48" t="s">
        <v>508</v>
      </c>
      <c r="AB419" s="48" t="s">
        <v>273</v>
      </c>
      <c r="AC419" s="48" t="s">
        <v>273</v>
      </c>
      <c r="AD419" s="48" t="s">
        <v>273</v>
      </c>
      <c r="AE419" s="48" t="s">
        <v>273</v>
      </c>
      <c r="AF419" s="48" t="s">
        <v>273</v>
      </c>
      <c r="AG419" s="48" t="s">
        <v>273</v>
      </c>
      <c r="AH419" s="48" t="s">
        <v>273</v>
      </c>
      <c r="AI419" s="48" t="s">
        <v>273</v>
      </c>
      <c r="AJ419" s="48" t="s">
        <v>273</v>
      </c>
      <c r="AK419" s="48" t="s">
        <v>509</v>
      </c>
      <c r="AL419" s="48" t="s">
        <v>273</v>
      </c>
      <c r="AM419" s="48" t="s">
        <v>273</v>
      </c>
      <c r="AN419" s="48" t="s">
        <v>273</v>
      </c>
      <c r="AO419" s="48" t="s">
        <v>273</v>
      </c>
      <c r="AP419" s="48" t="s">
        <v>273</v>
      </c>
      <c r="AQ419" s="48" t="s">
        <v>273</v>
      </c>
      <c r="AR419" s="48" t="s">
        <v>273</v>
      </c>
      <c r="AS419" s="48" t="s">
        <v>273</v>
      </c>
      <c r="AT419" s="48" t="s">
        <v>273</v>
      </c>
      <c r="AU419" s="93">
        <v>41699</v>
      </c>
      <c r="AV419" s="93"/>
      <c r="AW419" s="93"/>
      <c r="AX419" s="93"/>
      <c r="AY419" s="93"/>
    </row>
    <row r="420" spans="1:52" ht="16.5" customHeight="1" x14ac:dyDescent="0.15">
      <c r="A420" s="146" t="s">
        <v>4526</v>
      </c>
      <c r="B420" s="147" t="s">
        <v>4527</v>
      </c>
      <c r="C420" s="48" t="s">
        <v>298</v>
      </c>
      <c r="D420" s="62" t="s">
        <v>4528</v>
      </c>
      <c r="E420" s="48" t="s">
        <v>300</v>
      </c>
      <c r="F420" s="61">
        <v>42536</v>
      </c>
      <c r="G420" s="61">
        <v>42536</v>
      </c>
      <c r="H420" s="125">
        <v>42548</v>
      </c>
      <c r="I420" s="61" t="s">
        <v>279</v>
      </c>
      <c r="J420" s="87"/>
      <c r="K420" s="62" t="s">
        <v>16</v>
      </c>
      <c r="L420" s="124" t="s">
        <v>263</v>
      </c>
      <c r="M420" s="62" t="s">
        <v>2265</v>
      </c>
      <c r="N420" s="62" t="s">
        <v>4529</v>
      </c>
      <c r="O420" s="48" t="s">
        <v>802</v>
      </c>
      <c r="P420" s="48" t="s">
        <v>4530</v>
      </c>
      <c r="Q420" s="48" t="s">
        <v>4531</v>
      </c>
      <c r="R420" s="48" t="s">
        <v>4532</v>
      </c>
      <c r="S420" s="48" t="s">
        <v>4533</v>
      </c>
      <c r="T420" s="48" t="s">
        <v>4534</v>
      </c>
      <c r="U420" s="48" t="s">
        <v>798</v>
      </c>
      <c r="V420" s="122" t="s">
        <v>263</v>
      </c>
      <c r="W420" s="122" t="s">
        <v>263</v>
      </c>
      <c r="X420" s="48" t="s">
        <v>800</v>
      </c>
      <c r="Y420" s="48" t="s">
        <v>4535</v>
      </c>
      <c r="Z420" s="61"/>
      <c r="AA420" s="48" t="s">
        <v>273</v>
      </c>
      <c r="AB420" s="48" t="s">
        <v>273</v>
      </c>
      <c r="AC420" s="48" t="s">
        <v>273</v>
      </c>
      <c r="AD420" s="48" t="s">
        <v>273</v>
      </c>
      <c r="AE420" s="48" t="s">
        <v>273</v>
      </c>
      <c r="AF420" s="48" t="s">
        <v>273</v>
      </c>
      <c r="AG420" s="48" t="s">
        <v>273</v>
      </c>
      <c r="AH420" s="48" t="s">
        <v>273</v>
      </c>
      <c r="AI420" s="48" t="s">
        <v>273</v>
      </c>
      <c r="AJ420" s="48" t="s">
        <v>273</v>
      </c>
      <c r="AK420" s="48" t="s">
        <v>273</v>
      </c>
      <c r="AL420" s="48" t="s">
        <v>273</v>
      </c>
      <c r="AM420" s="48" t="s">
        <v>273</v>
      </c>
      <c r="AN420" s="48" t="s">
        <v>273</v>
      </c>
      <c r="AO420" s="48" t="s">
        <v>273</v>
      </c>
      <c r="AP420" s="48" t="s">
        <v>273</v>
      </c>
      <c r="AQ420" s="48" t="s">
        <v>273</v>
      </c>
      <c r="AR420" s="48" t="s">
        <v>273</v>
      </c>
      <c r="AS420" s="48" t="s">
        <v>273</v>
      </c>
      <c r="AT420" s="48" t="s">
        <v>273</v>
      </c>
      <c r="AU420" s="93">
        <v>41365</v>
      </c>
      <c r="AV420" s="93"/>
      <c r="AW420" s="93"/>
      <c r="AX420" s="93"/>
      <c r="AY420" s="93"/>
      <c r="AZ420" s="126" t="s">
        <v>4536</v>
      </c>
    </row>
    <row r="421" spans="1:52" ht="16.5" customHeight="1" x14ac:dyDescent="0.15">
      <c r="A421" s="146" t="s">
        <v>4537</v>
      </c>
      <c r="B421" s="147" t="s">
        <v>4538</v>
      </c>
      <c r="C421" s="48" t="s">
        <v>298</v>
      </c>
      <c r="D421" s="62" t="s">
        <v>263</v>
      </c>
      <c r="E421" s="48" t="s">
        <v>264</v>
      </c>
      <c r="F421" s="61">
        <v>42536</v>
      </c>
      <c r="G421" s="61">
        <v>42536</v>
      </c>
      <c r="H421" s="125">
        <v>42544</v>
      </c>
      <c r="I421" s="61" t="s">
        <v>279</v>
      </c>
      <c r="J421" s="87"/>
      <c r="K421" s="62" t="s">
        <v>12</v>
      </c>
      <c r="L421" s="62">
        <v>3</v>
      </c>
      <c r="M421" s="62" t="s">
        <v>409</v>
      </c>
      <c r="N421" s="62" t="s">
        <v>3212</v>
      </c>
      <c r="O421" s="48" t="s">
        <v>1770</v>
      </c>
      <c r="P421" s="48" t="s">
        <v>267</v>
      </c>
      <c r="Q421" s="48" t="s">
        <v>263</v>
      </c>
      <c r="R421" s="122" t="s">
        <v>263</v>
      </c>
      <c r="S421" s="48" t="s">
        <v>269</v>
      </c>
      <c r="T421" s="48" t="s">
        <v>270</v>
      </c>
      <c r="U421" s="48" t="s">
        <v>1957</v>
      </c>
      <c r="V421" s="122" t="s">
        <v>263</v>
      </c>
      <c r="W421" s="122" t="s">
        <v>263</v>
      </c>
      <c r="X421" s="122" t="s">
        <v>263</v>
      </c>
      <c r="Y421" s="122" t="s">
        <v>263</v>
      </c>
      <c r="Z421" s="61"/>
      <c r="AA421" s="48" t="s">
        <v>273</v>
      </c>
      <c r="AB421" s="48" t="s">
        <v>273</v>
      </c>
      <c r="AC421" s="48" t="s">
        <v>273</v>
      </c>
      <c r="AD421" s="48" t="s">
        <v>273</v>
      </c>
      <c r="AE421" s="48" t="s">
        <v>273</v>
      </c>
      <c r="AF421" s="48" t="s">
        <v>273</v>
      </c>
      <c r="AG421" s="48" t="s">
        <v>273</v>
      </c>
      <c r="AH421" s="48" t="s">
        <v>273</v>
      </c>
      <c r="AI421" s="48" t="s">
        <v>273</v>
      </c>
      <c r="AJ421" s="48" t="s">
        <v>273</v>
      </c>
      <c r="AK421" s="48" t="s">
        <v>273</v>
      </c>
      <c r="AL421" s="48" t="s">
        <v>273</v>
      </c>
      <c r="AM421" s="48" t="s">
        <v>273</v>
      </c>
      <c r="AN421" s="48" t="s">
        <v>273</v>
      </c>
      <c r="AO421" s="48" t="s">
        <v>273</v>
      </c>
      <c r="AP421" s="48" t="s">
        <v>273</v>
      </c>
      <c r="AQ421" s="48" t="s">
        <v>273</v>
      </c>
      <c r="AR421" s="48" t="s">
        <v>273</v>
      </c>
      <c r="AS421" s="48" t="s">
        <v>273</v>
      </c>
      <c r="AT421" s="48" t="s">
        <v>273</v>
      </c>
      <c r="AU421" s="93">
        <v>40848</v>
      </c>
      <c r="AV421" s="93"/>
      <c r="AW421" s="93"/>
      <c r="AX421" s="93"/>
      <c r="AY421" s="93"/>
    </row>
    <row r="422" spans="1:52" ht="16.5" customHeight="1" x14ac:dyDescent="0.15">
      <c r="A422" s="151" t="s">
        <v>4539</v>
      </c>
      <c r="B422" s="152" t="s">
        <v>4540</v>
      </c>
      <c r="C422" s="48" t="s">
        <v>4541</v>
      </c>
      <c r="D422" s="62" t="s">
        <v>4436</v>
      </c>
      <c r="E422" s="48" t="s">
        <v>264</v>
      </c>
      <c r="F422" s="61">
        <v>42537</v>
      </c>
      <c r="G422" s="61">
        <v>42537</v>
      </c>
      <c r="H422" s="125">
        <v>42562</v>
      </c>
      <c r="I422" s="61" t="s">
        <v>279</v>
      </c>
      <c r="J422" s="87"/>
      <c r="K422" s="62" t="s">
        <v>16</v>
      </c>
      <c r="L422" s="62">
        <v>3</v>
      </c>
      <c r="M422" s="62" t="s">
        <v>209</v>
      </c>
      <c r="N422" s="62" t="s">
        <v>4542</v>
      </c>
      <c r="O422" s="48" t="s">
        <v>2192</v>
      </c>
      <c r="P422" s="48" t="s">
        <v>2282</v>
      </c>
      <c r="Q422" s="48" t="s">
        <v>318</v>
      </c>
      <c r="R422" s="48" t="s">
        <v>4082</v>
      </c>
      <c r="S422" s="48" t="s">
        <v>4083</v>
      </c>
      <c r="T422" s="48" t="s">
        <v>3885</v>
      </c>
      <c r="U422" s="48" t="s">
        <v>4084</v>
      </c>
      <c r="V422" s="122" t="s">
        <v>263</v>
      </c>
      <c r="W422" s="122" t="s">
        <v>263</v>
      </c>
      <c r="X422" s="48" t="s">
        <v>4543</v>
      </c>
      <c r="Y422" s="48" t="s">
        <v>4086</v>
      </c>
      <c r="Z422" s="61"/>
      <c r="AA422" s="48" t="s">
        <v>327</v>
      </c>
      <c r="AB422" s="48" t="s">
        <v>273</v>
      </c>
      <c r="AC422" s="48" t="s">
        <v>273</v>
      </c>
      <c r="AD422" s="48" t="s">
        <v>273</v>
      </c>
      <c r="AE422" s="48" t="s">
        <v>273</v>
      </c>
      <c r="AF422" s="48" t="s">
        <v>273</v>
      </c>
      <c r="AG422" s="48" t="s">
        <v>273</v>
      </c>
      <c r="AH422" s="48" t="s">
        <v>273</v>
      </c>
      <c r="AI422" s="48" t="s">
        <v>273</v>
      </c>
      <c r="AJ422" s="48" t="s">
        <v>273</v>
      </c>
      <c r="AK422" s="48" t="s">
        <v>274</v>
      </c>
      <c r="AL422" s="48" t="s">
        <v>273</v>
      </c>
      <c r="AM422" s="48" t="s">
        <v>273</v>
      </c>
      <c r="AN422" s="48" t="s">
        <v>273</v>
      </c>
      <c r="AO422" s="48" t="s">
        <v>273</v>
      </c>
      <c r="AP422" s="48" t="s">
        <v>273</v>
      </c>
      <c r="AQ422" s="48" t="s">
        <v>273</v>
      </c>
      <c r="AR422" s="48" t="s">
        <v>273</v>
      </c>
      <c r="AS422" s="48" t="s">
        <v>273</v>
      </c>
      <c r="AT422" s="48" t="s">
        <v>273</v>
      </c>
      <c r="AU422" s="93">
        <v>41699</v>
      </c>
      <c r="AV422" s="93"/>
      <c r="AW422" s="93"/>
      <c r="AX422" s="93"/>
      <c r="AY422" s="93"/>
    </row>
    <row r="423" spans="1:52" ht="16.5" customHeight="1" x14ac:dyDescent="0.15">
      <c r="A423" s="146" t="s">
        <v>4544</v>
      </c>
      <c r="B423" s="147" t="s">
        <v>4545</v>
      </c>
      <c r="C423" s="48" t="s">
        <v>4546</v>
      </c>
      <c r="D423" s="62" t="s">
        <v>4547</v>
      </c>
      <c r="E423" s="48" t="s">
        <v>264</v>
      </c>
      <c r="F423" s="61">
        <v>42537</v>
      </c>
      <c r="G423" s="61">
        <v>42537</v>
      </c>
      <c r="H423" s="125">
        <v>42550</v>
      </c>
      <c r="I423" s="61" t="s">
        <v>279</v>
      </c>
      <c r="J423" s="87"/>
      <c r="K423" s="62">
        <v>0</v>
      </c>
      <c r="L423" s="62"/>
      <c r="M423" s="62" t="s">
        <v>409</v>
      </c>
      <c r="N423" s="62" t="s">
        <v>4548</v>
      </c>
      <c r="O423" s="48" t="s">
        <v>3567</v>
      </c>
      <c r="P423" s="48" t="s">
        <v>267</v>
      </c>
      <c r="Q423" s="48" t="s">
        <v>4197</v>
      </c>
      <c r="R423" s="48"/>
      <c r="S423" s="48" t="s">
        <v>269</v>
      </c>
      <c r="T423" s="48" t="s">
        <v>270</v>
      </c>
      <c r="U423" s="48" t="s">
        <v>4549</v>
      </c>
      <c r="V423" s="48"/>
      <c r="W423" s="48"/>
      <c r="X423" s="48"/>
      <c r="Y423" s="48"/>
      <c r="Z423" s="61"/>
      <c r="AA423" s="48" t="s">
        <v>1391</v>
      </c>
      <c r="AB423" s="48" t="s">
        <v>273</v>
      </c>
      <c r="AC423" s="48" t="s">
        <v>273</v>
      </c>
      <c r="AD423" s="48" t="s">
        <v>273</v>
      </c>
      <c r="AE423" s="48" t="s">
        <v>273</v>
      </c>
      <c r="AF423" s="48" t="s">
        <v>273</v>
      </c>
      <c r="AG423" s="48" t="s">
        <v>273</v>
      </c>
      <c r="AH423" s="48" t="s">
        <v>273</v>
      </c>
      <c r="AI423" s="48" t="s">
        <v>273</v>
      </c>
      <c r="AJ423" s="48" t="s">
        <v>273</v>
      </c>
      <c r="AK423" s="48" t="s">
        <v>1394</v>
      </c>
      <c r="AL423" s="48" t="s">
        <v>273</v>
      </c>
      <c r="AM423" s="48" t="s">
        <v>273</v>
      </c>
      <c r="AN423" s="48" t="s">
        <v>273</v>
      </c>
      <c r="AO423" s="48" t="s">
        <v>273</v>
      </c>
      <c r="AP423" s="48" t="s">
        <v>273</v>
      </c>
      <c r="AQ423" s="48" t="s">
        <v>273</v>
      </c>
      <c r="AR423" s="48" t="s">
        <v>273</v>
      </c>
      <c r="AS423" s="48" t="s">
        <v>273</v>
      </c>
      <c r="AT423" s="48" t="s">
        <v>273</v>
      </c>
      <c r="AU423" s="93">
        <v>40756</v>
      </c>
      <c r="AV423" s="93"/>
      <c r="AW423" s="93"/>
      <c r="AX423" s="93"/>
      <c r="AY423" s="93"/>
    </row>
    <row r="424" spans="1:52" ht="16.5" customHeight="1" x14ac:dyDescent="0.15">
      <c r="A424" s="146" t="s">
        <v>4550</v>
      </c>
      <c r="B424" s="147" t="s">
        <v>4551</v>
      </c>
      <c r="C424" s="48" t="s">
        <v>4552</v>
      </c>
      <c r="D424" s="62" t="s">
        <v>4553</v>
      </c>
      <c r="E424" s="48" t="s">
        <v>264</v>
      </c>
      <c r="F424" s="61">
        <v>42537</v>
      </c>
      <c r="G424" s="61">
        <v>42537</v>
      </c>
      <c r="H424" s="125">
        <v>42551</v>
      </c>
      <c r="I424" s="61" t="s">
        <v>279</v>
      </c>
      <c r="J424" s="87"/>
      <c r="K424" s="62" t="s">
        <v>14</v>
      </c>
      <c r="L424" s="62">
        <v>3</v>
      </c>
      <c r="M424" s="62" t="s">
        <v>209</v>
      </c>
      <c r="N424" s="62" t="s">
        <v>4554</v>
      </c>
      <c r="O424" s="48" t="s">
        <v>281</v>
      </c>
      <c r="P424" s="48" t="s">
        <v>267</v>
      </c>
      <c r="Q424" s="48" t="s">
        <v>4555</v>
      </c>
      <c r="R424" s="48" t="s">
        <v>4158</v>
      </c>
      <c r="S424" s="130" t="s">
        <v>4159</v>
      </c>
      <c r="T424" s="130" t="s">
        <v>4160</v>
      </c>
      <c r="U424" s="48" t="s">
        <v>4556</v>
      </c>
      <c r="V424" s="122" t="s">
        <v>263</v>
      </c>
      <c r="W424" s="122" t="s">
        <v>263</v>
      </c>
      <c r="X424" s="48" t="s">
        <v>4557</v>
      </c>
      <c r="Y424" s="48" t="s">
        <v>4558</v>
      </c>
      <c r="Z424" s="61"/>
      <c r="AA424" s="48" t="s">
        <v>272</v>
      </c>
      <c r="AB424" s="48" t="s">
        <v>273</v>
      </c>
      <c r="AC424" s="48" t="s">
        <v>273</v>
      </c>
      <c r="AD424" s="48" t="s">
        <v>273</v>
      </c>
      <c r="AE424" s="48" t="s">
        <v>273</v>
      </c>
      <c r="AF424" s="48" t="s">
        <v>273</v>
      </c>
      <c r="AG424" s="48" t="s">
        <v>273</v>
      </c>
      <c r="AH424" s="48" t="s">
        <v>273</v>
      </c>
      <c r="AI424" s="48" t="s">
        <v>273</v>
      </c>
      <c r="AJ424" s="48" t="s">
        <v>273</v>
      </c>
      <c r="AK424" s="48" t="s">
        <v>274</v>
      </c>
      <c r="AL424" s="48" t="s">
        <v>273</v>
      </c>
      <c r="AM424" s="48" t="s">
        <v>273</v>
      </c>
      <c r="AN424" s="48" t="s">
        <v>273</v>
      </c>
      <c r="AO424" s="48" t="s">
        <v>273</v>
      </c>
      <c r="AP424" s="48" t="s">
        <v>273</v>
      </c>
      <c r="AQ424" s="48" t="s">
        <v>273</v>
      </c>
      <c r="AR424" s="48" t="s">
        <v>273</v>
      </c>
      <c r="AS424" s="48" t="s">
        <v>273</v>
      </c>
      <c r="AT424" s="48" t="s">
        <v>273</v>
      </c>
      <c r="AU424" s="93">
        <v>40787</v>
      </c>
      <c r="AV424" s="93"/>
      <c r="AW424" s="93"/>
      <c r="AX424" s="93"/>
      <c r="AY424" s="93"/>
    </row>
    <row r="425" spans="1:52" ht="16.5" customHeight="1" x14ac:dyDescent="0.15">
      <c r="A425" s="151" t="s">
        <v>4559</v>
      </c>
      <c r="B425" s="152" t="s">
        <v>4560</v>
      </c>
      <c r="C425" s="48" t="s">
        <v>298</v>
      </c>
      <c r="D425" s="62" t="s">
        <v>4561</v>
      </c>
      <c r="E425" s="48" t="s">
        <v>300</v>
      </c>
      <c r="F425" s="61">
        <v>42537</v>
      </c>
      <c r="G425" s="61">
        <v>42537</v>
      </c>
      <c r="H425" s="125">
        <v>42563</v>
      </c>
      <c r="I425" s="61" t="s">
        <v>279</v>
      </c>
      <c r="J425" s="87"/>
      <c r="K425" s="62" t="s">
        <v>16</v>
      </c>
      <c r="L425" s="124" t="s">
        <v>263</v>
      </c>
      <c r="M425" s="62" t="s">
        <v>209</v>
      </c>
      <c r="N425" s="62" t="s">
        <v>4562</v>
      </c>
      <c r="O425" s="48" t="s">
        <v>1334</v>
      </c>
      <c r="P425" s="48" t="s">
        <v>4563</v>
      </c>
      <c r="Q425" s="48" t="s">
        <v>4564</v>
      </c>
      <c r="R425" s="48" t="s">
        <v>4565</v>
      </c>
      <c r="S425" s="48" t="s">
        <v>4566</v>
      </c>
      <c r="T425" s="48" t="s">
        <v>4567</v>
      </c>
      <c r="U425" s="48" t="s">
        <v>4568</v>
      </c>
      <c r="V425" s="122" t="s">
        <v>263</v>
      </c>
      <c r="W425" s="122" t="s">
        <v>263</v>
      </c>
      <c r="X425" s="48" t="s">
        <v>4569</v>
      </c>
      <c r="Y425" s="48" t="s">
        <v>4570</v>
      </c>
      <c r="Z425" s="61"/>
      <c r="AA425" s="48" t="s">
        <v>273</v>
      </c>
      <c r="AB425" s="48" t="s">
        <v>273</v>
      </c>
      <c r="AC425" s="48" t="s">
        <v>273</v>
      </c>
      <c r="AD425" s="48" t="s">
        <v>273</v>
      </c>
      <c r="AE425" s="48" t="s">
        <v>273</v>
      </c>
      <c r="AF425" s="48" t="s">
        <v>273</v>
      </c>
      <c r="AG425" s="48" t="s">
        <v>273</v>
      </c>
      <c r="AH425" s="48" t="s">
        <v>273</v>
      </c>
      <c r="AI425" s="48" t="s">
        <v>273</v>
      </c>
      <c r="AJ425" s="48" t="s">
        <v>273</v>
      </c>
      <c r="AK425" s="48" t="s">
        <v>273</v>
      </c>
      <c r="AL425" s="48" t="s">
        <v>273</v>
      </c>
      <c r="AM425" s="48" t="s">
        <v>273</v>
      </c>
      <c r="AN425" s="48" t="s">
        <v>273</v>
      </c>
      <c r="AO425" s="48" t="s">
        <v>273</v>
      </c>
      <c r="AP425" s="48" t="s">
        <v>273</v>
      </c>
      <c r="AQ425" s="48" t="s">
        <v>273</v>
      </c>
      <c r="AR425" s="48" t="s">
        <v>273</v>
      </c>
      <c r="AS425" s="48" t="s">
        <v>273</v>
      </c>
      <c r="AT425" s="48" t="s">
        <v>273</v>
      </c>
      <c r="AU425" s="93">
        <v>40391</v>
      </c>
      <c r="AV425" s="93"/>
      <c r="AW425" s="93"/>
      <c r="AX425" s="93"/>
      <c r="AY425" s="93"/>
      <c r="AZ425" s="49" t="s">
        <v>4571</v>
      </c>
    </row>
    <row r="426" spans="1:52" ht="16.5" customHeight="1" x14ac:dyDescent="0.15">
      <c r="A426" s="151" t="s">
        <v>4572</v>
      </c>
      <c r="B426" s="152" t="s">
        <v>4573</v>
      </c>
      <c r="C426" s="48" t="s">
        <v>330</v>
      </c>
      <c r="D426" s="62" t="s">
        <v>4574</v>
      </c>
      <c r="E426" s="48" t="s">
        <v>300</v>
      </c>
      <c r="F426" s="61">
        <v>42537</v>
      </c>
      <c r="G426" s="61">
        <v>42537</v>
      </c>
      <c r="H426" s="125">
        <v>42578</v>
      </c>
      <c r="I426" s="61" t="s">
        <v>279</v>
      </c>
      <c r="J426" s="87"/>
      <c r="K426" s="62" t="s">
        <v>16</v>
      </c>
      <c r="L426" s="124" t="s">
        <v>263</v>
      </c>
      <c r="M426" s="62" t="s">
        <v>409</v>
      </c>
      <c r="N426" s="62" t="s">
        <v>4575</v>
      </c>
      <c r="O426" s="48" t="s">
        <v>606</v>
      </c>
      <c r="P426" s="48" t="s">
        <v>4576</v>
      </c>
      <c r="Q426" s="48" t="s">
        <v>4577</v>
      </c>
      <c r="R426" s="48" t="s">
        <v>4578</v>
      </c>
      <c r="S426" s="48" t="s">
        <v>4579</v>
      </c>
      <c r="T426" s="48" t="s">
        <v>4580</v>
      </c>
      <c r="U426" s="48" t="s">
        <v>4581</v>
      </c>
      <c r="V426" s="48" t="s">
        <v>4582</v>
      </c>
      <c r="W426" s="48" t="s">
        <v>494</v>
      </c>
      <c r="X426" s="48" t="s">
        <v>4583</v>
      </c>
      <c r="Y426" s="48" t="s">
        <v>4584</v>
      </c>
      <c r="Z426" s="61"/>
      <c r="AA426" s="48" t="s">
        <v>291</v>
      </c>
      <c r="AB426" s="48" t="s">
        <v>273</v>
      </c>
      <c r="AC426" s="48" t="s">
        <v>273</v>
      </c>
      <c r="AD426" s="48" t="s">
        <v>273</v>
      </c>
      <c r="AE426" s="48" t="s">
        <v>273</v>
      </c>
      <c r="AF426" s="48" t="s">
        <v>273</v>
      </c>
      <c r="AG426" s="48" t="s">
        <v>273</v>
      </c>
      <c r="AH426" s="48" t="s">
        <v>273</v>
      </c>
      <c r="AI426" s="48" t="s">
        <v>273</v>
      </c>
      <c r="AJ426" s="48" t="s">
        <v>273</v>
      </c>
      <c r="AK426" s="48" t="s">
        <v>293</v>
      </c>
      <c r="AL426" s="48" t="s">
        <v>273</v>
      </c>
      <c r="AM426" s="48" t="s">
        <v>273</v>
      </c>
      <c r="AN426" s="48" t="s">
        <v>273</v>
      </c>
      <c r="AO426" s="48" t="s">
        <v>273</v>
      </c>
      <c r="AP426" s="48" t="s">
        <v>273</v>
      </c>
      <c r="AQ426" s="48" t="s">
        <v>273</v>
      </c>
      <c r="AR426" s="48" t="s">
        <v>273</v>
      </c>
      <c r="AS426" s="48" t="s">
        <v>273</v>
      </c>
      <c r="AT426" s="48" t="s">
        <v>273</v>
      </c>
      <c r="AU426" s="93">
        <v>40179</v>
      </c>
      <c r="AV426" s="93"/>
      <c r="AW426" s="93"/>
      <c r="AX426" s="93"/>
      <c r="AY426" s="93"/>
      <c r="AZ426" s="49" t="s">
        <v>4585</v>
      </c>
    </row>
    <row r="427" spans="1:52" ht="16.5" customHeight="1" x14ac:dyDescent="0.15">
      <c r="A427" s="156" t="s">
        <v>4586</v>
      </c>
      <c r="B427" s="157" t="s">
        <v>4587</v>
      </c>
      <c r="C427" s="48" t="s">
        <v>4588</v>
      </c>
      <c r="D427" s="62" t="s">
        <v>4589</v>
      </c>
      <c r="E427" s="48" t="s">
        <v>264</v>
      </c>
      <c r="F427" s="61">
        <v>42537</v>
      </c>
      <c r="G427" s="61">
        <v>42537</v>
      </c>
      <c r="H427" s="125">
        <v>42629</v>
      </c>
      <c r="I427" s="61" t="s">
        <v>279</v>
      </c>
      <c r="J427" s="87"/>
      <c r="K427" s="62" t="s">
        <v>16</v>
      </c>
      <c r="L427" s="62">
        <v>3</v>
      </c>
      <c r="M427" s="62" t="s">
        <v>209</v>
      </c>
      <c r="N427" s="62" t="s">
        <v>4590</v>
      </c>
      <c r="O427" s="48" t="s">
        <v>2737</v>
      </c>
      <c r="P427" s="130" t="s">
        <v>4591</v>
      </c>
      <c r="Q427" s="130" t="s">
        <v>880</v>
      </c>
      <c r="R427" s="130" t="s">
        <v>4592</v>
      </c>
      <c r="S427" s="130" t="s">
        <v>4593</v>
      </c>
      <c r="T427" s="130" t="s">
        <v>4594</v>
      </c>
      <c r="U427" s="48" t="s">
        <v>4595</v>
      </c>
      <c r="V427" s="48" t="s">
        <v>3923</v>
      </c>
      <c r="W427" s="48" t="s">
        <v>4596</v>
      </c>
      <c r="X427" s="48" t="s">
        <v>4593</v>
      </c>
      <c r="Y427" s="48" t="s">
        <v>4597</v>
      </c>
      <c r="Z427" s="61"/>
      <c r="AA427" s="48" t="s">
        <v>273</v>
      </c>
      <c r="AB427" s="48" t="s">
        <v>327</v>
      </c>
      <c r="AC427" s="48" t="s">
        <v>4598</v>
      </c>
      <c r="AD427" s="48" t="s">
        <v>273</v>
      </c>
      <c r="AE427" s="48" t="s">
        <v>273</v>
      </c>
      <c r="AF427" s="48" t="s">
        <v>273</v>
      </c>
      <c r="AG427" s="48" t="s">
        <v>273</v>
      </c>
      <c r="AH427" s="48" t="s">
        <v>273</v>
      </c>
      <c r="AI427" s="48" t="s">
        <v>273</v>
      </c>
      <c r="AJ427" s="48" t="s">
        <v>273</v>
      </c>
      <c r="AK427" s="48" t="s">
        <v>273</v>
      </c>
      <c r="AL427" s="48" t="s">
        <v>274</v>
      </c>
      <c r="AM427" s="48" t="s">
        <v>4599</v>
      </c>
      <c r="AN427" s="48" t="s">
        <v>273</v>
      </c>
      <c r="AO427" s="48" t="s">
        <v>273</v>
      </c>
      <c r="AP427" s="48" t="s">
        <v>273</v>
      </c>
      <c r="AQ427" s="48" t="s">
        <v>273</v>
      </c>
      <c r="AR427" s="48" t="s">
        <v>273</v>
      </c>
      <c r="AS427" s="48" t="s">
        <v>273</v>
      </c>
      <c r="AT427" s="48" t="s">
        <v>273</v>
      </c>
      <c r="AU427" s="93">
        <v>41852</v>
      </c>
      <c r="AV427" s="93"/>
      <c r="AW427" s="93"/>
      <c r="AX427" s="93"/>
      <c r="AY427" s="93"/>
      <c r="AZ427" s="49" t="s">
        <v>4600</v>
      </c>
    </row>
    <row r="428" spans="1:52" ht="16.5" customHeight="1" x14ac:dyDescent="0.15">
      <c r="A428" s="146" t="s">
        <v>4601</v>
      </c>
      <c r="B428" s="147" t="s">
        <v>4602</v>
      </c>
      <c r="C428" s="48" t="s">
        <v>298</v>
      </c>
      <c r="D428" s="62" t="s">
        <v>4603</v>
      </c>
      <c r="E428" s="48" t="s">
        <v>300</v>
      </c>
      <c r="F428" s="61">
        <v>42537</v>
      </c>
      <c r="G428" s="61">
        <v>42537</v>
      </c>
      <c r="H428" s="125">
        <v>42548</v>
      </c>
      <c r="I428" s="61" t="s">
        <v>279</v>
      </c>
      <c r="J428" s="87"/>
      <c r="K428" s="124" t="s">
        <v>263</v>
      </c>
      <c r="L428" s="124" t="s">
        <v>263</v>
      </c>
      <c r="M428" s="62" t="s">
        <v>215</v>
      </c>
      <c r="N428" s="62" t="s">
        <v>4604</v>
      </c>
      <c r="O428" s="48" t="s">
        <v>4605</v>
      </c>
      <c r="P428" s="48" t="s">
        <v>4606</v>
      </c>
      <c r="Q428" s="48" t="s">
        <v>4607</v>
      </c>
      <c r="R428" s="48" t="s">
        <v>4608</v>
      </c>
      <c r="S428" s="48" t="s">
        <v>4609</v>
      </c>
      <c r="T428" s="48" t="s">
        <v>4610</v>
      </c>
      <c r="U428" s="48" t="s">
        <v>4611</v>
      </c>
      <c r="V428" s="122" t="s">
        <v>263</v>
      </c>
      <c r="W428" s="122" t="s">
        <v>263</v>
      </c>
      <c r="X428" s="48" t="s">
        <v>4612</v>
      </c>
      <c r="Y428" s="48" t="s">
        <v>4613</v>
      </c>
      <c r="Z428" s="61"/>
      <c r="AA428" s="48" t="s">
        <v>273</v>
      </c>
      <c r="AB428" s="48" t="s">
        <v>273</v>
      </c>
      <c r="AC428" s="48" t="s">
        <v>273</v>
      </c>
      <c r="AD428" s="48" t="s">
        <v>273</v>
      </c>
      <c r="AE428" s="48" t="s">
        <v>273</v>
      </c>
      <c r="AF428" s="48" t="s">
        <v>273</v>
      </c>
      <c r="AG428" s="48" t="s">
        <v>273</v>
      </c>
      <c r="AH428" s="48" t="s">
        <v>273</v>
      </c>
      <c r="AI428" s="48" t="s">
        <v>273</v>
      </c>
      <c r="AJ428" s="48" t="s">
        <v>273</v>
      </c>
      <c r="AK428" s="48" t="s">
        <v>273</v>
      </c>
      <c r="AL428" s="48" t="s">
        <v>273</v>
      </c>
      <c r="AM428" s="48" t="s">
        <v>273</v>
      </c>
      <c r="AN428" s="48" t="s">
        <v>273</v>
      </c>
      <c r="AO428" s="48" t="s">
        <v>273</v>
      </c>
      <c r="AP428" s="48" t="s">
        <v>273</v>
      </c>
      <c r="AQ428" s="48" t="s">
        <v>273</v>
      </c>
      <c r="AR428" s="48" t="s">
        <v>273</v>
      </c>
      <c r="AS428" s="48" t="s">
        <v>273</v>
      </c>
      <c r="AT428" s="48" t="s">
        <v>273</v>
      </c>
      <c r="AU428" s="93">
        <v>39783</v>
      </c>
      <c r="AV428" s="93"/>
      <c r="AW428" s="93"/>
      <c r="AX428" s="93"/>
      <c r="AY428" s="93"/>
      <c r="AZ428" s="49" t="s">
        <v>4614</v>
      </c>
    </row>
    <row r="429" spans="1:52" ht="16.5" customHeight="1" x14ac:dyDescent="0.15">
      <c r="A429" s="153" t="s">
        <v>4615</v>
      </c>
      <c r="B429" s="154" t="s">
        <v>4616</v>
      </c>
      <c r="C429" s="48" t="s">
        <v>330</v>
      </c>
      <c r="D429" s="62" t="s">
        <v>4617</v>
      </c>
      <c r="E429" s="48" t="s">
        <v>300</v>
      </c>
      <c r="F429" s="61">
        <v>42538</v>
      </c>
      <c r="G429" s="61">
        <v>42538</v>
      </c>
      <c r="H429" s="125">
        <v>42590</v>
      </c>
      <c r="I429" s="61">
        <v>39035</v>
      </c>
      <c r="J429" s="87"/>
      <c r="K429" s="62" t="s">
        <v>16</v>
      </c>
      <c r="L429" s="124" t="s">
        <v>263</v>
      </c>
      <c r="M429" s="62" t="s">
        <v>394</v>
      </c>
      <c r="N429" s="62" t="s">
        <v>4618</v>
      </c>
      <c r="O429" s="48" t="s">
        <v>396</v>
      </c>
      <c r="P429" s="48" t="s">
        <v>2754</v>
      </c>
      <c r="Q429" s="48" t="s">
        <v>759</v>
      </c>
      <c r="R429" s="48" t="s">
        <v>3775</v>
      </c>
      <c r="S429" s="48" t="s">
        <v>761</v>
      </c>
      <c r="T429" s="48" t="s">
        <v>4619</v>
      </c>
      <c r="U429" s="48" t="s">
        <v>4620</v>
      </c>
      <c r="V429" s="122" t="s">
        <v>263</v>
      </c>
      <c r="W429" s="122" t="s">
        <v>263</v>
      </c>
      <c r="X429" s="48" t="s">
        <v>2757</v>
      </c>
      <c r="Y429" s="48" t="s">
        <v>4621</v>
      </c>
      <c r="Z429" s="61"/>
      <c r="AA429" s="48" t="s">
        <v>273</v>
      </c>
      <c r="AB429" s="48" t="s">
        <v>273</v>
      </c>
      <c r="AC429" s="48" t="s">
        <v>273</v>
      </c>
      <c r="AD429" s="48" t="s">
        <v>273</v>
      </c>
      <c r="AE429" s="48" t="s">
        <v>273</v>
      </c>
      <c r="AF429" s="48" t="s">
        <v>273</v>
      </c>
      <c r="AG429" s="48" t="s">
        <v>273</v>
      </c>
      <c r="AH429" s="48" t="s">
        <v>273</v>
      </c>
      <c r="AI429" s="48" t="s">
        <v>273</v>
      </c>
      <c r="AJ429" s="48" t="s">
        <v>273</v>
      </c>
      <c r="AK429" s="48" t="s">
        <v>273</v>
      </c>
      <c r="AL429" s="48" t="s">
        <v>273</v>
      </c>
      <c r="AM429" s="48" t="s">
        <v>273</v>
      </c>
      <c r="AN429" s="48" t="s">
        <v>273</v>
      </c>
      <c r="AO429" s="48" t="s">
        <v>273</v>
      </c>
      <c r="AP429" s="48" t="s">
        <v>273</v>
      </c>
      <c r="AQ429" s="48" t="s">
        <v>273</v>
      </c>
      <c r="AR429" s="48" t="s">
        <v>273</v>
      </c>
      <c r="AS429" s="48" t="s">
        <v>273</v>
      </c>
      <c r="AT429" s="48" t="s">
        <v>273</v>
      </c>
      <c r="AU429" s="93">
        <v>38808</v>
      </c>
      <c r="AV429" s="93"/>
      <c r="AW429" s="93"/>
      <c r="AX429" s="93"/>
      <c r="AY429" s="93"/>
      <c r="AZ429" s="49" t="s">
        <v>4622</v>
      </c>
    </row>
    <row r="430" spans="1:52" ht="16.5" customHeight="1" x14ac:dyDescent="0.15">
      <c r="A430" s="199" t="s">
        <v>4623</v>
      </c>
      <c r="B430" s="209" t="s">
        <v>4624</v>
      </c>
      <c r="C430" s="48" t="s">
        <v>298</v>
      </c>
      <c r="D430" s="62" t="s">
        <v>4625</v>
      </c>
      <c r="E430" s="48" t="s">
        <v>300</v>
      </c>
      <c r="F430" s="61">
        <v>42538</v>
      </c>
      <c r="G430" s="61">
        <v>42538</v>
      </c>
      <c r="H430" s="125">
        <v>42681</v>
      </c>
      <c r="I430" s="61" t="s">
        <v>279</v>
      </c>
      <c r="J430" s="87"/>
      <c r="K430" s="62" t="s">
        <v>2506</v>
      </c>
      <c r="L430" s="62">
        <v>3</v>
      </c>
      <c r="M430" s="62" t="s">
        <v>680</v>
      </c>
      <c r="N430" s="62" t="s">
        <v>4626</v>
      </c>
      <c r="O430" s="48" t="s">
        <v>4627</v>
      </c>
      <c r="P430" s="130" t="s">
        <v>1167</v>
      </c>
      <c r="Q430" s="130" t="s">
        <v>1168</v>
      </c>
      <c r="R430" s="130" t="s">
        <v>4628</v>
      </c>
      <c r="S430" s="130" t="s">
        <v>4629</v>
      </c>
      <c r="T430" s="130" t="s">
        <v>4630</v>
      </c>
      <c r="U430" s="48" t="s">
        <v>2873</v>
      </c>
      <c r="V430" s="122" t="s">
        <v>263</v>
      </c>
      <c r="W430" s="122" t="s">
        <v>263</v>
      </c>
      <c r="X430" s="48" t="s">
        <v>4631</v>
      </c>
      <c r="Y430" s="48" t="s">
        <v>4632</v>
      </c>
      <c r="Z430" s="61"/>
      <c r="AA430" s="48" t="s">
        <v>833</v>
      </c>
      <c r="AB430" s="48" t="s">
        <v>2293</v>
      </c>
      <c r="AC430" s="48" t="s">
        <v>273</v>
      </c>
      <c r="AD430" s="48" t="s">
        <v>273</v>
      </c>
      <c r="AE430" s="48" t="s">
        <v>273</v>
      </c>
      <c r="AF430" s="48" t="s">
        <v>273</v>
      </c>
      <c r="AG430" s="48" t="s">
        <v>273</v>
      </c>
      <c r="AH430" s="48" t="s">
        <v>273</v>
      </c>
      <c r="AI430" s="48" t="s">
        <v>273</v>
      </c>
      <c r="AJ430" s="48" t="s">
        <v>273</v>
      </c>
      <c r="AK430" s="48" t="s">
        <v>834</v>
      </c>
      <c r="AL430" s="48" t="s">
        <v>2294</v>
      </c>
      <c r="AM430" s="48" t="s">
        <v>273</v>
      </c>
      <c r="AN430" s="48" t="s">
        <v>273</v>
      </c>
      <c r="AO430" s="48" t="s">
        <v>273</v>
      </c>
      <c r="AP430" s="48" t="s">
        <v>273</v>
      </c>
      <c r="AQ430" s="48" t="s">
        <v>273</v>
      </c>
      <c r="AR430" s="48" t="s">
        <v>273</v>
      </c>
      <c r="AS430" s="48" t="s">
        <v>273</v>
      </c>
      <c r="AT430" s="48" t="s">
        <v>273</v>
      </c>
      <c r="AU430" s="93">
        <v>40330</v>
      </c>
      <c r="AV430" s="93"/>
      <c r="AW430" s="93"/>
      <c r="AX430" s="93"/>
      <c r="AY430" s="93"/>
    </row>
    <row r="431" spans="1:52" ht="16.5" customHeight="1" x14ac:dyDescent="0.15">
      <c r="A431" s="199" t="s">
        <v>4633</v>
      </c>
      <c r="B431" s="209" t="s">
        <v>4634</v>
      </c>
      <c r="C431" s="48" t="s">
        <v>330</v>
      </c>
      <c r="D431" s="62" t="s">
        <v>4635</v>
      </c>
      <c r="E431" s="48" t="s">
        <v>300</v>
      </c>
      <c r="F431" s="61">
        <v>42538</v>
      </c>
      <c r="G431" s="61">
        <v>42538</v>
      </c>
      <c r="H431" s="125">
        <v>42704</v>
      </c>
      <c r="I431" s="61" t="s">
        <v>279</v>
      </c>
      <c r="J431" s="87"/>
      <c r="K431" s="124" t="s">
        <v>4232</v>
      </c>
      <c r="L431" s="124" t="s">
        <v>4232</v>
      </c>
      <c r="M431" s="62" t="s">
        <v>442</v>
      </c>
      <c r="N431" s="62" t="s">
        <v>4636</v>
      </c>
      <c r="O431" s="48" t="s">
        <v>1894</v>
      </c>
      <c r="P431" s="48" t="s">
        <v>267</v>
      </c>
      <c r="Q431" s="48" t="s">
        <v>4637</v>
      </c>
      <c r="R431" s="48"/>
      <c r="S431" s="48" t="s">
        <v>4638</v>
      </c>
      <c r="T431" s="48" t="s">
        <v>4639</v>
      </c>
      <c r="U431" s="48" t="s">
        <v>4640</v>
      </c>
      <c r="V431" s="48"/>
      <c r="W431" s="48"/>
      <c r="X431" s="48"/>
      <c r="Y431" s="48"/>
      <c r="Z431" s="61"/>
      <c r="AA431" s="48" t="s">
        <v>273</v>
      </c>
      <c r="AB431" s="48" t="s">
        <v>273</v>
      </c>
      <c r="AC431" s="48" t="s">
        <v>273</v>
      </c>
      <c r="AD431" s="48" t="s">
        <v>273</v>
      </c>
      <c r="AE431" s="48" t="s">
        <v>273</v>
      </c>
      <c r="AF431" s="48" t="s">
        <v>273</v>
      </c>
      <c r="AG431" s="48" t="s">
        <v>273</v>
      </c>
      <c r="AH431" s="48" t="s">
        <v>273</v>
      </c>
      <c r="AI431" s="48" t="s">
        <v>273</v>
      </c>
      <c r="AJ431" s="48" t="s">
        <v>273</v>
      </c>
      <c r="AK431" s="48" t="s">
        <v>273</v>
      </c>
      <c r="AL431" s="48" t="s">
        <v>273</v>
      </c>
      <c r="AM431" s="48" t="s">
        <v>273</v>
      </c>
      <c r="AN431" s="48" t="s">
        <v>273</v>
      </c>
      <c r="AO431" s="48" t="s">
        <v>273</v>
      </c>
      <c r="AP431" s="48" t="s">
        <v>273</v>
      </c>
      <c r="AQ431" s="48" t="s">
        <v>273</v>
      </c>
      <c r="AR431" s="48" t="s">
        <v>273</v>
      </c>
      <c r="AS431" s="48" t="s">
        <v>273</v>
      </c>
      <c r="AT431" s="48" t="s">
        <v>273</v>
      </c>
      <c r="AU431" s="93">
        <v>38565</v>
      </c>
      <c r="AV431" s="93"/>
      <c r="AW431" s="93"/>
      <c r="AX431" s="93"/>
      <c r="AY431" s="93"/>
    </row>
    <row r="432" spans="1:52" ht="16.5" customHeight="1" x14ac:dyDescent="0.15">
      <c r="A432" s="153" t="s">
        <v>4641</v>
      </c>
      <c r="B432" s="154" t="s">
        <v>4642</v>
      </c>
      <c r="C432" s="48" t="s">
        <v>4643</v>
      </c>
      <c r="D432" s="62" t="s">
        <v>4644</v>
      </c>
      <c r="E432" s="48" t="s">
        <v>300</v>
      </c>
      <c r="F432" s="61">
        <v>42541</v>
      </c>
      <c r="G432" s="61">
        <v>42541</v>
      </c>
      <c r="H432" s="125">
        <v>42611</v>
      </c>
      <c r="I432" s="61" t="s">
        <v>279</v>
      </c>
      <c r="J432" s="87"/>
      <c r="K432" s="62" t="s">
        <v>16</v>
      </c>
      <c r="L432" s="62">
        <v>3</v>
      </c>
      <c r="M432" s="62" t="s">
        <v>209</v>
      </c>
      <c r="N432" s="62" t="s">
        <v>4645</v>
      </c>
      <c r="O432" s="48" t="s">
        <v>1873</v>
      </c>
      <c r="P432" s="48" t="s">
        <v>4646</v>
      </c>
      <c r="Q432" s="48" t="s">
        <v>4647</v>
      </c>
      <c r="R432" s="48" t="s">
        <v>4648</v>
      </c>
      <c r="S432" s="48" t="s">
        <v>4638</v>
      </c>
      <c r="T432" s="48" t="s">
        <v>4639</v>
      </c>
      <c r="U432" s="48" t="s">
        <v>4649</v>
      </c>
      <c r="V432" s="122" t="s">
        <v>263</v>
      </c>
      <c r="W432" s="122" t="s">
        <v>263</v>
      </c>
      <c r="X432" s="48" t="s">
        <v>4650</v>
      </c>
      <c r="Y432" s="48" t="s">
        <v>4651</v>
      </c>
      <c r="Z432" s="61"/>
      <c r="AA432" s="48" t="s">
        <v>4652</v>
      </c>
      <c r="AB432" s="129" t="s">
        <v>2215</v>
      </c>
      <c r="AC432" s="48" t="s">
        <v>273</v>
      </c>
      <c r="AD432" s="48" t="s">
        <v>273</v>
      </c>
      <c r="AE432" s="48" t="s">
        <v>273</v>
      </c>
      <c r="AF432" s="48" t="s">
        <v>273</v>
      </c>
      <c r="AG432" s="48" t="s">
        <v>273</v>
      </c>
      <c r="AH432" s="48" t="s">
        <v>273</v>
      </c>
      <c r="AI432" s="48" t="s">
        <v>273</v>
      </c>
      <c r="AJ432" s="48" t="s">
        <v>273</v>
      </c>
      <c r="AK432" s="48" t="s">
        <v>4653</v>
      </c>
      <c r="AL432" s="48" t="s">
        <v>2216</v>
      </c>
      <c r="AM432" s="48" t="s">
        <v>273</v>
      </c>
      <c r="AN432" s="48" t="s">
        <v>273</v>
      </c>
      <c r="AO432" s="48" t="s">
        <v>273</v>
      </c>
      <c r="AP432" s="48" t="s">
        <v>273</v>
      </c>
      <c r="AQ432" s="48" t="s">
        <v>273</v>
      </c>
      <c r="AR432" s="48" t="s">
        <v>273</v>
      </c>
      <c r="AS432" s="48" t="s">
        <v>273</v>
      </c>
      <c r="AT432" s="48" t="s">
        <v>273</v>
      </c>
      <c r="AU432" s="93">
        <v>39417</v>
      </c>
      <c r="AV432" s="93"/>
      <c r="AW432" s="93"/>
      <c r="AX432" s="93"/>
      <c r="AY432" s="93"/>
    </row>
    <row r="433" spans="1:52" ht="16.5" customHeight="1" x14ac:dyDescent="0.15">
      <c r="A433" s="156" t="s">
        <v>4654</v>
      </c>
      <c r="B433" s="157" t="s">
        <v>4655</v>
      </c>
      <c r="C433" s="48" t="s">
        <v>330</v>
      </c>
      <c r="D433" s="62" t="s">
        <v>263</v>
      </c>
      <c r="E433" s="48" t="s">
        <v>300</v>
      </c>
      <c r="F433" s="61">
        <v>42541</v>
      </c>
      <c r="G433" s="61">
        <v>42541</v>
      </c>
      <c r="H433" s="125">
        <v>42622</v>
      </c>
      <c r="I433" s="61" t="s">
        <v>279</v>
      </c>
      <c r="J433" s="87"/>
      <c r="K433" s="124" t="s">
        <v>263</v>
      </c>
      <c r="L433" s="124" t="s">
        <v>263</v>
      </c>
      <c r="M433" s="62" t="s">
        <v>924</v>
      </c>
      <c r="N433" s="62" t="s">
        <v>4656</v>
      </c>
      <c r="O433" s="48" t="s">
        <v>926</v>
      </c>
      <c r="P433" s="48" t="s">
        <v>4657</v>
      </c>
      <c r="Q433" s="48" t="s">
        <v>4357</v>
      </c>
      <c r="R433" s="48" t="s">
        <v>4658</v>
      </c>
      <c r="S433" s="48" t="s">
        <v>4659</v>
      </c>
      <c r="T433" s="48" t="s">
        <v>4660</v>
      </c>
      <c r="U433" s="48" t="s">
        <v>306</v>
      </c>
      <c r="V433" s="122" t="s">
        <v>263</v>
      </c>
      <c r="W433" s="122" t="s">
        <v>263</v>
      </c>
      <c r="X433" s="48" t="s">
        <v>307</v>
      </c>
      <c r="Y433" s="48" t="s">
        <v>4661</v>
      </c>
      <c r="Z433" s="61"/>
      <c r="AA433" s="48" t="s">
        <v>273</v>
      </c>
      <c r="AB433" s="48" t="s">
        <v>273</v>
      </c>
      <c r="AC433" s="48" t="s">
        <v>273</v>
      </c>
      <c r="AD433" s="48" t="s">
        <v>273</v>
      </c>
      <c r="AE433" s="48" t="s">
        <v>273</v>
      </c>
      <c r="AF433" s="48" t="s">
        <v>273</v>
      </c>
      <c r="AG433" s="48" t="s">
        <v>273</v>
      </c>
      <c r="AH433" s="48" t="s">
        <v>273</v>
      </c>
      <c r="AI433" s="48" t="s">
        <v>273</v>
      </c>
      <c r="AJ433" s="48" t="s">
        <v>273</v>
      </c>
      <c r="AK433" s="48" t="s">
        <v>273</v>
      </c>
      <c r="AL433" s="48" t="s">
        <v>273</v>
      </c>
      <c r="AM433" s="48" t="s">
        <v>273</v>
      </c>
      <c r="AN433" s="48" t="s">
        <v>273</v>
      </c>
      <c r="AO433" s="48" t="s">
        <v>273</v>
      </c>
      <c r="AP433" s="48" t="s">
        <v>273</v>
      </c>
      <c r="AQ433" s="48" t="s">
        <v>273</v>
      </c>
      <c r="AR433" s="48" t="s">
        <v>273</v>
      </c>
      <c r="AS433" s="48" t="s">
        <v>273</v>
      </c>
      <c r="AT433" s="48" t="s">
        <v>273</v>
      </c>
      <c r="AU433" s="93">
        <v>37135</v>
      </c>
      <c r="AV433" s="93"/>
      <c r="AW433" s="93"/>
      <c r="AX433" s="93"/>
      <c r="AY433" s="93"/>
      <c r="AZ433" s="49" t="s">
        <v>4662</v>
      </c>
    </row>
    <row r="434" spans="1:52" ht="16.5" customHeight="1" x14ac:dyDescent="0.15">
      <c r="A434" s="121" t="s">
        <v>4663</v>
      </c>
      <c r="B434" s="47" t="s">
        <v>4664</v>
      </c>
      <c r="C434" s="48" t="e">
        <f ca="1">INDIRECT("'["&amp;$C$1&amp;".xls]"&amp;$B434&amp;"'!$i$7")</f>
        <v>#REF!</v>
      </c>
      <c r="D434" s="62" t="e">
        <f ca="1">INDIRECT("'["&amp;$C$1&amp;".xls]"&amp;$B434&amp;"'!$b$7")</f>
        <v>#REF!</v>
      </c>
      <c r="E434" s="48" t="e">
        <f ca="1">IF(INDIRECT("'["&amp;$C$1&amp;".xls]"&amp;$B434&amp;"'!$i$2")="","",INDIRECT("'["&amp;$C$1&amp;".xls]"&amp;$B434&amp;"'!$i$2"))</f>
        <v>#REF!</v>
      </c>
      <c r="F434" s="61" t="e">
        <f ca="1">INDIRECT("'["&amp;$C$1&amp;".xls]"&amp;$B434&amp;"'!$b$2")</f>
        <v>#REF!</v>
      </c>
      <c r="G434" s="61" t="e">
        <f ca="1">INDIRECT("'["&amp;$C$1&amp;".xls]"&amp;$B434&amp;"'!$a$20")</f>
        <v>#REF!</v>
      </c>
      <c r="H434" s="88" t="e">
        <f ca="1">INDIRECT("'["&amp;$C$1&amp;".xls]"&amp;$B434&amp;"'!$Q$22")</f>
        <v>#REF!</v>
      </c>
      <c r="I434" s="61" t="e">
        <f ca="1">INDIRECT("'["&amp;$C$1&amp;".xls]"&amp;$B434&amp;"'!$f$6")</f>
        <v>#REF!</v>
      </c>
      <c r="J434" s="87"/>
      <c r="K434" s="62" t="e">
        <f ca="1">INDIRECT("'["&amp;$C$1&amp;".xls]"&amp;$B434&amp;"'!$f$25")</f>
        <v>#REF!</v>
      </c>
      <c r="L434" s="62"/>
      <c r="M434" s="62" t="e">
        <f ca="1">INDIRECT("'["&amp;$C$1&amp;".xls]"&amp;$B434&amp;"'!$f$4")</f>
        <v>#REF!</v>
      </c>
      <c r="N434" s="62" t="e">
        <f ca="1">INDIRECT("'["&amp;$C$1&amp;".xls]"&amp;$B434&amp;"'!$i$4")</f>
        <v>#REF!</v>
      </c>
      <c r="O434" s="48" t="e">
        <f ca="1">INDIRECT("'["&amp;$C$1&amp;".xls]"&amp;$B434&amp;"'!$l$4")</f>
        <v>#REF!</v>
      </c>
      <c r="P434" s="48" t="e">
        <f ca="1">INDIRECT("'["&amp;$C$1&amp;".xls]"&amp;$B434&amp;"'!$b$5")</f>
        <v>#REF!</v>
      </c>
      <c r="Q434" s="48" t="e">
        <f ca="1">INDIRECT("'["&amp;$C$1&amp;".xls]"&amp;$B434&amp;"'!$f$5")</f>
        <v>#REF!</v>
      </c>
      <c r="R434" s="48"/>
      <c r="S434" s="48" t="e">
        <f ca="1">INDIRECT("'["&amp;$C$1&amp;".xls]"&amp;$B434&amp;"'!$i$5")</f>
        <v>#REF!</v>
      </c>
      <c r="T434" s="48" t="e">
        <f ca="1">INDIRECT("'["&amp;$C$1&amp;".xls]"&amp;$B434&amp;"'!$l$5")</f>
        <v>#REF!</v>
      </c>
      <c r="U434" s="48" t="e">
        <f ca="1">INDIRECT("'["&amp;$C$1&amp;".xls]"&amp;$B434&amp;"'!$b$4")</f>
        <v>#REF!</v>
      </c>
      <c r="V434" s="48"/>
      <c r="W434" s="48"/>
      <c r="X434" s="48"/>
      <c r="Y434" s="48"/>
      <c r="Z434" s="61"/>
      <c r="AA434" s="48" t="e">
        <f ca="1">IF(INDIRECT("'["&amp;$C$1&amp;".xls]"&amp;$B434&amp;"'!$P$25")="","",IF(INDIRECT("'["&amp;$C$1&amp;".xls]"&amp;$B434&amp;"'!$O$25")="済み",INDIRECT("'["&amp;$C$1&amp;".xls]"&amp;$B434&amp;"'!$P$25"),""))</f>
        <v>#REF!</v>
      </c>
      <c r="AB434" s="48" t="e">
        <f ca="1">IF(INDIRECT("'["&amp;$C$1&amp;".xls]"&amp;$B434&amp;"'!$P$26")="","",IF(INDIRECT("'["&amp;$C$1&amp;".xls]"&amp;$B434&amp;"'!$O$26")="済み",INDIRECT("'["&amp;$C$1&amp;".xls]"&amp;$B434&amp;"'!$P$26"),""))</f>
        <v>#REF!</v>
      </c>
      <c r="AC434" s="48" t="e">
        <f ca="1">IF(INDIRECT("'["&amp;$C$1&amp;".xls]"&amp;$B434&amp;"'!$P$27")="","",IF(INDIRECT("'["&amp;$C$1&amp;".xls]"&amp;$B434&amp;"'!$O$27")="済み",INDIRECT("'["&amp;$C$1&amp;".xls]"&amp;$B434&amp;"'!$P$27"),""))</f>
        <v>#REF!</v>
      </c>
      <c r="AD434" s="48" t="e">
        <f ca="1">IF(INDIRECT("'["&amp;$C$1&amp;".xls]"&amp;$B434&amp;"'!$P$28")="","",IF(INDIRECT("'["&amp;$C$1&amp;".xls]"&amp;$B434&amp;"'!$O$28")="済み",INDIRECT("'["&amp;$C$1&amp;".xls]"&amp;$B434&amp;"'!$P$28"),""))</f>
        <v>#REF!</v>
      </c>
      <c r="AE434" s="48" t="e">
        <f ca="1">IF(INDIRECT("'["&amp;$C$1&amp;".xls]"&amp;$B434&amp;"'!$P$29")="","",IF(INDIRECT("'["&amp;$C$1&amp;".xls]"&amp;$B434&amp;"'!$O$29")="済み",INDIRECT("'["&amp;$C$1&amp;".xls]"&amp;$B434&amp;"'!$P$29"),""))</f>
        <v>#REF!</v>
      </c>
      <c r="AF434" s="48" t="e">
        <f ca="1">IF(INDIRECT("'["&amp;$C$1&amp;".xls]"&amp;$B434&amp;"'!$P$30")="","",IF(INDIRECT("'["&amp;$C$1&amp;".xls]"&amp;$B434&amp;"'!$O$30")="済み",INDIRECT("'["&amp;$C$1&amp;".xls]"&amp;$B434&amp;"'!$P$30"),""))</f>
        <v>#REF!</v>
      </c>
      <c r="AG434" s="48" t="e">
        <f ca="1">IF(INDIRECT("'["&amp;$C$1&amp;".xls]"&amp;$B434&amp;"'!$P$31")="","",IF(INDIRECT("'["&amp;$C$1&amp;".xls]"&amp;$B434&amp;"'!$O$31")="済み",INDIRECT("'["&amp;$C$1&amp;".xls]"&amp;$B434&amp;"'!$P$31"),""))</f>
        <v>#REF!</v>
      </c>
      <c r="AH434" s="48" t="e">
        <f ca="1">IF(INDIRECT("'["&amp;$C$1&amp;".xls]"&amp;$B434&amp;"'!$P$32")="","",IF(INDIRECT("'["&amp;$C$1&amp;".xls]"&amp;$B434&amp;"'!$O$32")="済み",INDIRECT("'["&amp;$C$1&amp;".xls]"&amp;$B434&amp;"'!$P$32"),""))</f>
        <v>#REF!</v>
      </c>
      <c r="AI434" s="48" t="e">
        <f ca="1">IF(INDIRECT("'["&amp;$C$1&amp;".xls]"&amp;$B434&amp;"'!$P$33")="","",IF(INDIRECT("'["&amp;$C$1&amp;".xls]"&amp;$B434&amp;"'!$O$33")="済み",INDIRECT("'["&amp;$C$1&amp;".xls]"&amp;$B434&amp;"'!$P$33"),""))</f>
        <v>#REF!</v>
      </c>
      <c r="AJ434" s="48" t="e">
        <f ca="1">IF(INDIRECT("'["&amp;$C$1&amp;".xls]"&amp;$B434&amp;"'!$P$34")="","",IF(INDIRECT("'["&amp;$C$1&amp;".xls]"&amp;$B434&amp;"'!$O$34")="済み",INDIRECT("'["&amp;$C$1&amp;".xls]"&amp;$B434&amp;"'!$P$34"),""))</f>
        <v>#REF!</v>
      </c>
      <c r="AK434" s="48" t="e">
        <f ca="1">IF(INDIRECT("'["&amp;$C$1&amp;".xls]"&amp;$B434&amp;"'!$T25")="","",IF(INDIRECT("'["&amp;$C$1&amp;".xls]"&amp;$B434&amp;"'!$O$25")="済み",INDIRECT("'["&amp;$C$1&amp;".xls]"&amp;$B434&amp;"'!$T$25"),""))</f>
        <v>#REF!</v>
      </c>
      <c r="AL434" s="48" t="e">
        <f ca="1">IF(INDIRECT("'["&amp;$C$1&amp;".xls]"&amp;$B434&amp;"'!$T26")="","",IF(INDIRECT("'["&amp;$C$1&amp;".xls]"&amp;$B434&amp;"'!$O$26")="済み",INDIRECT("'["&amp;$C$1&amp;".xls]"&amp;$B434&amp;"'!$T$26"),""))</f>
        <v>#REF!</v>
      </c>
      <c r="AM434" s="48" t="e">
        <f ca="1">IF(INDIRECT("'["&amp;$C$1&amp;".xls]"&amp;$B434&amp;"'!$T27")="","",IF(INDIRECT("'["&amp;$C$1&amp;".xls]"&amp;$B434&amp;"'!$O$27")="済み",INDIRECT("'["&amp;$C$1&amp;".xls]"&amp;$B434&amp;"'!$T$27"),""))</f>
        <v>#REF!</v>
      </c>
      <c r="AN434" s="48" t="e">
        <f ca="1">IF(INDIRECT("'["&amp;$C$1&amp;".xls]"&amp;$B434&amp;"'!$T28")="","",IF(INDIRECT("'["&amp;$C$1&amp;".xls]"&amp;$B434&amp;"'!$O$28")="済み",INDIRECT("'["&amp;$C$1&amp;".xls]"&amp;$B434&amp;"'!$T$28"),""))</f>
        <v>#REF!</v>
      </c>
      <c r="AO434" s="48" t="e">
        <f ca="1">IF(INDIRECT("'["&amp;$C$1&amp;".xls]"&amp;$B434&amp;"'!$T29")="","",IF(INDIRECT("'["&amp;$C$1&amp;".xls]"&amp;$B434&amp;"'!$O$29")="済み",INDIRECT("'["&amp;$C$1&amp;".xls]"&amp;$B434&amp;"'!$T$29"),""))</f>
        <v>#REF!</v>
      </c>
      <c r="AP434" s="48" t="e">
        <f ca="1">IF(INDIRECT("'["&amp;$C$1&amp;".xls]"&amp;$B434&amp;"'!$T30")="","",IF(INDIRECT("'["&amp;$C$1&amp;".xls]"&amp;$B434&amp;"'!$O$30")="済み",INDIRECT("'["&amp;$C$1&amp;".xls]"&amp;$B434&amp;"'!$T$30"),""))</f>
        <v>#REF!</v>
      </c>
      <c r="AQ434" s="48" t="e">
        <f ca="1">IF(INDIRECT("'["&amp;$C$1&amp;".xls]"&amp;$B434&amp;"'!$T31")="","",IF(INDIRECT("'["&amp;$C$1&amp;".xls]"&amp;$B434&amp;"'!$O$31")="済み",INDIRECT("'["&amp;$C$1&amp;".xls]"&amp;$B434&amp;"'!$T$31"),""))</f>
        <v>#REF!</v>
      </c>
      <c r="AR434" s="48" t="e">
        <f ca="1">IF(INDIRECT("'["&amp;$C$1&amp;".xls]"&amp;$B434&amp;"'!$T32")="","",IF(INDIRECT("'["&amp;$C$1&amp;".xls]"&amp;$B434&amp;"'!$O$32")="済み",INDIRECT("'["&amp;$C$1&amp;".xls]"&amp;$B434&amp;"'!$T$32"),""))</f>
        <v>#REF!</v>
      </c>
      <c r="AS434" s="48" t="e">
        <f ca="1">IF(INDIRECT("'["&amp;$C$1&amp;".xls]"&amp;$B434&amp;"'!$T33")="","",IF(INDIRECT("'["&amp;$C$1&amp;".xls]"&amp;$B434&amp;"'!$O$33")="済み",INDIRECT("'["&amp;$C$1&amp;".xls]"&amp;$B434&amp;"'!$T$33"),""))</f>
        <v>#REF!</v>
      </c>
      <c r="AT434" s="48" t="e">
        <f ca="1">IF(INDIRECT("'["&amp;$C$1&amp;".xls]"&amp;$B434&amp;"'!$T34")="","",IF(INDIRECT("'["&amp;$C$1&amp;".xls]"&amp;$B434&amp;"'!$O$34")="済み",INDIRECT("'["&amp;$C$1&amp;".xls]"&amp;$B434&amp;"'!$T$34"),""))</f>
        <v>#REF!</v>
      </c>
      <c r="AU434" s="93" t="e">
        <f ca="1">INDIRECT("'["&amp;$C$1&amp;".xls]"&amp;$B434&amp;"'!$B$6")</f>
        <v>#REF!</v>
      </c>
      <c r="AV434" s="93"/>
      <c r="AW434" s="93"/>
      <c r="AX434" s="93"/>
      <c r="AY434" s="93"/>
    </row>
    <row r="435" spans="1:52" ht="16.5" customHeight="1" x14ac:dyDescent="0.15">
      <c r="A435" s="153" t="s">
        <v>4665</v>
      </c>
      <c r="B435" s="154" t="s">
        <v>4666</v>
      </c>
      <c r="C435" s="48" t="s">
        <v>298</v>
      </c>
      <c r="D435" s="62" t="s">
        <v>4667</v>
      </c>
      <c r="E435" s="48" t="s">
        <v>300</v>
      </c>
      <c r="F435" s="61">
        <v>42541</v>
      </c>
      <c r="G435" s="61">
        <v>42541</v>
      </c>
      <c r="H435" s="125">
        <v>42628</v>
      </c>
      <c r="I435" s="61" t="s">
        <v>279</v>
      </c>
      <c r="J435" s="87"/>
      <c r="K435" s="62" t="s">
        <v>16</v>
      </c>
      <c r="L435" s="62">
        <v>3</v>
      </c>
      <c r="M435" s="62" t="s">
        <v>755</v>
      </c>
      <c r="N435" s="62" t="s">
        <v>4668</v>
      </c>
      <c r="O435" s="48" t="s">
        <v>792</v>
      </c>
      <c r="P435" s="48" t="s">
        <v>4669</v>
      </c>
      <c r="Q435" s="48" t="s">
        <v>4357</v>
      </c>
      <c r="R435" s="48" t="s">
        <v>4670</v>
      </c>
      <c r="S435" s="48" t="s">
        <v>4359</v>
      </c>
      <c r="T435" s="48" t="s">
        <v>4671</v>
      </c>
      <c r="U435" s="48" t="s">
        <v>4672</v>
      </c>
      <c r="V435" s="122" t="s">
        <v>263</v>
      </c>
      <c r="W435" s="122" t="s">
        <v>263</v>
      </c>
      <c r="X435" s="48" t="s">
        <v>4364</v>
      </c>
      <c r="Y435" s="48" t="s">
        <v>4365</v>
      </c>
      <c r="Z435" s="61"/>
      <c r="AA435" s="48" t="s">
        <v>1056</v>
      </c>
      <c r="AB435" s="48" t="s">
        <v>273</v>
      </c>
      <c r="AC435" s="48" t="s">
        <v>273</v>
      </c>
      <c r="AD435" s="48" t="s">
        <v>273</v>
      </c>
      <c r="AE435" s="48" t="s">
        <v>273</v>
      </c>
      <c r="AF435" s="48" t="s">
        <v>273</v>
      </c>
      <c r="AG435" s="48" t="s">
        <v>273</v>
      </c>
      <c r="AH435" s="48" t="s">
        <v>273</v>
      </c>
      <c r="AI435" s="48" t="s">
        <v>273</v>
      </c>
      <c r="AJ435" s="48" t="s">
        <v>273</v>
      </c>
      <c r="AK435" s="48" t="s">
        <v>1059</v>
      </c>
      <c r="AL435" s="48" t="s">
        <v>273</v>
      </c>
      <c r="AM435" s="48" t="s">
        <v>273</v>
      </c>
      <c r="AN435" s="48" t="s">
        <v>273</v>
      </c>
      <c r="AO435" s="48" t="s">
        <v>273</v>
      </c>
      <c r="AP435" s="48" t="s">
        <v>273</v>
      </c>
      <c r="AQ435" s="48" t="s">
        <v>273</v>
      </c>
      <c r="AR435" s="48" t="s">
        <v>273</v>
      </c>
      <c r="AS435" s="48" t="s">
        <v>273</v>
      </c>
      <c r="AT435" s="48" t="s">
        <v>273</v>
      </c>
      <c r="AU435" s="93">
        <v>39845</v>
      </c>
      <c r="AV435" s="93"/>
      <c r="AW435" s="93"/>
      <c r="AX435" s="93"/>
      <c r="AY435" s="93"/>
    </row>
    <row r="436" spans="1:52" ht="16.5" customHeight="1" x14ac:dyDescent="0.15">
      <c r="A436" s="146" t="s">
        <v>4673</v>
      </c>
      <c r="B436" s="147" t="s">
        <v>4674</v>
      </c>
      <c r="C436" s="48" t="s">
        <v>298</v>
      </c>
      <c r="D436" s="62" t="s">
        <v>4675</v>
      </c>
      <c r="E436" s="48" t="s">
        <v>264</v>
      </c>
      <c r="F436" s="61">
        <v>42542</v>
      </c>
      <c r="G436" s="61">
        <v>42542</v>
      </c>
      <c r="H436" s="125">
        <v>42549</v>
      </c>
      <c r="I436" s="61" t="s">
        <v>279</v>
      </c>
      <c r="J436" s="87"/>
      <c r="K436" s="62" t="s">
        <v>16</v>
      </c>
      <c r="L436" s="62">
        <v>3</v>
      </c>
      <c r="M436" s="62" t="s">
        <v>209</v>
      </c>
      <c r="N436" s="62" t="s">
        <v>4676</v>
      </c>
      <c r="O436" s="48" t="s">
        <v>4677</v>
      </c>
      <c r="P436" s="48" t="s">
        <v>267</v>
      </c>
      <c r="Q436" s="48" t="s">
        <v>1482</v>
      </c>
      <c r="R436" s="48" t="s">
        <v>1483</v>
      </c>
      <c r="S436" s="48" t="s">
        <v>1484</v>
      </c>
      <c r="T436" s="48" t="s">
        <v>1485</v>
      </c>
      <c r="U436" s="48" t="s">
        <v>4678</v>
      </c>
      <c r="V436" s="122" t="s">
        <v>263</v>
      </c>
      <c r="W436" s="122" t="s">
        <v>263</v>
      </c>
      <c r="X436" s="48" t="s">
        <v>4679</v>
      </c>
      <c r="Y436" s="48" t="s">
        <v>4680</v>
      </c>
      <c r="Z436" s="61"/>
      <c r="AA436" s="48" t="s">
        <v>273</v>
      </c>
      <c r="AB436" s="48" t="s">
        <v>273</v>
      </c>
      <c r="AC436" s="48" t="s">
        <v>273</v>
      </c>
      <c r="AD436" s="48" t="s">
        <v>273</v>
      </c>
      <c r="AE436" s="48" t="s">
        <v>273</v>
      </c>
      <c r="AF436" s="48" t="s">
        <v>273</v>
      </c>
      <c r="AG436" s="48" t="s">
        <v>273</v>
      </c>
      <c r="AH436" s="48" t="s">
        <v>273</v>
      </c>
      <c r="AI436" s="48" t="s">
        <v>273</v>
      </c>
      <c r="AJ436" s="48" t="s">
        <v>273</v>
      </c>
      <c r="AK436" s="48" t="s">
        <v>273</v>
      </c>
      <c r="AL436" s="48" t="s">
        <v>273</v>
      </c>
      <c r="AM436" s="48" t="s">
        <v>273</v>
      </c>
      <c r="AN436" s="48" t="s">
        <v>273</v>
      </c>
      <c r="AO436" s="48" t="s">
        <v>273</v>
      </c>
      <c r="AP436" s="48" t="s">
        <v>273</v>
      </c>
      <c r="AQ436" s="48" t="s">
        <v>273</v>
      </c>
      <c r="AR436" s="48" t="s">
        <v>273</v>
      </c>
      <c r="AS436" s="48" t="s">
        <v>273</v>
      </c>
      <c r="AT436" s="48" t="s">
        <v>273</v>
      </c>
      <c r="AU436" s="93">
        <v>42278</v>
      </c>
      <c r="AV436" s="93"/>
      <c r="AW436" s="93"/>
      <c r="AX436" s="93"/>
      <c r="AY436" s="93"/>
      <c r="AZ436" s="49" t="s">
        <v>4681</v>
      </c>
    </row>
    <row r="437" spans="1:52" ht="16.5" customHeight="1" x14ac:dyDescent="0.15">
      <c r="A437" s="151" t="s">
        <v>4682</v>
      </c>
      <c r="B437" s="152" t="s">
        <v>4683</v>
      </c>
      <c r="C437" s="48" t="s">
        <v>4684</v>
      </c>
      <c r="D437" s="62" t="s">
        <v>263</v>
      </c>
      <c r="E437" s="48" t="s">
        <v>264</v>
      </c>
      <c r="F437" s="61">
        <v>42542</v>
      </c>
      <c r="G437" s="61">
        <v>42542</v>
      </c>
      <c r="H437" s="125">
        <v>42552</v>
      </c>
      <c r="I437" s="61" t="s">
        <v>1249</v>
      </c>
      <c r="J437" s="87"/>
      <c r="K437" s="62" t="s">
        <v>12</v>
      </c>
      <c r="L437" s="62">
        <v>3</v>
      </c>
      <c r="M437" s="62" t="s">
        <v>209</v>
      </c>
      <c r="N437" s="62" t="s">
        <v>4685</v>
      </c>
      <c r="O437" s="48" t="s">
        <v>266</v>
      </c>
      <c r="P437" s="48" t="s">
        <v>267</v>
      </c>
      <c r="Q437" s="48" t="s">
        <v>1249</v>
      </c>
      <c r="R437" s="48"/>
      <c r="S437" s="48" t="s">
        <v>269</v>
      </c>
      <c r="T437" s="48" t="s">
        <v>270</v>
      </c>
      <c r="U437" s="48" t="s">
        <v>4686</v>
      </c>
      <c r="V437" s="48"/>
      <c r="W437" s="48"/>
      <c r="X437" s="48"/>
      <c r="Y437" s="48"/>
      <c r="Z437" s="61"/>
      <c r="AA437" s="48" t="s">
        <v>547</v>
      </c>
      <c r="AB437" s="48" t="s">
        <v>548</v>
      </c>
      <c r="AC437" s="48" t="s">
        <v>273</v>
      </c>
      <c r="AD437" s="48" t="s">
        <v>273</v>
      </c>
      <c r="AE437" s="48" t="s">
        <v>273</v>
      </c>
      <c r="AF437" s="48" t="s">
        <v>273</v>
      </c>
      <c r="AG437" s="48" t="s">
        <v>273</v>
      </c>
      <c r="AH437" s="48" t="s">
        <v>273</v>
      </c>
      <c r="AI437" s="48" t="s">
        <v>273</v>
      </c>
      <c r="AJ437" s="48" t="s">
        <v>273</v>
      </c>
      <c r="AK437" s="48" t="s">
        <v>4687</v>
      </c>
      <c r="AL437" s="48" t="s">
        <v>4688</v>
      </c>
      <c r="AM437" s="48" t="s">
        <v>273</v>
      </c>
      <c r="AN437" s="48" t="s">
        <v>273</v>
      </c>
      <c r="AO437" s="48" t="s">
        <v>273</v>
      </c>
      <c r="AP437" s="48" t="s">
        <v>273</v>
      </c>
      <c r="AQ437" s="48" t="s">
        <v>273</v>
      </c>
      <c r="AR437" s="48" t="s">
        <v>273</v>
      </c>
      <c r="AS437" s="48" t="s">
        <v>273</v>
      </c>
      <c r="AT437" s="48" t="s">
        <v>273</v>
      </c>
      <c r="AU437" s="93">
        <v>39508</v>
      </c>
      <c r="AV437" s="93"/>
      <c r="AW437" s="93"/>
      <c r="AX437" s="93"/>
      <c r="AY437" s="93"/>
    </row>
    <row r="438" spans="1:52" ht="16.5" customHeight="1" x14ac:dyDescent="0.15">
      <c r="A438" s="156" t="s">
        <v>4689</v>
      </c>
      <c r="B438" s="157" t="s">
        <v>4690</v>
      </c>
      <c r="C438" s="48" t="s">
        <v>298</v>
      </c>
      <c r="D438" s="62" t="s">
        <v>4691</v>
      </c>
      <c r="E438" s="48" t="s">
        <v>300</v>
      </c>
      <c r="F438" s="61">
        <v>42543</v>
      </c>
      <c r="G438" s="61">
        <v>42543</v>
      </c>
      <c r="H438" s="125">
        <v>42629</v>
      </c>
      <c r="I438" s="61" t="s">
        <v>279</v>
      </c>
      <c r="J438" s="87"/>
      <c r="K438" s="62" t="s">
        <v>16</v>
      </c>
      <c r="L438" s="124" t="s">
        <v>263</v>
      </c>
      <c r="M438" s="62" t="s">
        <v>3893</v>
      </c>
      <c r="N438" s="62" t="s">
        <v>4692</v>
      </c>
      <c r="O438" s="48" t="s">
        <v>4693</v>
      </c>
      <c r="P438" s="48" t="s">
        <v>4694</v>
      </c>
      <c r="Q438" s="48" t="s">
        <v>4695</v>
      </c>
      <c r="R438" s="48" t="s">
        <v>4696</v>
      </c>
      <c r="S438" s="48" t="s">
        <v>4697</v>
      </c>
      <c r="T438" s="48" t="s">
        <v>4698</v>
      </c>
      <c r="U438" s="48" t="s">
        <v>4699</v>
      </c>
      <c r="V438" s="48" t="s">
        <v>4700</v>
      </c>
      <c r="W438" s="48" t="s">
        <v>4701</v>
      </c>
      <c r="X438" s="48" t="s">
        <v>4702</v>
      </c>
      <c r="Y438" s="48" t="s">
        <v>4703</v>
      </c>
      <c r="Z438" s="61"/>
      <c r="AA438" s="48" t="s">
        <v>4704</v>
      </c>
      <c r="AB438" s="48" t="s">
        <v>273</v>
      </c>
      <c r="AC438" s="48" t="s">
        <v>273</v>
      </c>
      <c r="AD438" s="48" t="s">
        <v>273</v>
      </c>
      <c r="AE438" s="48" t="s">
        <v>273</v>
      </c>
      <c r="AF438" s="48" t="s">
        <v>273</v>
      </c>
      <c r="AG438" s="48" t="s">
        <v>273</v>
      </c>
      <c r="AH438" s="48" t="s">
        <v>273</v>
      </c>
      <c r="AI438" s="48" t="s">
        <v>273</v>
      </c>
      <c r="AJ438" s="48" t="s">
        <v>273</v>
      </c>
      <c r="AK438" s="48" t="s">
        <v>4705</v>
      </c>
      <c r="AL438" s="48" t="s">
        <v>273</v>
      </c>
      <c r="AM438" s="48" t="s">
        <v>273</v>
      </c>
      <c r="AN438" s="48" t="s">
        <v>273</v>
      </c>
      <c r="AO438" s="48" t="s">
        <v>273</v>
      </c>
      <c r="AP438" s="48" t="s">
        <v>273</v>
      </c>
      <c r="AQ438" s="48" t="s">
        <v>273</v>
      </c>
      <c r="AR438" s="48" t="s">
        <v>273</v>
      </c>
      <c r="AS438" s="48" t="s">
        <v>273</v>
      </c>
      <c r="AT438" s="48" t="s">
        <v>273</v>
      </c>
      <c r="AU438" s="93">
        <v>41730</v>
      </c>
      <c r="AV438" s="93"/>
      <c r="AW438" s="93"/>
      <c r="AX438" s="93"/>
      <c r="AY438" s="93"/>
      <c r="AZ438" s="49" t="s">
        <v>4706</v>
      </c>
    </row>
    <row r="439" spans="1:52" ht="16.5" customHeight="1" x14ac:dyDescent="0.15">
      <c r="A439" s="151" t="s">
        <v>4707</v>
      </c>
      <c r="B439" s="152" t="s">
        <v>4708</v>
      </c>
      <c r="C439" s="48" t="s">
        <v>298</v>
      </c>
      <c r="D439" s="62" t="s">
        <v>263</v>
      </c>
      <c r="E439" s="48" t="s">
        <v>300</v>
      </c>
      <c r="F439" s="61">
        <v>42543</v>
      </c>
      <c r="G439" s="61">
        <v>42543</v>
      </c>
      <c r="H439" s="125">
        <v>42565</v>
      </c>
      <c r="I439" s="61" t="s">
        <v>279</v>
      </c>
      <c r="J439" s="87"/>
      <c r="K439" s="124" t="s">
        <v>263</v>
      </c>
      <c r="L439" s="124" t="s">
        <v>263</v>
      </c>
      <c r="M439" s="62" t="s">
        <v>924</v>
      </c>
      <c r="N439" s="62" t="s">
        <v>4709</v>
      </c>
      <c r="O439" s="48" t="s">
        <v>1202</v>
      </c>
      <c r="P439" s="48" t="s">
        <v>4710</v>
      </c>
      <c r="Q439" s="48" t="s">
        <v>1386</v>
      </c>
      <c r="R439" s="48" t="s">
        <v>1387</v>
      </c>
      <c r="S439" s="48" t="s">
        <v>1388</v>
      </c>
      <c r="T439" s="48" t="s">
        <v>1389</v>
      </c>
      <c r="U439" s="48" t="s">
        <v>3284</v>
      </c>
      <c r="V439" s="48"/>
      <c r="W439" s="48"/>
      <c r="X439" s="48"/>
      <c r="Y439" s="48"/>
      <c r="Z439" s="61"/>
      <c r="AA439" s="48" t="s">
        <v>273</v>
      </c>
      <c r="AB439" s="48" t="s">
        <v>273</v>
      </c>
      <c r="AC439" s="48" t="s">
        <v>273</v>
      </c>
      <c r="AD439" s="48" t="s">
        <v>273</v>
      </c>
      <c r="AE439" s="48" t="s">
        <v>273</v>
      </c>
      <c r="AF439" s="48" t="s">
        <v>273</v>
      </c>
      <c r="AG439" s="48" t="s">
        <v>273</v>
      </c>
      <c r="AH439" s="48" t="s">
        <v>273</v>
      </c>
      <c r="AI439" s="48" t="s">
        <v>273</v>
      </c>
      <c r="AJ439" s="48" t="s">
        <v>273</v>
      </c>
      <c r="AK439" s="48" t="s">
        <v>273</v>
      </c>
      <c r="AL439" s="48" t="s">
        <v>273</v>
      </c>
      <c r="AM439" s="48" t="s">
        <v>273</v>
      </c>
      <c r="AN439" s="48" t="s">
        <v>273</v>
      </c>
      <c r="AO439" s="48" t="s">
        <v>273</v>
      </c>
      <c r="AP439" s="48" t="s">
        <v>273</v>
      </c>
      <c r="AQ439" s="48" t="s">
        <v>273</v>
      </c>
      <c r="AR439" s="48" t="s">
        <v>273</v>
      </c>
      <c r="AS439" s="48" t="s">
        <v>273</v>
      </c>
      <c r="AT439" s="48" t="s">
        <v>273</v>
      </c>
      <c r="AU439" s="93">
        <v>37500</v>
      </c>
      <c r="AV439" s="93"/>
      <c r="AW439" s="93"/>
      <c r="AX439" s="93"/>
      <c r="AY439" s="93"/>
      <c r="AZ439" s="49" t="s">
        <v>4711</v>
      </c>
    </row>
    <row r="440" spans="1:52" ht="16.5" customHeight="1" x14ac:dyDescent="0.15">
      <c r="A440" s="156" t="s">
        <v>4712</v>
      </c>
      <c r="B440" s="157" t="s">
        <v>4713</v>
      </c>
      <c r="C440" s="48" t="s">
        <v>298</v>
      </c>
      <c r="D440" s="62" t="s">
        <v>4714</v>
      </c>
      <c r="E440" s="48" t="s">
        <v>264</v>
      </c>
      <c r="F440" s="61">
        <v>42544</v>
      </c>
      <c r="G440" s="61">
        <v>42544</v>
      </c>
      <c r="H440" s="125">
        <v>42633</v>
      </c>
      <c r="I440" s="61" t="s">
        <v>279</v>
      </c>
      <c r="J440" s="87"/>
      <c r="K440" s="62" t="s">
        <v>16</v>
      </c>
      <c r="L440" s="62">
        <v>3</v>
      </c>
      <c r="M440" s="62" t="s">
        <v>651</v>
      </c>
      <c r="N440" s="62" t="s">
        <v>4715</v>
      </c>
      <c r="O440" s="48" t="s">
        <v>1799</v>
      </c>
      <c r="P440" s="48" t="s">
        <v>267</v>
      </c>
      <c r="Q440" s="48" t="s">
        <v>2440</v>
      </c>
      <c r="R440" s="48" t="s">
        <v>2441</v>
      </c>
      <c r="S440" s="48" t="s">
        <v>2442</v>
      </c>
      <c r="T440" s="48" t="s">
        <v>2443</v>
      </c>
      <c r="U440" s="48" t="s">
        <v>4716</v>
      </c>
      <c r="V440" s="122" t="s">
        <v>263</v>
      </c>
      <c r="W440" s="122" t="s">
        <v>263</v>
      </c>
      <c r="X440" s="48" t="s">
        <v>4717</v>
      </c>
      <c r="Y440" s="48" t="s">
        <v>4718</v>
      </c>
      <c r="Z440" s="61"/>
      <c r="AA440" s="48" t="s">
        <v>1656</v>
      </c>
      <c r="AB440" s="48" t="s">
        <v>273</v>
      </c>
      <c r="AC440" s="48" t="s">
        <v>273</v>
      </c>
      <c r="AD440" s="48" t="s">
        <v>273</v>
      </c>
      <c r="AE440" s="48" t="s">
        <v>273</v>
      </c>
      <c r="AF440" s="48" t="s">
        <v>273</v>
      </c>
      <c r="AG440" s="48" t="s">
        <v>273</v>
      </c>
      <c r="AH440" s="48" t="s">
        <v>273</v>
      </c>
      <c r="AI440" s="48" t="s">
        <v>273</v>
      </c>
      <c r="AJ440" s="48" t="s">
        <v>273</v>
      </c>
      <c r="AK440" s="48" t="s">
        <v>3464</v>
      </c>
      <c r="AL440" s="48" t="s">
        <v>273</v>
      </c>
      <c r="AM440" s="48" t="s">
        <v>273</v>
      </c>
      <c r="AN440" s="48" t="s">
        <v>273</v>
      </c>
      <c r="AO440" s="48" t="s">
        <v>273</v>
      </c>
      <c r="AP440" s="48" t="s">
        <v>273</v>
      </c>
      <c r="AQ440" s="48" t="s">
        <v>273</v>
      </c>
      <c r="AR440" s="48" t="s">
        <v>273</v>
      </c>
      <c r="AS440" s="48" t="s">
        <v>273</v>
      </c>
      <c r="AT440" s="48" t="s">
        <v>273</v>
      </c>
      <c r="AU440" s="93">
        <v>42125</v>
      </c>
      <c r="AV440" s="93"/>
      <c r="AW440" s="93"/>
      <c r="AX440" s="93"/>
      <c r="AY440" s="93"/>
      <c r="AZ440" s="49" t="s">
        <v>4719</v>
      </c>
    </row>
    <row r="441" spans="1:52" ht="16.5" customHeight="1" x14ac:dyDescent="0.15">
      <c r="A441" s="153" t="s">
        <v>4720</v>
      </c>
      <c r="B441" s="154" t="s">
        <v>4721</v>
      </c>
      <c r="C441" s="48" t="s">
        <v>330</v>
      </c>
      <c r="D441" s="62" t="s">
        <v>4722</v>
      </c>
      <c r="E441" s="48" t="s">
        <v>300</v>
      </c>
      <c r="F441" s="61">
        <v>42544</v>
      </c>
      <c r="G441" s="61">
        <v>42544</v>
      </c>
      <c r="H441" s="125">
        <v>42584</v>
      </c>
      <c r="I441" s="61" t="s">
        <v>279</v>
      </c>
      <c r="J441" s="87"/>
      <c r="K441" s="62" t="s">
        <v>16</v>
      </c>
      <c r="L441" s="62">
        <v>3</v>
      </c>
      <c r="M441" s="62" t="s">
        <v>362</v>
      </c>
      <c r="N441" s="62" t="s">
        <v>4723</v>
      </c>
      <c r="O441" s="48" t="s">
        <v>263</v>
      </c>
      <c r="P441" s="48" t="s">
        <v>4724</v>
      </c>
      <c r="Q441" s="48" t="s">
        <v>4725</v>
      </c>
      <c r="R441" s="48" t="s">
        <v>4726</v>
      </c>
      <c r="S441" s="48" t="s">
        <v>4727</v>
      </c>
      <c r="T441" s="48" t="s">
        <v>4728</v>
      </c>
      <c r="U441" s="48" t="s">
        <v>4729</v>
      </c>
      <c r="V441" s="122" t="s">
        <v>263</v>
      </c>
      <c r="W441" s="122" t="s">
        <v>263</v>
      </c>
      <c r="X441" s="48" t="s">
        <v>4730</v>
      </c>
      <c r="Y441" s="48" t="s">
        <v>4731</v>
      </c>
      <c r="Z441" s="61"/>
      <c r="AA441" s="122" t="s">
        <v>4732</v>
      </c>
      <c r="AB441" s="122" t="s">
        <v>4733</v>
      </c>
      <c r="AC441" s="48" t="s">
        <v>273</v>
      </c>
      <c r="AD441" s="48" t="s">
        <v>273</v>
      </c>
      <c r="AE441" s="48" t="s">
        <v>273</v>
      </c>
      <c r="AF441" s="48" t="s">
        <v>273</v>
      </c>
      <c r="AG441" s="48" t="s">
        <v>273</v>
      </c>
      <c r="AH441" s="48" t="s">
        <v>273</v>
      </c>
      <c r="AI441" s="48" t="s">
        <v>273</v>
      </c>
      <c r="AJ441" s="48" t="s">
        <v>273</v>
      </c>
      <c r="AK441" s="48" t="s">
        <v>3114</v>
      </c>
      <c r="AL441" s="48" t="s">
        <v>1839</v>
      </c>
      <c r="AM441" s="48" t="s">
        <v>273</v>
      </c>
      <c r="AN441" s="48" t="s">
        <v>273</v>
      </c>
      <c r="AO441" s="48" t="s">
        <v>273</v>
      </c>
      <c r="AP441" s="48" t="s">
        <v>273</v>
      </c>
      <c r="AQ441" s="48" t="s">
        <v>273</v>
      </c>
      <c r="AR441" s="48" t="s">
        <v>273</v>
      </c>
      <c r="AS441" s="48" t="s">
        <v>273</v>
      </c>
      <c r="AT441" s="48" t="s">
        <v>273</v>
      </c>
      <c r="AU441" s="93" t="s">
        <v>263</v>
      </c>
      <c r="AV441" s="93"/>
      <c r="AW441" s="93"/>
      <c r="AX441" s="93"/>
      <c r="AY441" s="93"/>
    </row>
    <row r="442" spans="1:52" ht="16.5" customHeight="1" x14ac:dyDescent="0.15">
      <c r="A442" s="151" t="s">
        <v>4734</v>
      </c>
      <c r="B442" s="152" t="s">
        <v>4735</v>
      </c>
      <c r="C442" s="48" t="s">
        <v>4736</v>
      </c>
      <c r="D442" s="62" t="s">
        <v>263</v>
      </c>
      <c r="E442" s="48" t="s">
        <v>264</v>
      </c>
      <c r="F442" s="61">
        <v>42545</v>
      </c>
      <c r="G442" s="61">
        <v>42545</v>
      </c>
      <c r="H442" s="125">
        <v>42566</v>
      </c>
      <c r="I442" s="61" t="s">
        <v>279</v>
      </c>
      <c r="J442" s="87"/>
      <c r="K442" s="62" t="s">
        <v>12</v>
      </c>
      <c r="L442" s="62">
        <v>3</v>
      </c>
      <c r="M442" s="62" t="s">
        <v>209</v>
      </c>
      <c r="N442" s="62" t="s">
        <v>1735</v>
      </c>
      <c r="O442" s="48" t="s">
        <v>1736</v>
      </c>
      <c r="P442" s="48" t="s">
        <v>267</v>
      </c>
      <c r="Q442" s="48" t="s">
        <v>263</v>
      </c>
      <c r="R442" s="122" t="s">
        <v>263</v>
      </c>
      <c r="S442" s="48" t="s">
        <v>269</v>
      </c>
      <c r="T442" s="48" t="s">
        <v>270</v>
      </c>
      <c r="U442" s="48" t="s">
        <v>4737</v>
      </c>
      <c r="V442" s="122" t="s">
        <v>263</v>
      </c>
      <c r="W442" s="122" t="s">
        <v>263</v>
      </c>
      <c r="X442" s="122" t="s">
        <v>263</v>
      </c>
      <c r="Y442" s="122" t="s">
        <v>263</v>
      </c>
      <c r="Z442" s="61"/>
      <c r="AA442" s="48" t="s">
        <v>1139</v>
      </c>
      <c r="AB442" s="48" t="s">
        <v>327</v>
      </c>
      <c r="AC442" s="48"/>
      <c r="AD442" s="48" t="s">
        <v>273</v>
      </c>
      <c r="AE442" s="48" t="s">
        <v>273</v>
      </c>
      <c r="AF442" s="48" t="s">
        <v>273</v>
      </c>
      <c r="AG442" s="48" t="s">
        <v>273</v>
      </c>
      <c r="AH442" s="48" t="s">
        <v>273</v>
      </c>
      <c r="AI442" s="48" t="s">
        <v>273</v>
      </c>
      <c r="AJ442" s="48" t="s">
        <v>273</v>
      </c>
      <c r="AK442" s="48" t="s">
        <v>1140</v>
      </c>
      <c r="AL442" s="48" t="s">
        <v>274</v>
      </c>
      <c r="AM442" s="48"/>
      <c r="AN442" s="48" t="s">
        <v>273</v>
      </c>
      <c r="AO442" s="48" t="s">
        <v>273</v>
      </c>
      <c r="AP442" s="48" t="s">
        <v>273</v>
      </c>
      <c r="AQ442" s="48" t="s">
        <v>273</v>
      </c>
      <c r="AR442" s="48" t="s">
        <v>273</v>
      </c>
      <c r="AS442" s="48" t="s">
        <v>273</v>
      </c>
      <c r="AT442" s="48" t="s">
        <v>273</v>
      </c>
      <c r="AU442" s="93">
        <v>39569</v>
      </c>
      <c r="AV442" s="93"/>
      <c r="AW442" s="93"/>
      <c r="AX442" s="93"/>
      <c r="AY442" s="93"/>
    </row>
    <row r="443" spans="1:52" ht="16.5" customHeight="1" x14ac:dyDescent="0.15">
      <c r="A443" s="156" t="s">
        <v>4738</v>
      </c>
      <c r="B443" s="157" t="s">
        <v>4739</v>
      </c>
      <c r="C443" s="48" t="s">
        <v>298</v>
      </c>
      <c r="D443" s="62" t="s">
        <v>4740</v>
      </c>
      <c r="E443" s="48" t="s">
        <v>300</v>
      </c>
      <c r="F443" s="61">
        <v>42545</v>
      </c>
      <c r="G443" s="61">
        <v>42545</v>
      </c>
      <c r="H443" s="125">
        <v>42629</v>
      </c>
      <c r="I443" s="61">
        <v>41282</v>
      </c>
      <c r="J443" s="87"/>
      <c r="K443" s="62" t="s">
        <v>16</v>
      </c>
      <c r="L443" s="124" t="s">
        <v>263</v>
      </c>
      <c r="M443" s="62" t="s">
        <v>4176</v>
      </c>
      <c r="N443" s="62" t="s">
        <v>4741</v>
      </c>
      <c r="O443" s="48" t="s">
        <v>4742</v>
      </c>
      <c r="P443" s="48" t="s">
        <v>4743</v>
      </c>
      <c r="Q443" s="48" t="s">
        <v>4744</v>
      </c>
      <c r="R443" s="48" t="s">
        <v>538</v>
      </c>
      <c r="S443" s="48" t="s">
        <v>4745</v>
      </c>
      <c r="T443" s="48" t="s">
        <v>4746</v>
      </c>
      <c r="U443" s="48" t="s">
        <v>4747</v>
      </c>
      <c r="V443" s="48" t="s">
        <v>4748</v>
      </c>
      <c r="W443" s="48" t="s">
        <v>4749</v>
      </c>
      <c r="X443" s="48" t="s">
        <v>4750</v>
      </c>
      <c r="Y443" s="48" t="s">
        <v>4751</v>
      </c>
      <c r="Z443" s="61"/>
      <c r="AA443" s="48" t="s">
        <v>4200</v>
      </c>
      <c r="AB443" s="48" t="s">
        <v>273</v>
      </c>
      <c r="AC443" s="48" t="s">
        <v>273</v>
      </c>
      <c r="AD443" s="48" t="s">
        <v>273</v>
      </c>
      <c r="AE443" s="48" t="s">
        <v>273</v>
      </c>
      <c r="AF443" s="48" t="s">
        <v>273</v>
      </c>
      <c r="AG443" s="48" t="s">
        <v>273</v>
      </c>
      <c r="AH443" s="48" t="s">
        <v>273</v>
      </c>
      <c r="AI443" s="48" t="s">
        <v>273</v>
      </c>
      <c r="AJ443" s="48" t="s">
        <v>273</v>
      </c>
      <c r="AK443" s="48" t="s">
        <v>4201</v>
      </c>
      <c r="AL443" s="48" t="s">
        <v>273</v>
      </c>
      <c r="AM443" s="48" t="s">
        <v>273</v>
      </c>
      <c r="AN443" s="48" t="s">
        <v>273</v>
      </c>
      <c r="AO443" s="48" t="s">
        <v>273</v>
      </c>
      <c r="AP443" s="48" t="s">
        <v>273</v>
      </c>
      <c r="AQ443" s="48" t="s">
        <v>273</v>
      </c>
      <c r="AR443" s="48" t="s">
        <v>273</v>
      </c>
      <c r="AS443" s="48" t="s">
        <v>273</v>
      </c>
      <c r="AT443" s="48" t="s">
        <v>273</v>
      </c>
      <c r="AU443" s="93">
        <v>41122</v>
      </c>
      <c r="AV443" s="93"/>
      <c r="AW443" s="93"/>
      <c r="AX443" s="93"/>
      <c r="AY443" s="93"/>
      <c r="AZ443" s="49" t="s">
        <v>4752</v>
      </c>
    </row>
    <row r="444" spans="1:52" ht="16.5" customHeight="1" x14ac:dyDescent="0.15">
      <c r="A444" s="199" t="s">
        <v>4753</v>
      </c>
      <c r="B444" s="209" t="s">
        <v>4754</v>
      </c>
      <c r="C444" s="48" t="s">
        <v>298</v>
      </c>
      <c r="D444" s="62" t="s">
        <v>4755</v>
      </c>
      <c r="E444" s="48" t="s">
        <v>300</v>
      </c>
      <c r="F444" s="61">
        <v>42545</v>
      </c>
      <c r="G444" s="61">
        <v>42545</v>
      </c>
      <c r="H444" s="125">
        <v>42689</v>
      </c>
      <c r="I444" s="61" t="s">
        <v>279</v>
      </c>
      <c r="J444" s="87"/>
      <c r="K444" s="62" t="s">
        <v>2506</v>
      </c>
      <c r="L444" s="62">
        <v>3</v>
      </c>
      <c r="M444" s="62" t="s">
        <v>680</v>
      </c>
      <c r="N444" s="62" t="s">
        <v>4756</v>
      </c>
      <c r="O444" s="48" t="s">
        <v>2281</v>
      </c>
      <c r="P444" s="48" t="s">
        <v>2573</v>
      </c>
      <c r="Q444" s="48" t="s">
        <v>2574</v>
      </c>
      <c r="R444" s="48" t="s">
        <v>2575</v>
      </c>
      <c r="S444" s="48" t="s">
        <v>2576</v>
      </c>
      <c r="T444" s="48" t="s">
        <v>2577</v>
      </c>
      <c r="U444" s="48" t="s">
        <v>4757</v>
      </c>
      <c r="V444" s="122" t="s">
        <v>263</v>
      </c>
      <c r="W444" s="122" t="s">
        <v>4758</v>
      </c>
      <c r="X444" s="48" t="s">
        <v>4759</v>
      </c>
      <c r="Y444" s="48" t="s">
        <v>4760</v>
      </c>
      <c r="Z444" s="61"/>
      <c r="AA444" s="48" t="s">
        <v>833</v>
      </c>
      <c r="AB444" s="48" t="s">
        <v>273</v>
      </c>
      <c r="AC444" s="48" t="s">
        <v>273</v>
      </c>
      <c r="AD444" s="48" t="s">
        <v>273</v>
      </c>
      <c r="AE444" s="48" t="s">
        <v>273</v>
      </c>
      <c r="AF444" s="48" t="s">
        <v>273</v>
      </c>
      <c r="AG444" s="48" t="s">
        <v>273</v>
      </c>
      <c r="AH444" s="48" t="s">
        <v>273</v>
      </c>
      <c r="AI444" s="48" t="s">
        <v>273</v>
      </c>
      <c r="AJ444" s="48" t="s">
        <v>273</v>
      </c>
      <c r="AK444" s="48" t="s">
        <v>834</v>
      </c>
      <c r="AL444" s="48" t="s">
        <v>273</v>
      </c>
      <c r="AM444" s="48" t="s">
        <v>273</v>
      </c>
      <c r="AN444" s="48" t="s">
        <v>273</v>
      </c>
      <c r="AO444" s="48" t="s">
        <v>273</v>
      </c>
      <c r="AP444" s="48" t="s">
        <v>273</v>
      </c>
      <c r="AQ444" s="48" t="s">
        <v>273</v>
      </c>
      <c r="AR444" s="48" t="s">
        <v>273</v>
      </c>
      <c r="AS444" s="48" t="s">
        <v>273</v>
      </c>
      <c r="AT444" s="48" t="s">
        <v>273</v>
      </c>
      <c r="AU444" s="93">
        <v>40118</v>
      </c>
      <c r="AV444" s="93"/>
      <c r="AW444" s="93"/>
      <c r="AX444" s="93"/>
      <c r="AY444" s="93"/>
    </row>
    <row r="445" spans="1:52" ht="16.5" customHeight="1" x14ac:dyDescent="0.15">
      <c r="A445" s="151" t="s">
        <v>4761</v>
      </c>
      <c r="B445" s="152" t="s">
        <v>4762</v>
      </c>
      <c r="C445" s="48" t="s">
        <v>298</v>
      </c>
      <c r="D445" s="62" t="s">
        <v>4763</v>
      </c>
      <c r="E445" s="48" t="s">
        <v>300</v>
      </c>
      <c r="F445" s="61">
        <v>42545</v>
      </c>
      <c r="G445" s="61">
        <v>42545</v>
      </c>
      <c r="H445" s="125">
        <v>42570</v>
      </c>
      <c r="I445" s="61" t="s">
        <v>279</v>
      </c>
      <c r="J445" s="87"/>
      <c r="K445" s="62" t="s">
        <v>16</v>
      </c>
      <c r="L445" s="62">
        <v>3</v>
      </c>
      <c r="M445" s="62" t="s">
        <v>409</v>
      </c>
      <c r="N445" s="62" t="s">
        <v>4764</v>
      </c>
      <c r="O445" s="48" t="s">
        <v>4765</v>
      </c>
      <c r="P445" s="48" t="s">
        <v>4766</v>
      </c>
      <c r="Q445" s="48" t="s">
        <v>4767</v>
      </c>
      <c r="R445" s="48" t="s">
        <v>4768</v>
      </c>
      <c r="S445" s="48" t="s">
        <v>4769</v>
      </c>
      <c r="T445" s="48" t="s">
        <v>4770</v>
      </c>
      <c r="U445" s="48" t="s">
        <v>4771</v>
      </c>
      <c r="V445" s="48" t="s">
        <v>4772</v>
      </c>
      <c r="W445" s="48" t="s">
        <v>3401</v>
      </c>
      <c r="X445" s="48" t="s">
        <v>4773</v>
      </c>
      <c r="Y445" s="48" t="s">
        <v>4774</v>
      </c>
      <c r="Z445" s="61"/>
      <c r="AA445" s="48" t="s">
        <v>978</v>
      </c>
      <c r="AB445" s="48" t="s">
        <v>273</v>
      </c>
      <c r="AC445" s="48" t="s">
        <v>273</v>
      </c>
      <c r="AD445" s="48" t="s">
        <v>273</v>
      </c>
      <c r="AE445" s="48" t="s">
        <v>273</v>
      </c>
      <c r="AF445" s="48" t="s">
        <v>273</v>
      </c>
      <c r="AG445" s="48" t="s">
        <v>273</v>
      </c>
      <c r="AH445" s="48" t="s">
        <v>273</v>
      </c>
      <c r="AI445" s="48" t="s">
        <v>273</v>
      </c>
      <c r="AJ445" s="48" t="s">
        <v>273</v>
      </c>
      <c r="AK445" s="48" t="s">
        <v>600</v>
      </c>
      <c r="AL445" s="48" t="s">
        <v>273</v>
      </c>
      <c r="AM445" s="48" t="s">
        <v>273</v>
      </c>
      <c r="AN445" s="48" t="s">
        <v>273</v>
      </c>
      <c r="AO445" s="48" t="s">
        <v>273</v>
      </c>
      <c r="AP445" s="48" t="s">
        <v>273</v>
      </c>
      <c r="AQ445" s="48" t="s">
        <v>273</v>
      </c>
      <c r="AR445" s="48" t="s">
        <v>273</v>
      </c>
      <c r="AS445" s="48" t="s">
        <v>273</v>
      </c>
      <c r="AT445" s="48" t="s">
        <v>273</v>
      </c>
      <c r="AU445" s="93">
        <v>38808</v>
      </c>
      <c r="AV445" s="93"/>
      <c r="AW445" s="93"/>
      <c r="AX445" s="93"/>
      <c r="AY445" s="93"/>
    </row>
    <row r="446" spans="1:52" ht="16.5" customHeight="1" x14ac:dyDescent="0.15">
      <c r="A446" s="146" t="s">
        <v>4775</v>
      </c>
      <c r="B446" s="147" t="s">
        <v>4776</v>
      </c>
      <c r="C446" s="48" t="s">
        <v>298</v>
      </c>
      <c r="D446" s="62" t="s">
        <v>263</v>
      </c>
      <c r="E446" s="48" t="s">
        <v>264</v>
      </c>
      <c r="F446" s="61">
        <v>42545</v>
      </c>
      <c r="G446" s="61">
        <v>42545</v>
      </c>
      <c r="H446" s="125">
        <v>42549</v>
      </c>
      <c r="I446" s="61" t="s">
        <v>279</v>
      </c>
      <c r="J446" s="87"/>
      <c r="K446" s="62" t="s">
        <v>16</v>
      </c>
      <c r="L446" s="62">
        <v>5</v>
      </c>
      <c r="M446" s="62" t="s">
        <v>209</v>
      </c>
      <c r="N446" s="62" t="s">
        <v>4777</v>
      </c>
      <c r="O446" s="48" t="s">
        <v>2952</v>
      </c>
      <c r="P446" s="48" t="s">
        <v>4778</v>
      </c>
      <c r="Q446" s="48" t="s">
        <v>4779</v>
      </c>
      <c r="R446" s="48" t="s">
        <v>4780</v>
      </c>
      <c r="S446" s="48" t="s">
        <v>4781</v>
      </c>
      <c r="T446" s="48" t="s">
        <v>4782</v>
      </c>
      <c r="U446" s="48" t="s">
        <v>4783</v>
      </c>
      <c r="V446" s="122" t="s">
        <v>263</v>
      </c>
      <c r="W446" s="122" t="s">
        <v>263</v>
      </c>
      <c r="X446" s="48" t="s">
        <v>4784</v>
      </c>
      <c r="Y446" s="48" t="s">
        <v>4785</v>
      </c>
      <c r="Z446" s="61"/>
      <c r="AA446" s="48" t="s">
        <v>273</v>
      </c>
      <c r="AB446" s="48" t="s">
        <v>273</v>
      </c>
      <c r="AC446" s="48" t="s">
        <v>273</v>
      </c>
      <c r="AD446" s="48" t="s">
        <v>273</v>
      </c>
      <c r="AE446" s="48" t="s">
        <v>273</v>
      </c>
      <c r="AF446" s="48" t="s">
        <v>273</v>
      </c>
      <c r="AG446" s="48" t="s">
        <v>273</v>
      </c>
      <c r="AH446" s="48" t="s">
        <v>273</v>
      </c>
      <c r="AI446" s="48" t="s">
        <v>273</v>
      </c>
      <c r="AJ446" s="48" t="s">
        <v>273</v>
      </c>
      <c r="AK446" s="48" t="s">
        <v>273</v>
      </c>
      <c r="AL446" s="48" t="s">
        <v>273</v>
      </c>
      <c r="AM446" s="48" t="s">
        <v>273</v>
      </c>
      <c r="AN446" s="48" t="s">
        <v>273</v>
      </c>
      <c r="AO446" s="48" t="s">
        <v>273</v>
      </c>
      <c r="AP446" s="48" t="s">
        <v>273</v>
      </c>
      <c r="AQ446" s="48" t="s">
        <v>273</v>
      </c>
      <c r="AR446" s="48" t="s">
        <v>273</v>
      </c>
      <c r="AS446" s="48" t="s">
        <v>273</v>
      </c>
      <c r="AT446" s="48" t="s">
        <v>273</v>
      </c>
      <c r="AU446" s="93">
        <v>41579</v>
      </c>
      <c r="AV446" s="93"/>
      <c r="AW446" s="93"/>
      <c r="AX446" s="93"/>
      <c r="AY446" s="93"/>
      <c r="AZ446" s="49" t="s">
        <v>3761</v>
      </c>
    </row>
    <row r="447" spans="1:52" ht="16.5" customHeight="1" x14ac:dyDescent="0.15">
      <c r="A447" s="121" t="s">
        <v>4786</v>
      </c>
      <c r="B447" s="47" t="s">
        <v>4787</v>
      </c>
      <c r="C447" s="48" t="e">
        <f ca="1">INDIRECT("'["&amp;$C$1&amp;".xls]"&amp;$B447&amp;"'!$i$7")</f>
        <v>#REF!</v>
      </c>
      <c r="D447" s="62" t="e">
        <f ca="1">INDIRECT("'["&amp;$C$1&amp;".xls]"&amp;$B447&amp;"'!$b$7")</f>
        <v>#REF!</v>
      </c>
      <c r="E447" s="48" t="e">
        <f ca="1">IF(INDIRECT("'["&amp;$C$1&amp;".xls]"&amp;$B447&amp;"'!$i$2")="","",INDIRECT("'["&amp;$C$1&amp;".xls]"&amp;$B447&amp;"'!$i$2"))</f>
        <v>#REF!</v>
      </c>
      <c r="F447" s="61" t="e">
        <f ca="1">INDIRECT("'["&amp;$C$1&amp;".xls]"&amp;$B447&amp;"'!$b$2")</f>
        <v>#REF!</v>
      </c>
      <c r="G447" s="61" t="e">
        <f ca="1">INDIRECT("'["&amp;$C$1&amp;".xls]"&amp;$B447&amp;"'!$a$20")</f>
        <v>#REF!</v>
      </c>
      <c r="H447" s="88" t="e">
        <f ca="1">INDIRECT("'["&amp;$C$1&amp;".xls]"&amp;$B447&amp;"'!$Q$22")</f>
        <v>#REF!</v>
      </c>
      <c r="I447" s="61" t="e">
        <f ca="1">INDIRECT("'["&amp;$C$1&amp;".xls]"&amp;$B447&amp;"'!$f$6")</f>
        <v>#REF!</v>
      </c>
      <c r="J447" s="87"/>
      <c r="K447" s="62" t="e">
        <f ca="1">INDIRECT("'["&amp;$C$1&amp;".xls]"&amp;$B447&amp;"'!$f$25")</f>
        <v>#REF!</v>
      </c>
      <c r="L447" s="62"/>
      <c r="M447" s="62" t="e">
        <f ca="1">INDIRECT("'["&amp;$C$1&amp;".xls]"&amp;$B447&amp;"'!$f$4")</f>
        <v>#REF!</v>
      </c>
      <c r="N447" s="62" t="e">
        <f ca="1">INDIRECT("'["&amp;$C$1&amp;".xls]"&amp;$B447&amp;"'!$i$4")</f>
        <v>#REF!</v>
      </c>
      <c r="O447" s="48" t="e">
        <f ca="1">INDIRECT("'["&amp;$C$1&amp;".xls]"&amp;$B447&amp;"'!$l$4")</f>
        <v>#REF!</v>
      </c>
      <c r="P447" s="48" t="e">
        <f ca="1">INDIRECT("'["&amp;$C$1&amp;".xls]"&amp;$B447&amp;"'!$b$5")</f>
        <v>#REF!</v>
      </c>
      <c r="Q447" s="48" t="e">
        <f ca="1">INDIRECT("'["&amp;$C$1&amp;".xls]"&amp;$B447&amp;"'!$f$5")</f>
        <v>#REF!</v>
      </c>
      <c r="R447" s="48"/>
      <c r="S447" s="48" t="e">
        <f ca="1">INDIRECT("'["&amp;$C$1&amp;".xls]"&amp;$B447&amp;"'!$i$5")</f>
        <v>#REF!</v>
      </c>
      <c r="T447" s="48" t="e">
        <f ca="1">INDIRECT("'["&amp;$C$1&amp;".xls]"&amp;$B447&amp;"'!$l$5")</f>
        <v>#REF!</v>
      </c>
      <c r="U447" s="48" t="e">
        <f ca="1">INDIRECT("'["&amp;$C$1&amp;".xls]"&amp;$B447&amp;"'!$b$4")</f>
        <v>#REF!</v>
      </c>
      <c r="V447" s="48"/>
      <c r="W447" s="48"/>
      <c r="X447" s="48"/>
      <c r="Y447" s="48"/>
      <c r="Z447" s="61"/>
      <c r="AA447" s="48" t="e">
        <f ca="1">IF(INDIRECT("'["&amp;$C$1&amp;".xls]"&amp;$B447&amp;"'!$P$25")="","",IF(INDIRECT("'["&amp;$C$1&amp;".xls]"&amp;$B447&amp;"'!$O$25")="済み",INDIRECT("'["&amp;$C$1&amp;".xls]"&amp;$B447&amp;"'!$P$25"),""))</f>
        <v>#REF!</v>
      </c>
      <c r="AB447" s="48" t="e">
        <f ca="1">IF(INDIRECT("'["&amp;$C$1&amp;".xls]"&amp;$B447&amp;"'!$P$26")="","",IF(INDIRECT("'["&amp;$C$1&amp;".xls]"&amp;$B447&amp;"'!$O$26")="済み",INDIRECT("'["&amp;$C$1&amp;".xls]"&amp;$B447&amp;"'!$P$26"),""))</f>
        <v>#REF!</v>
      </c>
      <c r="AC447" s="48" t="e">
        <f ca="1">IF(INDIRECT("'["&amp;$C$1&amp;".xls]"&amp;$B447&amp;"'!$P$27")="","",IF(INDIRECT("'["&amp;$C$1&amp;".xls]"&amp;$B447&amp;"'!$O$27")="済み",INDIRECT("'["&amp;$C$1&amp;".xls]"&amp;$B447&amp;"'!$P$27"),""))</f>
        <v>#REF!</v>
      </c>
      <c r="AD447" s="48" t="e">
        <f ca="1">IF(INDIRECT("'["&amp;$C$1&amp;".xls]"&amp;$B447&amp;"'!$P$28")="","",IF(INDIRECT("'["&amp;$C$1&amp;".xls]"&amp;$B447&amp;"'!$O$28")="済み",INDIRECT("'["&amp;$C$1&amp;".xls]"&amp;$B447&amp;"'!$P$28"),""))</f>
        <v>#REF!</v>
      </c>
      <c r="AE447" s="48" t="e">
        <f ca="1">IF(INDIRECT("'["&amp;$C$1&amp;".xls]"&amp;$B447&amp;"'!$P$29")="","",IF(INDIRECT("'["&amp;$C$1&amp;".xls]"&amp;$B447&amp;"'!$O$29")="済み",INDIRECT("'["&amp;$C$1&amp;".xls]"&amp;$B447&amp;"'!$P$29"),""))</f>
        <v>#REF!</v>
      </c>
      <c r="AF447" s="48" t="e">
        <f ca="1">IF(INDIRECT("'["&amp;$C$1&amp;".xls]"&amp;$B447&amp;"'!$P$30")="","",IF(INDIRECT("'["&amp;$C$1&amp;".xls]"&amp;$B447&amp;"'!$O$30")="済み",INDIRECT("'["&amp;$C$1&amp;".xls]"&amp;$B447&amp;"'!$P$30"),""))</f>
        <v>#REF!</v>
      </c>
      <c r="AG447" s="48" t="e">
        <f ca="1">IF(INDIRECT("'["&amp;$C$1&amp;".xls]"&amp;$B447&amp;"'!$P$31")="","",IF(INDIRECT("'["&amp;$C$1&amp;".xls]"&amp;$B447&amp;"'!$O$31")="済み",INDIRECT("'["&amp;$C$1&amp;".xls]"&amp;$B447&amp;"'!$P$31"),""))</f>
        <v>#REF!</v>
      </c>
      <c r="AH447" s="48" t="e">
        <f ca="1">IF(INDIRECT("'["&amp;$C$1&amp;".xls]"&amp;$B447&amp;"'!$P$32")="","",IF(INDIRECT("'["&amp;$C$1&amp;".xls]"&amp;$B447&amp;"'!$O$32")="済み",INDIRECT("'["&amp;$C$1&amp;".xls]"&amp;$B447&amp;"'!$P$32"),""))</f>
        <v>#REF!</v>
      </c>
      <c r="AI447" s="48" t="e">
        <f ca="1">IF(INDIRECT("'["&amp;$C$1&amp;".xls]"&amp;$B447&amp;"'!$P$33")="","",IF(INDIRECT("'["&amp;$C$1&amp;".xls]"&amp;$B447&amp;"'!$O$33")="済み",INDIRECT("'["&amp;$C$1&amp;".xls]"&amp;$B447&amp;"'!$P$33"),""))</f>
        <v>#REF!</v>
      </c>
      <c r="AJ447" s="48" t="e">
        <f ca="1">IF(INDIRECT("'["&amp;$C$1&amp;".xls]"&amp;$B447&amp;"'!$P$34")="","",IF(INDIRECT("'["&amp;$C$1&amp;".xls]"&amp;$B447&amp;"'!$O$34")="済み",INDIRECT("'["&amp;$C$1&amp;".xls]"&amp;$B447&amp;"'!$P$34"),""))</f>
        <v>#REF!</v>
      </c>
      <c r="AK447" s="48" t="e">
        <f ca="1">IF(INDIRECT("'["&amp;$C$1&amp;".xls]"&amp;$B447&amp;"'!$T25")="","",IF(INDIRECT("'["&amp;$C$1&amp;".xls]"&amp;$B447&amp;"'!$O$25")="済み",INDIRECT("'["&amp;$C$1&amp;".xls]"&amp;$B447&amp;"'!$T$25"),""))</f>
        <v>#REF!</v>
      </c>
      <c r="AL447" s="48" t="e">
        <f ca="1">IF(INDIRECT("'["&amp;$C$1&amp;".xls]"&amp;$B447&amp;"'!$T26")="","",IF(INDIRECT("'["&amp;$C$1&amp;".xls]"&amp;$B447&amp;"'!$O$26")="済み",INDIRECT("'["&amp;$C$1&amp;".xls]"&amp;$B447&amp;"'!$T$26"),""))</f>
        <v>#REF!</v>
      </c>
      <c r="AM447" s="48" t="e">
        <f ca="1">IF(INDIRECT("'["&amp;$C$1&amp;".xls]"&amp;$B447&amp;"'!$T27")="","",IF(INDIRECT("'["&amp;$C$1&amp;".xls]"&amp;$B447&amp;"'!$O$27")="済み",INDIRECT("'["&amp;$C$1&amp;".xls]"&amp;$B447&amp;"'!$T$27"),""))</f>
        <v>#REF!</v>
      </c>
      <c r="AN447" s="48" t="e">
        <f ca="1">IF(INDIRECT("'["&amp;$C$1&amp;".xls]"&amp;$B447&amp;"'!$T28")="","",IF(INDIRECT("'["&amp;$C$1&amp;".xls]"&amp;$B447&amp;"'!$O$28")="済み",INDIRECT("'["&amp;$C$1&amp;".xls]"&amp;$B447&amp;"'!$T$28"),""))</f>
        <v>#REF!</v>
      </c>
      <c r="AO447" s="48" t="e">
        <f ca="1">IF(INDIRECT("'["&amp;$C$1&amp;".xls]"&amp;$B447&amp;"'!$T29")="","",IF(INDIRECT("'["&amp;$C$1&amp;".xls]"&amp;$B447&amp;"'!$O$29")="済み",INDIRECT("'["&amp;$C$1&amp;".xls]"&amp;$B447&amp;"'!$T$29"),""))</f>
        <v>#REF!</v>
      </c>
      <c r="AP447" s="48" t="e">
        <f ca="1">IF(INDIRECT("'["&amp;$C$1&amp;".xls]"&amp;$B447&amp;"'!$T30")="","",IF(INDIRECT("'["&amp;$C$1&amp;".xls]"&amp;$B447&amp;"'!$O$30")="済み",INDIRECT("'["&amp;$C$1&amp;".xls]"&amp;$B447&amp;"'!$T$30"),""))</f>
        <v>#REF!</v>
      </c>
      <c r="AQ447" s="48" t="e">
        <f ca="1">IF(INDIRECT("'["&amp;$C$1&amp;".xls]"&amp;$B447&amp;"'!$T31")="","",IF(INDIRECT("'["&amp;$C$1&amp;".xls]"&amp;$B447&amp;"'!$O$31")="済み",INDIRECT("'["&amp;$C$1&amp;".xls]"&amp;$B447&amp;"'!$T$31"),""))</f>
        <v>#REF!</v>
      </c>
      <c r="AR447" s="48" t="e">
        <f ca="1">IF(INDIRECT("'["&amp;$C$1&amp;".xls]"&amp;$B447&amp;"'!$T32")="","",IF(INDIRECT("'["&amp;$C$1&amp;".xls]"&amp;$B447&amp;"'!$O$32")="済み",INDIRECT("'["&amp;$C$1&amp;".xls]"&amp;$B447&amp;"'!$T$32"),""))</f>
        <v>#REF!</v>
      </c>
      <c r="AS447" s="48" t="e">
        <f ca="1">IF(INDIRECT("'["&amp;$C$1&amp;".xls]"&amp;$B447&amp;"'!$T33")="","",IF(INDIRECT("'["&amp;$C$1&amp;".xls]"&amp;$B447&amp;"'!$O$33")="済み",INDIRECT("'["&amp;$C$1&amp;".xls]"&amp;$B447&amp;"'!$T$33"),""))</f>
        <v>#REF!</v>
      </c>
      <c r="AT447" s="48" t="e">
        <f ca="1">IF(INDIRECT("'["&amp;$C$1&amp;".xls]"&amp;$B447&amp;"'!$T34")="","",IF(INDIRECT("'["&amp;$C$1&amp;".xls]"&amp;$B447&amp;"'!$O$34")="済み",INDIRECT("'["&amp;$C$1&amp;".xls]"&amp;$B447&amp;"'!$T$34"),""))</f>
        <v>#REF!</v>
      </c>
      <c r="AU447" s="93" t="e">
        <f ca="1">INDIRECT("'["&amp;$C$1&amp;".xls]"&amp;$B447&amp;"'!$B$6")</f>
        <v>#REF!</v>
      </c>
      <c r="AV447" s="93"/>
      <c r="AW447" s="93"/>
      <c r="AX447" s="93"/>
      <c r="AY447" s="93"/>
    </row>
    <row r="448" spans="1:52" ht="16.5" customHeight="1" x14ac:dyDescent="0.15">
      <c r="A448" s="156" t="s">
        <v>4788</v>
      </c>
      <c r="B448" s="157" t="s">
        <v>4789</v>
      </c>
      <c r="C448" s="48" t="s">
        <v>298</v>
      </c>
      <c r="D448" s="62" t="s">
        <v>4790</v>
      </c>
      <c r="E448" s="48" t="s">
        <v>300</v>
      </c>
      <c r="F448" s="61">
        <v>42548</v>
      </c>
      <c r="G448" s="61">
        <v>42548</v>
      </c>
      <c r="H448" s="125">
        <v>42634</v>
      </c>
      <c r="I448" s="61" t="s">
        <v>279</v>
      </c>
      <c r="J448" s="87"/>
      <c r="K448" s="62" t="s">
        <v>16</v>
      </c>
      <c r="L448" s="124" t="s">
        <v>263</v>
      </c>
      <c r="M448" s="62" t="s">
        <v>235</v>
      </c>
      <c r="N448" s="62" t="s">
        <v>4791</v>
      </c>
      <c r="O448" s="48" t="s">
        <v>3316</v>
      </c>
      <c r="P448" s="48" t="s">
        <v>536</v>
      </c>
      <c r="Q448" s="48" t="s">
        <v>537</v>
      </c>
      <c r="R448" s="48" t="s">
        <v>4792</v>
      </c>
      <c r="S448" s="48" t="s">
        <v>539</v>
      </c>
      <c r="T448" s="48" t="s">
        <v>540</v>
      </c>
      <c r="U448" s="48" t="s">
        <v>541</v>
      </c>
      <c r="V448" s="48" t="s">
        <v>4793</v>
      </c>
      <c r="W448" s="48" t="s">
        <v>543</v>
      </c>
      <c r="X448" s="48" t="s">
        <v>544</v>
      </c>
      <c r="Y448" s="48" t="s">
        <v>4794</v>
      </c>
      <c r="Z448" s="61"/>
      <c r="AA448" s="48" t="s">
        <v>357</v>
      </c>
      <c r="AB448" s="48" t="s">
        <v>273</v>
      </c>
      <c r="AC448" s="48" t="s">
        <v>273</v>
      </c>
      <c r="AD448" s="48" t="s">
        <v>273</v>
      </c>
      <c r="AE448" s="48" t="s">
        <v>273</v>
      </c>
      <c r="AF448" s="48" t="s">
        <v>273</v>
      </c>
      <c r="AG448" s="48" t="s">
        <v>273</v>
      </c>
      <c r="AH448" s="48" t="s">
        <v>273</v>
      </c>
      <c r="AI448" s="48" t="s">
        <v>273</v>
      </c>
      <c r="AJ448" s="48" t="s">
        <v>273</v>
      </c>
      <c r="AK448" s="48" t="s">
        <v>358</v>
      </c>
      <c r="AL448" s="48" t="s">
        <v>273</v>
      </c>
      <c r="AM448" s="48" t="s">
        <v>273</v>
      </c>
      <c r="AN448" s="48" t="s">
        <v>273</v>
      </c>
      <c r="AO448" s="48" t="s">
        <v>273</v>
      </c>
      <c r="AP448" s="48" t="s">
        <v>273</v>
      </c>
      <c r="AQ448" s="48" t="s">
        <v>273</v>
      </c>
      <c r="AR448" s="48" t="s">
        <v>273</v>
      </c>
      <c r="AS448" s="48" t="s">
        <v>273</v>
      </c>
      <c r="AT448" s="48" t="s">
        <v>273</v>
      </c>
      <c r="AU448" s="93">
        <v>39934</v>
      </c>
      <c r="AV448" s="93"/>
      <c r="AW448" s="93"/>
      <c r="AX448" s="93"/>
      <c r="AY448" s="93"/>
      <c r="AZ448" s="49" t="s">
        <v>4795</v>
      </c>
    </row>
    <row r="449" spans="1:52" ht="16.5" customHeight="1" x14ac:dyDescent="0.15">
      <c r="A449" s="153" t="s">
        <v>4796</v>
      </c>
      <c r="B449" s="154" t="s">
        <v>4797</v>
      </c>
      <c r="C449" s="48" t="s">
        <v>4798</v>
      </c>
      <c r="D449" s="62" t="s">
        <v>4799</v>
      </c>
      <c r="E449" s="48" t="s">
        <v>300</v>
      </c>
      <c r="F449" s="61">
        <v>42548</v>
      </c>
      <c r="G449" s="61">
        <v>42548</v>
      </c>
      <c r="H449" s="125">
        <v>42584</v>
      </c>
      <c r="I449" s="61" t="s">
        <v>279</v>
      </c>
      <c r="J449" s="87"/>
      <c r="K449" s="62" t="s">
        <v>16</v>
      </c>
      <c r="L449" s="62">
        <v>3</v>
      </c>
      <c r="M449" s="62" t="s">
        <v>409</v>
      </c>
      <c r="N449" s="62" t="s">
        <v>4800</v>
      </c>
      <c r="O449" s="48" t="s">
        <v>4801</v>
      </c>
      <c r="P449" s="48" t="s">
        <v>2268</v>
      </c>
      <c r="Q449" s="48" t="s">
        <v>4802</v>
      </c>
      <c r="R449" s="48" t="s">
        <v>4803</v>
      </c>
      <c r="S449" s="48" t="s">
        <v>2271</v>
      </c>
      <c r="T449" s="48" t="s">
        <v>2272</v>
      </c>
      <c r="U449" s="48" t="s">
        <v>3845</v>
      </c>
      <c r="V449" s="122" t="s">
        <v>263</v>
      </c>
      <c r="W449" s="122" t="s">
        <v>263</v>
      </c>
      <c r="X449" s="48" t="s">
        <v>4804</v>
      </c>
      <c r="Y449" s="48" t="s">
        <v>4805</v>
      </c>
      <c r="Z449" s="61"/>
      <c r="AA449" s="48" t="s">
        <v>978</v>
      </c>
      <c r="AB449" s="48" t="s">
        <v>291</v>
      </c>
      <c r="AC449" s="48" t="s">
        <v>273</v>
      </c>
      <c r="AD449" s="48" t="s">
        <v>273</v>
      </c>
      <c r="AE449" s="48" t="s">
        <v>273</v>
      </c>
      <c r="AF449" s="48" t="s">
        <v>273</v>
      </c>
      <c r="AG449" s="48" t="s">
        <v>273</v>
      </c>
      <c r="AH449" s="48" t="s">
        <v>273</v>
      </c>
      <c r="AI449" s="48" t="s">
        <v>273</v>
      </c>
      <c r="AJ449" s="48" t="s">
        <v>273</v>
      </c>
      <c r="AK449" s="48" t="s">
        <v>600</v>
      </c>
      <c r="AL449" s="48" t="s">
        <v>293</v>
      </c>
      <c r="AM449" s="48" t="s">
        <v>273</v>
      </c>
      <c r="AN449" s="48" t="s">
        <v>273</v>
      </c>
      <c r="AO449" s="48" t="s">
        <v>273</v>
      </c>
      <c r="AP449" s="48" t="s">
        <v>273</v>
      </c>
      <c r="AQ449" s="48" t="s">
        <v>273</v>
      </c>
      <c r="AR449" s="48" t="s">
        <v>273</v>
      </c>
      <c r="AS449" s="48" t="s">
        <v>273</v>
      </c>
      <c r="AT449" s="48" t="s">
        <v>273</v>
      </c>
      <c r="AU449" s="93">
        <v>39203</v>
      </c>
      <c r="AV449" s="93"/>
      <c r="AW449" s="93"/>
      <c r="AX449" s="93"/>
      <c r="AY449" s="93"/>
    </row>
    <row r="450" spans="1:52" ht="16.5" customHeight="1" x14ac:dyDescent="0.15">
      <c r="A450" s="153" t="s">
        <v>4806</v>
      </c>
      <c r="B450" s="154" t="s">
        <v>4807</v>
      </c>
      <c r="C450" s="48" t="s">
        <v>330</v>
      </c>
      <c r="D450" s="62" t="s">
        <v>4808</v>
      </c>
      <c r="E450" s="48" t="s">
        <v>300</v>
      </c>
      <c r="F450" s="61">
        <v>42548</v>
      </c>
      <c r="G450" s="61">
        <v>42548</v>
      </c>
      <c r="H450" s="125">
        <v>42598</v>
      </c>
      <c r="I450" s="61" t="s">
        <v>279</v>
      </c>
      <c r="J450" s="87"/>
      <c r="K450" s="62" t="s">
        <v>16</v>
      </c>
      <c r="L450" s="62">
        <v>3</v>
      </c>
      <c r="M450" s="62" t="s">
        <v>755</v>
      </c>
      <c r="N450" s="62" t="s">
        <v>4809</v>
      </c>
      <c r="O450" s="48" t="s">
        <v>757</v>
      </c>
      <c r="P450" s="130" t="s">
        <v>4810</v>
      </c>
      <c r="Q450" s="130" t="s">
        <v>413</v>
      </c>
      <c r="R450" s="48" t="s">
        <v>4811</v>
      </c>
      <c r="S450" s="48" t="s">
        <v>4812</v>
      </c>
      <c r="T450" s="48" t="s">
        <v>4813</v>
      </c>
      <c r="U450" s="48" t="s">
        <v>4814</v>
      </c>
      <c r="V450" s="122" t="s">
        <v>263</v>
      </c>
      <c r="W450" s="122" t="s">
        <v>263</v>
      </c>
      <c r="X450" s="48" t="s">
        <v>4815</v>
      </c>
      <c r="Y450" s="48" t="s">
        <v>4816</v>
      </c>
      <c r="Z450" s="61"/>
      <c r="AA450" s="48" t="s">
        <v>4817</v>
      </c>
      <c r="AB450" s="48" t="s">
        <v>273</v>
      </c>
      <c r="AC450" s="48" t="s">
        <v>273</v>
      </c>
      <c r="AD450" s="48" t="s">
        <v>273</v>
      </c>
      <c r="AE450" s="48" t="s">
        <v>273</v>
      </c>
      <c r="AF450" s="48" t="s">
        <v>273</v>
      </c>
      <c r="AG450" s="48" t="s">
        <v>273</v>
      </c>
      <c r="AH450" s="48" t="s">
        <v>273</v>
      </c>
      <c r="AI450" s="48" t="s">
        <v>273</v>
      </c>
      <c r="AJ450" s="48" t="s">
        <v>273</v>
      </c>
      <c r="AK450" s="48" t="s">
        <v>4818</v>
      </c>
      <c r="AL450" s="48" t="s">
        <v>273</v>
      </c>
      <c r="AM450" s="48" t="s">
        <v>273</v>
      </c>
      <c r="AN450" s="48" t="s">
        <v>273</v>
      </c>
      <c r="AO450" s="48" t="s">
        <v>273</v>
      </c>
      <c r="AP450" s="48" t="s">
        <v>273</v>
      </c>
      <c r="AQ450" s="48" t="s">
        <v>273</v>
      </c>
      <c r="AR450" s="48" t="s">
        <v>273</v>
      </c>
      <c r="AS450" s="48" t="s">
        <v>273</v>
      </c>
      <c r="AT450" s="48" t="s">
        <v>273</v>
      </c>
      <c r="AU450" s="93">
        <v>38626</v>
      </c>
      <c r="AV450" s="93"/>
      <c r="AW450" s="93"/>
      <c r="AX450" s="93"/>
      <c r="AY450" s="93"/>
      <c r="AZ450" s="49" t="s">
        <v>4819</v>
      </c>
    </row>
    <row r="451" spans="1:52" ht="16.5" customHeight="1" x14ac:dyDescent="0.15">
      <c r="A451" s="153" t="s">
        <v>4820</v>
      </c>
      <c r="B451" s="154" t="s">
        <v>4821</v>
      </c>
      <c r="C451" s="48" t="s">
        <v>4822</v>
      </c>
      <c r="D451" s="62" t="s">
        <v>263</v>
      </c>
      <c r="E451" s="48" t="s">
        <v>264</v>
      </c>
      <c r="F451" s="61">
        <v>42549</v>
      </c>
      <c r="G451" s="61">
        <v>42549</v>
      </c>
      <c r="H451" s="125">
        <v>42613</v>
      </c>
      <c r="I451" s="61" t="s">
        <v>1249</v>
      </c>
      <c r="J451" s="87"/>
      <c r="K451" s="62" t="s">
        <v>12</v>
      </c>
      <c r="L451" s="62">
        <v>3</v>
      </c>
      <c r="M451" s="62" t="s">
        <v>680</v>
      </c>
      <c r="N451" s="62" t="s">
        <v>4823</v>
      </c>
      <c r="O451" s="48" t="s">
        <v>2657</v>
      </c>
      <c r="P451" s="48" t="s">
        <v>267</v>
      </c>
      <c r="Q451" s="48" t="s">
        <v>1249</v>
      </c>
      <c r="R451" s="122" t="s">
        <v>263</v>
      </c>
      <c r="S451" s="48" t="s">
        <v>269</v>
      </c>
      <c r="T451" s="48" t="s">
        <v>270</v>
      </c>
      <c r="U451" s="48" t="s">
        <v>4824</v>
      </c>
      <c r="V451" s="122" t="s">
        <v>263</v>
      </c>
      <c r="W451" s="122" t="s">
        <v>263</v>
      </c>
      <c r="X451" s="122" t="s">
        <v>263</v>
      </c>
      <c r="Y451" s="122" t="s">
        <v>263</v>
      </c>
      <c r="Z451" s="61"/>
      <c r="AA451" s="48" t="s">
        <v>833</v>
      </c>
      <c r="AB451" s="48" t="s">
        <v>2293</v>
      </c>
      <c r="AC451" s="48" t="s">
        <v>273</v>
      </c>
      <c r="AD451" s="48" t="s">
        <v>273</v>
      </c>
      <c r="AE451" s="48" t="s">
        <v>273</v>
      </c>
      <c r="AF451" s="48" t="s">
        <v>273</v>
      </c>
      <c r="AG451" s="48" t="s">
        <v>273</v>
      </c>
      <c r="AH451" s="48" t="s">
        <v>273</v>
      </c>
      <c r="AI451" s="48" t="s">
        <v>273</v>
      </c>
      <c r="AJ451" s="48" t="s">
        <v>273</v>
      </c>
      <c r="AK451" s="48" t="s">
        <v>834</v>
      </c>
      <c r="AL451" s="48" t="s">
        <v>2294</v>
      </c>
      <c r="AM451" s="48" t="s">
        <v>273</v>
      </c>
      <c r="AN451" s="48" t="s">
        <v>273</v>
      </c>
      <c r="AO451" s="48" t="s">
        <v>273</v>
      </c>
      <c r="AP451" s="48" t="s">
        <v>273</v>
      </c>
      <c r="AQ451" s="48" t="s">
        <v>273</v>
      </c>
      <c r="AR451" s="48" t="s">
        <v>273</v>
      </c>
      <c r="AS451" s="48" t="s">
        <v>273</v>
      </c>
      <c r="AT451" s="48" t="s">
        <v>273</v>
      </c>
      <c r="AU451" s="93">
        <v>41640</v>
      </c>
      <c r="AV451" s="93"/>
      <c r="AW451" s="93"/>
      <c r="AX451" s="93"/>
      <c r="AY451" s="93"/>
    </row>
    <row r="452" spans="1:52" ht="16.5" customHeight="1" x14ac:dyDescent="0.15">
      <c r="A452" s="199" t="s">
        <v>4825</v>
      </c>
      <c r="B452" s="209" t="s">
        <v>4826</v>
      </c>
      <c r="C452" s="48" t="s">
        <v>330</v>
      </c>
      <c r="D452" s="62" t="s">
        <v>3314</v>
      </c>
      <c r="E452" s="48" t="s">
        <v>300</v>
      </c>
      <c r="F452" s="61">
        <v>42549</v>
      </c>
      <c r="G452" s="61">
        <v>42549</v>
      </c>
      <c r="H452" s="125">
        <v>42689</v>
      </c>
      <c r="I452" s="61" t="s">
        <v>279</v>
      </c>
      <c r="J452" s="87"/>
      <c r="K452" s="62">
        <v>0</v>
      </c>
      <c r="L452" s="62"/>
      <c r="M452" s="62" t="s">
        <v>3893</v>
      </c>
      <c r="N452" s="62" t="s">
        <v>4827</v>
      </c>
      <c r="O452" s="48" t="s">
        <v>4693</v>
      </c>
      <c r="P452" s="48" t="s">
        <v>267</v>
      </c>
      <c r="Q452" s="48" t="s">
        <v>1451</v>
      </c>
      <c r="R452" s="48" t="s">
        <v>4828</v>
      </c>
      <c r="S452" s="48" t="s">
        <v>4829</v>
      </c>
      <c r="T452" s="48" t="s">
        <v>4830</v>
      </c>
      <c r="U452" s="48" t="s">
        <v>4831</v>
      </c>
      <c r="V452" s="122" t="s">
        <v>4232</v>
      </c>
      <c r="W452" s="122" t="s">
        <v>4232</v>
      </c>
      <c r="X452" s="48" t="s">
        <v>4832</v>
      </c>
      <c r="Y452" s="48" t="s">
        <v>4833</v>
      </c>
      <c r="Z452" s="61"/>
      <c r="AA452" s="48" t="s">
        <v>273</v>
      </c>
      <c r="AB452" s="48" t="s">
        <v>273</v>
      </c>
      <c r="AC452" s="48" t="s">
        <v>273</v>
      </c>
      <c r="AD452" s="48" t="s">
        <v>273</v>
      </c>
      <c r="AE452" s="48" t="s">
        <v>273</v>
      </c>
      <c r="AF452" s="48" t="s">
        <v>273</v>
      </c>
      <c r="AG452" s="48" t="s">
        <v>273</v>
      </c>
      <c r="AH452" s="48" t="s">
        <v>273</v>
      </c>
      <c r="AI452" s="48" t="s">
        <v>273</v>
      </c>
      <c r="AJ452" s="48" t="s">
        <v>273</v>
      </c>
      <c r="AK452" s="48" t="s">
        <v>273</v>
      </c>
      <c r="AL452" s="48" t="s">
        <v>273</v>
      </c>
      <c r="AM452" s="48" t="s">
        <v>273</v>
      </c>
      <c r="AN452" s="48" t="s">
        <v>273</v>
      </c>
      <c r="AO452" s="48" t="s">
        <v>273</v>
      </c>
      <c r="AP452" s="48" t="s">
        <v>273</v>
      </c>
      <c r="AQ452" s="48" t="s">
        <v>273</v>
      </c>
      <c r="AR452" s="48" t="s">
        <v>273</v>
      </c>
      <c r="AS452" s="48" t="s">
        <v>273</v>
      </c>
      <c r="AT452" s="48" t="s">
        <v>273</v>
      </c>
      <c r="AU452" s="93">
        <v>41548</v>
      </c>
      <c r="AV452" s="93"/>
      <c r="AW452" s="93"/>
      <c r="AX452" s="93"/>
      <c r="AY452" s="93"/>
    </row>
    <row r="453" spans="1:52" ht="16.5" customHeight="1" x14ac:dyDescent="0.15">
      <c r="A453" s="199" t="s">
        <v>4834</v>
      </c>
      <c r="B453" s="209" t="s">
        <v>4835</v>
      </c>
      <c r="C453" s="48" t="s">
        <v>4836</v>
      </c>
      <c r="D453" s="62" t="s">
        <v>4837</v>
      </c>
      <c r="E453" s="48" t="s">
        <v>264</v>
      </c>
      <c r="F453" s="61">
        <v>42549</v>
      </c>
      <c r="G453" s="61">
        <v>42549</v>
      </c>
      <c r="H453" s="125">
        <v>42676</v>
      </c>
      <c r="I453" s="61" t="s">
        <v>279</v>
      </c>
      <c r="J453" s="87"/>
      <c r="K453" s="62" t="s">
        <v>2506</v>
      </c>
      <c r="L453" s="62">
        <v>3</v>
      </c>
      <c r="M453" s="62" t="s">
        <v>409</v>
      </c>
      <c r="N453" s="62" t="s">
        <v>4838</v>
      </c>
      <c r="O453" s="48" t="s">
        <v>3567</v>
      </c>
      <c r="P453" s="48" t="s">
        <v>3273</v>
      </c>
      <c r="Q453" s="48" t="s">
        <v>3274</v>
      </c>
      <c r="R453" s="48" t="s">
        <v>3275</v>
      </c>
      <c r="S453" s="48" t="s">
        <v>4839</v>
      </c>
      <c r="T453" s="48" t="s">
        <v>3277</v>
      </c>
      <c r="U453" s="48" t="s">
        <v>4840</v>
      </c>
      <c r="V453" s="122" t="s">
        <v>263</v>
      </c>
      <c r="W453" s="122" t="s">
        <v>263</v>
      </c>
      <c r="X453" s="48" t="s">
        <v>4841</v>
      </c>
      <c r="Y453" s="48" t="s">
        <v>4842</v>
      </c>
      <c r="Z453" s="61"/>
      <c r="AA453" s="48" t="s">
        <v>887</v>
      </c>
      <c r="AB453" s="48" t="s">
        <v>273</v>
      </c>
      <c r="AC453" s="48" t="s">
        <v>273</v>
      </c>
      <c r="AD453" s="48" t="s">
        <v>273</v>
      </c>
      <c r="AE453" s="48" t="s">
        <v>273</v>
      </c>
      <c r="AF453" s="48" t="s">
        <v>273</v>
      </c>
      <c r="AG453" s="48" t="s">
        <v>273</v>
      </c>
      <c r="AH453" s="48" t="s">
        <v>273</v>
      </c>
      <c r="AI453" s="48" t="s">
        <v>273</v>
      </c>
      <c r="AJ453" s="48" t="s">
        <v>273</v>
      </c>
      <c r="AK453" s="48" t="s">
        <v>888</v>
      </c>
      <c r="AL453" s="48" t="s">
        <v>273</v>
      </c>
      <c r="AM453" s="48" t="s">
        <v>273</v>
      </c>
      <c r="AN453" s="48" t="s">
        <v>273</v>
      </c>
      <c r="AO453" s="48" t="s">
        <v>273</v>
      </c>
      <c r="AP453" s="48" t="s">
        <v>273</v>
      </c>
      <c r="AQ453" s="48" t="s">
        <v>273</v>
      </c>
      <c r="AR453" s="48" t="s">
        <v>273</v>
      </c>
      <c r="AS453" s="48" t="s">
        <v>273</v>
      </c>
      <c r="AT453" s="48" t="s">
        <v>273</v>
      </c>
      <c r="AU453" s="93">
        <v>40756</v>
      </c>
      <c r="AV453" s="93"/>
      <c r="AW453" s="93"/>
      <c r="AX453" s="93"/>
      <c r="AY453" s="93"/>
    </row>
    <row r="454" spans="1:52" ht="16.5" customHeight="1" x14ac:dyDescent="0.15">
      <c r="A454" s="156" t="s">
        <v>4843</v>
      </c>
      <c r="B454" s="157" t="s">
        <v>4844</v>
      </c>
      <c r="C454" s="48" t="s">
        <v>4845</v>
      </c>
      <c r="D454" s="62" t="s">
        <v>263</v>
      </c>
      <c r="E454" s="48" t="s">
        <v>264</v>
      </c>
      <c r="F454" s="61">
        <v>42550</v>
      </c>
      <c r="G454" s="61">
        <v>42550</v>
      </c>
      <c r="H454" s="125">
        <v>42625</v>
      </c>
      <c r="I454" s="61" t="s">
        <v>263</v>
      </c>
      <c r="J454" s="87"/>
      <c r="K454" s="124" t="s">
        <v>263</v>
      </c>
      <c r="L454" s="124" t="s">
        <v>263</v>
      </c>
      <c r="M454" s="62" t="s">
        <v>442</v>
      </c>
      <c r="N454" s="62" t="s">
        <v>4846</v>
      </c>
      <c r="O454" s="48" t="s">
        <v>1123</v>
      </c>
      <c r="P454" s="48" t="s">
        <v>267</v>
      </c>
      <c r="Q454" s="48" t="s">
        <v>892</v>
      </c>
      <c r="R454" s="122" t="s">
        <v>263</v>
      </c>
      <c r="S454" s="48" t="s">
        <v>269</v>
      </c>
      <c r="T454" s="48" t="s">
        <v>270</v>
      </c>
      <c r="U454" s="48" t="s">
        <v>4847</v>
      </c>
      <c r="V454" s="48"/>
      <c r="W454" s="48"/>
      <c r="X454" s="48"/>
      <c r="Y454" s="48"/>
      <c r="Z454" s="61"/>
      <c r="AA454" s="48" t="s">
        <v>453</v>
      </c>
      <c r="AB454" s="48" t="s">
        <v>389</v>
      </c>
      <c r="AC454" s="48" t="s">
        <v>645</v>
      </c>
      <c r="AD454" s="48" t="s">
        <v>273</v>
      </c>
      <c r="AE454" s="48" t="s">
        <v>273</v>
      </c>
      <c r="AF454" s="48" t="s">
        <v>273</v>
      </c>
      <c r="AG454" s="48" t="s">
        <v>273</v>
      </c>
      <c r="AH454" s="48" t="s">
        <v>273</v>
      </c>
      <c r="AI454" s="48" t="s">
        <v>273</v>
      </c>
      <c r="AJ454" s="48" t="s">
        <v>273</v>
      </c>
      <c r="AK454" s="48" t="s">
        <v>454</v>
      </c>
      <c r="AL454" s="48" t="s">
        <v>391</v>
      </c>
      <c r="AM454" s="48" t="s">
        <v>646</v>
      </c>
      <c r="AN454" s="48" t="s">
        <v>273</v>
      </c>
      <c r="AO454" s="48" t="s">
        <v>273</v>
      </c>
      <c r="AP454" s="48" t="s">
        <v>273</v>
      </c>
      <c r="AQ454" s="48" t="s">
        <v>273</v>
      </c>
      <c r="AR454" s="48" t="s">
        <v>273</v>
      </c>
      <c r="AS454" s="48" t="s">
        <v>273</v>
      </c>
      <c r="AT454" s="48" t="s">
        <v>273</v>
      </c>
      <c r="AU454" s="93">
        <v>38231</v>
      </c>
      <c r="AV454" s="93"/>
      <c r="AW454" s="93"/>
      <c r="AX454" s="93"/>
      <c r="AY454" s="93"/>
    </row>
    <row r="455" spans="1:52" ht="16.5" customHeight="1" x14ac:dyDescent="0.15">
      <c r="A455" s="121" t="s">
        <v>4848</v>
      </c>
      <c r="B455" s="47" t="s">
        <v>4849</v>
      </c>
      <c r="C455" s="48" t="e">
        <f ca="1">INDIRECT("'["&amp;$C$1&amp;".xls]"&amp;$B455&amp;"'!$i$7")</f>
        <v>#REF!</v>
      </c>
      <c r="D455" s="62" t="e">
        <f ca="1">INDIRECT("'["&amp;$C$1&amp;".xls]"&amp;$B455&amp;"'!$b$7")</f>
        <v>#REF!</v>
      </c>
      <c r="E455" s="48" t="e">
        <f ca="1">IF(INDIRECT("'["&amp;$C$1&amp;".xls]"&amp;$B455&amp;"'!$i$2")="","",INDIRECT("'["&amp;$C$1&amp;".xls]"&amp;$B455&amp;"'!$i$2"))</f>
        <v>#REF!</v>
      </c>
      <c r="F455" s="61" t="e">
        <f ca="1">INDIRECT("'["&amp;$C$1&amp;".xls]"&amp;$B455&amp;"'!$b$2")</f>
        <v>#REF!</v>
      </c>
      <c r="G455" s="61" t="e">
        <f ca="1">INDIRECT("'["&amp;$C$1&amp;".xls]"&amp;$B455&amp;"'!$a$20")</f>
        <v>#REF!</v>
      </c>
      <c r="H455" s="88" t="e">
        <f ca="1">INDIRECT("'["&amp;$C$1&amp;".xls]"&amp;$B455&amp;"'!$Q$22")</f>
        <v>#REF!</v>
      </c>
      <c r="I455" s="61" t="e">
        <f ca="1">INDIRECT("'["&amp;$C$1&amp;".xls]"&amp;$B455&amp;"'!$f$6")</f>
        <v>#REF!</v>
      </c>
      <c r="J455" s="87"/>
      <c r="K455" s="62" t="e">
        <f ca="1">INDIRECT("'["&amp;$C$1&amp;".xls]"&amp;$B455&amp;"'!$f$25")</f>
        <v>#REF!</v>
      </c>
      <c r="L455" s="62"/>
      <c r="M455" s="62" t="e">
        <f ca="1">INDIRECT("'["&amp;$C$1&amp;".xls]"&amp;$B455&amp;"'!$f$4")</f>
        <v>#REF!</v>
      </c>
      <c r="N455" s="62" t="e">
        <f ca="1">INDIRECT("'["&amp;$C$1&amp;".xls]"&amp;$B455&amp;"'!$i$4")</f>
        <v>#REF!</v>
      </c>
      <c r="O455" s="48" t="e">
        <f ca="1">INDIRECT("'["&amp;$C$1&amp;".xls]"&amp;$B455&amp;"'!$l$4")</f>
        <v>#REF!</v>
      </c>
      <c r="P455" s="48" t="e">
        <f ca="1">INDIRECT("'["&amp;$C$1&amp;".xls]"&amp;$B455&amp;"'!$b$5")</f>
        <v>#REF!</v>
      </c>
      <c r="Q455" s="48" t="e">
        <f ca="1">INDIRECT("'["&amp;$C$1&amp;".xls]"&amp;$B455&amp;"'!$f$5")</f>
        <v>#REF!</v>
      </c>
      <c r="R455" s="48"/>
      <c r="S455" s="48" t="e">
        <f ca="1">INDIRECT("'["&amp;$C$1&amp;".xls]"&amp;$B455&amp;"'!$i$5")</f>
        <v>#REF!</v>
      </c>
      <c r="T455" s="48" t="e">
        <f ca="1">INDIRECT("'["&amp;$C$1&amp;".xls]"&amp;$B455&amp;"'!$l$5")</f>
        <v>#REF!</v>
      </c>
      <c r="U455" s="48" t="e">
        <f ca="1">INDIRECT("'["&amp;$C$1&amp;".xls]"&amp;$B455&amp;"'!$b$4")</f>
        <v>#REF!</v>
      </c>
      <c r="V455" s="48"/>
      <c r="W455" s="48"/>
      <c r="X455" s="48"/>
      <c r="Y455" s="48"/>
      <c r="Z455" s="61"/>
      <c r="AA455" s="48" t="e">
        <f ca="1">IF(INDIRECT("'["&amp;$C$1&amp;".xls]"&amp;$B455&amp;"'!$P$25")="","",IF(INDIRECT("'["&amp;$C$1&amp;".xls]"&amp;$B455&amp;"'!$O$25")="済み",INDIRECT("'["&amp;$C$1&amp;".xls]"&amp;$B455&amp;"'!$P$25"),""))</f>
        <v>#REF!</v>
      </c>
      <c r="AB455" s="48" t="e">
        <f ca="1">IF(INDIRECT("'["&amp;$C$1&amp;".xls]"&amp;$B455&amp;"'!$P$26")="","",IF(INDIRECT("'["&amp;$C$1&amp;".xls]"&amp;$B455&amp;"'!$O$26")="済み",INDIRECT("'["&amp;$C$1&amp;".xls]"&amp;$B455&amp;"'!$P$26"),""))</f>
        <v>#REF!</v>
      </c>
      <c r="AC455" s="48" t="e">
        <f ca="1">IF(INDIRECT("'["&amp;$C$1&amp;".xls]"&amp;$B455&amp;"'!$P$27")="","",IF(INDIRECT("'["&amp;$C$1&amp;".xls]"&amp;$B455&amp;"'!$O$27")="済み",INDIRECT("'["&amp;$C$1&amp;".xls]"&amp;$B455&amp;"'!$P$27"),""))</f>
        <v>#REF!</v>
      </c>
      <c r="AD455" s="48" t="e">
        <f ca="1">IF(INDIRECT("'["&amp;$C$1&amp;".xls]"&amp;$B455&amp;"'!$P$28")="","",IF(INDIRECT("'["&amp;$C$1&amp;".xls]"&amp;$B455&amp;"'!$O$28")="済み",INDIRECT("'["&amp;$C$1&amp;".xls]"&amp;$B455&amp;"'!$P$28"),""))</f>
        <v>#REF!</v>
      </c>
      <c r="AE455" s="48" t="e">
        <f ca="1">IF(INDIRECT("'["&amp;$C$1&amp;".xls]"&amp;$B455&amp;"'!$P$29")="","",IF(INDIRECT("'["&amp;$C$1&amp;".xls]"&amp;$B455&amp;"'!$O$29")="済み",INDIRECT("'["&amp;$C$1&amp;".xls]"&amp;$B455&amp;"'!$P$29"),""))</f>
        <v>#REF!</v>
      </c>
      <c r="AF455" s="48" t="e">
        <f ca="1">IF(INDIRECT("'["&amp;$C$1&amp;".xls]"&amp;$B455&amp;"'!$P$30")="","",IF(INDIRECT("'["&amp;$C$1&amp;".xls]"&amp;$B455&amp;"'!$O$30")="済み",INDIRECT("'["&amp;$C$1&amp;".xls]"&amp;$B455&amp;"'!$P$30"),""))</f>
        <v>#REF!</v>
      </c>
      <c r="AG455" s="48" t="e">
        <f ca="1">IF(INDIRECT("'["&amp;$C$1&amp;".xls]"&amp;$B455&amp;"'!$P$31")="","",IF(INDIRECT("'["&amp;$C$1&amp;".xls]"&amp;$B455&amp;"'!$O$31")="済み",INDIRECT("'["&amp;$C$1&amp;".xls]"&amp;$B455&amp;"'!$P$31"),""))</f>
        <v>#REF!</v>
      </c>
      <c r="AH455" s="48" t="e">
        <f ca="1">IF(INDIRECT("'["&amp;$C$1&amp;".xls]"&amp;$B455&amp;"'!$P$32")="","",IF(INDIRECT("'["&amp;$C$1&amp;".xls]"&amp;$B455&amp;"'!$O$32")="済み",INDIRECT("'["&amp;$C$1&amp;".xls]"&amp;$B455&amp;"'!$P$32"),""))</f>
        <v>#REF!</v>
      </c>
      <c r="AI455" s="48" t="e">
        <f ca="1">IF(INDIRECT("'["&amp;$C$1&amp;".xls]"&amp;$B455&amp;"'!$P$33")="","",IF(INDIRECT("'["&amp;$C$1&amp;".xls]"&amp;$B455&amp;"'!$O$33")="済み",INDIRECT("'["&amp;$C$1&amp;".xls]"&amp;$B455&amp;"'!$P$33"),""))</f>
        <v>#REF!</v>
      </c>
      <c r="AJ455" s="48" t="e">
        <f ca="1">IF(INDIRECT("'["&amp;$C$1&amp;".xls]"&amp;$B455&amp;"'!$P$34")="","",IF(INDIRECT("'["&amp;$C$1&amp;".xls]"&amp;$B455&amp;"'!$O$34")="済み",INDIRECT("'["&amp;$C$1&amp;".xls]"&amp;$B455&amp;"'!$P$34"),""))</f>
        <v>#REF!</v>
      </c>
      <c r="AK455" s="48" t="e">
        <f ca="1">IF(INDIRECT("'["&amp;$C$1&amp;".xls]"&amp;$B455&amp;"'!$T25")="","",IF(INDIRECT("'["&amp;$C$1&amp;".xls]"&amp;$B455&amp;"'!$O$25")="済み",INDIRECT("'["&amp;$C$1&amp;".xls]"&amp;$B455&amp;"'!$T$25"),""))</f>
        <v>#REF!</v>
      </c>
      <c r="AL455" s="48" t="e">
        <f ca="1">IF(INDIRECT("'["&amp;$C$1&amp;".xls]"&amp;$B455&amp;"'!$T26")="","",IF(INDIRECT("'["&amp;$C$1&amp;".xls]"&amp;$B455&amp;"'!$O$26")="済み",INDIRECT("'["&amp;$C$1&amp;".xls]"&amp;$B455&amp;"'!$T$26"),""))</f>
        <v>#REF!</v>
      </c>
      <c r="AM455" s="48" t="e">
        <f ca="1">IF(INDIRECT("'["&amp;$C$1&amp;".xls]"&amp;$B455&amp;"'!$T27")="","",IF(INDIRECT("'["&amp;$C$1&amp;".xls]"&amp;$B455&amp;"'!$O$27")="済み",INDIRECT("'["&amp;$C$1&amp;".xls]"&amp;$B455&amp;"'!$T$27"),""))</f>
        <v>#REF!</v>
      </c>
      <c r="AN455" s="48" t="e">
        <f ca="1">IF(INDIRECT("'["&amp;$C$1&amp;".xls]"&amp;$B455&amp;"'!$T28")="","",IF(INDIRECT("'["&amp;$C$1&amp;".xls]"&amp;$B455&amp;"'!$O$28")="済み",INDIRECT("'["&amp;$C$1&amp;".xls]"&amp;$B455&amp;"'!$T$28"),""))</f>
        <v>#REF!</v>
      </c>
      <c r="AO455" s="48" t="e">
        <f ca="1">IF(INDIRECT("'["&amp;$C$1&amp;".xls]"&amp;$B455&amp;"'!$T29")="","",IF(INDIRECT("'["&amp;$C$1&amp;".xls]"&amp;$B455&amp;"'!$O$29")="済み",INDIRECT("'["&amp;$C$1&amp;".xls]"&amp;$B455&amp;"'!$T$29"),""))</f>
        <v>#REF!</v>
      </c>
      <c r="AP455" s="48" t="e">
        <f ca="1">IF(INDIRECT("'["&amp;$C$1&amp;".xls]"&amp;$B455&amp;"'!$T30")="","",IF(INDIRECT("'["&amp;$C$1&amp;".xls]"&amp;$B455&amp;"'!$O$30")="済み",INDIRECT("'["&amp;$C$1&amp;".xls]"&amp;$B455&amp;"'!$T$30"),""))</f>
        <v>#REF!</v>
      </c>
      <c r="AQ455" s="48" t="e">
        <f ca="1">IF(INDIRECT("'["&amp;$C$1&amp;".xls]"&amp;$B455&amp;"'!$T31")="","",IF(INDIRECT("'["&amp;$C$1&amp;".xls]"&amp;$B455&amp;"'!$O$31")="済み",INDIRECT("'["&amp;$C$1&amp;".xls]"&amp;$B455&amp;"'!$T$31"),""))</f>
        <v>#REF!</v>
      </c>
      <c r="AR455" s="48" t="e">
        <f ca="1">IF(INDIRECT("'["&amp;$C$1&amp;".xls]"&amp;$B455&amp;"'!$T32")="","",IF(INDIRECT("'["&amp;$C$1&amp;".xls]"&amp;$B455&amp;"'!$O$32")="済み",INDIRECT("'["&amp;$C$1&amp;".xls]"&amp;$B455&amp;"'!$T$32"),""))</f>
        <v>#REF!</v>
      </c>
      <c r="AS455" s="48" t="e">
        <f ca="1">IF(INDIRECT("'["&amp;$C$1&amp;".xls]"&amp;$B455&amp;"'!$T33")="","",IF(INDIRECT("'["&amp;$C$1&amp;".xls]"&amp;$B455&amp;"'!$O$33")="済み",INDIRECT("'["&amp;$C$1&amp;".xls]"&amp;$B455&amp;"'!$T$33"),""))</f>
        <v>#REF!</v>
      </c>
      <c r="AT455" s="48" t="e">
        <f ca="1">IF(INDIRECT("'["&amp;$C$1&amp;".xls]"&amp;$B455&amp;"'!$T34")="","",IF(INDIRECT("'["&amp;$C$1&amp;".xls]"&amp;$B455&amp;"'!$O$34")="済み",INDIRECT("'["&amp;$C$1&amp;".xls]"&amp;$B455&amp;"'!$T$34"),""))</f>
        <v>#REF!</v>
      </c>
      <c r="AU455" s="93" t="e">
        <f ca="1">INDIRECT("'["&amp;$C$1&amp;".xls]"&amp;$B455&amp;"'!$B$6")</f>
        <v>#REF!</v>
      </c>
      <c r="AV455" s="93"/>
      <c r="AW455" s="93"/>
      <c r="AX455" s="93"/>
      <c r="AY455" s="93"/>
    </row>
    <row r="456" spans="1:52" ht="16.5" customHeight="1" x14ac:dyDescent="0.15">
      <c r="A456" s="156" t="s">
        <v>4850</v>
      </c>
      <c r="B456" s="157" t="s">
        <v>4851</v>
      </c>
      <c r="C456" s="48" t="s">
        <v>330</v>
      </c>
      <c r="D456" s="62" t="s">
        <v>4852</v>
      </c>
      <c r="E456" s="48" t="s">
        <v>300</v>
      </c>
      <c r="F456" s="61">
        <v>42550</v>
      </c>
      <c r="G456" s="61">
        <v>42550</v>
      </c>
      <c r="H456" s="125">
        <v>42622</v>
      </c>
      <c r="I456" s="61" t="s">
        <v>279</v>
      </c>
      <c r="J456" s="87"/>
      <c r="K456" s="124" t="s">
        <v>263</v>
      </c>
      <c r="L456" s="124" t="s">
        <v>263</v>
      </c>
      <c r="M456" s="62" t="s">
        <v>4853</v>
      </c>
      <c r="N456" s="62" t="s">
        <v>4854</v>
      </c>
      <c r="O456" s="48" t="s">
        <v>4855</v>
      </c>
      <c r="P456" s="48" t="s">
        <v>4856</v>
      </c>
      <c r="Q456" s="48" t="s">
        <v>1030</v>
      </c>
      <c r="R456" s="48" t="s">
        <v>4857</v>
      </c>
      <c r="S456" s="48" t="s">
        <v>1032</v>
      </c>
      <c r="T456" s="48" t="s">
        <v>1033</v>
      </c>
      <c r="U456" s="48" t="s">
        <v>4858</v>
      </c>
      <c r="V456" s="48" t="s">
        <v>4859</v>
      </c>
      <c r="W456" s="48" t="s">
        <v>4860</v>
      </c>
      <c r="X456" s="48" t="s">
        <v>1035</v>
      </c>
      <c r="Y456" s="48" t="s">
        <v>1036</v>
      </c>
      <c r="Z456" s="61"/>
      <c r="AA456" s="48" t="s">
        <v>273</v>
      </c>
      <c r="AB456" s="48" t="s">
        <v>273</v>
      </c>
      <c r="AC456" s="48" t="s">
        <v>273</v>
      </c>
      <c r="AD456" s="48" t="s">
        <v>273</v>
      </c>
      <c r="AE456" s="48" t="s">
        <v>273</v>
      </c>
      <c r="AF456" s="48" t="s">
        <v>273</v>
      </c>
      <c r="AG456" s="48" t="s">
        <v>273</v>
      </c>
      <c r="AH456" s="48" t="s">
        <v>273</v>
      </c>
      <c r="AI456" s="48" t="s">
        <v>273</v>
      </c>
      <c r="AJ456" s="48" t="s">
        <v>273</v>
      </c>
      <c r="AK456" s="48" t="s">
        <v>273</v>
      </c>
      <c r="AL456" s="48" t="s">
        <v>273</v>
      </c>
      <c r="AM456" s="48" t="s">
        <v>273</v>
      </c>
      <c r="AN456" s="48" t="s">
        <v>273</v>
      </c>
      <c r="AO456" s="48" t="s">
        <v>273</v>
      </c>
      <c r="AP456" s="48" t="s">
        <v>273</v>
      </c>
      <c r="AQ456" s="48" t="s">
        <v>273</v>
      </c>
      <c r="AR456" s="48" t="s">
        <v>273</v>
      </c>
      <c r="AS456" s="48" t="s">
        <v>273</v>
      </c>
      <c r="AT456" s="48" t="s">
        <v>273</v>
      </c>
      <c r="AU456" s="93">
        <v>40544</v>
      </c>
      <c r="AV456" s="93"/>
      <c r="AW456" s="93"/>
      <c r="AX456" s="93"/>
      <c r="AY456" s="93"/>
      <c r="AZ456" s="49" t="s">
        <v>4861</v>
      </c>
    </row>
    <row r="457" spans="1:52" ht="16.5" customHeight="1" x14ac:dyDescent="0.15">
      <c r="A457" s="153" t="s">
        <v>4862</v>
      </c>
      <c r="B457" s="47" t="s">
        <v>4863</v>
      </c>
      <c r="C457" s="48" t="e">
        <f ca="1">INDIRECT("'["&amp;$C$1&amp;".xls]"&amp;$B457&amp;"'!$i$7")</f>
        <v>#REF!</v>
      </c>
      <c r="D457" s="62" t="e">
        <f ca="1">INDIRECT("'["&amp;$C$1&amp;".xls]"&amp;$B457&amp;"'!$b$7")</f>
        <v>#REF!</v>
      </c>
      <c r="E457" s="48" t="e">
        <f ca="1">IF(INDIRECT("'["&amp;$C$1&amp;".xls]"&amp;$B457&amp;"'!$i$2")="","",INDIRECT("'["&amp;$C$1&amp;".xls]"&amp;$B457&amp;"'!$i$2"))</f>
        <v>#REF!</v>
      </c>
      <c r="F457" s="61" t="e">
        <f ca="1">INDIRECT("'["&amp;$C$1&amp;".xls]"&amp;$B457&amp;"'!$b$2")</f>
        <v>#REF!</v>
      </c>
      <c r="G457" s="61" t="e">
        <f ca="1">INDIRECT("'["&amp;$C$1&amp;".xls]"&amp;$B457&amp;"'!$a$20")</f>
        <v>#REF!</v>
      </c>
      <c r="H457" s="88" t="e">
        <f ca="1">INDIRECT("'["&amp;$C$1&amp;".xls]"&amp;$B457&amp;"'!$Q$22")</f>
        <v>#REF!</v>
      </c>
      <c r="I457" s="61" t="e">
        <f ca="1">INDIRECT("'["&amp;$C$1&amp;".xls]"&amp;$B457&amp;"'!$f$6")</f>
        <v>#REF!</v>
      </c>
      <c r="J457" s="87"/>
      <c r="K457" s="62" t="e">
        <f ca="1">INDIRECT("'["&amp;$C$1&amp;".xls]"&amp;$B457&amp;"'!$f$25")</f>
        <v>#REF!</v>
      </c>
      <c r="L457" s="62"/>
      <c r="M457" s="62" t="e">
        <f ca="1">INDIRECT("'["&amp;$C$1&amp;".xls]"&amp;$B457&amp;"'!$f$4")</f>
        <v>#REF!</v>
      </c>
      <c r="N457" s="62" t="e">
        <f ca="1">INDIRECT("'["&amp;$C$1&amp;".xls]"&amp;$B457&amp;"'!$i$4")</f>
        <v>#REF!</v>
      </c>
      <c r="O457" s="48" t="e">
        <f ca="1">INDIRECT("'["&amp;$C$1&amp;".xls]"&amp;$B457&amp;"'!$l$4")</f>
        <v>#REF!</v>
      </c>
      <c r="P457" s="48" t="e">
        <f ca="1">INDIRECT("'["&amp;$C$1&amp;".xls]"&amp;$B457&amp;"'!$b$5")</f>
        <v>#REF!</v>
      </c>
      <c r="Q457" s="48" t="e">
        <f ca="1">INDIRECT("'["&amp;$C$1&amp;".xls]"&amp;$B457&amp;"'!$f$5")</f>
        <v>#REF!</v>
      </c>
      <c r="R457" s="48" t="s">
        <v>4864</v>
      </c>
      <c r="S457" s="48" t="e">
        <f ca="1">INDIRECT("'["&amp;$C$1&amp;".xls]"&amp;$B457&amp;"'!$i$5")</f>
        <v>#REF!</v>
      </c>
      <c r="T457" s="48" t="e">
        <f ca="1">INDIRECT("'["&amp;$C$1&amp;".xls]"&amp;$B457&amp;"'!$l$5")</f>
        <v>#REF!</v>
      </c>
      <c r="U457" s="48" t="e">
        <f ca="1">INDIRECT("'["&amp;$C$1&amp;".xls]"&amp;$B457&amp;"'!$b$4")</f>
        <v>#REF!</v>
      </c>
      <c r="V457" s="122" t="s">
        <v>263</v>
      </c>
      <c r="W457" s="122" t="s">
        <v>263</v>
      </c>
      <c r="X457" s="48" t="s">
        <v>1752</v>
      </c>
      <c r="Y457" s="48" t="s">
        <v>2885</v>
      </c>
      <c r="Z457" s="61"/>
      <c r="AA457" s="48" t="e">
        <f ca="1">IF(INDIRECT("'["&amp;$C$1&amp;".xls]"&amp;$B457&amp;"'!$P$25")="","",IF(INDIRECT("'["&amp;$C$1&amp;".xls]"&amp;$B457&amp;"'!$O$25")="済み",INDIRECT("'["&amp;$C$1&amp;".xls]"&amp;$B457&amp;"'!$P$25"),""))</f>
        <v>#REF!</v>
      </c>
      <c r="AB457" s="48" t="e">
        <f ca="1">IF(INDIRECT("'["&amp;$C$1&amp;".xls]"&amp;$B457&amp;"'!$P$26")="","",IF(INDIRECT("'["&amp;$C$1&amp;".xls]"&amp;$B457&amp;"'!$O$26")="済み",INDIRECT("'["&amp;$C$1&amp;".xls]"&amp;$B457&amp;"'!$P$26"),""))</f>
        <v>#REF!</v>
      </c>
      <c r="AC457" s="48" t="e">
        <f ca="1">IF(INDIRECT("'["&amp;$C$1&amp;".xls]"&amp;$B457&amp;"'!$P$27")="","",IF(INDIRECT("'["&amp;$C$1&amp;".xls]"&amp;$B457&amp;"'!$O$27")="済み",INDIRECT("'["&amp;$C$1&amp;".xls]"&amp;$B457&amp;"'!$P$27"),""))</f>
        <v>#REF!</v>
      </c>
      <c r="AD457" s="48" t="e">
        <f ca="1">IF(INDIRECT("'["&amp;$C$1&amp;".xls]"&amp;$B457&amp;"'!$P$28")="","",IF(INDIRECT("'["&amp;$C$1&amp;".xls]"&amp;$B457&amp;"'!$O$28")="済み",INDIRECT("'["&amp;$C$1&amp;".xls]"&amp;$B457&amp;"'!$P$28"),""))</f>
        <v>#REF!</v>
      </c>
      <c r="AE457" s="48" t="e">
        <f ca="1">IF(INDIRECT("'["&amp;$C$1&amp;".xls]"&amp;$B457&amp;"'!$P$29")="","",IF(INDIRECT("'["&amp;$C$1&amp;".xls]"&amp;$B457&amp;"'!$O$29")="済み",INDIRECT("'["&amp;$C$1&amp;".xls]"&amp;$B457&amp;"'!$P$29"),""))</f>
        <v>#REF!</v>
      </c>
      <c r="AF457" s="48" t="e">
        <f ca="1">IF(INDIRECT("'["&amp;$C$1&amp;".xls]"&amp;$B457&amp;"'!$P$30")="","",IF(INDIRECT("'["&amp;$C$1&amp;".xls]"&amp;$B457&amp;"'!$O$30")="済み",INDIRECT("'["&amp;$C$1&amp;".xls]"&amp;$B457&amp;"'!$P$30"),""))</f>
        <v>#REF!</v>
      </c>
      <c r="AG457" s="48" t="e">
        <f ca="1">IF(INDIRECT("'["&amp;$C$1&amp;".xls]"&amp;$B457&amp;"'!$P$31")="","",IF(INDIRECT("'["&amp;$C$1&amp;".xls]"&amp;$B457&amp;"'!$O$31")="済み",INDIRECT("'["&amp;$C$1&amp;".xls]"&amp;$B457&amp;"'!$P$31"),""))</f>
        <v>#REF!</v>
      </c>
      <c r="AH457" s="48" t="e">
        <f ca="1">IF(INDIRECT("'["&amp;$C$1&amp;".xls]"&amp;$B457&amp;"'!$P$32")="","",IF(INDIRECT("'["&amp;$C$1&amp;".xls]"&amp;$B457&amp;"'!$O$32")="済み",INDIRECT("'["&amp;$C$1&amp;".xls]"&amp;$B457&amp;"'!$P$32"),""))</f>
        <v>#REF!</v>
      </c>
      <c r="AI457" s="48" t="e">
        <f ca="1">IF(INDIRECT("'["&amp;$C$1&amp;".xls]"&amp;$B457&amp;"'!$P$33")="","",IF(INDIRECT("'["&amp;$C$1&amp;".xls]"&amp;$B457&amp;"'!$O$33")="済み",INDIRECT("'["&amp;$C$1&amp;".xls]"&amp;$B457&amp;"'!$P$33"),""))</f>
        <v>#REF!</v>
      </c>
      <c r="AJ457" s="48" t="e">
        <f ca="1">IF(INDIRECT("'["&amp;$C$1&amp;".xls]"&amp;$B457&amp;"'!$P$34")="","",IF(INDIRECT("'["&amp;$C$1&amp;".xls]"&amp;$B457&amp;"'!$O$34")="済み",INDIRECT("'["&amp;$C$1&amp;".xls]"&amp;$B457&amp;"'!$P$34"),""))</f>
        <v>#REF!</v>
      </c>
      <c r="AK457" s="48" t="e">
        <f ca="1">IF(INDIRECT("'["&amp;$C$1&amp;".xls]"&amp;$B457&amp;"'!$T25")="","",IF(INDIRECT("'["&amp;$C$1&amp;".xls]"&amp;$B457&amp;"'!$O$25")="済み",INDIRECT("'["&amp;$C$1&amp;".xls]"&amp;$B457&amp;"'!$T$25"),""))</f>
        <v>#REF!</v>
      </c>
      <c r="AL457" s="48" t="e">
        <f ca="1">IF(INDIRECT("'["&amp;$C$1&amp;".xls]"&amp;$B457&amp;"'!$T26")="","",IF(INDIRECT("'["&amp;$C$1&amp;".xls]"&amp;$B457&amp;"'!$O$26")="済み",INDIRECT("'["&amp;$C$1&amp;".xls]"&amp;$B457&amp;"'!$T$26"),""))</f>
        <v>#REF!</v>
      </c>
      <c r="AM457" s="48" t="e">
        <f ca="1">IF(INDIRECT("'["&amp;$C$1&amp;".xls]"&amp;$B457&amp;"'!$T27")="","",IF(INDIRECT("'["&amp;$C$1&amp;".xls]"&amp;$B457&amp;"'!$O$27")="済み",INDIRECT("'["&amp;$C$1&amp;".xls]"&amp;$B457&amp;"'!$T$27"),""))</f>
        <v>#REF!</v>
      </c>
      <c r="AN457" s="48" t="e">
        <f ca="1">IF(INDIRECT("'["&amp;$C$1&amp;".xls]"&amp;$B457&amp;"'!$T28")="","",IF(INDIRECT("'["&amp;$C$1&amp;".xls]"&amp;$B457&amp;"'!$O$28")="済み",INDIRECT("'["&amp;$C$1&amp;".xls]"&amp;$B457&amp;"'!$T$28"),""))</f>
        <v>#REF!</v>
      </c>
      <c r="AO457" s="48" t="e">
        <f ca="1">IF(INDIRECT("'["&amp;$C$1&amp;".xls]"&amp;$B457&amp;"'!$T29")="","",IF(INDIRECT("'["&amp;$C$1&amp;".xls]"&amp;$B457&amp;"'!$O$29")="済み",INDIRECT("'["&amp;$C$1&amp;".xls]"&amp;$B457&amp;"'!$T$29"),""))</f>
        <v>#REF!</v>
      </c>
      <c r="AP457" s="48" t="e">
        <f ca="1">IF(INDIRECT("'["&amp;$C$1&amp;".xls]"&amp;$B457&amp;"'!$T30")="","",IF(INDIRECT("'["&amp;$C$1&amp;".xls]"&amp;$B457&amp;"'!$O$30")="済み",INDIRECT("'["&amp;$C$1&amp;".xls]"&amp;$B457&amp;"'!$T$30"),""))</f>
        <v>#REF!</v>
      </c>
      <c r="AQ457" s="48" t="e">
        <f ca="1">IF(INDIRECT("'["&amp;$C$1&amp;".xls]"&amp;$B457&amp;"'!$T31")="","",IF(INDIRECT("'["&amp;$C$1&amp;".xls]"&amp;$B457&amp;"'!$O$31")="済み",INDIRECT("'["&amp;$C$1&amp;".xls]"&amp;$B457&amp;"'!$T$31"),""))</f>
        <v>#REF!</v>
      </c>
      <c r="AR457" s="48" t="e">
        <f ca="1">IF(INDIRECT("'["&amp;$C$1&amp;".xls]"&amp;$B457&amp;"'!$T32")="","",IF(INDIRECT("'["&amp;$C$1&amp;".xls]"&amp;$B457&amp;"'!$O$32")="済み",INDIRECT("'["&amp;$C$1&amp;".xls]"&amp;$B457&amp;"'!$T$32"),""))</f>
        <v>#REF!</v>
      </c>
      <c r="AS457" s="48" t="e">
        <f ca="1">IF(INDIRECT("'["&amp;$C$1&amp;".xls]"&amp;$B457&amp;"'!$T33")="","",IF(INDIRECT("'["&amp;$C$1&amp;".xls]"&amp;$B457&amp;"'!$O$33")="済み",INDIRECT("'["&amp;$C$1&amp;".xls]"&amp;$B457&amp;"'!$T$33"),""))</f>
        <v>#REF!</v>
      </c>
      <c r="AT457" s="48" t="e">
        <f ca="1">IF(INDIRECT("'["&amp;$C$1&amp;".xls]"&amp;$B457&amp;"'!$T34")="","",IF(INDIRECT("'["&amp;$C$1&amp;".xls]"&amp;$B457&amp;"'!$O$34")="済み",INDIRECT("'["&amp;$C$1&amp;".xls]"&amp;$B457&amp;"'!$T$34"),""))</f>
        <v>#REF!</v>
      </c>
      <c r="AU457" s="93" t="e">
        <f ca="1">INDIRECT("'["&amp;$C$1&amp;".xls]"&amp;$B457&amp;"'!$B$6")</f>
        <v>#REF!</v>
      </c>
      <c r="AV457" s="93"/>
      <c r="AW457" s="93"/>
      <c r="AX457" s="93"/>
      <c r="AY457" s="93"/>
    </row>
    <row r="458" spans="1:52" ht="16.5" customHeight="1" x14ac:dyDescent="0.15">
      <c r="A458" s="153" t="s">
        <v>4865</v>
      </c>
      <c r="B458" s="154" t="s">
        <v>4866</v>
      </c>
      <c r="C458" s="48" t="s">
        <v>330</v>
      </c>
      <c r="D458" s="62" t="s">
        <v>4867</v>
      </c>
      <c r="E458" s="48" t="s">
        <v>300</v>
      </c>
      <c r="F458" s="61">
        <v>42551</v>
      </c>
      <c r="G458" s="61">
        <v>42551</v>
      </c>
      <c r="H458" s="125">
        <v>42584</v>
      </c>
      <c r="I458" s="61" t="s">
        <v>279</v>
      </c>
      <c r="J458" s="87"/>
      <c r="K458" s="62" t="s">
        <v>16</v>
      </c>
      <c r="L458" s="62">
        <v>3</v>
      </c>
      <c r="M458" s="62" t="s">
        <v>362</v>
      </c>
      <c r="N458" s="62" t="s">
        <v>4868</v>
      </c>
      <c r="O458" s="48" t="s">
        <v>263</v>
      </c>
      <c r="P458" s="48" t="s">
        <v>3273</v>
      </c>
      <c r="Q458" s="48" t="s">
        <v>2269</v>
      </c>
      <c r="R458" s="48" t="s">
        <v>3275</v>
      </c>
      <c r="S458" s="48" t="s">
        <v>3276</v>
      </c>
      <c r="T458" s="48" t="s">
        <v>3277</v>
      </c>
      <c r="U458" s="48" t="s">
        <v>4869</v>
      </c>
      <c r="V458" s="48" t="s">
        <v>4870</v>
      </c>
      <c r="W458" s="48" t="s">
        <v>324</v>
      </c>
      <c r="X458" s="48" t="s">
        <v>2141</v>
      </c>
      <c r="Y458" s="48" t="s">
        <v>2142</v>
      </c>
      <c r="Z458" s="61"/>
      <c r="AA458" s="122" t="s">
        <v>4871</v>
      </c>
      <c r="AB458" s="122" t="s">
        <v>4733</v>
      </c>
      <c r="AC458" s="48" t="s">
        <v>4872</v>
      </c>
      <c r="AD458" s="48" t="s">
        <v>273</v>
      </c>
      <c r="AE458" s="48" t="s">
        <v>273</v>
      </c>
      <c r="AF458" s="48" t="s">
        <v>273</v>
      </c>
      <c r="AG458" s="48" t="s">
        <v>273</v>
      </c>
      <c r="AH458" s="48" t="s">
        <v>273</v>
      </c>
      <c r="AI458" s="48" t="s">
        <v>273</v>
      </c>
      <c r="AJ458" s="48" t="s">
        <v>273</v>
      </c>
      <c r="AK458" s="48" t="s">
        <v>1838</v>
      </c>
      <c r="AL458" s="48" t="s">
        <v>1839</v>
      </c>
      <c r="AM458" s="48" t="s">
        <v>4873</v>
      </c>
      <c r="AN458" s="48" t="s">
        <v>273</v>
      </c>
      <c r="AO458" s="48" t="s">
        <v>273</v>
      </c>
      <c r="AP458" s="48" t="s">
        <v>273</v>
      </c>
      <c r="AQ458" s="48" t="s">
        <v>273</v>
      </c>
      <c r="AR458" s="48" t="s">
        <v>273</v>
      </c>
      <c r="AS458" s="48" t="s">
        <v>273</v>
      </c>
      <c r="AT458" s="48" t="s">
        <v>273</v>
      </c>
      <c r="AU458" s="93" t="s">
        <v>263</v>
      </c>
      <c r="AV458" s="93"/>
      <c r="AW458" s="93"/>
      <c r="AX458" s="93"/>
      <c r="AY458" s="93"/>
    </row>
    <row r="459" spans="1:52" ht="16.5" customHeight="1" x14ac:dyDescent="0.15">
      <c r="A459" s="151" t="s">
        <v>4874</v>
      </c>
      <c r="B459" s="152" t="s">
        <v>4875</v>
      </c>
      <c r="C459" s="48" t="s">
        <v>298</v>
      </c>
      <c r="D459" s="62" t="s">
        <v>4876</v>
      </c>
      <c r="E459" s="48" t="s">
        <v>300</v>
      </c>
      <c r="F459" s="61">
        <v>42551</v>
      </c>
      <c r="G459" s="61">
        <v>42551</v>
      </c>
      <c r="H459" s="125">
        <v>42564</v>
      </c>
      <c r="I459" s="61" t="s">
        <v>279</v>
      </c>
      <c r="J459" s="87"/>
      <c r="K459" s="62" t="s">
        <v>16</v>
      </c>
      <c r="L459" s="62">
        <v>3</v>
      </c>
      <c r="M459" s="62" t="s">
        <v>409</v>
      </c>
      <c r="N459" s="62" t="s">
        <v>4877</v>
      </c>
      <c r="O459" s="48" t="s">
        <v>948</v>
      </c>
      <c r="P459" s="48" t="s">
        <v>4878</v>
      </c>
      <c r="Q459" s="48" t="s">
        <v>2643</v>
      </c>
      <c r="R459" s="48" t="s">
        <v>4879</v>
      </c>
      <c r="S459" s="48" t="s">
        <v>4880</v>
      </c>
      <c r="T459" s="48" t="s">
        <v>4881</v>
      </c>
      <c r="U459" s="48" t="s">
        <v>4882</v>
      </c>
      <c r="V459" s="122" t="s">
        <v>263</v>
      </c>
      <c r="W459" s="122" t="s">
        <v>263</v>
      </c>
      <c r="X459" s="48" t="s">
        <v>4883</v>
      </c>
      <c r="Y459" s="48" t="s">
        <v>4884</v>
      </c>
      <c r="Z459" s="61"/>
      <c r="AA459" s="48" t="s">
        <v>291</v>
      </c>
      <c r="AB459" s="48" t="s">
        <v>273</v>
      </c>
      <c r="AC459" s="48" t="s">
        <v>273</v>
      </c>
      <c r="AD459" s="48" t="s">
        <v>273</v>
      </c>
      <c r="AE459" s="48" t="s">
        <v>273</v>
      </c>
      <c r="AF459" s="48" t="s">
        <v>273</v>
      </c>
      <c r="AG459" s="48" t="s">
        <v>273</v>
      </c>
      <c r="AH459" s="48" t="s">
        <v>273</v>
      </c>
      <c r="AI459" s="48" t="s">
        <v>273</v>
      </c>
      <c r="AJ459" s="48" t="s">
        <v>273</v>
      </c>
      <c r="AK459" s="48" t="s">
        <v>293</v>
      </c>
      <c r="AL459" s="48" t="s">
        <v>273</v>
      </c>
      <c r="AM459" s="48" t="s">
        <v>273</v>
      </c>
      <c r="AN459" s="48" t="s">
        <v>273</v>
      </c>
      <c r="AO459" s="48" t="s">
        <v>273</v>
      </c>
      <c r="AP459" s="48" t="s">
        <v>273</v>
      </c>
      <c r="AQ459" s="48" t="s">
        <v>273</v>
      </c>
      <c r="AR459" s="48" t="s">
        <v>273</v>
      </c>
      <c r="AS459" s="48" t="s">
        <v>273</v>
      </c>
      <c r="AT459" s="48" t="s">
        <v>273</v>
      </c>
      <c r="AU459" s="93">
        <v>40603</v>
      </c>
      <c r="AV459" s="93"/>
      <c r="AW459" s="93"/>
      <c r="AX459" s="93"/>
      <c r="AY459" s="93"/>
    </row>
    <row r="460" spans="1:52" ht="16.5" customHeight="1" x14ac:dyDescent="0.15">
      <c r="A460" s="151" t="s">
        <v>4885</v>
      </c>
      <c r="B460" s="152" t="s">
        <v>4886</v>
      </c>
      <c r="C460" s="48" t="s">
        <v>330</v>
      </c>
      <c r="D460" s="62" t="s">
        <v>263</v>
      </c>
      <c r="E460" s="48" t="s">
        <v>300</v>
      </c>
      <c r="F460" s="61">
        <v>42551</v>
      </c>
      <c r="G460" s="61">
        <v>42551</v>
      </c>
      <c r="H460" s="125">
        <v>42579</v>
      </c>
      <c r="I460" s="61">
        <v>40238</v>
      </c>
      <c r="J460" s="87"/>
      <c r="K460" s="62" t="s">
        <v>16</v>
      </c>
      <c r="L460" s="62">
        <v>3</v>
      </c>
      <c r="M460" s="62" t="s">
        <v>394</v>
      </c>
      <c r="N460" s="62" t="s">
        <v>4887</v>
      </c>
      <c r="O460" s="48" t="s">
        <v>396</v>
      </c>
      <c r="P460" s="48" t="s">
        <v>4106</v>
      </c>
      <c r="Q460" s="48" t="s">
        <v>4888</v>
      </c>
      <c r="R460" s="48" t="s">
        <v>399</v>
      </c>
      <c r="S460" s="48" t="s">
        <v>400</v>
      </c>
      <c r="T460" s="48" t="s">
        <v>401</v>
      </c>
      <c r="U460" s="48" t="s">
        <v>4889</v>
      </c>
      <c r="V460" s="122" t="s">
        <v>263</v>
      </c>
      <c r="W460" s="122" t="s">
        <v>263</v>
      </c>
      <c r="X460" s="48" t="s">
        <v>4890</v>
      </c>
      <c r="Y460" s="48" t="s">
        <v>4891</v>
      </c>
      <c r="Z460" s="61"/>
      <c r="AA460" s="48" t="s">
        <v>518</v>
      </c>
      <c r="AB460" s="48" t="s">
        <v>273</v>
      </c>
      <c r="AC460" s="48" t="s">
        <v>273</v>
      </c>
      <c r="AD460" s="48" t="s">
        <v>273</v>
      </c>
      <c r="AE460" s="48" t="s">
        <v>273</v>
      </c>
      <c r="AF460" s="48" t="s">
        <v>273</v>
      </c>
      <c r="AG460" s="48" t="s">
        <v>273</v>
      </c>
      <c r="AH460" s="48" t="s">
        <v>273</v>
      </c>
      <c r="AI460" s="48" t="s">
        <v>273</v>
      </c>
      <c r="AJ460" s="48" t="s">
        <v>273</v>
      </c>
      <c r="AK460" s="48" t="s">
        <v>519</v>
      </c>
      <c r="AL460" s="48" t="s">
        <v>273</v>
      </c>
      <c r="AM460" s="48" t="s">
        <v>273</v>
      </c>
      <c r="AN460" s="48" t="s">
        <v>273</v>
      </c>
      <c r="AO460" s="48" t="s">
        <v>273</v>
      </c>
      <c r="AP460" s="48" t="s">
        <v>273</v>
      </c>
      <c r="AQ460" s="48" t="s">
        <v>273</v>
      </c>
      <c r="AR460" s="48" t="s">
        <v>273</v>
      </c>
      <c r="AS460" s="48" t="s">
        <v>273</v>
      </c>
      <c r="AT460" s="48" t="s">
        <v>273</v>
      </c>
      <c r="AU460" s="93">
        <v>39114</v>
      </c>
      <c r="AV460" s="93"/>
      <c r="AW460" s="93"/>
      <c r="AX460" s="93"/>
      <c r="AY460" s="93"/>
    </row>
    <row r="461" spans="1:52" ht="16.5" customHeight="1" x14ac:dyDescent="0.15">
      <c r="A461" s="151" t="s">
        <v>4892</v>
      </c>
      <c r="B461" s="152" t="s">
        <v>4893</v>
      </c>
      <c r="C461" s="48" t="s">
        <v>4894</v>
      </c>
      <c r="D461" s="62" t="s">
        <v>4895</v>
      </c>
      <c r="E461" s="48" t="s">
        <v>264</v>
      </c>
      <c r="F461" s="61">
        <v>42551</v>
      </c>
      <c r="G461" s="61">
        <v>7</v>
      </c>
      <c r="H461" s="125">
        <v>42566</v>
      </c>
      <c r="I461" s="61" t="s">
        <v>279</v>
      </c>
      <c r="J461" s="87"/>
      <c r="K461" s="62" t="s">
        <v>16</v>
      </c>
      <c r="L461" s="62">
        <v>3</v>
      </c>
      <c r="M461" s="62" t="s">
        <v>651</v>
      </c>
      <c r="N461" s="62" t="s">
        <v>4896</v>
      </c>
      <c r="O461" s="48" t="s">
        <v>1065</v>
      </c>
      <c r="P461" s="48" t="s">
        <v>4897</v>
      </c>
      <c r="Q461" s="48" t="s">
        <v>4898</v>
      </c>
      <c r="R461" s="48" t="s">
        <v>4899</v>
      </c>
      <c r="S461" s="48" t="s">
        <v>4900</v>
      </c>
      <c r="T461" s="48" t="s">
        <v>4901</v>
      </c>
      <c r="U461" s="48" t="s">
        <v>4902</v>
      </c>
      <c r="V461" s="122" t="s">
        <v>263</v>
      </c>
      <c r="W461" s="122" t="s">
        <v>263</v>
      </c>
      <c r="X461" s="48" t="s">
        <v>4901</v>
      </c>
      <c r="Y461" s="48" t="s">
        <v>4903</v>
      </c>
      <c r="Z461" s="61"/>
      <c r="AA461" s="48" t="s">
        <v>962</v>
      </c>
      <c r="AB461" s="48" t="s">
        <v>273</v>
      </c>
      <c r="AC461" s="48" t="s">
        <v>273</v>
      </c>
      <c r="AD461" s="48" t="s">
        <v>273</v>
      </c>
      <c r="AE461" s="48" t="s">
        <v>273</v>
      </c>
      <c r="AF461" s="48" t="s">
        <v>273</v>
      </c>
      <c r="AG461" s="48" t="s">
        <v>273</v>
      </c>
      <c r="AH461" s="48" t="s">
        <v>273</v>
      </c>
      <c r="AI461" s="48" t="s">
        <v>273</v>
      </c>
      <c r="AJ461" s="48" t="s">
        <v>273</v>
      </c>
      <c r="AK461" s="48" t="s">
        <v>963</v>
      </c>
      <c r="AL461" s="48" t="s">
        <v>273</v>
      </c>
      <c r="AM461" s="48" t="s">
        <v>273</v>
      </c>
      <c r="AN461" s="48" t="s">
        <v>273</v>
      </c>
      <c r="AO461" s="48" t="s">
        <v>273</v>
      </c>
      <c r="AP461" s="48" t="s">
        <v>273</v>
      </c>
      <c r="AQ461" s="48" t="s">
        <v>273</v>
      </c>
      <c r="AR461" s="48" t="s">
        <v>273</v>
      </c>
      <c r="AS461" s="48" t="s">
        <v>273</v>
      </c>
      <c r="AT461" s="48" t="s">
        <v>273</v>
      </c>
      <c r="AU461" s="93">
        <v>41061</v>
      </c>
      <c r="AV461" s="93"/>
      <c r="AW461" s="93"/>
      <c r="AX461" s="93"/>
      <c r="AY461" s="93"/>
    </row>
    <row r="462" spans="1:52" ht="16.5" customHeight="1" x14ac:dyDescent="0.15">
      <c r="A462" s="121" t="s">
        <v>4904</v>
      </c>
      <c r="B462" s="47" t="s">
        <v>4905</v>
      </c>
      <c r="C462" s="48" t="e">
        <f ca="1">INDIRECT("'["&amp;$C$1&amp;".xls]"&amp;$B462&amp;"'!$i$7")</f>
        <v>#REF!</v>
      </c>
      <c r="D462" s="62" t="e">
        <f ca="1">INDIRECT("'["&amp;$C$1&amp;".xls]"&amp;$B462&amp;"'!$b$7")</f>
        <v>#REF!</v>
      </c>
      <c r="E462" s="48" t="e">
        <f ca="1">IF(INDIRECT("'["&amp;$C$1&amp;".xls]"&amp;$B462&amp;"'!$i$2")="","",INDIRECT("'["&amp;$C$1&amp;".xls]"&amp;$B462&amp;"'!$i$2"))</f>
        <v>#REF!</v>
      </c>
      <c r="F462" s="61" t="e">
        <f ca="1">INDIRECT("'["&amp;$C$1&amp;".xls]"&amp;$B462&amp;"'!$b$2")</f>
        <v>#REF!</v>
      </c>
      <c r="G462" s="61" t="e">
        <f ca="1">INDIRECT("'["&amp;$C$1&amp;".xls]"&amp;$B462&amp;"'!$a$20")</f>
        <v>#REF!</v>
      </c>
      <c r="H462" s="88" t="e">
        <f ca="1">INDIRECT("'["&amp;$C$1&amp;".xls]"&amp;$B462&amp;"'!$Q$22")</f>
        <v>#REF!</v>
      </c>
      <c r="I462" s="61" t="e">
        <f ca="1">INDIRECT("'["&amp;$C$1&amp;".xls]"&amp;$B462&amp;"'!$f$6")</f>
        <v>#REF!</v>
      </c>
      <c r="J462" s="87"/>
      <c r="K462" s="62" t="e">
        <f ca="1">INDIRECT("'["&amp;$C$1&amp;".xls]"&amp;$B462&amp;"'!$f$25")</f>
        <v>#REF!</v>
      </c>
      <c r="L462" s="62"/>
      <c r="M462" s="62" t="e">
        <f ca="1">INDIRECT("'["&amp;$C$1&amp;".xls]"&amp;$B462&amp;"'!$f$4")</f>
        <v>#REF!</v>
      </c>
      <c r="N462" s="62" t="e">
        <f ca="1">INDIRECT("'["&amp;$C$1&amp;".xls]"&amp;$B462&amp;"'!$i$4")</f>
        <v>#REF!</v>
      </c>
      <c r="O462" s="48" t="e">
        <f ca="1">INDIRECT("'["&amp;$C$1&amp;".xls]"&amp;$B462&amp;"'!$l$4")</f>
        <v>#REF!</v>
      </c>
      <c r="P462" s="48" t="e">
        <f ca="1">INDIRECT("'["&amp;$C$1&amp;".xls]"&amp;$B462&amp;"'!$b$5")</f>
        <v>#REF!</v>
      </c>
      <c r="Q462" s="48" t="e">
        <f ca="1">INDIRECT("'["&amp;$C$1&amp;".xls]"&amp;$B462&amp;"'!$f$5")</f>
        <v>#REF!</v>
      </c>
      <c r="R462" s="48"/>
      <c r="S462" s="48" t="e">
        <f ca="1">INDIRECT("'["&amp;$C$1&amp;".xls]"&amp;$B462&amp;"'!$i$5")</f>
        <v>#REF!</v>
      </c>
      <c r="T462" s="48" t="e">
        <f ca="1">INDIRECT("'["&amp;$C$1&amp;".xls]"&amp;$B462&amp;"'!$l$5")</f>
        <v>#REF!</v>
      </c>
      <c r="U462" s="48" t="e">
        <f ca="1">INDIRECT("'["&amp;$C$1&amp;".xls]"&amp;$B462&amp;"'!$b$4")</f>
        <v>#REF!</v>
      </c>
      <c r="V462" s="48"/>
      <c r="W462" s="48"/>
      <c r="X462" s="48"/>
      <c r="Y462" s="48"/>
      <c r="Z462" s="61"/>
      <c r="AA462" s="48" t="e">
        <f ca="1">IF(INDIRECT("'["&amp;$C$1&amp;".xls]"&amp;$B462&amp;"'!$P$25")="","",IF(INDIRECT("'["&amp;$C$1&amp;".xls]"&amp;$B462&amp;"'!$O$25")="済み",INDIRECT("'["&amp;$C$1&amp;".xls]"&amp;$B462&amp;"'!$P$25"),""))</f>
        <v>#REF!</v>
      </c>
      <c r="AB462" s="48" t="e">
        <f ca="1">IF(INDIRECT("'["&amp;$C$1&amp;".xls]"&amp;$B462&amp;"'!$P$26")="","",IF(INDIRECT("'["&amp;$C$1&amp;".xls]"&amp;$B462&amp;"'!$O$26")="済み",INDIRECT("'["&amp;$C$1&amp;".xls]"&amp;$B462&amp;"'!$P$26"),""))</f>
        <v>#REF!</v>
      </c>
      <c r="AC462" s="48" t="e">
        <f ca="1">IF(INDIRECT("'["&amp;$C$1&amp;".xls]"&amp;$B462&amp;"'!$P$27")="","",IF(INDIRECT("'["&amp;$C$1&amp;".xls]"&amp;$B462&amp;"'!$O$27")="済み",INDIRECT("'["&amp;$C$1&amp;".xls]"&amp;$B462&amp;"'!$P$27"),""))</f>
        <v>#REF!</v>
      </c>
      <c r="AD462" s="48" t="e">
        <f ca="1">IF(INDIRECT("'["&amp;$C$1&amp;".xls]"&amp;$B462&amp;"'!$P$28")="","",IF(INDIRECT("'["&amp;$C$1&amp;".xls]"&amp;$B462&amp;"'!$O$28")="済み",INDIRECT("'["&amp;$C$1&amp;".xls]"&amp;$B462&amp;"'!$P$28"),""))</f>
        <v>#REF!</v>
      </c>
      <c r="AE462" s="48" t="e">
        <f ca="1">IF(INDIRECT("'["&amp;$C$1&amp;".xls]"&amp;$B462&amp;"'!$P$29")="","",IF(INDIRECT("'["&amp;$C$1&amp;".xls]"&amp;$B462&amp;"'!$O$29")="済み",INDIRECT("'["&amp;$C$1&amp;".xls]"&amp;$B462&amp;"'!$P$29"),""))</f>
        <v>#REF!</v>
      </c>
      <c r="AF462" s="48" t="e">
        <f ca="1">IF(INDIRECT("'["&amp;$C$1&amp;".xls]"&amp;$B462&amp;"'!$P$30")="","",IF(INDIRECT("'["&amp;$C$1&amp;".xls]"&amp;$B462&amp;"'!$O$30")="済み",INDIRECT("'["&amp;$C$1&amp;".xls]"&amp;$B462&amp;"'!$P$30"),""))</f>
        <v>#REF!</v>
      </c>
      <c r="AG462" s="48" t="e">
        <f ca="1">IF(INDIRECT("'["&amp;$C$1&amp;".xls]"&amp;$B462&amp;"'!$P$31")="","",IF(INDIRECT("'["&amp;$C$1&amp;".xls]"&amp;$B462&amp;"'!$O$31")="済み",INDIRECT("'["&amp;$C$1&amp;".xls]"&amp;$B462&amp;"'!$P$31"),""))</f>
        <v>#REF!</v>
      </c>
      <c r="AH462" s="48" t="e">
        <f ca="1">IF(INDIRECT("'["&amp;$C$1&amp;".xls]"&amp;$B462&amp;"'!$P$32")="","",IF(INDIRECT("'["&amp;$C$1&amp;".xls]"&amp;$B462&amp;"'!$O$32")="済み",INDIRECT("'["&amp;$C$1&amp;".xls]"&amp;$B462&amp;"'!$P$32"),""))</f>
        <v>#REF!</v>
      </c>
      <c r="AI462" s="48" t="e">
        <f ca="1">IF(INDIRECT("'["&amp;$C$1&amp;".xls]"&amp;$B462&amp;"'!$P$33")="","",IF(INDIRECT("'["&amp;$C$1&amp;".xls]"&amp;$B462&amp;"'!$O$33")="済み",INDIRECT("'["&amp;$C$1&amp;".xls]"&amp;$B462&amp;"'!$P$33"),""))</f>
        <v>#REF!</v>
      </c>
      <c r="AJ462" s="48" t="e">
        <f ca="1">IF(INDIRECT("'["&amp;$C$1&amp;".xls]"&amp;$B462&amp;"'!$P$34")="","",IF(INDIRECT("'["&amp;$C$1&amp;".xls]"&amp;$B462&amp;"'!$O$34")="済み",INDIRECT("'["&amp;$C$1&amp;".xls]"&amp;$B462&amp;"'!$P$34"),""))</f>
        <v>#REF!</v>
      </c>
      <c r="AK462" s="48" t="e">
        <f ca="1">IF(INDIRECT("'["&amp;$C$1&amp;".xls]"&amp;$B462&amp;"'!$T25")="","",IF(INDIRECT("'["&amp;$C$1&amp;".xls]"&amp;$B462&amp;"'!$O$25")="済み",INDIRECT("'["&amp;$C$1&amp;".xls]"&amp;$B462&amp;"'!$T$25"),""))</f>
        <v>#REF!</v>
      </c>
      <c r="AL462" s="48" t="e">
        <f ca="1">IF(INDIRECT("'["&amp;$C$1&amp;".xls]"&amp;$B462&amp;"'!$T26")="","",IF(INDIRECT("'["&amp;$C$1&amp;".xls]"&amp;$B462&amp;"'!$O$26")="済み",INDIRECT("'["&amp;$C$1&amp;".xls]"&amp;$B462&amp;"'!$T$26"),""))</f>
        <v>#REF!</v>
      </c>
      <c r="AM462" s="48" t="e">
        <f ca="1">IF(INDIRECT("'["&amp;$C$1&amp;".xls]"&amp;$B462&amp;"'!$T27")="","",IF(INDIRECT("'["&amp;$C$1&amp;".xls]"&amp;$B462&amp;"'!$O$27")="済み",INDIRECT("'["&amp;$C$1&amp;".xls]"&amp;$B462&amp;"'!$T$27"),""))</f>
        <v>#REF!</v>
      </c>
      <c r="AN462" s="48" t="e">
        <f ca="1">IF(INDIRECT("'["&amp;$C$1&amp;".xls]"&amp;$B462&amp;"'!$T28")="","",IF(INDIRECT("'["&amp;$C$1&amp;".xls]"&amp;$B462&amp;"'!$O$28")="済み",INDIRECT("'["&amp;$C$1&amp;".xls]"&amp;$B462&amp;"'!$T$28"),""))</f>
        <v>#REF!</v>
      </c>
      <c r="AO462" s="48" t="e">
        <f ca="1">IF(INDIRECT("'["&amp;$C$1&amp;".xls]"&amp;$B462&amp;"'!$T29")="","",IF(INDIRECT("'["&amp;$C$1&amp;".xls]"&amp;$B462&amp;"'!$O$29")="済み",INDIRECT("'["&amp;$C$1&amp;".xls]"&amp;$B462&amp;"'!$T$29"),""))</f>
        <v>#REF!</v>
      </c>
      <c r="AP462" s="48" t="e">
        <f ca="1">IF(INDIRECT("'["&amp;$C$1&amp;".xls]"&amp;$B462&amp;"'!$T30")="","",IF(INDIRECT("'["&amp;$C$1&amp;".xls]"&amp;$B462&amp;"'!$O$30")="済み",INDIRECT("'["&amp;$C$1&amp;".xls]"&amp;$B462&amp;"'!$T$30"),""))</f>
        <v>#REF!</v>
      </c>
      <c r="AQ462" s="48" t="e">
        <f ca="1">IF(INDIRECT("'["&amp;$C$1&amp;".xls]"&amp;$B462&amp;"'!$T31")="","",IF(INDIRECT("'["&amp;$C$1&amp;".xls]"&amp;$B462&amp;"'!$O$31")="済み",INDIRECT("'["&amp;$C$1&amp;".xls]"&amp;$B462&amp;"'!$T$31"),""))</f>
        <v>#REF!</v>
      </c>
      <c r="AR462" s="48" t="e">
        <f ca="1">IF(INDIRECT("'["&amp;$C$1&amp;".xls]"&amp;$B462&amp;"'!$T32")="","",IF(INDIRECT("'["&amp;$C$1&amp;".xls]"&amp;$B462&amp;"'!$O$32")="済み",INDIRECT("'["&amp;$C$1&amp;".xls]"&amp;$B462&amp;"'!$T$32"),""))</f>
        <v>#REF!</v>
      </c>
      <c r="AS462" s="48" t="e">
        <f ca="1">IF(INDIRECT("'["&amp;$C$1&amp;".xls]"&amp;$B462&amp;"'!$T33")="","",IF(INDIRECT("'["&amp;$C$1&amp;".xls]"&amp;$B462&amp;"'!$O$33")="済み",INDIRECT("'["&amp;$C$1&amp;".xls]"&amp;$B462&amp;"'!$T$33"),""))</f>
        <v>#REF!</v>
      </c>
      <c r="AT462" s="48" t="e">
        <f ca="1">IF(INDIRECT("'["&amp;$C$1&amp;".xls]"&amp;$B462&amp;"'!$T34")="","",IF(INDIRECT("'["&amp;$C$1&amp;".xls]"&amp;$B462&amp;"'!$O$34")="済み",INDIRECT("'["&amp;$C$1&amp;".xls]"&amp;$B462&amp;"'!$T$34"),""))</f>
        <v>#REF!</v>
      </c>
      <c r="AU462" s="93" t="e">
        <f ca="1">INDIRECT("'["&amp;$C$1&amp;".xls]"&amp;$B462&amp;"'!$B$6")</f>
        <v>#REF!</v>
      </c>
      <c r="AV462" s="93"/>
      <c r="AW462" s="93"/>
      <c r="AX462" s="93"/>
      <c r="AY462" s="93"/>
    </row>
    <row r="463" spans="1:52" ht="16.5" customHeight="1" x14ac:dyDescent="0.15">
      <c r="A463" s="151" t="s">
        <v>4906</v>
      </c>
      <c r="B463" s="152" t="s">
        <v>4907</v>
      </c>
      <c r="C463" s="48" t="s">
        <v>298</v>
      </c>
      <c r="D463" s="62" t="s">
        <v>4908</v>
      </c>
      <c r="E463" s="48" t="s">
        <v>264</v>
      </c>
      <c r="F463" s="61">
        <v>42551</v>
      </c>
      <c r="G463" s="61">
        <v>42551</v>
      </c>
      <c r="H463" s="125">
        <v>42557</v>
      </c>
      <c r="I463" s="61" t="s">
        <v>279</v>
      </c>
      <c r="J463" s="87"/>
      <c r="K463" s="62" t="s">
        <v>16</v>
      </c>
      <c r="L463" s="124" t="s">
        <v>263</v>
      </c>
      <c r="M463" s="62" t="s">
        <v>651</v>
      </c>
      <c r="N463" s="62" t="s">
        <v>4909</v>
      </c>
      <c r="O463" s="48" t="s">
        <v>4910</v>
      </c>
      <c r="P463" s="48" t="s">
        <v>4122</v>
      </c>
      <c r="Q463" s="48" t="s">
        <v>3931</v>
      </c>
      <c r="R463" s="48" t="s">
        <v>3932</v>
      </c>
      <c r="S463" s="48" t="s">
        <v>269</v>
      </c>
      <c r="T463" s="48" t="s">
        <v>270</v>
      </c>
      <c r="U463" s="48" t="s">
        <v>4911</v>
      </c>
      <c r="V463" s="122" t="s">
        <v>263</v>
      </c>
      <c r="W463" s="122" t="s">
        <v>263</v>
      </c>
      <c r="X463" s="48" t="s">
        <v>4912</v>
      </c>
      <c r="Y463" s="48" t="s">
        <v>4913</v>
      </c>
      <c r="Z463" s="61"/>
      <c r="AA463" s="48" t="s">
        <v>273</v>
      </c>
      <c r="AB463" s="48" t="s">
        <v>273</v>
      </c>
      <c r="AC463" s="48" t="s">
        <v>273</v>
      </c>
      <c r="AD463" s="48" t="s">
        <v>273</v>
      </c>
      <c r="AE463" s="48" t="s">
        <v>273</v>
      </c>
      <c r="AF463" s="48" t="s">
        <v>273</v>
      </c>
      <c r="AG463" s="48" t="s">
        <v>273</v>
      </c>
      <c r="AH463" s="48" t="s">
        <v>273</v>
      </c>
      <c r="AI463" s="48" t="s">
        <v>273</v>
      </c>
      <c r="AJ463" s="48" t="s">
        <v>273</v>
      </c>
      <c r="AK463" s="48" t="s">
        <v>273</v>
      </c>
      <c r="AL463" s="48" t="s">
        <v>273</v>
      </c>
      <c r="AM463" s="48" t="s">
        <v>273</v>
      </c>
      <c r="AN463" s="48" t="s">
        <v>273</v>
      </c>
      <c r="AO463" s="48" t="s">
        <v>273</v>
      </c>
      <c r="AP463" s="48" t="s">
        <v>273</v>
      </c>
      <c r="AQ463" s="48" t="s">
        <v>273</v>
      </c>
      <c r="AR463" s="48" t="s">
        <v>273</v>
      </c>
      <c r="AS463" s="48" t="s">
        <v>273</v>
      </c>
      <c r="AT463" s="48" t="s">
        <v>273</v>
      </c>
      <c r="AU463" s="93">
        <v>42370</v>
      </c>
      <c r="AV463" s="93"/>
      <c r="AW463" s="93"/>
      <c r="AX463" s="93"/>
      <c r="AY463" s="93"/>
      <c r="AZ463" s="49" t="s">
        <v>4914</v>
      </c>
    </row>
    <row r="464" spans="1:52" ht="16.5" customHeight="1" x14ac:dyDescent="0.15">
      <c r="A464" s="156" t="s">
        <v>4915</v>
      </c>
      <c r="B464" s="157" t="s">
        <v>4916</v>
      </c>
      <c r="C464" s="48" t="s">
        <v>298</v>
      </c>
      <c r="D464" s="62" t="s">
        <v>4917</v>
      </c>
      <c r="E464" s="48" t="s">
        <v>300</v>
      </c>
      <c r="F464" s="61">
        <v>42552</v>
      </c>
      <c r="G464" s="61">
        <v>42552</v>
      </c>
      <c r="H464" s="125">
        <v>42629</v>
      </c>
      <c r="I464" s="61">
        <v>40147</v>
      </c>
      <c r="J464" s="87"/>
      <c r="K464" s="124" t="s">
        <v>263</v>
      </c>
      <c r="L464" s="124" t="s">
        <v>263</v>
      </c>
      <c r="M464" s="62" t="s">
        <v>409</v>
      </c>
      <c r="N464" s="62" t="s">
        <v>4918</v>
      </c>
      <c r="O464" s="48" t="s">
        <v>606</v>
      </c>
      <c r="P464" s="48" t="s">
        <v>4919</v>
      </c>
      <c r="Q464" s="48" t="s">
        <v>1204</v>
      </c>
      <c r="R464" s="48" t="s">
        <v>4920</v>
      </c>
      <c r="S464" s="48" t="s">
        <v>1761</v>
      </c>
      <c r="T464" s="48" t="s">
        <v>4921</v>
      </c>
      <c r="U464" s="48" t="s">
        <v>4922</v>
      </c>
      <c r="V464" s="122" t="s">
        <v>263</v>
      </c>
      <c r="W464" s="48" t="s">
        <v>2338</v>
      </c>
      <c r="X464" s="48" t="s">
        <v>4923</v>
      </c>
      <c r="Y464" s="48" t="s">
        <v>4924</v>
      </c>
      <c r="Z464" s="61"/>
      <c r="AA464" s="48" t="s">
        <v>273</v>
      </c>
      <c r="AB464" s="48" t="s">
        <v>273</v>
      </c>
      <c r="AC464" s="48" t="s">
        <v>273</v>
      </c>
      <c r="AD464" s="48" t="s">
        <v>273</v>
      </c>
      <c r="AE464" s="48" t="s">
        <v>273</v>
      </c>
      <c r="AF464" s="48" t="s">
        <v>273</v>
      </c>
      <c r="AG464" s="48" t="s">
        <v>273</v>
      </c>
      <c r="AH464" s="48" t="s">
        <v>273</v>
      </c>
      <c r="AI464" s="48" t="s">
        <v>273</v>
      </c>
      <c r="AJ464" s="48" t="s">
        <v>273</v>
      </c>
      <c r="AK464" s="48" t="s">
        <v>273</v>
      </c>
      <c r="AL464" s="48" t="s">
        <v>273</v>
      </c>
      <c r="AM464" s="48" t="s">
        <v>273</v>
      </c>
      <c r="AN464" s="48" t="s">
        <v>273</v>
      </c>
      <c r="AO464" s="48" t="s">
        <v>273</v>
      </c>
      <c r="AP464" s="48" t="s">
        <v>273</v>
      </c>
      <c r="AQ464" s="48" t="s">
        <v>273</v>
      </c>
      <c r="AR464" s="48" t="s">
        <v>273</v>
      </c>
      <c r="AS464" s="48" t="s">
        <v>273</v>
      </c>
      <c r="AT464" s="48" t="s">
        <v>273</v>
      </c>
      <c r="AU464" s="93">
        <v>39873</v>
      </c>
      <c r="AV464" s="93"/>
      <c r="AW464" s="93"/>
      <c r="AX464" s="93"/>
      <c r="AY464" s="93"/>
      <c r="AZ464" s="49" t="s">
        <v>4925</v>
      </c>
    </row>
    <row r="465" spans="1:52" ht="16.5" customHeight="1" x14ac:dyDescent="0.15">
      <c r="A465" s="151" t="s">
        <v>4926</v>
      </c>
      <c r="B465" s="152" t="s">
        <v>4927</v>
      </c>
      <c r="C465" s="48" t="s">
        <v>298</v>
      </c>
      <c r="D465" s="62" t="s">
        <v>4928</v>
      </c>
      <c r="E465" s="48" t="s">
        <v>300</v>
      </c>
      <c r="F465" s="61">
        <v>42552</v>
      </c>
      <c r="G465" s="61">
        <v>42552</v>
      </c>
      <c r="H465" s="125">
        <v>42557</v>
      </c>
      <c r="I465" s="61" t="s">
        <v>279</v>
      </c>
      <c r="J465" s="87"/>
      <c r="K465" s="62" t="s">
        <v>16</v>
      </c>
      <c r="L465" s="62">
        <v>3</v>
      </c>
      <c r="M465" s="62">
        <v>180</v>
      </c>
      <c r="N465" s="62" t="s">
        <v>4929</v>
      </c>
      <c r="O465" s="48" t="s">
        <v>377</v>
      </c>
      <c r="P465" s="48" t="s">
        <v>4930</v>
      </c>
      <c r="Q465" s="48" t="s">
        <v>4931</v>
      </c>
      <c r="R465" s="48" t="s">
        <v>4932</v>
      </c>
      <c r="S465" s="48" t="s">
        <v>352</v>
      </c>
      <c r="T465" s="48" t="s">
        <v>4933</v>
      </c>
      <c r="U465" s="48" t="s">
        <v>4934</v>
      </c>
      <c r="V465" s="122" t="s">
        <v>4935</v>
      </c>
      <c r="W465" s="122" t="s">
        <v>4936</v>
      </c>
      <c r="X465" s="48" t="s">
        <v>4937</v>
      </c>
      <c r="Y465" s="48" t="s">
        <v>4938</v>
      </c>
      <c r="Z465" s="61"/>
      <c r="AA465" s="48" t="s">
        <v>645</v>
      </c>
      <c r="AB465" s="48" t="s">
        <v>273</v>
      </c>
      <c r="AC465" s="48" t="s">
        <v>273</v>
      </c>
      <c r="AD465" s="48" t="s">
        <v>273</v>
      </c>
      <c r="AE465" s="48" t="s">
        <v>273</v>
      </c>
      <c r="AF465" s="48" t="s">
        <v>273</v>
      </c>
      <c r="AG465" s="48" t="s">
        <v>273</v>
      </c>
      <c r="AH465" s="48" t="s">
        <v>273</v>
      </c>
      <c r="AI465" s="48" t="s">
        <v>273</v>
      </c>
      <c r="AJ465" s="48" t="s">
        <v>273</v>
      </c>
      <c r="AK465" s="48" t="s">
        <v>646</v>
      </c>
      <c r="AL465" s="48" t="s">
        <v>273</v>
      </c>
      <c r="AM465" s="48" t="s">
        <v>273</v>
      </c>
      <c r="AN465" s="48" t="s">
        <v>273</v>
      </c>
      <c r="AO465" s="48" t="s">
        <v>273</v>
      </c>
      <c r="AP465" s="48" t="s">
        <v>273</v>
      </c>
      <c r="AQ465" s="48" t="s">
        <v>273</v>
      </c>
      <c r="AR465" s="48" t="s">
        <v>273</v>
      </c>
      <c r="AS465" s="48" t="s">
        <v>273</v>
      </c>
      <c r="AT465" s="48" t="s">
        <v>273</v>
      </c>
      <c r="AU465" s="93">
        <v>36647</v>
      </c>
      <c r="AV465" s="93"/>
      <c r="AW465" s="93"/>
      <c r="AX465" s="93"/>
      <c r="AY465" s="93"/>
    </row>
    <row r="466" spans="1:52" ht="16.5" customHeight="1" x14ac:dyDescent="0.15">
      <c r="A466" s="182" t="s">
        <v>4939</v>
      </c>
      <c r="B466" s="183" t="s">
        <v>4940</v>
      </c>
      <c r="C466" s="48" t="s">
        <v>4941</v>
      </c>
      <c r="D466" s="62" t="s">
        <v>263</v>
      </c>
      <c r="E466" s="48" t="s">
        <v>264</v>
      </c>
      <c r="F466" s="61">
        <v>42555</v>
      </c>
      <c r="G466" s="61">
        <v>42555</v>
      </c>
      <c r="H466" s="125">
        <v>42646</v>
      </c>
      <c r="I466" s="61">
        <v>41571</v>
      </c>
      <c r="J466" s="87"/>
      <c r="K466" s="62" t="s">
        <v>16</v>
      </c>
      <c r="L466" s="62">
        <v>3</v>
      </c>
      <c r="M466" s="62" t="s">
        <v>471</v>
      </c>
      <c r="N466" s="62" t="s">
        <v>4942</v>
      </c>
      <c r="O466" s="48" t="s">
        <v>502</v>
      </c>
      <c r="P466" s="48" t="s">
        <v>2833</v>
      </c>
      <c r="Q466" s="48" t="s">
        <v>1520</v>
      </c>
      <c r="R466" s="48" t="s">
        <v>399</v>
      </c>
      <c r="S466" s="48" t="s">
        <v>400</v>
      </c>
      <c r="T466" s="48" t="s">
        <v>401</v>
      </c>
      <c r="U466" s="48" t="s">
        <v>3354</v>
      </c>
      <c r="V466" s="122" t="s">
        <v>263</v>
      </c>
      <c r="W466" s="122" t="s">
        <v>263</v>
      </c>
      <c r="X466" s="48" t="s">
        <v>3355</v>
      </c>
      <c r="Y466" s="48" t="s">
        <v>4419</v>
      </c>
      <c r="Z466" s="61"/>
      <c r="AA466" s="48" t="s">
        <v>508</v>
      </c>
      <c r="AB466" s="48" t="s">
        <v>273</v>
      </c>
      <c r="AC466" s="48" t="s">
        <v>273</v>
      </c>
      <c r="AD466" s="48" t="s">
        <v>273</v>
      </c>
      <c r="AE466" s="48" t="s">
        <v>273</v>
      </c>
      <c r="AF466" s="48" t="s">
        <v>273</v>
      </c>
      <c r="AG466" s="48" t="s">
        <v>273</v>
      </c>
      <c r="AH466" s="48" t="s">
        <v>273</v>
      </c>
      <c r="AI466" s="48" t="s">
        <v>273</v>
      </c>
      <c r="AJ466" s="48" t="s">
        <v>273</v>
      </c>
      <c r="AK466" s="48" t="s">
        <v>509</v>
      </c>
      <c r="AL466" s="48" t="s">
        <v>273</v>
      </c>
      <c r="AM466" s="48" t="s">
        <v>273</v>
      </c>
      <c r="AN466" s="48" t="s">
        <v>273</v>
      </c>
      <c r="AO466" s="48" t="s">
        <v>273</v>
      </c>
      <c r="AP466" s="48" t="s">
        <v>273</v>
      </c>
      <c r="AQ466" s="48" t="s">
        <v>273</v>
      </c>
      <c r="AR466" s="48" t="s">
        <v>273</v>
      </c>
      <c r="AS466" s="48" t="s">
        <v>273</v>
      </c>
      <c r="AT466" s="48" t="s">
        <v>273</v>
      </c>
      <c r="AU466" s="93">
        <v>41456</v>
      </c>
      <c r="AV466" s="93"/>
      <c r="AW466" s="93"/>
      <c r="AX466" s="93"/>
      <c r="AY466" s="93"/>
    </row>
    <row r="467" spans="1:52" ht="16.5" customHeight="1" x14ac:dyDescent="0.15">
      <c r="A467" s="151" t="s">
        <v>4943</v>
      </c>
      <c r="B467" s="152" t="s">
        <v>4944</v>
      </c>
      <c r="C467" s="48" t="s">
        <v>298</v>
      </c>
      <c r="D467" s="62" t="s">
        <v>263</v>
      </c>
      <c r="E467" s="48" t="s">
        <v>264</v>
      </c>
      <c r="F467" s="61">
        <v>42555</v>
      </c>
      <c r="G467" s="61">
        <v>42555</v>
      </c>
      <c r="H467" s="125">
        <v>42563</v>
      </c>
      <c r="I467" s="61">
        <v>41395</v>
      </c>
      <c r="J467" s="87"/>
      <c r="K467" s="62" t="s">
        <v>16</v>
      </c>
      <c r="L467" s="124" t="s">
        <v>263</v>
      </c>
      <c r="M467" s="62" t="s">
        <v>471</v>
      </c>
      <c r="N467" s="62" t="s">
        <v>4945</v>
      </c>
      <c r="O467" s="48" t="s">
        <v>502</v>
      </c>
      <c r="P467" s="48" t="s">
        <v>2833</v>
      </c>
      <c r="Q467" s="48" t="s">
        <v>3197</v>
      </c>
      <c r="R467" s="48" t="s">
        <v>399</v>
      </c>
      <c r="S467" s="48" t="s">
        <v>400</v>
      </c>
      <c r="T467" s="48" t="s">
        <v>401</v>
      </c>
      <c r="U467" s="48" t="s">
        <v>4946</v>
      </c>
      <c r="V467" s="122" t="s">
        <v>263</v>
      </c>
      <c r="W467" s="122" t="s">
        <v>263</v>
      </c>
      <c r="X467" s="48" t="s">
        <v>4947</v>
      </c>
      <c r="Y467" s="48" t="s">
        <v>4948</v>
      </c>
      <c r="Z467" s="61"/>
      <c r="AA467" s="48" t="s">
        <v>273</v>
      </c>
      <c r="AB467" s="48" t="s">
        <v>273</v>
      </c>
      <c r="AC467" s="48" t="s">
        <v>273</v>
      </c>
      <c r="AD467" s="48" t="s">
        <v>273</v>
      </c>
      <c r="AE467" s="48" t="s">
        <v>273</v>
      </c>
      <c r="AF467" s="48" t="s">
        <v>273</v>
      </c>
      <c r="AG467" s="48" t="s">
        <v>273</v>
      </c>
      <c r="AH467" s="48" t="s">
        <v>273</v>
      </c>
      <c r="AI467" s="48" t="s">
        <v>273</v>
      </c>
      <c r="AJ467" s="48" t="s">
        <v>273</v>
      </c>
      <c r="AK467" s="48" t="s">
        <v>273</v>
      </c>
      <c r="AL467" s="48" t="s">
        <v>273</v>
      </c>
      <c r="AM467" s="48" t="s">
        <v>273</v>
      </c>
      <c r="AN467" s="48" t="s">
        <v>273</v>
      </c>
      <c r="AO467" s="48" t="s">
        <v>273</v>
      </c>
      <c r="AP467" s="48" t="s">
        <v>273</v>
      </c>
      <c r="AQ467" s="48" t="s">
        <v>273</v>
      </c>
      <c r="AR467" s="48" t="s">
        <v>273</v>
      </c>
      <c r="AS467" s="48" t="s">
        <v>273</v>
      </c>
      <c r="AT467" s="48" t="s">
        <v>273</v>
      </c>
      <c r="AU467" s="93">
        <v>41244</v>
      </c>
      <c r="AV467" s="93"/>
      <c r="AW467" s="93"/>
      <c r="AX467" s="93"/>
      <c r="AY467" s="93"/>
      <c r="AZ467" s="49" t="s">
        <v>4949</v>
      </c>
    </row>
    <row r="468" spans="1:52" ht="16.5" customHeight="1" x14ac:dyDescent="0.15">
      <c r="A468" s="151" t="s">
        <v>4950</v>
      </c>
      <c r="B468" s="152" t="s">
        <v>4951</v>
      </c>
      <c r="C468" s="48" t="s">
        <v>330</v>
      </c>
      <c r="D468" s="62" t="s">
        <v>4952</v>
      </c>
      <c r="E468" s="48" t="s">
        <v>300</v>
      </c>
      <c r="F468" s="61">
        <v>42555</v>
      </c>
      <c r="G468" s="61">
        <v>42555</v>
      </c>
      <c r="H468" s="125">
        <v>42572</v>
      </c>
      <c r="I468" s="61" t="s">
        <v>279</v>
      </c>
      <c r="J468" s="87"/>
      <c r="K468" s="62" t="s">
        <v>16</v>
      </c>
      <c r="L468" s="124" t="s">
        <v>263</v>
      </c>
      <c r="M468" s="62" t="s">
        <v>680</v>
      </c>
      <c r="N468" s="62" t="s">
        <v>4953</v>
      </c>
      <c r="O468" s="48" t="s">
        <v>4627</v>
      </c>
      <c r="P468" s="48" t="s">
        <v>4954</v>
      </c>
      <c r="Q468" s="48" t="s">
        <v>4955</v>
      </c>
      <c r="R468" s="48" t="s">
        <v>4956</v>
      </c>
      <c r="S468" s="48" t="s">
        <v>4957</v>
      </c>
      <c r="T468" s="48" t="s">
        <v>4958</v>
      </c>
      <c r="U468" s="48" t="s">
        <v>4959</v>
      </c>
      <c r="V468" s="48" t="s">
        <v>4960</v>
      </c>
      <c r="W468" s="48" t="s">
        <v>2875</v>
      </c>
      <c r="X468" s="48" t="s">
        <v>4961</v>
      </c>
      <c r="Y468" s="48" t="s">
        <v>4962</v>
      </c>
      <c r="Z468" s="61"/>
      <c r="AA468" s="48" t="s">
        <v>273</v>
      </c>
      <c r="AB468" s="48" t="s">
        <v>273</v>
      </c>
      <c r="AC468" s="48" t="s">
        <v>273</v>
      </c>
      <c r="AD468" s="48" t="s">
        <v>273</v>
      </c>
      <c r="AE468" s="48" t="s">
        <v>273</v>
      </c>
      <c r="AF468" s="48" t="s">
        <v>273</v>
      </c>
      <c r="AG468" s="48" t="s">
        <v>273</v>
      </c>
      <c r="AH468" s="48" t="s">
        <v>273</v>
      </c>
      <c r="AI468" s="48" t="s">
        <v>273</v>
      </c>
      <c r="AJ468" s="48" t="s">
        <v>273</v>
      </c>
      <c r="AK468" s="48" t="s">
        <v>273</v>
      </c>
      <c r="AL468" s="48" t="s">
        <v>273</v>
      </c>
      <c r="AM468" s="48" t="s">
        <v>273</v>
      </c>
      <c r="AN468" s="48" t="s">
        <v>273</v>
      </c>
      <c r="AO468" s="48" t="s">
        <v>273</v>
      </c>
      <c r="AP468" s="48" t="s">
        <v>273</v>
      </c>
      <c r="AQ468" s="48" t="s">
        <v>273</v>
      </c>
      <c r="AR468" s="48" t="s">
        <v>273</v>
      </c>
      <c r="AS468" s="48" t="s">
        <v>273</v>
      </c>
      <c r="AT468" s="48" t="s">
        <v>273</v>
      </c>
      <c r="AU468" s="93">
        <v>40238</v>
      </c>
      <c r="AV468" s="93"/>
      <c r="AW468" s="93"/>
      <c r="AX468" s="93"/>
      <c r="AY468" s="93"/>
      <c r="AZ468" s="49" t="s">
        <v>4963</v>
      </c>
    </row>
    <row r="469" spans="1:52" ht="16.5" customHeight="1" x14ac:dyDescent="0.15">
      <c r="A469" s="153" t="s">
        <v>4964</v>
      </c>
      <c r="B469" s="154" t="s">
        <v>4965</v>
      </c>
      <c r="C469" s="48" t="s">
        <v>4966</v>
      </c>
      <c r="D469" s="62" t="s">
        <v>4967</v>
      </c>
      <c r="E469" s="48" t="s">
        <v>300</v>
      </c>
      <c r="F469" s="61">
        <v>42555</v>
      </c>
      <c r="G469" s="61">
        <v>42555</v>
      </c>
      <c r="H469" s="125">
        <v>42612</v>
      </c>
      <c r="I469" s="61" t="s">
        <v>279</v>
      </c>
      <c r="J469" s="87"/>
      <c r="K469" s="62" t="s">
        <v>16</v>
      </c>
      <c r="L469" s="62">
        <v>3</v>
      </c>
      <c r="M469" s="62" t="s">
        <v>755</v>
      </c>
      <c r="N469" s="62" t="s">
        <v>4968</v>
      </c>
      <c r="O469" s="48" t="s">
        <v>1044</v>
      </c>
      <c r="P469" s="48" t="s">
        <v>3119</v>
      </c>
      <c r="Q469" s="48" t="s">
        <v>2724</v>
      </c>
      <c r="R469" s="48" t="s">
        <v>4969</v>
      </c>
      <c r="S469" s="48" t="s">
        <v>4970</v>
      </c>
      <c r="T469" s="48" t="s">
        <v>2727</v>
      </c>
      <c r="U469" s="48" t="s">
        <v>4971</v>
      </c>
      <c r="V469" s="122" t="s">
        <v>263</v>
      </c>
      <c r="W469" s="122" t="s">
        <v>263</v>
      </c>
      <c r="X469" s="48" t="s">
        <v>4972</v>
      </c>
      <c r="Y469" s="48" t="s">
        <v>4973</v>
      </c>
      <c r="Z469" s="61"/>
      <c r="AA469" s="48" t="s">
        <v>273</v>
      </c>
      <c r="AB469" s="48" t="s">
        <v>1392</v>
      </c>
      <c r="AC469" s="48" t="s">
        <v>1393</v>
      </c>
      <c r="AD469" s="48" t="s">
        <v>2054</v>
      </c>
      <c r="AE469" s="48" t="s">
        <v>3173</v>
      </c>
      <c r="AF469" s="48" t="s">
        <v>273</v>
      </c>
      <c r="AG469" s="48" t="s">
        <v>273</v>
      </c>
      <c r="AH469" s="48" t="s">
        <v>273</v>
      </c>
      <c r="AI469" s="48" t="s">
        <v>273</v>
      </c>
      <c r="AJ469" s="48" t="s">
        <v>273</v>
      </c>
      <c r="AK469" s="48" t="s">
        <v>273</v>
      </c>
      <c r="AL469" s="48" t="s">
        <v>1395</v>
      </c>
      <c r="AM469" s="48" t="s">
        <v>1396</v>
      </c>
      <c r="AN469" s="48" t="s">
        <v>2055</v>
      </c>
      <c r="AO469" s="48" t="s">
        <v>3175</v>
      </c>
      <c r="AP469" s="48" t="s">
        <v>273</v>
      </c>
      <c r="AQ469" s="48" t="s">
        <v>273</v>
      </c>
      <c r="AR469" s="48" t="s">
        <v>273</v>
      </c>
      <c r="AS469" s="48" t="s">
        <v>273</v>
      </c>
      <c r="AT469" s="48" t="s">
        <v>273</v>
      </c>
      <c r="AU469" s="93">
        <v>38261</v>
      </c>
      <c r="AV469" s="93"/>
      <c r="AW469" s="93"/>
      <c r="AX469" s="93"/>
      <c r="AY469" s="93"/>
    </row>
    <row r="470" spans="1:52" ht="16.5" customHeight="1" x14ac:dyDescent="0.15">
      <c r="A470" s="151" t="s">
        <v>4974</v>
      </c>
      <c r="B470" s="152" t="s">
        <v>4975</v>
      </c>
      <c r="C470" s="48" t="s">
        <v>298</v>
      </c>
      <c r="D470" s="62" t="s">
        <v>4976</v>
      </c>
      <c r="E470" s="48" t="s">
        <v>300</v>
      </c>
      <c r="F470" s="61">
        <v>42555</v>
      </c>
      <c r="G470" s="61">
        <v>42555</v>
      </c>
      <c r="H470" s="125">
        <v>42565</v>
      </c>
      <c r="I470" s="61" t="s">
        <v>279</v>
      </c>
      <c r="J470" s="87"/>
      <c r="K470" s="62" t="s">
        <v>16</v>
      </c>
      <c r="L470" s="62">
        <v>3</v>
      </c>
      <c r="M470" s="62">
        <v>180</v>
      </c>
      <c r="N470" s="62" t="s">
        <v>4977</v>
      </c>
      <c r="O470" s="48" t="s">
        <v>1528</v>
      </c>
      <c r="P470" s="48" t="s">
        <v>4978</v>
      </c>
      <c r="Q470" s="48" t="s">
        <v>971</v>
      </c>
      <c r="R470" s="48" t="s">
        <v>4979</v>
      </c>
      <c r="S470" s="48" t="s">
        <v>4980</v>
      </c>
      <c r="T470" s="48" t="s">
        <v>4981</v>
      </c>
      <c r="U470" s="48" t="s">
        <v>4982</v>
      </c>
      <c r="V470" s="48" t="s">
        <v>4983</v>
      </c>
      <c r="W470" s="48" t="s">
        <v>324</v>
      </c>
      <c r="X470" s="48" t="s">
        <v>4984</v>
      </c>
      <c r="Y470" s="48" t="s">
        <v>4985</v>
      </c>
      <c r="Z470" s="61"/>
      <c r="AA470" s="48" t="s">
        <v>849</v>
      </c>
      <c r="AB470" s="48" t="s">
        <v>453</v>
      </c>
      <c r="AC470" s="48" t="s">
        <v>273</v>
      </c>
      <c r="AD470" s="48" t="s">
        <v>273</v>
      </c>
      <c r="AE470" s="48" t="s">
        <v>273</v>
      </c>
      <c r="AF470" s="48" t="s">
        <v>273</v>
      </c>
      <c r="AG470" s="48" t="s">
        <v>273</v>
      </c>
      <c r="AH470" s="48" t="s">
        <v>273</v>
      </c>
      <c r="AI470" s="48" t="s">
        <v>273</v>
      </c>
      <c r="AJ470" s="48" t="s">
        <v>273</v>
      </c>
      <c r="AK470" s="48" t="s">
        <v>850</v>
      </c>
      <c r="AL470" s="48" t="s">
        <v>454</v>
      </c>
      <c r="AM470" s="48" t="s">
        <v>273</v>
      </c>
      <c r="AN470" s="48" t="s">
        <v>273</v>
      </c>
      <c r="AO470" s="48" t="s">
        <v>273</v>
      </c>
      <c r="AP470" s="48" t="s">
        <v>273</v>
      </c>
      <c r="AQ470" s="48" t="s">
        <v>273</v>
      </c>
      <c r="AR470" s="48" t="s">
        <v>273</v>
      </c>
      <c r="AS470" s="48" t="s">
        <v>273</v>
      </c>
      <c r="AT470" s="48" t="s">
        <v>273</v>
      </c>
      <c r="AU470" s="93">
        <v>36586</v>
      </c>
      <c r="AV470" s="93"/>
      <c r="AW470" s="93"/>
      <c r="AX470" s="93"/>
      <c r="AY470" s="93"/>
    </row>
    <row r="471" spans="1:52" ht="16.5" customHeight="1" x14ac:dyDescent="0.15">
      <c r="A471" s="151" t="s">
        <v>4986</v>
      </c>
      <c r="B471" s="152" t="s">
        <v>4987</v>
      </c>
      <c r="C471" s="48" t="s">
        <v>4988</v>
      </c>
      <c r="D471" s="62" t="s">
        <v>4989</v>
      </c>
      <c r="E471" s="48" t="s">
        <v>264</v>
      </c>
      <c r="F471" s="61">
        <v>42555</v>
      </c>
      <c r="G471" s="61">
        <v>42555</v>
      </c>
      <c r="H471" s="125">
        <v>42563</v>
      </c>
      <c r="I471" s="61" t="s">
        <v>279</v>
      </c>
      <c r="J471" s="87"/>
      <c r="K471" s="62" t="s">
        <v>16</v>
      </c>
      <c r="L471" s="62">
        <v>3</v>
      </c>
      <c r="M471" s="62" t="s">
        <v>209</v>
      </c>
      <c r="N471" s="62" t="s">
        <v>4990</v>
      </c>
      <c r="O471" s="48" t="s">
        <v>3963</v>
      </c>
      <c r="P471" s="48" t="s">
        <v>267</v>
      </c>
      <c r="Q471" s="48" t="s">
        <v>622</v>
      </c>
      <c r="R471" s="48" t="s">
        <v>1531</v>
      </c>
      <c r="S471" s="48" t="s">
        <v>4991</v>
      </c>
      <c r="T471" s="48" t="s">
        <v>4992</v>
      </c>
      <c r="U471" s="48" t="s">
        <v>4993</v>
      </c>
      <c r="V471" s="122" t="s">
        <v>263</v>
      </c>
      <c r="W471" s="122" t="s">
        <v>263</v>
      </c>
      <c r="X471" s="48" t="s">
        <v>4994</v>
      </c>
      <c r="Y471" s="48" t="s">
        <v>4995</v>
      </c>
      <c r="Z471" s="61"/>
      <c r="AA471" s="48" t="s">
        <v>327</v>
      </c>
      <c r="AB471" s="48" t="s">
        <v>273</v>
      </c>
      <c r="AC471" s="48" t="s">
        <v>273</v>
      </c>
      <c r="AD471" s="48" t="s">
        <v>273</v>
      </c>
      <c r="AE471" s="48" t="s">
        <v>273</v>
      </c>
      <c r="AF471" s="48" t="s">
        <v>273</v>
      </c>
      <c r="AG471" s="48" t="s">
        <v>273</v>
      </c>
      <c r="AH471" s="48" t="s">
        <v>273</v>
      </c>
      <c r="AI471" s="48" t="s">
        <v>273</v>
      </c>
      <c r="AJ471" s="48" t="s">
        <v>273</v>
      </c>
      <c r="AK471" s="48" t="s">
        <v>274</v>
      </c>
      <c r="AL471" s="48" t="s">
        <v>273</v>
      </c>
      <c r="AM471" s="48" t="s">
        <v>273</v>
      </c>
      <c r="AN471" s="48" t="s">
        <v>273</v>
      </c>
      <c r="AO471" s="48" t="s">
        <v>273</v>
      </c>
      <c r="AP471" s="48" t="s">
        <v>273</v>
      </c>
      <c r="AQ471" s="48" t="s">
        <v>273</v>
      </c>
      <c r="AR471" s="48" t="s">
        <v>273</v>
      </c>
      <c r="AS471" s="48" t="s">
        <v>273</v>
      </c>
      <c r="AT471" s="48" t="s">
        <v>273</v>
      </c>
      <c r="AU471" s="93">
        <v>41091</v>
      </c>
      <c r="AV471" s="93"/>
      <c r="AW471" s="93"/>
      <c r="AX471" s="93"/>
      <c r="AY471" s="93"/>
    </row>
    <row r="472" spans="1:52" ht="16.5" customHeight="1" x14ac:dyDescent="0.15">
      <c r="A472" s="121" t="s">
        <v>4996</v>
      </c>
      <c r="B472" s="47" t="s">
        <v>4997</v>
      </c>
      <c r="C472" s="48" t="e">
        <f ca="1">INDIRECT("'["&amp;$C$1&amp;".xls]"&amp;$B472&amp;"'!$i$7")</f>
        <v>#REF!</v>
      </c>
      <c r="D472" s="62" t="e">
        <f ca="1">INDIRECT("'["&amp;$C$1&amp;".xls]"&amp;$B472&amp;"'!$b$7")</f>
        <v>#REF!</v>
      </c>
      <c r="E472" s="48" t="e">
        <f ca="1">IF(INDIRECT("'["&amp;$C$1&amp;".xls]"&amp;$B472&amp;"'!$i$2")="","",INDIRECT("'["&amp;$C$1&amp;".xls]"&amp;$B472&amp;"'!$i$2"))</f>
        <v>#REF!</v>
      </c>
      <c r="F472" s="61" t="e">
        <f ca="1">INDIRECT("'["&amp;$C$1&amp;".xls]"&amp;$B472&amp;"'!$b$2")</f>
        <v>#REF!</v>
      </c>
      <c r="G472" s="61" t="e">
        <f ca="1">INDIRECT("'["&amp;$C$1&amp;".xls]"&amp;$B472&amp;"'!$a$20")</f>
        <v>#REF!</v>
      </c>
      <c r="H472" s="88" t="e">
        <f ca="1">INDIRECT("'["&amp;$C$1&amp;".xls]"&amp;$B472&amp;"'!$Q$22")</f>
        <v>#REF!</v>
      </c>
      <c r="I472" s="61" t="e">
        <f ca="1">INDIRECT("'["&amp;$C$1&amp;".xls]"&amp;$B472&amp;"'!$f$6")</f>
        <v>#REF!</v>
      </c>
      <c r="J472" s="87"/>
      <c r="K472" s="62" t="e">
        <f ca="1">INDIRECT("'["&amp;$C$1&amp;".xls]"&amp;$B472&amp;"'!$f$25")</f>
        <v>#REF!</v>
      </c>
      <c r="L472" s="62"/>
      <c r="M472" s="62" t="e">
        <f ca="1">INDIRECT("'["&amp;$C$1&amp;".xls]"&amp;$B472&amp;"'!$f$4")</f>
        <v>#REF!</v>
      </c>
      <c r="N472" s="62" t="e">
        <f ca="1">INDIRECT("'["&amp;$C$1&amp;".xls]"&amp;$B472&amp;"'!$i$4")</f>
        <v>#REF!</v>
      </c>
      <c r="O472" s="48" t="e">
        <f ca="1">INDIRECT("'["&amp;$C$1&amp;".xls]"&amp;$B472&amp;"'!$l$4")</f>
        <v>#REF!</v>
      </c>
      <c r="P472" s="48" t="e">
        <f ca="1">INDIRECT("'["&amp;$C$1&amp;".xls]"&amp;$B472&amp;"'!$b$5")</f>
        <v>#REF!</v>
      </c>
      <c r="Q472" s="48" t="e">
        <f ca="1">INDIRECT("'["&amp;$C$1&amp;".xls]"&amp;$B472&amp;"'!$f$5")</f>
        <v>#REF!</v>
      </c>
      <c r="R472" s="48"/>
      <c r="S472" s="48" t="e">
        <f ca="1">INDIRECT("'["&amp;$C$1&amp;".xls]"&amp;$B472&amp;"'!$i$5")</f>
        <v>#REF!</v>
      </c>
      <c r="T472" s="48" t="e">
        <f ca="1">INDIRECT("'["&amp;$C$1&amp;".xls]"&amp;$B472&amp;"'!$l$5")</f>
        <v>#REF!</v>
      </c>
      <c r="U472" s="48" t="e">
        <f ca="1">INDIRECT("'["&amp;$C$1&amp;".xls]"&amp;$B472&amp;"'!$b$4")</f>
        <v>#REF!</v>
      </c>
      <c r="V472" s="48"/>
      <c r="W472" s="48"/>
      <c r="X472" s="48"/>
      <c r="Y472" s="48"/>
      <c r="Z472" s="61"/>
      <c r="AA472" s="48" t="e">
        <f ca="1">IF(INDIRECT("'["&amp;$C$1&amp;".xls]"&amp;$B472&amp;"'!$P$25")="","",IF(INDIRECT("'["&amp;$C$1&amp;".xls]"&amp;$B472&amp;"'!$O$25")="済み",INDIRECT("'["&amp;$C$1&amp;".xls]"&amp;$B472&amp;"'!$P$25"),""))</f>
        <v>#REF!</v>
      </c>
      <c r="AB472" s="48" t="e">
        <f ca="1">IF(INDIRECT("'["&amp;$C$1&amp;".xls]"&amp;$B472&amp;"'!$P$26")="","",IF(INDIRECT("'["&amp;$C$1&amp;".xls]"&amp;$B472&amp;"'!$O$26")="済み",INDIRECT("'["&amp;$C$1&amp;".xls]"&amp;$B472&amp;"'!$P$26"),""))</f>
        <v>#REF!</v>
      </c>
      <c r="AC472" s="48" t="e">
        <f ca="1">IF(INDIRECT("'["&amp;$C$1&amp;".xls]"&amp;$B472&amp;"'!$P$27")="","",IF(INDIRECT("'["&amp;$C$1&amp;".xls]"&amp;$B472&amp;"'!$O$27")="済み",INDIRECT("'["&amp;$C$1&amp;".xls]"&amp;$B472&amp;"'!$P$27"),""))</f>
        <v>#REF!</v>
      </c>
      <c r="AD472" s="48" t="e">
        <f ca="1">IF(INDIRECT("'["&amp;$C$1&amp;".xls]"&amp;$B472&amp;"'!$P$28")="","",IF(INDIRECT("'["&amp;$C$1&amp;".xls]"&amp;$B472&amp;"'!$O$28")="済み",INDIRECT("'["&amp;$C$1&amp;".xls]"&amp;$B472&amp;"'!$P$28"),""))</f>
        <v>#REF!</v>
      </c>
      <c r="AE472" s="48" t="e">
        <f ca="1">IF(INDIRECT("'["&amp;$C$1&amp;".xls]"&amp;$B472&amp;"'!$P$29")="","",IF(INDIRECT("'["&amp;$C$1&amp;".xls]"&amp;$B472&amp;"'!$O$29")="済み",INDIRECT("'["&amp;$C$1&amp;".xls]"&amp;$B472&amp;"'!$P$29"),""))</f>
        <v>#REF!</v>
      </c>
      <c r="AF472" s="48" t="e">
        <f ca="1">IF(INDIRECT("'["&amp;$C$1&amp;".xls]"&amp;$B472&amp;"'!$P$30")="","",IF(INDIRECT("'["&amp;$C$1&amp;".xls]"&amp;$B472&amp;"'!$O$30")="済み",INDIRECT("'["&amp;$C$1&amp;".xls]"&amp;$B472&amp;"'!$P$30"),""))</f>
        <v>#REF!</v>
      </c>
      <c r="AG472" s="48" t="e">
        <f ca="1">IF(INDIRECT("'["&amp;$C$1&amp;".xls]"&amp;$B472&amp;"'!$P$31")="","",IF(INDIRECT("'["&amp;$C$1&amp;".xls]"&amp;$B472&amp;"'!$O$31")="済み",INDIRECT("'["&amp;$C$1&amp;".xls]"&amp;$B472&amp;"'!$P$31"),""))</f>
        <v>#REF!</v>
      </c>
      <c r="AH472" s="48" t="e">
        <f ca="1">IF(INDIRECT("'["&amp;$C$1&amp;".xls]"&amp;$B472&amp;"'!$P$32")="","",IF(INDIRECT("'["&amp;$C$1&amp;".xls]"&amp;$B472&amp;"'!$O$32")="済み",INDIRECT("'["&amp;$C$1&amp;".xls]"&amp;$B472&amp;"'!$P$32"),""))</f>
        <v>#REF!</v>
      </c>
      <c r="AI472" s="48" t="e">
        <f ca="1">IF(INDIRECT("'["&amp;$C$1&amp;".xls]"&amp;$B472&amp;"'!$P$33")="","",IF(INDIRECT("'["&amp;$C$1&amp;".xls]"&amp;$B472&amp;"'!$O$33")="済み",INDIRECT("'["&amp;$C$1&amp;".xls]"&amp;$B472&amp;"'!$P$33"),""))</f>
        <v>#REF!</v>
      </c>
      <c r="AJ472" s="48" t="e">
        <f ca="1">IF(INDIRECT("'["&amp;$C$1&amp;".xls]"&amp;$B472&amp;"'!$P$34")="","",IF(INDIRECT("'["&amp;$C$1&amp;".xls]"&amp;$B472&amp;"'!$O$34")="済み",INDIRECT("'["&amp;$C$1&amp;".xls]"&amp;$B472&amp;"'!$P$34"),""))</f>
        <v>#REF!</v>
      </c>
      <c r="AK472" s="48" t="e">
        <f ca="1">IF(INDIRECT("'["&amp;$C$1&amp;".xls]"&amp;$B472&amp;"'!$T25")="","",IF(INDIRECT("'["&amp;$C$1&amp;".xls]"&amp;$B472&amp;"'!$O$25")="済み",INDIRECT("'["&amp;$C$1&amp;".xls]"&amp;$B472&amp;"'!$T$25"),""))</f>
        <v>#REF!</v>
      </c>
      <c r="AL472" s="48" t="e">
        <f ca="1">IF(INDIRECT("'["&amp;$C$1&amp;".xls]"&amp;$B472&amp;"'!$T26")="","",IF(INDIRECT("'["&amp;$C$1&amp;".xls]"&amp;$B472&amp;"'!$O$26")="済み",INDIRECT("'["&amp;$C$1&amp;".xls]"&amp;$B472&amp;"'!$T$26"),""))</f>
        <v>#REF!</v>
      </c>
      <c r="AM472" s="48" t="e">
        <f ca="1">IF(INDIRECT("'["&amp;$C$1&amp;".xls]"&amp;$B472&amp;"'!$T27")="","",IF(INDIRECT("'["&amp;$C$1&amp;".xls]"&amp;$B472&amp;"'!$O$27")="済み",INDIRECT("'["&amp;$C$1&amp;".xls]"&amp;$B472&amp;"'!$T$27"),""))</f>
        <v>#REF!</v>
      </c>
      <c r="AN472" s="48" t="e">
        <f ca="1">IF(INDIRECT("'["&amp;$C$1&amp;".xls]"&amp;$B472&amp;"'!$T28")="","",IF(INDIRECT("'["&amp;$C$1&amp;".xls]"&amp;$B472&amp;"'!$O$28")="済み",INDIRECT("'["&amp;$C$1&amp;".xls]"&amp;$B472&amp;"'!$T$28"),""))</f>
        <v>#REF!</v>
      </c>
      <c r="AO472" s="48" t="e">
        <f ca="1">IF(INDIRECT("'["&amp;$C$1&amp;".xls]"&amp;$B472&amp;"'!$T29")="","",IF(INDIRECT("'["&amp;$C$1&amp;".xls]"&amp;$B472&amp;"'!$O$29")="済み",INDIRECT("'["&amp;$C$1&amp;".xls]"&amp;$B472&amp;"'!$T$29"),""))</f>
        <v>#REF!</v>
      </c>
      <c r="AP472" s="48" t="e">
        <f ca="1">IF(INDIRECT("'["&amp;$C$1&amp;".xls]"&amp;$B472&amp;"'!$T30")="","",IF(INDIRECT("'["&amp;$C$1&amp;".xls]"&amp;$B472&amp;"'!$O$30")="済み",INDIRECT("'["&amp;$C$1&amp;".xls]"&amp;$B472&amp;"'!$T$30"),""))</f>
        <v>#REF!</v>
      </c>
      <c r="AQ472" s="48" t="e">
        <f ca="1">IF(INDIRECT("'["&amp;$C$1&amp;".xls]"&amp;$B472&amp;"'!$T31")="","",IF(INDIRECT("'["&amp;$C$1&amp;".xls]"&amp;$B472&amp;"'!$O$31")="済み",INDIRECT("'["&amp;$C$1&amp;".xls]"&amp;$B472&amp;"'!$T$31"),""))</f>
        <v>#REF!</v>
      </c>
      <c r="AR472" s="48" t="e">
        <f ca="1">IF(INDIRECT("'["&amp;$C$1&amp;".xls]"&amp;$B472&amp;"'!$T32")="","",IF(INDIRECT("'["&amp;$C$1&amp;".xls]"&amp;$B472&amp;"'!$O$32")="済み",INDIRECT("'["&amp;$C$1&amp;".xls]"&amp;$B472&amp;"'!$T$32"),""))</f>
        <v>#REF!</v>
      </c>
      <c r="AS472" s="48" t="e">
        <f ca="1">IF(INDIRECT("'["&amp;$C$1&amp;".xls]"&amp;$B472&amp;"'!$T33")="","",IF(INDIRECT("'["&amp;$C$1&amp;".xls]"&amp;$B472&amp;"'!$O$33")="済み",INDIRECT("'["&amp;$C$1&amp;".xls]"&amp;$B472&amp;"'!$T$33"),""))</f>
        <v>#REF!</v>
      </c>
      <c r="AT472" s="48" t="e">
        <f ca="1">IF(INDIRECT("'["&amp;$C$1&amp;".xls]"&amp;$B472&amp;"'!$T34")="","",IF(INDIRECT("'["&amp;$C$1&amp;".xls]"&amp;$B472&amp;"'!$O$34")="済み",INDIRECT("'["&amp;$C$1&amp;".xls]"&amp;$B472&amp;"'!$T$34"),""))</f>
        <v>#REF!</v>
      </c>
      <c r="AU472" s="93" t="e">
        <f ca="1">INDIRECT("'["&amp;$C$1&amp;".xls]"&amp;$B472&amp;"'!$B$6")</f>
        <v>#REF!</v>
      </c>
      <c r="AV472" s="93"/>
      <c r="AW472" s="93"/>
      <c r="AX472" s="93"/>
      <c r="AY472" s="93"/>
    </row>
    <row r="473" spans="1:52" ht="16.5" customHeight="1" x14ac:dyDescent="0.15">
      <c r="A473" s="151" t="s">
        <v>4998</v>
      </c>
      <c r="B473" s="152" t="s">
        <v>4999</v>
      </c>
      <c r="C473" s="48" t="s">
        <v>330</v>
      </c>
      <c r="D473" s="62" t="s">
        <v>263</v>
      </c>
      <c r="E473" s="48" t="s">
        <v>300</v>
      </c>
      <c r="F473" s="61">
        <v>42556</v>
      </c>
      <c r="G473" s="61">
        <v>42556</v>
      </c>
      <c r="H473" s="125">
        <v>42572</v>
      </c>
      <c r="I473" s="61">
        <v>40322</v>
      </c>
      <c r="J473" s="87"/>
      <c r="K473" s="124" t="s">
        <v>263</v>
      </c>
      <c r="L473" s="124" t="s">
        <v>263</v>
      </c>
      <c r="M473" s="62" t="s">
        <v>394</v>
      </c>
      <c r="N473" s="62" t="s">
        <v>5000</v>
      </c>
      <c r="O473" s="48" t="s">
        <v>555</v>
      </c>
      <c r="P473" s="48" t="s">
        <v>4060</v>
      </c>
      <c r="Q473" s="48" t="s">
        <v>5001</v>
      </c>
      <c r="R473" s="48" t="s">
        <v>399</v>
      </c>
      <c r="S473" s="48" t="s">
        <v>400</v>
      </c>
      <c r="T473" s="48" t="s">
        <v>401</v>
      </c>
      <c r="U473" s="48" t="s">
        <v>5002</v>
      </c>
      <c r="V473" s="122" t="s">
        <v>263</v>
      </c>
      <c r="W473" s="122" t="s">
        <v>263</v>
      </c>
      <c r="X473" s="48" t="s">
        <v>5003</v>
      </c>
      <c r="Y473" s="48" t="s">
        <v>5004</v>
      </c>
      <c r="Z473" s="61"/>
      <c r="AA473" s="48" t="s">
        <v>273</v>
      </c>
      <c r="AB473" s="48" t="s">
        <v>273</v>
      </c>
      <c r="AC473" s="48" t="s">
        <v>273</v>
      </c>
      <c r="AD473" s="48" t="s">
        <v>273</v>
      </c>
      <c r="AE473" s="48" t="s">
        <v>273</v>
      </c>
      <c r="AF473" s="48" t="s">
        <v>273</v>
      </c>
      <c r="AG473" s="48" t="s">
        <v>273</v>
      </c>
      <c r="AH473" s="48" t="s">
        <v>273</v>
      </c>
      <c r="AI473" s="48" t="s">
        <v>273</v>
      </c>
      <c r="AJ473" s="48" t="s">
        <v>273</v>
      </c>
      <c r="AK473" s="48" t="s">
        <v>273</v>
      </c>
      <c r="AL473" s="48" t="s">
        <v>273</v>
      </c>
      <c r="AM473" s="48" t="s">
        <v>273</v>
      </c>
      <c r="AN473" s="48" t="s">
        <v>273</v>
      </c>
      <c r="AO473" s="48" t="s">
        <v>273</v>
      </c>
      <c r="AP473" s="48" t="s">
        <v>273</v>
      </c>
      <c r="AQ473" s="48" t="s">
        <v>273</v>
      </c>
      <c r="AR473" s="48" t="s">
        <v>273</v>
      </c>
      <c r="AS473" s="48" t="s">
        <v>273</v>
      </c>
      <c r="AT473" s="48" t="s">
        <v>273</v>
      </c>
      <c r="AU473" s="93">
        <v>38139</v>
      </c>
      <c r="AV473" s="93"/>
      <c r="AW473" s="93"/>
      <c r="AX473" s="93"/>
      <c r="AY473" s="93"/>
      <c r="AZ473" s="49" t="s">
        <v>5005</v>
      </c>
    </row>
    <row r="474" spans="1:52" ht="16.5" customHeight="1" x14ac:dyDescent="0.15">
      <c r="A474" s="153" t="s">
        <v>5006</v>
      </c>
      <c r="B474" s="154" t="s">
        <v>5007</v>
      </c>
      <c r="C474" s="48" t="s">
        <v>298</v>
      </c>
      <c r="D474" s="62" t="s">
        <v>5008</v>
      </c>
      <c r="E474" s="48" t="s">
        <v>300</v>
      </c>
      <c r="F474" s="61">
        <v>42557</v>
      </c>
      <c r="G474" s="61">
        <v>42557</v>
      </c>
      <c r="H474" s="125">
        <v>42584</v>
      </c>
      <c r="I474" s="61" t="s">
        <v>279</v>
      </c>
      <c r="J474" s="87"/>
      <c r="K474" s="62" t="s">
        <v>16</v>
      </c>
      <c r="L474" s="62">
        <v>3</v>
      </c>
      <c r="M474" s="62" t="s">
        <v>442</v>
      </c>
      <c r="N474" s="62" t="s">
        <v>5009</v>
      </c>
      <c r="O474" s="48" t="s">
        <v>636</v>
      </c>
      <c r="P474" s="48" t="s">
        <v>5010</v>
      </c>
      <c r="Q474" s="48" t="s">
        <v>1557</v>
      </c>
      <c r="R474" s="48" t="s">
        <v>1558</v>
      </c>
      <c r="S474" s="48" t="s">
        <v>1559</v>
      </c>
      <c r="T474" s="48" t="s">
        <v>1560</v>
      </c>
      <c r="U474" s="48" t="s">
        <v>1561</v>
      </c>
      <c r="V474" s="122" t="s">
        <v>263</v>
      </c>
      <c r="W474" s="122" t="s">
        <v>263</v>
      </c>
      <c r="X474" s="48" t="s">
        <v>1563</v>
      </c>
      <c r="Y474" s="48" t="s">
        <v>1564</v>
      </c>
      <c r="Z474" s="61"/>
      <c r="AA474" s="48" t="s">
        <v>849</v>
      </c>
      <c r="AB474" s="48" t="s">
        <v>453</v>
      </c>
      <c r="AC474" s="48" t="s">
        <v>389</v>
      </c>
      <c r="AD474" s="48" t="s">
        <v>645</v>
      </c>
      <c r="AE474" s="48" t="s">
        <v>581</v>
      </c>
      <c r="AF474" s="48" t="s">
        <v>273</v>
      </c>
      <c r="AG474" s="48" t="s">
        <v>273</v>
      </c>
      <c r="AH474" s="48" t="s">
        <v>273</v>
      </c>
      <c r="AI474" s="48" t="s">
        <v>273</v>
      </c>
      <c r="AJ474" s="48" t="s">
        <v>273</v>
      </c>
      <c r="AK474" s="48" t="s">
        <v>850</v>
      </c>
      <c r="AL474" s="48" t="s">
        <v>454</v>
      </c>
      <c r="AM474" s="48" t="s">
        <v>391</v>
      </c>
      <c r="AN474" s="48" t="s">
        <v>646</v>
      </c>
      <c r="AO474" s="48" t="s">
        <v>582</v>
      </c>
      <c r="AP474" s="48" t="s">
        <v>273</v>
      </c>
      <c r="AQ474" s="48" t="s">
        <v>273</v>
      </c>
      <c r="AR474" s="48" t="s">
        <v>273</v>
      </c>
      <c r="AS474" s="48" t="s">
        <v>273</v>
      </c>
      <c r="AT474" s="48" t="s">
        <v>273</v>
      </c>
      <c r="AU474" s="93">
        <v>39264</v>
      </c>
      <c r="AV474" s="93"/>
      <c r="AW474" s="93"/>
      <c r="AX474" s="93"/>
      <c r="AY474" s="93"/>
    </row>
    <row r="475" spans="1:52" ht="16.5" customHeight="1" x14ac:dyDescent="0.15">
      <c r="A475" s="151" t="s">
        <v>5011</v>
      </c>
      <c r="B475" s="152" t="s">
        <v>5012</v>
      </c>
      <c r="C475" s="48" t="s">
        <v>5013</v>
      </c>
      <c r="D475" s="62" t="s">
        <v>5014</v>
      </c>
      <c r="E475" s="48" t="s">
        <v>264</v>
      </c>
      <c r="F475" s="61">
        <v>42557</v>
      </c>
      <c r="G475" s="61">
        <v>42557</v>
      </c>
      <c r="H475" s="125">
        <v>42579</v>
      </c>
      <c r="I475" s="61" t="s">
        <v>279</v>
      </c>
      <c r="J475" s="87"/>
      <c r="K475" s="62" t="s">
        <v>16</v>
      </c>
      <c r="L475" s="62">
        <v>3</v>
      </c>
      <c r="M475" s="62" t="s">
        <v>209</v>
      </c>
      <c r="N475" s="62" t="s">
        <v>5015</v>
      </c>
      <c r="O475" s="48" t="s">
        <v>4677</v>
      </c>
      <c r="P475" s="48" t="s">
        <v>5016</v>
      </c>
      <c r="Q475" s="48" t="s">
        <v>3610</v>
      </c>
      <c r="R475" s="48" t="s">
        <v>5017</v>
      </c>
      <c r="S475" s="48" t="s">
        <v>4417</v>
      </c>
      <c r="T475" s="48" t="s">
        <v>5018</v>
      </c>
      <c r="U475" s="48" t="s">
        <v>3354</v>
      </c>
      <c r="V475" s="48" t="s">
        <v>5019</v>
      </c>
      <c r="W475" s="48" t="s">
        <v>578</v>
      </c>
      <c r="X475" s="48" t="s">
        <v>3355</v>
      </c>
      <c r="Y475" s="48" t="s">
        <v>4419</v>
      </c>
      <c r="Z475" s="61"/>
      <c r="AA475" s="48" t="s">
        <v>327</v>
      </c>
      <c r="AB475" s="48" t="s">
        <v>273</v>
      </c>
      <c r="AC475" s="48" t="s">
        <v>273</v>
      </c>
      <c r="AD475" s="48" t="s">
        <v>273</v>
      </c>
      <c r="AE475" s="48" t="s">
        <v>273</v>
      </c>
      <c r="AF475" s="48" t="s">
        <v>273</v>
      </c>
      <c r="AG475" s="48" t="s">
        <v>273</v>
      </c>
      <c r="AH475" s="48" t="s">
        <v>273</v>
      </c>
      <c r="AI475" s="48" t="s">
        <v>273</v>
      </c>
      <c r="AJ475" s="48" t="s">
        <v>273</v>
      </c>
      <c r="AK475" s="48" t="s">
        <v>274</v>
      </c>
      <c r="AL475" s="48" t="s">
        <v>273</v>
      </c>
      <c r="AM475" s="48" t="s">
        <v>273</v>
      </c>
      <c r="AN475" s="48" t="s">
        <v>273</v>
      </c>
      <c r="AO475" s="48" t="s">
        <v>273</v>
      </c>
      <c r="AP475" s="48" t="s">
        <v>273</v>
      </c>
      <c r="AQ475" s="48" t="s">
        <v>273</v>
      </c>
      <c r="AR475" s="48" t="s">
        <v>273</v>
      </c>
      <c r="AS475" s="48" t="s">
        <v>273</v>
      </c>
      <c r="AT475" s="48" t="s">
        <v>273</v>
      </c>
      <c r="AU475" s="93">
        <v>42278</v>
      </c>
      <c r="AV475" s="93"/>
      <c r="AW475" s="93"/>
      <c r="AX475" s="93"/>
      <c r="AY475" s="93"/>
    </row>
    <row r="476" spans="1:52" ht="16.5" customHeight="1" x14ac:dyDescent="0.15">
      <c r="A476" s="156" t="s">
        <v>5020</v>
      </c>
      <c r="B476" s="157" t="s">
        <v>5021</v>
      </c>
      <c r="C476" s="48" t="s">
        <v>5022</v>
      </c>
      <c r="D476" s="62" t="s">
        <v>263</v>
      </c>
      <c r="E476" s="48" t="s">
        <v>264</v>
      </c>
      <c r="F476" s="61">
        <v>42557</v>
      </c>
      <c r="G476" s="61">
        <v>42557</v>
      </c>
      <c r="H476" s="125">
        <v>42625</v>
      </c>
      <c r="I476" s="61" t="s">
        <v>263</v>
      </c>
      <c r="J476" s="87"/>
      <c r="K476" s="62" t="s">
        <v>12</v>
      </c>
      <c r="L476" s="62">
        <v>3</v>
      </c>
      <c r="M476" s="62" t="s">
        <v>5023</v>
      </c>
      <c r="N476" s="62" t="s">
        <v>5024</v>
      </c>
      <c r="O476" s="48" t="s">
        <v>5025</v>
      </c>
      <c r="P476" s="48" t="s">
        <v>267</v>
      </c>
      <c r="Q476" s="48" t="s">
        <v>263</v>
      </c>
      <c r="R476" s="122" t="s">
        <v>263</v>
      </c>
      <c r="S476" s="48" t="s">
        <v>269</v>
      </c>
      <c r="T476" s="48" t="s">
        <v>270</v>
      </c>
      <c r="U476" s="48" t="s">
        <v>5026</v>
      </c>
      <c r="V476" s="122" t="s">
        <v>263</v>
      </c>
      <c r="W476" s="122" t="s">
        <v>263</v>
      </c>
      <c r="X476" s="122" t="s">
        <v>263</v>
      </c>
      <c r="Y476" s="122" t="s">
        <v>263</v>
      </c>
      <c r="Z476" s="61"/>
      <c r="AA476" s="48" t="s">
        <v>5027</v>
      </c>
      <c r="AB476" s="48" t="s">
        <v>273</v>
      </c>
      <c r="AC476" s="48" t="s">
        <v>273</v>
      </c>
      <c r="AD476" s="48" t="s">
        <v>273</v>
      </c>
      <c r="AE476" s="48" t="s">
        <v>273</v>
      </c>
      <c r="AF476" s="48" t="s">
        <v>273</v>
      </c>
      <c r="AG476" s="48" t="s">
        <v>273</v>
      </c>
      <c r="AH476" s="48" t="s">
        <v>273</v>
      </c>
      <c r="AI476" s="48" t="s">
        <v>273</v>
      </c>
      <c r="AJ476" s="48" t="s">
        <v>273</v>
      </c>
      <c r="AK476" s="48" t="s">
        <v>5028</v>
      </c>
      <c r="AL476" s="48" t="s">
        <v>273</v>
      </c>
      <c r="AM476" s="48" t="s">
        <v>273</v>
      </c>
      <c r="AN476" s="48" t="s">
        <v>273</v>
      </c>
      <c r="AO476" s="48" t="s">
        <v>273</v>
      </c>
      <c r="AP476" s="48" t="s">
        <v>273</v>
      </c>
      <c r="AQ476" s="48" t="s">
        <v>273</v>
      </c>
      <c r="AR476" s="48" t="s">
        <v>273</v>
      </c>
      <c r="AS476" s="48" t="s">
        <v>273</v>
      </c>
      <c r="AT476" s="48" t="s">
        <v>273</v>
      </c>
      <c r="AU476" s="93">
        <v>41760</v>
      </c>
      <c r="AV476" s="93"/>
      <c r="AW476" s="93"/>
      <c r="AX476" s="93"/>
      <c r="AY476" s="93"/>
    </row>
    <row r="477" spans="1:52" ht="16.5" customHeight="1" x14ac:dyDescent="0.15">
      <c r="A477" s="151" t="s">
        <v>5029</v>
      </c>
      <c r="B477" s="152" t="s">
        <v>5030</v>
      </c>
      <c r="C477" s="48" t="s">
        <v>5031</v>
      </c>
      <c r="D477" s="62" t="s">
        <v>263</v>
      </c>
      <c r="E477" s="48" t="s">
        <v>264</v>
      </c>
      <c r="F477" s="61">
        <v>42557</v>
      </c>
      <c r="G477" s="61">
        <v>42557</v>
      </c>
      <c r="H477" s="125">
        <v>42577</v>
      </c>
      <c r="I477" s="61">
        <v>40689</v>
      </c>
      <c r="J477" s="87"/>
      <c r="K477" s="62" t="s">
        <v>16</v>
      </c>
      <c r="L477" s="62">
        <v>3</v>
      </c>
      <c r="M477" s="62" t="s">
        <v>471</v>
      </c>
      <c r="N477" s="62" t="s">
        <v>5032</v>
      </c>
      <c r="O477" s="48" t="s">
        <v>3525</v>
      </c>
      <c r="P477" s="48" t="s">
        <v>5033</v>
      </c>
      <c r="Q477" s="48" t="s">
        <v>1168</v>
      </c>
      <c r="R477" s="48" t="s">
        <v>399</v>
      </c>
      <c r="S477" s="48" t="s">
        <v>400</v>
      </c>
      <c r="T477" s="48" t="s">
        <v>401</v>
      </c>
      <c r="U477" s="48" t="s">
        <v>402</v>
      </c>
      <c r="V477" s="122" t="s">
        <v>263</v>
      </c>
      <c r="W477" s="122" t="s">
        <v>263</v>
      </c>
      <c r="X477" s="48" t="s">
        <v>403</v>
      </c>
      <c r="Y477" s="48" t="s">
        <v>404</v>
      </c>
      <c r="Z477" s="61"/>
      <c r="AA477" s="48" t="s">
        <v>1503</v>
      </c>
      <c r="AB477" s="48" t="s">
        <v>273</v>
      </c>
      <c r="AC477" s="48" t="s">
        <v>273</v>
      </c>
      <c r="AD477" s="48" t="s">
        <v>273</v>
      </c>
      <c r="AE477" s="48" t="s">
        <v>273</v>
      </c>
      <c r="AF477" s="48" t="s">
        <v>273</v>
      </c>
      <c r="AG477" s="48" t="s">
        <v>273</v>
      </c>
      <c r="AH477" s="48" t="s">
        <v>273</v>
      </c>
      <c r="AI477" s="48" t="s">
        <v>273</v>
      </c>
      <c r="AJ477" s="48" t="s">
        <v>273</v>
      </c>
      <c r="AK477" s="48" t="s">
        <v>1504</v>
      </c>
      <c r="AL477" s="48" t="s">
        <v>273</v>
      </c>
      <c r="AM477" s="48" t="s">
        <v>273</v>
      </c>
      <c r="AN477" s="48" t="s">
        <v>273</v>
      </c>
      <c r="AO477" s="48" t="s">
        <v>273</v>
      </c>
      <c r="AP477" s="48" t="s">
        <v>273</v>
      </c>
      <c r="AQ477" s="48" t="s">
        <v>273</v>
      </c>
      <c r="AR477" s="48" t="s">
        <v>273</v>
      </c>
      <c r="AS477" s="48" t="s">
        <v>273</v>
      </c>
      <c r="AT477" s="48" t="s">
        <v>273</v>
      </c>
      <c r="AU477" s="93">
        <v>40848</v>
      </c>
      <c r="AV477" s="93"/>
      <c r="AW477" s="93"/>
      <c r="AX477" s="93"/>
      <c r="AY477" s="93"/>
      <c r="AZ477" s="49" t="s">
        <v>5034</v>
      </c>
    </row>
    <row r="478" spans="1:52" ht="16.5" customHeight="1" x14ac:dyDescent="0.15">
      <c r="A478" s="151" t="s">
        <v>5035</v>
      </c>
      <c r="B478" s="152" t="s">
        <v>5036</v>
      </c>
      <c r="C478" s="48" t="s">
        <v>330</v>
      </c>
      <c r="D478" s="62" t="s">
        <v>5037</v>
      </c>
      <c r="E478" s="48" t="s">
        <v>300</v>
      </c>
      <c r="F478" s="61">
        <v>42557</v>
      </c>
      <c r="G478" s="61">
        <v>42557</v>
      </c>
      <c r="H478" s="125">
        <v>42578</v>
      </c>
      <c r="I478" s="61" t="s">
        <v>279</v>
      </c>
      <c r="J478" s="87"/>
      <c r="K478" s="62" t="s">
        <v>16</v>
      </c>
      <c r="L478" s="62"/>
      <c r="M478" s="62" t="s">
        <v>2667</v>
      </c>
      <c r="N478" s="62" t="s">
        <v>5038</v>
      </c>
      <c r="O478" s="48" t="s">
        <v>263</v>
      </c>
      <c r="P478" s="48" t="s">
        <v>5039</v>
      </c>
      <c r="Q478" s="48" t="s">
        <v>5040</v>
      </c>
      <c r="R478" s="48" t="s">
        <v>5041</v>
      </c>
      <c r="S478" s="48" t="s">
        <v>5042</v>
      </c>
      <c r="T478" s="48" t="s">
        <v>5043</v>
      </c>
      <c r="U478" s="48" t="s">
        <v>5044</v>
      </c>
      <c r="V478" s="122" t="s">
        <v>263</v>
      </c>
      <c r="W478" s="122" t="s">
        <v>263</v>
      </c>
      <c r="X478" s="48" t="s">
        <v>5045</v>
      </c>
      <c r="Y478" s="48" t="s">
        <v>5046</v>
      </c>
      <c r="Z478" s="61"/>
      <c r="AA478" s="48" t="s">
        <v>1249</v>
      </c>
      <c r="AB478" s="48" t="s">
        <v>273</v>
      </c>
      <c r="AC478" s="48" t="s">
        <v>273</v>
      </c>
      <c r="AD478" s="48" t="s">
        <v>273</v>
      </c>
      <c r="AE478" s="48" t="s">
        <v>273</v>
      </c>
      <c r="AF478" s="48" t="s">
        <v>273</v>
      </c>
      <c r="AG478" s="48" t="s">
        <v>273</v>
      </c>
      <c r="AH478" s="48" t="s">
        <v>273</v>
      </c>
      <c r="AI478" s="48" t="s">
        <v>273</v>
      </c>
      <c r="AJ478" s="48" t="s">
        <v>273</v>
      </c>
      <c r="AK478" s="48" t="s">
        <v>5047</v>
      </c>
      <c r="AL478" s="48" t="s">
        <v>273</v>
      </c>
      <c r="AM478" s="48" t="s">
        <v>273</v>
      </c>
      <c r="AN478" s="48" t="s">
        <v>273</v>
      </c>
      <c r="AO478" s="48" t="s">
        <v>273</v>
      </c>
      <c r="AP478" s="48" t="s">
        <v>273</v>
      </c>
      <c r="AQ478" s="48" t="s">
        <v>273</v>
      </c>
      <c r="AR478" s="48" t="s">
        <v>273</v>
      </c>
      <c r="AS478" s="48" t="s">
        <v>273</v>
      </c>
      <c r="AT478" s="48" t="s">
        <v>273</v>
      </c>
      <c r="AU478" s="93" t="s">
        <v>263</v>
      </c>
      <c r="AV478" s="93"/>
      <c r="AW478" s="93"/>
      <c r="AX478" s="93"/>
      <c r="AY478" s="93"/>
    </row>
    <row r="479" spans="1:52" ht="16.5" customHeight="1" x14ac:dyDescent="0.15">
      <c r="A479" s="151" t="s">
        <v>5048</v>
      </c>
      <c r="B479" s="152" t="s">
        <v>5049</v>
      </c>
      <c r="C479" s="48" t="s">
        <v>5050</v>
      </c>
      <c r="D479" s="62" t="s">
        <v>5051</v>
      </c>
      <c r="E479" s="48" t="s">
        <v>264</v>
      </c>
      <c r="F479" s="61">
        <v>42557</v>
      </c>
      <c r="G479" s="61">
        <v>42557</v>
      </c>
      <c r="H479" s="125">
        <v>42556</v>
      </c>
      <c r="I479" s="61" t="s">
        <v>279</v>
      </c>
      <c r="J479" s="87"/>
      <c r="K479" s="62" t="s">
        <v>12</v>
      </c>
      <c r="L479" s="62">
        <v>3</v>
      </c>
      <c r="M479" s="62" t="s">
        <v>2437</v>
      </c>
      <c r="N479" s="62" t="s">
        <v>5052</v>
      </c>
      <c r="O479" s="48" t="s">
        <v>2439</v>
      </c>
      <c r="P479" s="48" t="s">
        <v>5053</v>
      </c>
      <c r="Q479" s="48" t="s">
        <v>2953</v>
      </c>
      <c r="R479" s="48"/>
      <c r="S479" s="48" t="s">
        <v>5054</v>
      </c>
      <c r="T479" s="48" t="s">
        <v>5055</v>
      </c>
      <c r="U479" s="48" t="s">
        <v>5056</v>
      </c>
      <c r="V479" s="48"/>
      <c r="W479" s="48"/>
      <c r="X479" s="48"/>
      <c r="Y479" s="48"/>
      <c r="Z479" s="61"/>
      <c r="AA479" s="48" t="s">
        <v>5057</v>
      </c>
      <c r="AB479" s="48" t="s">
        <v>273</v>
      </c>
      <c r="AC479" s="48" t="s">
        <v>273</v>
      </c>
      <c r="AD479" s="48" t="s">
        <v>273</v>
      </c>
      <c r="AE479" s="48" t="s">
        <v>273</v>
      </c>
      <c r="AF479" s="48" t="s">
        <v>273</v>
      </c>
      <c r="AG479" s="48" t="s">
        <v>273</v>
      </c>
      <c r="AH479" s="48" t="s">
        <v>273</v>
      </c>
      <c r="AI479" s="48" t="s">
        <v>273</v>
      </c>
      <c r="AJ479" s="48" t="s">
        <v>273</v>
      </c>
      <c r="AK479" s="48" t="s">
        <v>5058</v>
      </c>
      <c r="AL479" s="48" t="s">
        <v>273</v>
      </c>
      <c r="AM479" s="48" t="s">
        <v>273</v>
      </c>
      <c r="AN479" s="48" t="s">
        <v>273</v>
      </c>
      <c r="AO479" s="48" t="s">
        <v>273</v>
      </c>
      <c r="AP479" s="48" t="s">
        <v>273</v>
      </c>
      <c r="AQ479" s="48" t="s">
        <v>273</v>
      </c>
      <c r="AR479" s="48" t="s">
        <v>273</v>
      </c>
      <c r="AS479" s="48" t="s">
        <v>273</v>
      </c>
      <c r="AT479" s="48" t="s">
        <v>273</v>
      </c>
      <c r="AU479" s="93">
        <v>42005</v>
      </c>
      <c r="AV479" s="93"/>
      <c r="AW479" s="93"/>
      <c r="AX479" s="93"/>
      <c r="AY479" s="93"/>
      <c r="AZ479" s="49" t="s">
        <v>5059</v>
      </c>
    </row>
    <row r="480" spans="1:52" ht="16.5" customHeight="1" x14ac:dyDescent="0.15">
      <c r="A480" s="156" t="s">
        <v>5060</v>
      </c>
      <c r="B480" s="157" t="s">
        <v>5061</v>
      </c>
      <c r="C480" s="48" t="s">
        <v>5062</v>
      </c>
      <c r="D480" s="62" t="s">
        <v>263</v>
      </c>
      <c r="E480" s="48" t="s">
        <v>264</v>
      </c>
      <c r="F480" s="61">
        <v>42558</v>
      </c>
      <c r="G480" s="61">
        <v>42558</v>
      </c>
      <c r="H480" s="125">
        <v>42629</v>
      </c>
      <c r="I480" s="61">
        <v>40893</v>
      </c>
      <c r="J480" s="87"/>
      <c r="K480" s="62" t="s">
        <v>16</v>
      </c>
      <c r="L480" s="62">
        <v>3</v>
      </c>
      <c r="M480" s="62" t="s">
        <v>471</v>
      </c>
      <c r="N480" s="62" t="s">
        <v>5063</v>
      </c>
      <c r="O480" s="48" t="s">
        <v>2240</v>
      </c>
      <c r="P480" s="48" t="s">
        <v>3425</v>
      </c>
      <c r="Q480" s="48" t="s">
        <v>3526</v>
      </c>
      <c r="R480" s="48" t="s">
        <v>399</v>
      </c>
      <c r="S480" s="48" t="s">
        <v>400</v>
      </c>
      <c r="T480" s="48" t="s">
        <v>401</v>
      </c>
      <c r="U480" s="48" t="s">
        <v>5064</v>
      </c>
      <c r="V480" s="122" t="s">
        <v>263</v>
      </c>
      <c r="W480" s="122" t="s">
        <v>263</v>
      </c>
      <c r="X480" s="48" t="s">
        <v>5065</v>
      </c>
      <c r="Y480" s="48" t="s">
        <v>5066</v>
      </c>
      <c r="Z480" s="61"/>
      <c r="AA480" s="48" t="s">
        <v>273</v>
      </c>
      <c r="AB480" s="48" t="s">
        <v>508</v>
      </c>
      <c r="AC480" s="48" t="s">
        <v>273</v>
      </c>
      <c r="AD480" s="48" t="s">
        <v>273</v>
      </c>
      <c r="AE480" s="48" t="s">
        <v>273</v>
      </c>
      <c r="AF480" s="48" t="s">
        <v>273</v>
      </c>
      <c r="AG480" s="48" t="s">
        <v>273</v>
      </c>
      <c r="AH480" s="48" t="s">
        <v>273</v>
      </c>
      <c r="AI480" s="48" t="s">
        <v>273</v>
      </c>
      <c r="AJ480" s="48" t="s">
        <v>273</v>
      </c>
      <c r="AK480" s="48" t="s">
        <v>273</v>
      </c>
      <c r="AL480" s="48" t="s">
        <v>509</v>
      </c>
      <c r="AM480" s="48" t="s">
        <v>273</v>
      </c>
      <c r="AN480" s="48" t="s">
        <v>273</v>
      </c>
      <c r="AO480" s="48" t="s">
        <v>273</v>
      </c>
      <c r="AP480" s="48" t="s">
        <v>273</v>
      </c>
      <c r="AQ480" s="48" t="s">
        <v>273</v>
      </c>
      <c r="AR480" s="48" t="s">
        <v>273</v>
      </c>
      <c r="AS480" s="48" t="s">
        <v>273</v>
      </c>
      <c r="AT480" s="48" t="s">
        <v>273</v>
      </c>
      <c r="AU480" s="93">
        <v>40756</v>
      </c>
      <c r="AV480" s="93"/>
      <c r="AW480" s="93"/>
      <c r="AX480" s="93"/>
      <c r="AY480" s="93"/>
    </row>
    <row r="481" spans="1:52" ht="16.5" customHeight="1" x14ac:dyDescent="0.15">
      <c r="A481" s="153" t="s">
        <v>5067</v>
      </c>
      <c r="B481" s="154" t="s">
        <v>5068</v>
      </c>
      <c r="C481" s="48" t="s">
        <v>330</v>
      </c>
      <c r="D481" s="62" t="s">
        <v>5069</v>
      </c>
      <c r="E481" s="48" t="s">
        <v>300</v>
      </c>
      <c r="F481" s="61">
        <v>42558</v>
      </c>
      <c r="G481" s="61">
        <v>42558</v>
      </c>
      <c r="H481" s="125">
        <v>42585</v>
      </c>
      <c r="I481" s="61" t="s">
        <v>5070</v>
      </c>
      <c r="J481" s="87"/>
      <c r="K481" s="62" t="s">
        <v>16</v>
      </c>
      <c r="L481" s="62">
        <v>3</v>
      </c>
      <c r="M481" s="62" t="s">
        <v>362</v>
      </c>
      <c r="N481" s="62" t="s">
        <v>5071</v>
      </c>
      <c r="O481" s="48" t="s">
        <v>263</v>
      </c>
      <c r="P481" s="48" t="s">
        <v>5072</v>
      </c>
      <c r="Q481" s="48" t="s">
        <v>5073</v>
      </c>
      <c r="R481" s="48" t="s">
        <v>5074</v>
      </c>
      <c r="S481" s="48" t="s">
        <v>5075</v>
      </c>
      <c r="T481" s="48" t="s">
        <v>5075</v>
      </c>
      <c r="U481" s="48" t="s">
        <v>5076</v>
      </c>
      <c r="V481" s="122" t="s">
        <v>5077</v>
      </c>
      <c r="W481" s="122" t="s">
        <v>5078</v>
      </c>
      <c r="X481" s="48" t="s">
        <v>5079</v>
      </c>
      <c r="Y481" s="48" t="s">
        <v>5080</v>
      </c>
      <c r="Z481" s="61"/>
      <c r="AA481" s="48" t="s">
        <v>5081</v>
      </c>
      <c r="AB481" s="48" t="s">
        <v>273</v>
      </c>
      <c r="AC481" s="48" t="s">
        <v>273</v>
      </c>
      <c r="AD481" s="48" t="s">
        <v>273</v>
      </c>
      <c r="AE481" s="48" t="s">
        <v>273</v>
      </c>
      <c r="AF481" s="48" t="s">
        <v>273</v>
      </c>
      <c r="AG481" s="48" t="s">
        <v>273</v>
      </c>
      <c r="AH481" s="48" t="s">
        <v>273</v>
      </c>
      <c r="AI481" s="48" t="s">
        <v>273</v>
      </c>
      <c r="AJ481" s="48" t="s">
        <v>273</v>
      </c>
      <c r="AK481" s="48" t="s">
        <v>5082</v>
      </c>
      <c r="AL481" s="48" t="s">
        <v>273</v>
      </c>
      <c r="AM481" s="48" t="s">
        <v>273</v>
      </c>
      <c r="AN481" s="48" t="s">
        <v>273</v>
      </c>
      <c r="AO481" s="48" t="s">
        <v>273</v>
      </c>
      <c r="AP481" s="48" t="s">
        <v>273</v>
      </c>
      <c r="AQ481" s="48" t="s">
        <v>273</v>
      </c>
      <c r="AR481" s="48" t="s">
        <v>273</v>
      </c>
      <c r="AS481" s="48" t="s">
        <v>273</v>
      </c>
      <c r="AT481" s="48" t="s">
        <v>273</v>
      </c>
      <c r="AU481" s="93" t="s">
        <v>263</v>
      </c>
      <c r="AV481" s="93"/>
      <c r="AW481" s="93"/>
      <c r="AX481" s="93"/>
      <c r="AY481" s="93"/>
      <c r="AZ481" s="49" t="s">
        <v>5083</v>
      </c>
    </row>
    <row r="482" spans="1:52" ht="16.5" customHeight="1" x14ac:dyDescent="0.15">
      <c r="A482" s="182" t="s">
        <v>5084</v>
      </c>
      <c r="B482" s="183" t="s">
        <v>5085</v>
      </c>
      <c r="C482" s="48" t="s">
        <v>5086</v>
      </c>
      <c r="D482" s="62" t="s">
        <v>5087</v>
      </c>
      <c r="E482" s="48" t="s">
        <v>264</v>
      </c>
      <c r="F482" s="61">
        <v>42559</v>
      </c>
      <c r="G482" s="61">
        <v>42559</v>
      </c>
      <c r="H482" s="125">
        <v>42647</v>
      </c>
      <c r="I482" s="61" t="s">
        <v>279</v>
      </c>
      <c r="J482" s="87"/>
      <c r="K482" s="62" t="s">
        <v>16</v>
      </c>
      <c r="L482" s="62">
        <v>3</v>
      </c>
      <c r="M482" s="62" t="s">
        <v>209</v>
      </c>
      <c r="N482" s="62" t="s">
        <v>5088</v>
      </c>
      <c r="O482" s="48" t="s">
        <v>5089</v>
      </c>
      <c r="P482" s="48" t="s">
        <v>4505</v>
      </c>
      <c r="Q482" s="48" t="s">
        <v>5090</v>
      </c>
      <c r="R482" s="48" t="s">
        <v>5091</v>
      </c>
      <c r="S482" s="48" t="s">
        <v>5092</v>
      </c>
      <c r="T482" s="48" t="s">
        <v>5093</v>
      </c>
      <c r="U482" s="48" t="s">
        <v>5094</v>
      </c>
      <c r="V482" s="122" t="s">
        <v>263</v>
      </c>
      <c r="W482" s="122" t="s">
        <v>263</v>
      </c>
      <c r="X482" s="48" t="s">
        <v>5095</v>
      </c>
      <c r="Y482" s="48" t="s">
        <v>5096</v>
      </c>
      <c r="Z482" s="61"/>
      <c r="AA482" s="48" t="s">
        <v>327</v>
      </c>
      <c r="AB482" s="48" t="s">
        <v>273</v>
      </c>
      <c r="AC482" s="48" t="s">
        <v>273</v>
      </c>
      <c r="AD482" s="48" t="s">
        <v>273</v>
      </c>
      <c r="AE482" s="48" t="s">
        <v>273</v>
      </c>
      <c r="AF482" s="48" t="s">
        <v>273</v>
      </c>
      <c r="AG482" s="48" t="s">
        <v>273</v>
      </c>
      <c r="AH482" s="48" t="s">
        <v>273</v>
      </c>
      <c r="AI482" s="48" t="s">
        <v>273</v>
      </c>
      <c r="AJ482" s="48" t="s">
        <v>273</v>
      </c>
      <c r="AK482" s="48" t="s">
        <v>274</v>
      </c>
      <c r="AL482" s="48" t="s">
        <v>273</v>
      </c>
      <c r="AM482" s="48" t="s">
        <v>273</v>
      </c>
      <c r="AN482" s="48" t="s">
        <v>273</v>
      </c>
      <c r="AO482" s="48" t="s">
        <v>273</v>
      </c>
      <c r="AP482" s="48" t="s">
        <v>273</v>
      </c>
      <c r="AQ482" s="48" t="s">
        <v>273</v>
      </c>
      <c r="AR482" s="48" t="s">
        <v>273</v>
      </c>
      <c r="AS482" s="48" t="s">
        <v>273</v>
      </c>
      <c r="AT482" s="48" t="s">
        <v>273</v>
      </c>
      <c r="AU482" s="93">
        <v>42095</v>
      </c>
      <c r="AV482" s="93"/>
      <c r="AW482" s="93"/>
      <c r="AX482" s="93"/>
      <c r="AY482" s="93"/>
    </row>
    <row r="483" spans="1:52" ht="16.5" customHeight="1" x14ac:dyDescent="0.15">
      <c r="A483" s="153" t="s">
        <v>5097</v>
      </c>
      <c r="B483" s="154" t="s">
        <v>5098</v>
      </c>
      <c r="C483" s="48" t="s">
        <v>5099</v>
      </c>
      <c r="D483" s="62" t="s">
        <v>5100</v>
      </c>
      <c r="E483" s="48" t="s">
        <v>264</v>
      </c>
      <c r="F483" s="61">
        <v>42559</v>
      </c>
      <c r="G483" s="61">
        <v>42559</v>
      </c>
      <c r="H483" s="125">
        <v>42606</v>
      </c>
      <c r="I483" s="61" t="s">
        <v>279</v>
      </c>
      <c r="J483" s="87"/>
      <c r="K483" s="62" t="s">
        <v>16</v>
      </c>
      <c r="L483" s="62">
        <v>3</v>
      </c>
      <c r="M483" s="62" t="s">
        <v>409</v>
      </c>
      <c r="N483" s="62" t="s">
        <v>5101</v>
      </c>
      <c r="O483" s="48" t="s">
        <v>1770</v>
      </c>
      <c r="P483" s="48" t="s">
        <v>5102</v>
      </c>
      <c r="Q483" s="48" t="s">
        <v>2440</v>
      </c>
      <c r="R483" s="48" t="s">
        <v>2441</v>
      </c>
      <c r="S483" s="48" t="s">
        <v>2442</v>
      </c>
      <c r="T483" s="48" t="s">
        <v>2443</v>
      </c>
      <c r="U483" s="48" t="s">
        <v>5103</v>
      </c>
      <c r="V483" s="122" t="s">
        <v>263</v>
      </c>
      <c r="W483" s="122" t="s">
        <v>263</v>
      </c>
      <c r="X483" s="48" t="s">
        <v>5104</v>
      </c>
      <c r="Y483" s="48" t="s">
        <v>5105</v>
      </c>
      <c r="Z483" s="61"/>
      <c r="AA483" s="48" t="s">
        <v>273</v>
      </c>
      <c r="AB483" s="48" t="s">
        <v>2863</v>
      </c>
      <c r="AC483" s="48" t="s">
        <v>887</v>
      </c>
      <c r="AD483" s="48" t="s">
        <v>273</v>
      </c>
      <c r="AE483" s="48" t="s">
        <v>273</v>
      </c>
      <c r="AF483" s="48" t="s">
        <v>273</v>
      </c>
      <c r="AG483" s="48" t="s">
        <v>273</v>
      </c>
      <c r="AH483" s="48" t="s">
        <v>273</v>
      </c>
      <c r="AI483" s="48" t="s">
        <v>273</v>
      </c>
      <c r="AJ483" s="48" t="s">
        <v>273</v>
      </c>
      <c r="AK483" s="48" t="s">
        <v>273</v>
      </c>
      <c r="AL483" s="48" t="s">
        <v>2864</v>
      </c>
      <c r="AM483" s="48" t="s">
        <v>888</v>
      </c>
      <c r="AN483" s="48" t="s">
        <v>273</v>
      </c>
      <c r="AO483" s="48" t="s">
        <v>273</v>
      </c>
      <c r="AP483" s="48" t="s">
        <v>273</v>
      </c>
      <c r="AQ483" s="48" t="s">
        <v>273</v>
      </c>
      <c r="AR483" s="48" t="s">
        <v>273</v>
      </c>
      <c r="AS483" s="48" t="s">
        <v>273</v>
      </c>
      <c r="AT483" s="48" t="s">
        <v>273</v>
      </c>
      <c r="AU483" s="93">
        <v>41426</v>
      </c>
      <c r="AV483" s="93"/>
      <c r="AW483" s="93"/>
      <c r="AX483" s="93"/>
      <c r="AY483" s="93"/>
    </row>
    <row r="484" spans="1:52" ht="16.5" customHeight="1" x14ac:dyDescent="0.15">
      <c r="A484" s="182" t="s">
        <v>5106</v>
      </c>
      <c r="B484" s="183" t="s">
        <v>5107</v>
      </c>
      <c r="C484" s="48" t="s">
        <v>5108</v>
      </c>
      <c r="D484" s="62" t="s">
        <v>5109</v>
      </c>
      <c r="E484" s="48" t="s">
        <v>264</v>
      </c>
      <c r="F484" s="61">
        <v>42559</v>
      </c>
      <c r="G484" s="61">
        <v>42559</v>
      </c>
      <c r="H484" s="125">
        <v>42646</v>
      </c>
      <c r="I484" s="61" t="s">
        <v>279</v>
      </c>
      <c r="J484" s="87"/>
      <c r="K484" s="62" t="s">
        <v>16</v>
      </c>
      <c r="L484" s="62">
        <v>3</v>
      </c>
      <c r="M484" s="62" t="s">
        <v>209</v>
      </c>
      <c r="N484" s="62" t="s">
        <v>5110</v>
      </c>
      <c r="O484" s="48" t="s">
        <v>1994</v>
      </c>
      <c r="P484" s="48" t="s">
        <v>1080</v>
      </c>
      <c r="Q484" s="48" t="s">
        <v>1081</v>
      </c>
      <c r="R484" s="48" t="s">
        <v>1082</v>
      </c>
      <c r="S484" s="48" t="s">
        <v>1083</v>
      </c>
      <c r="T484" s="48" t="s">
        <v>1084</v>
      </c>
      <c r="U484" s="48" t="s">
        <v>5111</v>
      </c>
      <c r="V484" s="122" t="s">
        <v>263</v>
      </c>
      <c r="W484" s="122" t="s">
        <v>263</v>
      </c>
      <c r="X484" s="48" t="s">
        <v>5112</v>
      </c>
      <c r="Y484" s="48" t="s">
        <v>5113</v>
      </c>
      <c r="Z484" s="61"/>
      <c r="AA484" s="48" t="s">
        <v>327</v>
      </c>
      <c r="AB484" s="48" t="s">
        <v>1139</v>
      </c>
      <c r="AC484" s="48" t="s">
        <v>273</v>
      </c>
      <c r="AD484" s="48" t="s">
        <v>273</v>
      </c>
      <c r="AE484" s="48" t="s">
        <v>273</v>
      </c>
      <c r="AF484" s="48" t="s">
        <v>273</v>
      </c>
      <c r="AG484" s="48" t="s">
        <v>273</v>
      </c>
      <c r="AH484" s="48" t="s">
        <v>273</v>
      </c>
      <c r="AI484" s="48" t="s">
        <v>273</v>
      </c>
      <c r="AJ484" s="48" t="s">
        <v>273</v>
      </c>
      <c r="AK484" s="48" t="s">
        <v>274</v>
      </c>
      <c r="AL484" s="48" t="s">
        <v>1140</v>
      </c>
      <c r="AM484" s="48" t="s">
        <v>273</v>
      </c>
      <c r="AN484" s="48" t="s">
        <v>273</v>
      </c>
      <c r="AO484" s="48" t="s">
        <v>273</v>
      </c>
      <c r="AP484" s="48" t="s">
        <v>273</v>
      </c>
      <c r="AQ484" s="48" t="s">
        <v>273</v>
      </c>
      <c r="AR484" s="48" t="s">
        <v>273</v>
      </c>
      <c r="AS484" s="48" t="s">
        <v>273</v>
      </c>
      <c r="AT484" s="48" t="s">
        <v>273</v>
      </c>
      <c r="AU484" s="93">
        <v>41579</v>
      </c>
      <c r="AV484" s="93"/>
      <c r="AW484" s="93"/>
      <c r="AX484" s="93"/>
      <c r="AY484" s="93"/>
    </row>
    <row r="485" spans="1:52" ht="16.5" customHeight="1" x14ac:dyDescent="0.15">
      <c r="A485" s="153" t="s">
        <v>5114</v>
      </c>
      <c r="B485" s="154" t="s">
        <v>5115</v>
      </c>
      <c r="C485" s="48" t="s">
        <v>5116</v>
      </c>
      <c r="D485" s="62" t="s">
        <v>5117</v>
      </c>
      <c r="E485" s="48" t="s">
        <v>264</v>
      </c>
      <c r="F485" s="61">
        <v>42562</v>
      </c>
      <c r="G485" s="61">
        <v>42562</v>
      </c>
      <c r="H485" s="125">
        <v>42587</v>
      </c>
      <c r="I485" s="61" t="s">
        <v>279</v>
      </c>
      <c r="J485" s="87"/>
      <c r="K485" s="62" t="s">
        <v>16</v>
      </c>
      <c r="L485" s="124" t="s">
        <v>263</v>
      </c>
      <c r="M485" s="62" t="s">
        <v>209</v>
      </c>
      <c r="N485" s="62" t="s">
        <v>5118</v>
      </c>
      <c r="O485" s="48" t="s">
        <v>744</v>
      </c>
      <c r="P485" s="48" t="s">
        <v>1980</v>
      </c>
      <c r="Q485" s="48" t="s">
        <v>5119</v>
      </c>
      <c r="R485" s="48" t="s">
        <v>1981</v>
      </c>
      <c r="S485" s="48" t="s">
        <v>1982</v>
      </c>
      <c r="T485" s="48" t="s">
        <v>1983</v>
      </c>
      <c r="U485" s="48" t="s">
        <v>5120</v>
      </c>
      <c r="V485" s="122" t="s">
        <v>263</v>
      </c>
      <c r="W485" s="122" t="s">
        <v>263</v>
      </c>
      <c r="X485" s="48" t="s">
        <v>5121</v>
      </c>
      <c r="Y485" s="48" t="s">
        <v>5122</v>
      </c>
      <c r="Z485" s="61"/>
      <c r="AA485" s="48" t="s">
        <v>273</v>
      </c>
      <c r="AB485" s="48" t="s">
        <v>273</v>
      </c>
      <c r="AC485" s="48" t="s">
        <v>273</v>
      </c>
      <c r="AD485" s="48" t="s">
        <v>273</v>
      </c>
      <c r="AE485" s="48" t="s">
        <v>273</v>
      </c>
      <c r="AF485" s="48" t="s">
        <v>273</v>
      </c>
      <c r="AG485" s="48" t="s">
        <v>273</v>
      </c>
      <c r="AH485" s="48" t="s">
        <v>273</v>
      </c>
      <c r="AI485" s="48" t="s">
        <v>273</v>
      </c>
      <c r="AJ485" s="48" t="s">
        <v>273</v>
      </c>
      <c r="AK485" s="48" t="s">
        <v>273</v>
      </c>
      <c r="AL485" s="48" t="s">
        <v>273</v>
      </c>
      <c r="AM485" s="48" t="s">
        <v>273</v>
      </c>
      <c r="AN485" s="48" t="s">
        <v>273</v>
      </c>
      <c r="AO485" s="48" t="s">
        <v>273</v>
      </c>
      <c r="AP485" s="48" t="s">
        <v>273</v>
      </c>
      <c r="AQ485" s="48" t="s">
        <v>273</v>
      </c>
      <c r="AR485" s="48" t="s">
        <v>273</v>
      </c>
      <c r="AS485" s="48" t="s">
        <v>273</v>
      </c>
      <c r="AT485" s="48" t="s">
        <v>273</v>
      </c>
      <c r="AU485" s="93">
        <v>41334</v>
      </c>
      <c r="AV485" s="93"/>
      <c r="AW485" s="93"/>
      <c r="AX485" s="93"/>
      <c r="AY485" s="93"/>
      <c r="AZ485" s="49" t="s">
        <v>5123</v>
      </c>
    </row>
    <row r="486" spans="1:52" ht="16.5" customHeight="1" x14ac:dyDescent="0.15">
      <c r="A486" s="153" t="s">
        <v>5124</v>
      </c>
      <c r="B486" s="154" t="s">
        <v>5125</v>
      </c>
      <c r="C486" s="48" t="s">
        <v>5126</v>
      </c>
      <c r="D486" s="62" t="s">
        <v>5127</v>
      </c>
      <c r="E486" s="48" t="s">
        <v>264</v>
      </c>
      <c r="F486" s="61">
        <v>42562</v>
      </c>
      <c r="G486" s="61">
        <v>42562</v>
      </c>
      <c r="H486" s="125">
        <v>42601</v>
      </c>
      <c r="I486" s="61" t="s">
        <v>279</v>
      </c>
      <c r="J486" s="87"/>
      <c r="K486" s="62" t="s">
        <v>16</v>
      </c>
      <c r="L486" s="62">
        <v>3</v>
      </c>
      <c r="M486" s="62" t="s">
        <v>680</v>
      </c>
      <c r="N486" s="62" t="s">
        <v>826</v>
      </c>
      <c r="O486" s="48" t="s">
        <v>827</v>
      </c>
      <c r="P486" s="48" t="s">
        <v>571</v>
      </c>
      <c r="Q486" s="48" t="s">
        <v>829</v>
      </c>
      <c r="R486" s="48" t="s">
        <v>573</v>
      </c>
      <c r="S486" s="48" t="s">
        <v>574</v>
      </c>
      <c r="T486" s="48" t="s">
        <v>575</v>
      </c>
      <c r="U486" s="48" t="s">
        <v>5128</v>
      </c>
      <c r="V486" s="48"/>
      <c r="W486" s="48"/>
      <c r="X486" s="48" t="s">
        <v>831</v>
      </c>
      <c r="Y486" s="48" t="s">
        <v>5129</v>
      </c>
      <c r="Z486" s="61"/>
      <c r="AA486" s="48" t="s">
        <v>833</v>
      </c>
      <c r="AB486" s="48" t="s">
        <v>273</v>
      </c>
      <c r="AC486" s="48" t="s">
        <v>273</v>
      </c>
      <c r="AD486" s="48" t="s">
        <v>273</v>
      </c>
      <c r="AE486" s="48" t="s">
        <v>273</v>
      </c>
      <c r="AF486" s="48" t="s">
        <v>273</v>
      </c>
      <c r="AG486" s="48" t="s">
        <v>273</v>
      </c>
      <c r="AH486" s="48" t="s">
        <v>273</v>
      </c>
      <c r="AI486" s="48" t="s">
        <v>273</v>
      </c>
      <c r="AJ486" s="48" t="s">
        <v>273</v>
      </c>
      <c r="AK486" s="48" t="s">
        <v>834</v>
      </c>
      <c r="AL486" s="48" t="s">
        <v>273</v>
      </c>
      <c r="AM486" s="48" t="s">
        <v>273</v>
      </c>
      <c r="AN486" s="48" t="s">
        <v>273</v>
      </c>
      <c r="AO486" s="48" t="s">
        <v>273</v>
      </c>
      <c r="AP486" s="48" t="s">
        <v>273</v>
      </c>
      <c r="AQ486" s="48" t="s">
        <v>273</v>
      </c>
      <c r="AR486" s="48" t="s">
        <v>273</v>
      </c>
      <c r="AS486" s="48" t="s">
        <v>273</v>
      </c>
      <c r="AT486" s="48" t="s">
        <v>273</v>
      </c>
      <c r="AU486" s="93">
        <v>41699</v>
      </c>
      <c r="AV486" s="93"/>
      <c r="AW486" s="93"/>
      <c r="AX486" s="93"/>
      <c r="AY486" s="93"/>
    </row>
    <row r="487" spans="1:52" ht="16.5" customHeight="1" x14ac:dyDescent="0.15">
      <c r="A487" s="151" t="s">
        <v>5130</v>
      </c>
      <c r="B487" s="152" t="s">
        <v>5131</v>
      </c>
      <c r="C487" s="48" t="s">
        <v>330</v>
      </c>
      <c r="D487" s="62" t="s">
        <v>263</v>
      </c>
      <c r="E487" s="48" t="s">
        <v>300</v>
      </c>
      <c r="F487" s="61">
        <v>42562</v>
      </c>
      <c r="G487" s="61">
        <v>42562</v>
      </c>
      <c r="H487" s="125">
        <v>42571</v>
      </c>
      <c r="I487" s="61" t="s">
        <v>279</v>
      </c>
      <c r="J487" s="87"/>
      <c r="K487" s="124" t="s">
        <v>263</v>
      </c>
      <c r="L487" s="124" t="s">
        <v>263</v>
      </c>
      <c r="M487" s="62" t="s">
        <v>471</v>
      </c>
      <c r="N487" s="62" t="s">
        <v>5132</v>
      </c>
      <c r="O487" s="48" t="s">
        <v>5133</v>
      </c>
      <c r="P487" s="48" t="s">
        <v>5134</v>
      </c>
      <c r="Q487" s="48" t="s">
        <v>971</v>
      </c>
      <c r="R487" s="48" t="s">
        <v>399</v>
      </c>
      <c r="S487" s="48" t="s">
        <v>400</v>
      </c>
      <c r="T487" s="48" t="s">
        <v>401</v>
      </c>
      <c r="U487" s="48" t="s">
        <v>5135</v>
      </c>
      <c r="V487" s="122" t="s">
        <v>263</v>
      </c>
      <c r="W487" s="122" t="s">
        <v>263</v>
      </c>
      <c r="X487" s="48" t="s">
        <v>5136</v>
      </c>
      <c r="Y487" s="48" t="s">
        <v>5137</v>
      </c>
      <c r="Z487" s="61"/>
      <c r="AA487" s="48" t="s">
        <v>273</v>
      </c>
      <c r="AB487" s="48" t="s">
        <v>273</v>
      </c>
      <c r="AC487" s="48" t="s">
        <v>273</v>
      </c>
      <c r="AD487" s="48" t="s">
        <v>273</v>
      </c>
      <c r="AE487" s="48" t="s">
        <v>273</v>
      </c>
      <c r="AF487" s="48" t="s">
        <v>273</v>
      </c>
      <c r="AG487" s="48" t="s">
        <v>273</v>
      </c>
      <c r="AH487" s="48" t="s">
        <v>273</v>
      </c>
      <c r="AI487" s="48" t="s">
        <v>273</v>
      </c>
      <c r="AJ487" s="48" t="s">
        <v>273</v>
      </c>
      <c r="AK487" s="48" t="s">
        <v>273</v>
      </c>
      <c r="AL487" s="48" t="s">
        <v>273</v>
      </c>
      <c r="AM487" s="48" t="s">
        <v>273</v>
      </c>
      <c r="AN487" s="48" t="s">
        <v>273</v>
      </c>
      <c r="AO487" s="48" t="s">
        <v>273</v>
      </c>
      <c r="AP487" s="48" t="s">
        <v>273</v>
      </c>
      <c r="AQ487" s="48" t="s">
        <v>273</v>
      </c>
      <c r="AR487" s="48" t="s">
        <v>273</v>
      </c>
      <c r="AS487" s="48" t="s">
        <v>273</v>
      </c>
      <c r="AT487" s="48" t="s">
        <v>273</v>
      </c>
      <c r="AU487" s="93">
        <v>40483</v>
      </c>
      <c r="AV487" s="93"/>
      <c r="AW487" s="93"/>
      <c r="AX487" s="93"/>
      <c r="AY487" s="93"/>
      <c r="AZ487" s="49" t="s">
        <v>5138</v>
      </c>
    </row>
    <row r="488" spans="1:52" ht="16.5" customHeight="1" x14ac:dyDescent="0.15">
      <c r="A488" s="121" t="s">
        <v>5139</v>
      </c>
      <c r="B488" s="47" t="s">
        <v>5140</v>
      </c>
      <c r="C488" s="48" t="e">
        <f ca="1">INDIRECT("'["&amp;$C$1&amp;".xls]"&amp;$B488&amp;"'!$i$7")</f>
        <v>#REF!</v>
      </c>
      <c r="D488" s="62" t="e">
        <f ca="1">INDIRECT("'["&amp;$C$1&amp;".xls]"&amp;$B488&amp;"'!$b$7")</f>
        <v>#REF!</v>
      </c>
      <c r="E488" s="48" t="e">
        <f ca="1">IF(INDIRECT("'["&amp;$C$1&amp;".xls]"&amp;$B488&amp;"'!$i$2")="","",INDIRECT("'["&amp;$C$1&amp;".xls]"&amp;$B488&amp;"'!$i$2"))</f>
        <v>#REF!</v>
      </c>
      <c r="F488" s="61" t="e">
        <f ca="1">INDIRECT("'["&amp;$C$1&amp;".xls]"&amp;$B488&amp;"'!$b$2")</f>
        <v>#REF!</v>
      </c>
      <c r="G488" s="61" t="e">
        <f ca="1">INDIRECT("'["&amp;$C$1&amp;".xls]"&amp;$B488&amp;"'!$a$20")</f>
        <v>#REF!</v>
      </c>
      <c r="H488" s="88" t="e">
        <f ca="1">INDIRECT("'["&amp;$C$1&amp;".xls]"&amp;$B488&amp;"'!$Q$22")</f>
        <v>#REF!</v>
      </c>
      <c r="I488" s="61" t="e">
        <f ca="1">INDIRECT("'["&amp;$C$1&amp;".xls]"&amp;$B488&amp;"'!$f$6")</f>
        <v>#REF!</v>
      </c>
      <c r="J488" s="87"/>
      <c r="K488" s="62" t="e">
        <f ca="1">INDIRECT("'["&amp;$C$1&amp;".xls]"&amp;$B488&amp;"'!$f$25")</f>
        <v>#REF!</v>
      </c>
      <c r="L488" s="62"/>
      <c r="M488" s="62" t="e">
        <f ca="1">INDIRECT("'["&amp;$C$1&amp;".xls]"&amp;$B488&amp;"'!$f$4")</f>
        <v>#REF!</v>
      </c>
      <c r="N488" s="62" t="e">
        <f ca="1">INDIRECT("'["&amp;$C$1&amp;".xls]"&amp;$B488&amp;"'!$i$4")</f>
        <v>#REF!</v>
      </c>
      <c r="O488" s="48" t="e">
        <f ca="1">INDIRECT("'["&amp;$C$1&amp;".xls]"&amp;$B488&amp;"'!$l$4")</f>
        <v>#REF!</v>
      </c>
      <c r="P488" s="48" t="e">
        <f ca="1">INDIRECT("'["&amp;$C$1&amp;".xls]"&amp;$B488&amp;"'!$b$5")</f>
        <v>#REF!</v>
      </c>
      <c r="Q488" s="48" t="e">
        <f ca="1">INDIRECT("'["&amp;$C$1&amp;".xls]"&amp;$B488&amp;"'!$f$5")</f>
        <v>#REF!</v>
      </c>
      <c r="R488" s="48"/>
      <c r="S488" s="48" t="e">
        <f ca="1">INDIRECT("'["&amp;$C$1&amp;".xls]"&amp;$B488&amp;"'!$i$5")</f>
        <v>#REF!</v>
      </c>
      <c r="T488" s="48" t="e">
        <f ca="1">INDIRECT("'["&amp;$C$1&amp;".xls]"&amp;$B488&amp;"'!$l$5")</f>
        <v>#REF!</v>
      </c>
      <c r="U488" s="48" t="e">
        <f ca="1">INDIRECT("'["&amp;$C$1&amp;".xls]"&amp;$B488&amp;"'!$b$4")</f>
        <v>#REF!</v>
      </c>
      <c r="V488" s="48"/>
      <c r="W488" s="48"/>
      <c r="X488" s="48"/>
      <c r="Y488" s="48"/>
      <c r="Z488" s="61"/>
      <c r="AA488" s="48" t="e">
        <f ca="1">IF(INDIRECT("'["&amp;$C$1&amp;".xls]"&amp;$B488&amp;"'!$P$25")="","",IF(INDIRECT("'["&amp;$C$1&amp;".xls]"&amp;$B488&amp;"'!$O$25")="済み",INDIRECT("'["&amp;$C$1&amp;".xls]"&amp;$B488&amp;"'!$P$25"),""))</f>
        <v>#REF!</v>
      </c>
      <c r="AB488" s="48" t="e">
        <f ca="1">IF(INDIRECT("'["&amp;$C$1&amp;".xls]"&amp;$B488&amp;"'!$P$26")="","",IF(INDIRECT("'["&amp;$C$1&amp;".xls]"&amp;$B488&amp;"'!$O$26")="済み",INDIRECT("'["&amp;$C$1&amp;".xls]"&amp;$B488&amp;"'!$P$26"),""))</f>
        <v>#REF!</v>
      </c>
      <c r="AC488" s="48" t="e">
        <f ca="1">IF(INDIRECT("'["&amp;$C$1&amp;".xls]"&amp;$B488&amp;"'!$P$27")="","",IF(INDIRECT("'["&amp;$C$1&amp;".xls]"&amp;$B488&amp;"'!$O$27")="済み",INDIRECT("'["&amp;$C$1&amp;".xls]"&amp;$B488&amp;"'!$P$27"),""))</f>
        <v>#REF!</v>
      </c>
      <c r="AD488" s="48" t="e">
        <f ca="1">IF(INDIRECT("'["&amp;$C$1&amp;".xls]"&amp;$B488&amp;"'!$P$28")="","",IF(INDIRECT("'["&amp;$C$1&amp;".xls]"&amp;$B488&amp;"'!$O$28")="済み",INDIRECT("'["&amp;$C$1&amp;".xls]"&amp;$B488&amp;"'!$P$28"),""))</f>
        <v>#REF!</v>
      </c>
      <c r="AE488" s="48" t="e">
        <f ca="1">IF(INDIRECT("'["&amp;$C$1&amp;".xls]"&amp;$B488&amp;"'!$P$29")="","",IF(INDIRECT("'["&amp;$C$1&amp;".xls]"&amp;$B488&amp;"'!$O$29")="済み",INDIRECT("'["&amp;$C$1&amp;".xls]"&amp;$B488&amp;"'!$P$29"),""))</f>
        <v>#REF!</v>
      </c>
      <c r="AF488" s="48" t="e">
        <f ca="1">IF(INDIRECT("'["&amp;$C$1&amp;".xls]"&amp;$B488&amp;"'!$P$30")="","",IF(INDIRECT("'["&amp;$C$1&amp;".xls]"&amp;$B488&amp;"'!$O$30")="済み",INDIRECT("'["&amp;$C$1&amp;".xls]"&amp;$B488&amp;"'!$P$30"),""))</f>
        <v>#REF!</v>
      </c>
      <c r="AG488" s="48" t="e">
        <f ca="1">IF(INDIRECT("'["&amp;$C$1&amp;".xls]"&amp;$B488&amp;"'!$P$31")="","",IF(INDIRECT("'["&amp;$C$1&amp;".xls]"&amp;$B488&amp;"'!$O$31")="済み",INDIRECT("'["&amp;$C$1&amp;".xls]"&amp;$B488&amp;"'!$P$31"),""))</f>
        <v>#REF!</v>
      </c>
      <c r="AH488" s="48" t="e">
        <f ca="1">IF(INDIRECT("'["&amp;$C$1&amp;".xls]"&amp;$B488&amp;"'!$P$32")="","",IF(INDIRECT("'["&amp;$C$1&amp;".xls]"&amp;$B488&amp;"'!$O$32")="済み",INDIRECT("'["&amp;$C$1&amp;".xls]"&amp;$B488&amp;"'!$P$32"),""))</f>
        <v>#REF!</v>
      </c>
      <c r="AI488" s="48" t="e">
        <f ca="1">IF(INDIRECT("'["&amp;$C$1&amp;".xls]"&amp;$B488&amp;"'!$P$33")="","",IF(INDIRECT("'["&amp;$C$1&amp;".xls]"&amp;$B488&amp;"'!$O$33")="済み",INDIRECT("'["&amp;$C$1&amp;".xls]"&amp;$B488&amp;"'!$P$33"),""))</f>
        <v>#REF!</v>
      </c>
      <c r="AJ488" s="48" t="e">
        <f ca="1">IF(INDIRECT("'["&amp;$C$1&amp;".xls]"&amp;$B488&amp;"'!$P$34")="","",IF(INDIRECT("'["&amp;$C$1&amp;".xls]"&amp;$B488&amp;"'!$O$34")="済み",INDIRECT("'["&amp;$C$1&amp;".xls]"&amp;$B488&amp;"'!$P$34"),""))</f>
        <v>#REF!</v>
      </c>
      <c r="AK488" s="48" t="e">
        <f ca="1">IF(INDIRECT("'["&amp;$C$1&amp;".xls]"&amp;$B488&amp;"'!$T25")="","",IF(INDIRECT("'["&amp;$C$1&amp;".xls]"&amp;$B488&amp;"'!$O$25")="済み",INDIRECT("'["&amp;$C$1&amp;".xls]"&amp;$B488&amp;"'!$T$25"),""))</f>
        <v>#REF!</v>
      </c>
      <c r="AL488" s="48" t="e">
        <f ca="1">IF(INDIRECT("'["&amp;$C$1&amp;".xls]"&amp;$B488&amp;"'!$T26")="","",IF(INDIRECT("'["&amp;$C$1&amp;".xls]"&amp;$B488&amp;"'!$O$26")="済み",INDIRECT("'["&amp;$C$1&amp;".xls]"&amp;$B488&amp;"'!$T$26"),""))</f>
        <v>#REF!</v>
      </c>
      <c r="AM488" s="48" t="e">
        <f ca="1">IF(INDIRECT("'["&amp;$C$1&amp;".xls]"&amp;$B488&amp;"'!$T27")="","",IF(INDIRECT("'["&amp;$C$1&amp;".xls]"&amp;$B488&amp;"'!$O$27")="済み",INDIRECT("'["&amp;$C$1&amp;".xls]"&amp;$B488&amp;"'!$T$27"),""))</f>
        <v>#REF!</v>
      </c>
      <c r="AN488" s="48" t="e">
        <f ca="1">IF(INDIRECT("'["&amp;$C$1&amp;".xls]"&amp;$B488&amp;"'!$T28")="","",IF(INDIRECT("'["&amp;$C$1&amp;".xls]"&amp;$B488&amp;"'!$O$28")="済み",INDIRECT("'["&amp;$C$1&amp;".xls]"&amp;$B488&amp;"'!$T$28"),""))</f>
        <v>#REF!</v>
      </c>
      <c r="AO488" s="48" t="e">
        <f ca="1">IF(INDIRECT("'["&amp;$C$1&amp;".xls]"&amp;$B488&amp;"'!$T29")="","",IF(INDIRECT("'["&amp;$C$1&amp;".xls]"&amp;$B488&amp;"'!$O$29")="済み",INDIRECT("'["&amp;$C$1&amp;".xls]"&amp;$B488&amp;"'!$T$29"),""))</f>
        <v>#REF!</v>
      </c>
      <c r="AP488" s="48" t="e">
        <f ca="1">IF(INDIRECT("'["&amp;$C$1&amp;".xls]"&amp;$B488&amp;"'!$T30")="","",IF(INDIRECT("'["&amp;$C$1&amp;".xls]"&amp;$B488&amp;"'!$O$30")="済み",INDIRECT("'["&amp;$C$1&amp;".xls]"&amp;$B488&amp;"'!$T$30"),""))</f>
        <v>#REF!</v>
      </c>
      <c r="AQ488" s="48" t="e">
        <f ca="1">IF(INDIRECT("'["&amp;$C$1&amp;".xls]"&amp;$B488&amp;"'!$T31")="","",IF(INDIRECT("'["&amp;$C$1&amp;".xls]"&amp;$B488&amp;"'!$O$31")="済み",INDIRECT("'["&amp;$C$1&amp;".xls]"&amp;$B488&amp;"'!$T$31"),""))</f>
        <v>#REF!</v>
      </c>
      <c r="AR488" s="48" t="e">
        <f ca="1">IF(INDIRECT("'["&amp;$C$1&amp;".xls]"&amp;$B488&amp;"'!$T32")="","",IF(INDIRECT("'["&amp;$C$1&amp;".xls]"&amp;$B488&amp;"'!$O$32")="済み",INDIRECT("'["&amp;$C$1&amp;".xls]"&amp;$B488&amp;"'!$T$32"),""))</f>
        <v>#REF!</v>
      </c>
      <c r="AS488" s="48" t="e">
        <f ca="1">IF(INDIRECT("'["&amp;$C$1&amp;".xls]"&amp;$B488&amp;"'!$T33")="","",IF(INDIRECT("'["&amp;$C$1&amp;".xls]"&amp;$B488&amp;"'!$O$33")="済み",INDIRECT("'["&amp;$C$1&amp;".xls]"&amp;$B488&amp;"'!$T$33"),""))</f>
        <v>#REF!</v>
      </c>
      <c r="AT488" s="48" t="e">
        <f ca="1">IF(INDIRECT("'["&amp;$C$1&amp;".xls]"&amp;$B488&amp;"'!$T34")="","",IF(INDIRECT("'["&amp;$C$1&amp;".xls]"&amp;$B488&amp;"'!$O$34")="済み",INDIRECT("'["&amp;$C$1&amp;".xls]"&amp;$B488&amp;"'!$T$34"),""))</f>
        <v>#REF!</v>
      </c>
      <c r="AU488" s="93" t="e">
        <f ca="1">INDIRECT("'["&amp;$C$1&amp;".xls]"&amp;$B488&amp;"'!$B$6")</f>
        <v>#REF!</v>
      </c>
      <c r="AV488" s="93"/>
      <c r="AW488" s="93"/>
      <c r="AX488" s="93"/>
      <c r="AY488" s="93"/>
    </row>
    <row r="489" spans="1:52" ht="16.5" customHeight="1" x14ac:dyDescent="0.15">
      <c r="A489" s="182" t="s">
        <v>5141</v>
      </c>
      <c r="B489" s="183" t="s">
        <v>5142</v>
      </c>
      <c r="C489" s="48" t="s">
        <v>5143</v>
      </c>
      <c r="D489" s="62" t="s">
        <v>5144</v>
      </c>
      <c r="E489" s="48" t="s">
        <v>264</v>
      </c>
      <c r="F489" s="61">
        <v>42562</v>
      </c>
      <c r="G489" s="61">
        <v>42562</v>
      </c>
      <c r="H489" s="125">
        <v>42647</v>
      </c>
      <c r="I489" s="61" t="s">
        <v>279</v>
      </c>
      <c r="J489" s="87"/>
      <c r="K489" s="62" t="s">
        <v>16</v>
      </c>
      <c r="L489" s="62">
        <v>3</v>
      </c>
      <c r="M489" s="62" t="s">
        <v>680</v>
      </c>
      <c r="N489" s="62" t="s">
        <v>5145</v>
      </c>
      <c r="O489" s="48" t="s">
        <v>1480</v>
      </c>
      <c r="P489" s="48" t="s">
        <v>5146</v>
      </c>
      <c r="Q489" s="48" t="s">
        <v>5147</v>
      </c>
      <c r="R489" s="48" t="s">
        <v>5148</v>
      </c>
      <c r="S489" s="48" t="s">
        <v>5149</v>
      </c>
      <c r="T489" s="48" t="s">
        <v>5150</v>
      </c>
      <c r="U489" s="48" t="s">
        <v>5151</v>
      </c>
      <c r="V489" s="122" t="s">
        <v>263</v>
      </c>
      <c r="W489" s="122" t="s">
        <v>263</v>
      </c>
      <c r="X489" s="48" t="s">
        <v>3477</v>
      </c>
      <c r="Y489" s="48" t="s">
        <v>5152</v>
      </c>
      <c r="Z489" s="61"/>
      <c r="AA489" s="48" t="s">
        <v>833</v>
      </c>
      <c r="AB489" s="48" t="s">
        <v>273</v>
      </c>
      <c r="AC489" s="48" t="s">
        <v>273</v>
      </c>
      <c r="AD489" s="48" t="s">
        <v>273</v>
      </c>
      <c r="AE489" s="48" t="s">
        <v>273</v>
      </c>
      <c r="AF489" s="48" t="s">
        <v>273</v>
      </c>
      <c r="AG489" s="48" t="s">
        <v>273</v>
      </c>
      <c r="AH489" s="48" t="s">
        <v>273</v>
      </c>
      <c r="AI489" s="48" t="s">
        <v>273</v>
      </c>
      <c r="AJ489" s="48" t="s">
        <v>273</v>
      </c>
      <c r="AK489" s="48" t="s">
        <v>834</v>
      </c>
      <c r="AL489" s="48" t="s">
        <v>273</v>
      </c>
      <c r="AM489" s="48" t="s">
        <v>273</v>
      </c>
      <c r="AN489" s="48" t="s">
        <v>273</v>
      </c>
      <c r="AO489" s="48" t="s">
        <v>273</v>
      </c>
      <c r="AP489" s="48" t="s">
        <v>273</v>
      </c>
      <c r="AQ489" s="48" t="s">
        <v>273</v>
      </c>
      <c r="AR489" s="48" t="s">
        <v>273</v>
      </c>
      <c r="AS489" s="48" t="s">
        <v>273</v>
      </c>
      <c r="AT489" s="48" t="s">
        <v>273</v>
      </c>
      <c r="AU489" s="93">
        <v>40817</v>
      </c>
      <c r="AV489" s="93"/>
      <c r="AW489" s="93"/>
      <c r="AX489" s="93"/>
      <c r="AY489" s="93"/>
    </row>
    <row r="490" spans="1:52" ht="16.5" customHeight="1" x14ac:dyDescent="0.15">
      <c r="A490" s="153" t="s">
        <v>5153</v>
      </c>
      <c r="B490" s="154" t="s">
        <v>5154</v>
      </c>
      <c r="C490" s="48" t="s">
        <v>330</v>
      </c>
      <c r="D490" s="62" t="s">
        <v>263</v>
      </c>
      <c r="E490" s="48" t="s">
        <v>300</v>
      </c>
      <c r="F490" s="61">
        <v>42562</v>
      </c>
      <c r="G490" s="61">
        <v>42562</v>
      </c>
      <c r="H490" s="125">
        <v>42592</v>
      </c>
      <c r="I490" s="61" t="s">
        <v>279</v>
      </c>
      <c r="J490" s="87"/>
      <c r="K490" s="124" t="s">
        <v>263</v>
      </c>
      <c r="L490" s="124" t="s">
        <v>263</v>
      </c>
      <c r="M490" s="62" t="s">
        <v>1360</v>
      </c>
      <c r="N490" s="62" t="s">
        <v>5155</v>
      </c>
      <c r="O490" s="48" t="s">
        <v>2116</v>
      </c>
      <c r="P490" s="48" t="s">
        <v>1425</v>
      </c>
      <c r="Q490" s="48" t="s">
        <v>4300</v>
      </c>
      <c r="R490" s="48" t="s">
        <v>399</v>
      </c>
      <c r="S490" s="48" t="s">
        <v>400</v>
      </c>
      <c r="T490" s="48" t="s">
        <v>401</v>
      </c>
      <c r="U490" s="48" t="s">
        <v>4490</v>
      </c>
      <c r="V490" s="122" t="s">
        <v>263</v>
      </c>
      <c r="W490" s="122" t="s">
        <v>263</v>
      </c>
      <c r="X490" s="48" t="s">
        <v>4491</v>
      </c>
      <c r="Y490" s="48" t="s">
        <v>4492</v>
      </c>
      <c r="Z490" s="61"/>
      <c r="AA490" s="48" t="s">
        <v>273</v>
      </c>
      <c r="AB490" s="48" t="s">
        <v>273</v>
      </c>
      <c r="AC490" s="48" t="s">
        <v>273</v>
      </c>
      <c r="AD490" s="48" t="s">
        <v>273</v>
      </c>
      <c r="AE490" s="48" t="s">
        <v>273</v>
      </c>
      <c r="AF490" s="48" t="s">
        <v>273</v>
      </c>
      <c r="AG490" s="48" t="s">
        <v>273</v>
      </c>
      <c r="AH490" s="48" t="s">
        <v>273</v>
      </c>
      <c r="AI490" s="48" t="s">
        <v>273</v>
      </c>
      <c r="AJ490" s="48" t="s">
        <v>273</v>
      </c>
      <c r="AK490" s="48" t="s">
        <v>273</v>
      </c>
      <c r="AL490" s="48" t="s">
        <v>273</v>
      </c>
      <c r="AM490" s="48" t="s">
        <v>273</v>
      </c>
      <c r="AN490" s="48" t="s">
        <v>273</v>
      </c>
      <c r="AO490" s="48" t="s">
        <v>273</v>
      </c>
      <c r="AP490" s="48" t="s">
        <v>273</v>
      </c>
      <c r="AQ490" s="48" t="s">
        <v>273</v>
      </c>
      <c r="AR490" s="48" t="s">
        <v>273</v>
      </c>
      <c r="AS490" s="48" t="s">
        <v>273</v>
      </c>
      <c r="AT490" s="48" t="s">
        <v>273</v>
      </c>
      <c r="AU490" s="93">
        <v>38626</v>
      </c>
      <c r="AV490" s="93"/>
      <c r="AW490" s="93"/>
      <c r="AX490" s="93"/>
      <c r="AY490" s="93"/>
      <c r="AZ490" s="49" t="s">
        <v>5156</v>
      </c>
    </row>
    <row r="491" spans="1:52" ht="16.5" customHeight="1" x14ac:dyDescent="0.15">
      <c r="A491" s="153" t="s">
        <v>5157</v>
      </c>
      <c r="B491" s="154" t="s">
        <v>5158</v>
      </c>
      <c r="C491" s="48" t="s">
        <v>5159</v>
      </c>
      <c r="D491" s="62" t="s">
        <v>5160</v>
      </c>
      <c r="E491" s="48" t="s">
        <v>300</v>
      </c>
      <c r="F491" s="61">
        <v>42563</v>
      </c>
      <c r="G491" s="61">
        <v>42563</v>
      </c>
      <c r="H491" s="125">
        <v>42612</v>
      </c>
      <c r="I491" s="61" t="s">
        <v>279</v>
      </c>
      <c r="J491" s="87"/>
      <c r="K491" s="62" t="s">
        <v>16</v>
      </c>
      <c r="L491" s="62">
        <v>3</v>
      </c>
      <c r="M491" s="62" t="s">
        <v>409</v>
      </c>
      <c r="N491" s="62" t="s">
        <v>5161</v>
      </c>
      <c r="O491" s="48" t="s">
        <v>2320</v>
      </c>
      <c r="P491" s="48" t="s">
        <v>1634</v>
      </c>
      <c r="Q491" s="48" t="s">
        <v>1635</v>
      </c>
      <c r="R491" s="48" t="s">
        <v>1636</v>
      </c>
      <c r="S491" s="48" t="s">
        <v>1637</v>
      </c>
      <c r="T491" s="48" t="s">
        <v>1638</v>
      </c>
      <c r="U491" s="48" t="s">
        <v>1639</v>
      </c>
      <c r="V491" s="122" t="s">
        <v>263</v>
      </c>
      <c r="W491" s="122" t="s">
        <v>263</v>
      </c>
      <c r="X491" s="48" t="s">
        <v>1640</v>
      </c>
      <c r="Y491" s="48" t="s">
        <v>5162</v>
      </c>
      <c r="Z491" s="61"/>
      <c r="AA491" s="48" t="s">
        <v>273</v>
      </c>
      <c r="AB491" s="48" t="s">
        <v>273</v>
      </c>
      <c r="AC491" s="48" t="s">
        <v>599</v>
      </c>
      <c r="AD491" s="48" t="s">
        <v>273</v>
      </c>
      <c r="AE491" s="48" t="s">
        <v>273</v>
      </c>
      <c r="AF491" s="48" t="s">
        <v>273</v>
      </c>
      <c r="AG491" s="48" t="s">
        <v>273</v>
      </c>
      <c r="AH491" s="48" t="s">
        <v>273</v>
      </c>
      <c r="AI491" s="48" t="s">
        <v>273</v>
      </c>
      <c r="AJ491" s="48" t="s">
        <v>273</v>
      </c>
      <c r="AK491" s="48" t="s">
        <v>273</v>
      </c>
      <c r="AL491" s="48" t="s">
        <v>273</v>
      </c>
      <c r="AM491" s="48" t="s">
        <v>293</v>
      </c>
      <c r="AN491" s="48" t="s">
        <v>273</v>
      </c>
      <c r="AO491" s="48" t="s">
        <v>273</v>
      </c>
      <c r="AP491" s="48" t="s">
        <v>273</v>
      </c>
      <c r="AQ491" s="48" t="s">
        <v>273</v>
      </c>
      <c r="AR491" s="48" t="s">
        <v>273</v>
      </c>
      <c r="AS491" s="48" t="s">
        <v>273</v>
      </c>
      <c r="AT491" s="48" t="s">
        <v>273</v>
      </c>
      <c r="AU491" s="93">
        <v>38899</v>
      </c>
      <c r="AV491" s="93"/>
      <c r="AW491" s="93"/>
      <c r="AX491" s="93"/>
      <c r="AY491" s="93"/>
      <c r="AZ491" s="49" t="s">
        <v>5163</v>
      </c>
    </row>
    <row r="492" spans="1:52" ht="16.5" customHeight="1" x14ac:dyDescent="0.15">
      <c r="A492" s="151" t="s">
        <v>5164</v>
      </c>
      <c r="B492" s="152" t="s">
        <v>5165</v>
      </c>
      <c r="C492" s="48" t="s">
        <v>330</v>
      </c>
      <c r="D492" s="62" t="s">
        <v>5166</v>
      </c>
      <c r="E492" s="48" t="s">
        <v>264</v>
      </c>
      <c r="F492" s="61">
        <v>42563</v>
      </c>
      <c r="G492" s="61">
        <v>42563</v>
      </c>
      <c r="H492" s="125">
        <v>42568</v>
      </c>
      <c r="I492" s="61" t="s">
        <v>279</v>
      </c>
      <c r="J492" s="87"/>
      <c r="K492" s="62" t="s">
        <v>16</v>
      </c>
      <c r="L492" s="124" t="s">
        <v>263</v>
      </c>
      <c r="M492" s="62" t="s">
        <v>209</v>
      </c>
      <c r="N492" s="62" t="s">
        <v>5167</v>
      </c>
      <c r="O492" s="48" t="s">
        <v>5168</v>
      </c>
      <c r="P492" s="48" t="s">
        <v>267</v>
      </c>
      <c r="Q492" s="48" t="s">
        <v>5169</v>
      </c>
      <c r="R492" s="48" t="s">
        <v>5170</v>
      </c>
      <c r="S492" s="48" t="s">
        <v>269</v>
      </c>
      <c r="T492" s="48" t="s">
        <v>270</v>
      </c>
      <c r="U492" s="48" t="s">
        <v>5171</v>
      </c>
      <c r="V492" s="122" t="s">
        <v>263</v>
      </c>
      <c r="W492" s="122" t="s">
        <v>263</v>
      </c>
      <c r="X492" s="48" t="s">
        <v>5172</v>
      </c>
      <c r="Y492" s="48" t="s">
        <v>5173</v>
      </c>
      <c r="Z492" s="61"/>
      <c r="AA492" s="48" t="s">
        <v>273</v>
      </c>
      <c r="AB492" s="48" t="s">
        <v>273</v>
      </c>
      <c r="AC492" s="48" t="s">
        <v>273</v>
      </c>
      <c r="AD492" s="48" t="s">
        <v>273</v>
      </c>
      <c r="AE492" s="48" t="s">
        <v>273</v>
      </c>
      <c r="AF492" s="48" t="s">
        <v>273</v>
      </c>
      <c r="AG492" s="48" t="s">
        <v>273</v>
      </c>
      <c r="AH492" s="48" t="s">
        <v>273</v>
      </c>
      <c r="AI492" s="48" t="s">
        <v>273</v>
      </c>
      <c r="AJ492" s="48" t="s">
        <v>273</v>
      </c>
      <c r="AK492" s="48" t="s">
        <v>273</v>
      </c>
      <c r="AL492" s="48" t="s">
        <v>273</v>
      </c>
      <c r="AM492" s="48" t="s">
        <v>273</v>
      </c>
      <c r="AN492" s="48" t="s">
        <v>273</v>
      </c>
      <c r="AO492" s="48" t="s">
        <v>273</v>
      </c>
      <c r="AP492" s="48" t="s">
        <v>273</v>
      </c>
      <c r="AQ492" s="48" t="s">
        <v>273</v>
      </c>
      <c r="AR492" s="48" t="s">
        <v>273</v>
      </c>
      <c r="AS492" s="48" t="s">
        <v>273</v>
      </c>
      <c r="AT492" s="48" t="s">
        <v>273</v>
      </c>
      <c r="AU492" s="93">
        <v>42339</v>
      </c>
      <c r="AV492" s="93"/>
      <c r="AW492" s="93"/>
      <c r="AX492" s="93"/>
      <c r="AY492" s="93"/>
      <c r="AZ492" s="49" t="s">
        <v>5174</v>
      </c>
    </row>
    <row r="493" spans="1:52" ht="16.5" customHeight="1" x14ac:dyDescent="0.15">
      <c r="A493" s="199" t="s">
        <v>5175</v>
      </c>
      <c r="B493" s="209" t="s">
        <v>5176</v>
      </c>
      <c r="C493" s="48" t="s">
        <v>298</v>
      </c>
      <c r="D493" s="62" t="s">
        <v>263</v>
      </c>
      <c r="E493" s="48" t="s">
        <v>300</v>
      </c>
      <c r="F493" s="61">
        <v>42564</v>
      </c>
      <c r="G493" s="61">
        <v>42564</v>
      </c>
      <c r="H493" s="125">
        <v>42676</v>
      </c>
      <c r="I493" s="61">
        <v>39686</v>
      </c>
      <c r="J493" s="87"/>
      <c r="K493" s="62" t="s">
        <v>2506</v>
      </c>
      <c r="L493" s="62">
        <v>3</v>
      </c>
      <c r="M493" s="62" t="s">
        <v>394</v>
      </c>
      <c r="N493" s="62" t="s">
        <v>5177</v>
      </c>
      <c r="O493" s="48" t="s">
        <v>396</v>
      </c>
      <c r="P493" s="48" t="s">
        <v>5178</v>
      </c>
      <c r="Q493" s="48" t="s">
        <v>2999</v>
      </c>
      <c r="R493" s="48" t="s">
        <v>399</v>
      </c>
      <c r="S493" s="48" t="s">
        <v>400</v>
      </c>
      <c r="T493" s="48" t="s">
        <v>401</v>
      </c>
      <c r="U493" s="48" t="s">
        <v>5179</v>
      </c>
      <c r="V493" s="122" t="s">
        <v>263</v>
      </c>
      <c r="W493" s="122" t="s">
        <v>263</v>
      </c>
      <c r="X493" s="48" t="s">
        <v>5180</v>
      </c>
      <c r="Y493" s="48" t="s">
        <v>5181</v>
      </c>
      <c r="Z493" s="61"/>
      <c r="AA493" s="48" t="s">
        <v>701</v>
      </c>
      <c r="AB493" s="48" t="s">
        <v>273</v>
      </c>
      <c r="AC493" s="48" t="s">
        <v>273</v>
      </c>
      <c r="AD493" s="48" t="s">
        <v>273</v>
      </c>
      <c r="AE493" s="48" t="s">
        <v>273</v>
      </c>
      <c r="AF493" s="48" t="s">
        <v>273</v>
      </c>
      <c r="AG493" s="48" t="s">
        <v>273</v>
      </c>
      <c r="AH493" s="48" t="s">
        <v>273</v>
      </c>
      <c r="AI493" s="48" t="s">
        <v>273</v>
      </c>
      <c r="AJ493" s="48" t="s">
        <v>273</v>
      </c>
      <c r="AK493" s="48" t="s">
        <v>702</v>
      </c>
      <c r="AL493" s="48" t="s">
        <v>273</v>
      </c>
      <c r="AM493" s="48" t="s">
        <v>273</v>
      </c>
      <c r="AN493" s="48" t="s">
        <v>273</v>
      </c>
      <c r="AO493" s="48" t="s">
        <v>273</v>
      </c>
      <c r="AP493" s="48" t="s">
        <v>273</v>
      </c>
      <c r="AQ493" s="48" t="s">
        <v>273</v>
      </c>
      <c r="AR493" s="48" t="s">
        <v>273</v>
      </c>
      <c r="AS493" s="48" t="s">
        <v>273</v>
      </c>
      <c r="AT493" s="48" t="s">
        <v>273</v>
      </c>
      <c r="AU493" s="93">
        <v>39052</v>
      </c>
      <c r="AV493" s="93"/>
      <c r="AW493" s="93"/>
      <c r="AX493" s="93"/>
      <c r="AY493" s="93"/>
    </row>
    <row r="494" spans="1:52" ht="16.5" customHeight="1" x14ac:dyDescent="0.15">
      <c r="A494" s="199" t="s">
        <v>5182</v>
      </c>
      <c r="B494" s="209" t="s">
        <v>5183</v>
      </c>
      <c r="C494" s="48" t="s">
        <v>330</v>
      </c>
      <c r="D494" s="62" t="s">
        <v>3077</v>
      </c>
      <c r="E494" s="48" t="s">
        <v>300</v>
      </c>
      <c r="F494" s="61">
        <v>42564</v>
      </c>
      <c r="G494" s="61">
        <v>42564</v>
      </c>
      <c r="H494" s="125">
        <v>42688</v>
      </c>
      <c r="I494" s="61" t="s">
        <v>279</v>
      </c>
      <c r="J494" s="87"/>
      <c r="K494" s="124" t="s">
        <v>4232</v>
      </c>
      <c r="L494" s="124" t="s">
        <v>4232</v>
      </c>
      <c r="M494" s="62" t="s">
        <v>619</v>
      </c>
      <c r="N494" s="62" t="s">
        <v>3078</v>
      </c>
      <c r="O494" s="48" t="s">
        <v>621</v>
      </c>
      <c r="P494" s="48" t="s">
        <v>3079</v>
      </c>
      <c r="Q494" s="48" t="s">
        <v>318</v>
      </c>
      <c r="R494" s="48" t="s">
        <v>5184</v>
      </c>
      <c r="S494" s="48" t="s">
        <v>3082</v>
      </c>
      <c r="T494" s="48" t="s">
        <v>5185</v>
      </c>
      <c r="U494" s="48" t="s">
        <v>1344</v>
      </c>
      <c r="V494" s="122" t="s">
        <v>4232</v>
      </c>
      <c r="W494" s="122" t="s">
        <v>4232</v>
      </c>
      <c r="X494" s="48" t="s">
        <v>1345</v>
      </c>
      <c r="Y494" s="48" t="s">
        <v>3085</v>
      </c>
      <c r="Z494" s="61"/>
      <c r="AA494" s="48" t="s">
        <v>273</v>
      </c>
      <c r="AB494" s="48" t="s">
        <v>273</v>
      </c>
      <c r="AC494" s="48" t="s">
        <v>273</v>
      </c>
      <c r="AD494" s="48" t="s">
        <v>273</v>
      </c>
      <c r="AE494" s="48" t="s">
        <v>273</v>
      </c>
      <c r="AF494" s="48" t="s">
        <v>273</v>
      </c>
      <c r="AG494" s="48" t="s">
        <v>273</v>
      </c>
      <c r="AH494" s="48" t="s">
        <v>273</v>
      </c>
      <c r="AI494" s="48" t="s">
        <v>273</v>
      </c>
      <c r="AJ494" s="48" t="s">
        <v>273</v>
      </c>
      <c r="AK494" s="48" t="s">
        <v>273</v>
      </c>
      <c r="AL494" s="48" t="s">
        <v>273</v>
      </c>
      <c r="AM494" s="48" t="s">
        <v>273</v>
      </c>
      <c r="AN494" s="48" t="s">
        <v>273</v>
      </c>
      <c r="AO494" s="48" t="s">
        <v>273</v>
      </c>
      <c r="AP494" s="48" t="s">
        <v>273</v>
      </c>
      <c r="AQ494" s="48" t="s">
        <v>273</v>
      </c>
      <c r="AR494" s="48" t="s">
        <v>273</v>
      </c>
      <c r="AS494" s="48" t="s">
        <v>273</v>
      </c>
      <c r="AT494" s="48" t="s">
        <v>273</v>
      </c>
      <c r="AU494" s="93">
        <v>36739</v>
      </c>
      <c r="AV494" s="93"/>
      <c r="AW494" s="93"/>
      <c r="AX494" s="93"/>
      <c r="AY494" s="93"/>
      <c r="AZ494" s="49" t="s">
        <v>5186</v>
      </c>
    </row>
    <row r="495" spans="1:52" ht="16.5" customHeight="1" x14ac:dyDescent="0.15">
      <c r="A495" s="153" t="s">
        <v>5187</v>
      </c>
      <c r="B495" s="154" t="s">
        <v>5188</v>
      </c>
      <c r="C495" s="48" t="s">
        <v>298</v>
      </c>
      <c r="D495" s="62" t="s">
        <v>263</v>
      </c>
      <c r="E495" s="48" t="s">
        <v>300</v>
      </c>
      <c r="F495" s="61">
        <v>42564</v>
      </c>
      <c r="G495" s="61">
        <v>42564</v>
      </c>
      <c r="H495" s="125">
        <v>42611</v>
      </c>
      <c r="I495" s="61" t="s">
        <v>279</v>
      </c>
      <c r="J495" s="87"/>
      <c r="K495" s="62" t="s">
        <v>16</v>
      </c>
      <c r="L495" s="62">
        <v>3</v>
      </c>
      <c r="M495" s="62" t="s">
        <v>236</v>
      </c>
      <c r="N495" s="62" t="s">
        <v>5189</v>
      </c>
      <c r="O495" s="48" t="s">
        <v>348</v>
      </c>
      <c r="P495" s="48" t="s">
        <v>5190</v>
      </c>
      <c r="Q495" s="48" t="s">
        <v>5191</v>
      </c>
      <c r="R495" s="48" t="s">
        <v>5192</v>
      </c>
      <c r="S495" s="48" t="s">
        <v>5193</v>
      </c>
      <c r="T495" s="48" t="s">
        <v>5194</v>
      </c>
      <c r="U495" s="48" t="s">
        <v>5195</v>
      </c>
      <c r="V495" s="48"/>
      <c r="W495" s="48"/>
      <c r="X495" s="48"/>
      <c r="Y495" s="48"/>
      <c r="Z495" s="61"/>
      <c r="AA495" s="48" t="s">
        <v>5196</v>
      </c>
      <c r="AB495" s="48" t="s">
        <v>273</v>
      </c>
      <c r="AC495" s="48" t="s">
        <v>273</v>
      </c>
      <c r="AD495" s="48" t="s">
        <v>273</v>
      </c>
      <c r="AE495" s="48" t="s">
        <v>273</v>
      </c>
      <c r="AF495" s="48" t="s">
        <v>273</v>
      </c>
      <c r="AG495" s="48" t="s">
        <v>273</v>
      </c>
      <c r="AH495" s="48" t="s">
        <v>273</v>
      </c>
      <c r="AI495" s="48" t="s">
        <v>273</v>
      </c>
      <c r="AJ495" s="48" t="s">
        <v>273</v>
      </c>
      <c r="AK495" s="48" t="s">
        <v>5197</v>
      </c>
      <c r="AL495" s="48" t="s">
        <v>273</v>
      </c>
      <c r="AM495" s="48" t="s">
        <v>273</v>
      </c>
      <c r="AN495" s="48" t="s">
        <v>273</v>
      </c>
      <c r="AO495" s="48" t="s">
        <v>273</v>
      </c>
      <c r="AP495" s="48" t="s">
        <v>273</v>
      </c>
      <c r="AQ495" s="48" t="s">
        <v>273</v>
      </c>
      <c r="AR495" s="48" t="s">
        <v>273</v>
      </c>
      <c r="AS495" s="48" t="s">
        <v>273</v>
      </c>
      <c r="AT495" s="48" t="s">
        <v>273</v>
      </c>
      <c r="AU495" s="93">
        <v>40575</v>
      </c>
      <c r="AV495" s="93"/>
      <c r="AW495" s="93"/>
      <c r="AX495" s="93"/>
      <c r="AY495" s="93"/>
      <c r="AZ495" s="49" t="s">
        <v>5198</v>
      </c>
    </row>
    <row r="496" spans="1:52" ht="16.5" customHeight="1" x14ac:dyDescent="0.15">
      <c r="A496" s="182" t="s">
        <v>5199</v>
      </c>
      <c r="B496" s="183" t="s">
        <v>5200</v>
      </c>
      <c r="C496" s="48" t="s">
        <v>5201</v>
      </c>
      <c r="D496" s="62" t="s">
        <v>263</v>
      </c>
      <c r="E496" s="48" t="s">
        <v>264</v>
      </c>
      <c r="F496" s="61">
        <v>42565</v>
      </c>
      <c r="G496" s="61">
        <v>42565</v>
      </c>
      <c r="H496" s="125">
        <v>42674</v>
      </c>
      <c r="I496" s="61" t="s">
        <v>1249</v>
      </c>
      <c r="J496" s="87"/>
      <c r="K496" s="62" t="s">
        <v>5202</v>
      </c>
      <c r="L496" s="62">
        <v>3</v>
      </c>
      <c r="M496" s="62" t="s">
        <v>755</v>
      </c>
      <c r="N496" s="62" t="s">
        <v>5203</v>
      </c>
      <c r="O496" s="48" t="s">
        <v>1906</v>
      </c>
      <c r="P496" s="48" t="s">
        <v>267</v>
      </c>
      <c r="Q496" s="48" t="s">
        <v>892</v>
      </c>
      <c r="R496" s="122" t="s">
        <v>4232</v>
      </c>
      <c r="S496" s="48" t="s">
        <v>269</v>
      </c>
      <c r="T496" s="48" t="s">
        <v>270</v>
      </c>
      <c r="U496" s="48" t="s">
        <v>5204</v>
      </c>
      <c r="V496" s="122" t="s">
        <v>4232</v>
      </c>
      <c r="W496" s="122" t="s">
        <v>4232</v>
      </c>
      <c r="X496" s="122" t="s">
        <v>4232</v>
      </c>
      <c r="Y496" s="122" t="s">
        <v>4232</v>
      </c>
      <c r="Z496" s="61"/>
      <c r="AA496" s="48" t="s">
        <v>1055</v>
      </c>
      <c r="AB496" s="48" t="s">
        <v>1054</v>
      </c>
      <c r="AC496" s="48" t="s">
        <v>273</v>
      </c>
      <c r="AD496" s="48" t="s">
        <v>273</v>
      </c>
      <c r="AE496" s="48" t="s">
        <v>273</v>
      </c>
      <c r="AF496" s="48" t="s">
        <v>273</v>
      </c>
      <c r="AG496" s="48" t="s">
        <v>273</v>
      </c>
      <c r="AH496" s="48" t="s">
        <v>273</v>
      </c>
      <c r="AI496" s="48" t="s">
        <v>273</v>
      </c>
      <c r="AJ496" s="48" t="s">
        <v>273</v>
      </c>
      <c r="AK496" s="48" t="s">
        <v>1058</v>
      </c>
      <c r="AL496" s="48" t="s">
        <v>1057</v>
      </c>
      <c r="AM496" s="48" t="s">
        <v>273</v>
      </c>
      <c r="AN496" s="48" t="s">
        <v>273</v>
      </c>
      <c r="AO496" s="48" t="s">
        <v>273</v>
      </c>
      <c r="AP496" s="48" t="s">
        <v>273</v>
      </c>
      <c r="AQ496" s="48" t="s">
        <v>273</v>
      </c>
      <c r="AR496" s="48" t="s">
        <v>273</v>
      </c>
      <c r="AS496" s="48" t="s">
        <v>273</v>
      </c>
      <c r="AT496" s="48" t="s">
        <v>273</v>
      </c>
      <c r="AU496" s="93">
        <v>38473</v>
      </c>
      <c r="AV496" s="93"/>
      <c r="AW496" s="93"/>
      <c r="AX496" s="93"/>
      <c r="AY496" s="93"/>
    </row>
    <row r="497" spans="1:52" ht="16.5" customHeight="1" x14ac:dyDescent="0.15">
      <c r="A497" s="151" t="s">
        <v>5205</v>
      </c>
      <c r="B497" s="152" t="s">
        <v>5206</v>
      </c>
      <c r="C497" s="48" t="s">
        <v>330</v>
      </c>
      <c r="D497" s="62" t="s">
        <v>5207</v>
      </c>
      <c r="E497" s="48" t="s">
        <v>264</v>
      </c>
      <c r="F497" s="61">
        <v>42565</v>
      </c>
      <c r="G497" s="61">
        <v>42565</v>
      </c>
      <c r="H497" s="125">
        <v>42578</v>
      </c>
      <c r="I497" s="61" t="s">
        <v>279</v>
      </c>
      <c r="J497" s="87"/>
      <c r="K497" s="124" t="s">
        <v>263</v>
      </c>
      <c r="L497" s="124" t="s">
        <v>263</v>
      </c>
      <c r="M497" s="62" t="s">
        <v>2265</v>
      </c>
      <c r="N497" s="62" t="s">
        <v>5208</v>
      </c>
      <c r="O497" s="48" t="s">
        <v>1946</v>
      </c>
      <c r="P497" s="48" t="s">
        <v>4919</v>
      </c>
      <c r="Q497" s="48" t="s">
        <v>5209</v>
      </c>
      <c r="R497" s="48" t="s">
        <v>4920</v>
      </c>
      <c r="S497" s="48" t="s">
        <v>1761</v>
      </c>
      <c r="T497" s="48" t="s">
        <v>4921</v>
      </c>
      <c r="U497" s="48" t="s">
        <v>5210</v>
      </c>
      <c r="V497" s="48" t="s">
        <v>5211</v>
      </c>
      <c r="W497" s="48" t="s">
        <v>5212</v>
      </c>
      <c r="X497" s="48" t="s">
        <v>4923</v>
      </c>
      <c r="Y497" s="48" t="s">
        <v>4924</v>
      </c>
      <c r="Z497" s="61"/>
      <c r="AA497" s="48" t="s">
        <v>273</v>
      </c>
      <c r="AB497" s="48" t="s">
        <v>273</v>
      </c>
      <c r="AC497" s="48" t="s">
        <v>273</v>
      </c>
      <c r="AD497" s="48" t="s">
        <v>273</v>
      </c>
      <c r="AE497" s="48" t="s">
        <v>273</v>
      </c>
      <c r="AF497" s="48" t="s">
        <v>273</v>
      </c>
      <c r="AG497" s="48" t="s">
        <v>273</v>
      </c>
      <c r="AH497" s="48" t="s">
        <v>273</v>
      </c>
      <c r="AI497" s="48" t="s">
        <v>273</v>
      </c>
      <c r="AJ497" s="48" t="s">
        <v>273</v>
      </c>
      <c r="AK497" s="48" t="s">
        <v>273</v>
      </c>
      <c r="AL497" s="48" t="s">
        <v>273</v>
      </c>
      <c r="AM497" s="48" t="s">
        <v>273</v>
      </c>
      <c r="AN497" s="48" t="s">
        <v>273</v>
      </c>
      <c r="AO497" s="48" t="s">
        <v>273</v>
      </c>
      <c r="AP497" s="48" t="s">
        <v>273</v>
      </c>
      <c r="AQ497" s="48" t="s">
        <v>273</v>
      </c>
      <c r="AR497" s="48" t="s">
        <v>273</v>
      </c>
      <c r="AS497" s="48" t="s">
        <v>273</v>
      </c>
      <c r="AT497" s="48" t="s">
        <v>273</v>
      </c>
      <c r="AU497" s="93">
        <v>40513</v>
      </c>
      <c r="AV497" s="93"/>
      <c r="AW497" s="93"/>
      <c r="AX497" s="93"/>
      <c r="AY497" s="93"/>
      <c r="AZ497" s="49" t="s">
        <v>5213</v>
      </c>
    </row>
    <row r="498" spans="1:52" ht="16.5" customHeight="1" x14ac:dyDescent="0.15">
      <c r="A498" s="153" t="s">
        <v>5214</v>
      </c>
      <c r="B498" s="154" t="s">
        <v>5215</v>
      </c>
      <c r="C498" s="48" t="s">
        <v>330</v>
      </c>
      <c r="D498" s="62" t="s">
        <v>5216</v>
      </c>
      <c r="E498" s="48" t="s">
        <v>300</v>
      </c>
      <c r="F498" s="61">
        <v>42565</v>
      </c>
      <c r="G498" s="61">
        <v>42565</v>
      </c>
      <c r="H498" s="125">
        <v>42586</v>
      </c>
      <c r="I498" s="61" t="s">
        <v>279</v>
      </c>
      <c r="J498" s="87"/>
      <c r="K498" s="62" t="s">
        <v>16</v>
      </c>
      <c r="L498" s="124" t="s">
        <v>263</v>
      </c>
      <c r="M498" s="62">
        <v>180</v>
      </c>
      <c r="N498" s="62" t="s">
        <v>376</v>
      </c>
      <c r="O498" s="48" t="s">
        <v>377</v>
      </c>
      <c r="P498" s="48" t="s">
        <v>5217</v>
      </c>
      <c r="Q498" s="48" t="s">
        <v>379</v>
      </c>
      <c r="R498" s="48" t="s">
        <v>380</v>
      </c>
      <c r="S498" s="48" t="s">
        <v>381</v>
      </c>
      <c r="T498" s="48" t="s">
        <v>3409</v>
      </c>
      <c r="U498" s="48" t="s">
        <v>5218</v>
      </c>
      <c r="V498" s="48" t="s">
        <v>5219</v>
      </c>
      <c r="W498" s="48" t="s">
        <v>5220</v>
      </c>
      <c r="X498" s="48" t="s">
        <v>386</v>
      </c>
      <c r="Y498" s="48" t="s">
        <v>3413</v>
      </c>
      <c r="Z498" s="61"/>
      <c r="AA498" s="48" t="s">
        <v>273</v>
      </c>
      <c r="AB498" s="48" t="s">
        <v>273</v>
      </c>
      <c r="AC498" s="48" t="s">
        <v>273</v>
      </c>
      <c r="AD498" s="48" t="s">
        <v>273</v>
      </c>
      <c r="AE498" s="48" t="s">
        <v>273</v>
      </c>
      <c r="AF498" s="48" t="s">
        <v>273</v>
      </c>
      <c r="AG498" s="48" t="s">
        <v>273</v>
      </c>
      <c r="AH498" s="48" t="s">
        <v>273</v>
      </c>
      <c r="AI498" s="48" t="s">
        <v>273</v>
      </c>
      <c r="AJ498" s="48" t="s">
        <v>273</v>
      </c>
      <c r="AK498" s="48" t="s">
        <v>273</v>
      </c>
      <c r="AL498" s="48" t="s">
        <v>273</v>
      </c>
      <c r="AM498" s="48" t="s">
        <v>273</v>
      </c>
      <c r="AN498" s="48" t="s">
        <v>273</v>
      </c>
      <c r="AO498" s="48" t="s">
        <v>273</v>
      </c>
      <c r="AP498" s="48" t="s">
        <v>273</v>
      </c>
      <c r="AQ498" s="48" t="s">
        <v>273</v>
      </c>
      <c r="AR498" s="48" t="s">
        <v>273</v>
      </c>
      <c r="AS498" s="48" t="s">
        <v>273</v>
      </c>
      <c r="AT498" s="48" t="s">
        <v>273</v>
      </c>
      <c r="AU498" s="93">
        <v>36678</v>
      </c>
      <c r="AV498" s="93"/>
      <c r="AW498" s="93"/>
      <c r="AX498" s="93"/>
      <c r="AY498" s="93"/>
      <c r="AZ498" s="49" t="s">
        <v>5221</v>
      </c>
    </row>
    <row r="499" spans="1:52" ht="16.5" customHeight="1" x14ac:dyDescent="0.15">
      <c r="A499" s="151" t="s">
        <v>5222</v>
      </c>
      <c r="B499" s="152" t="s">
        <v>5223</v>
      </c>
      <c r="C499" s="48" t="s">
        <v>330</v>
      </c>
      <c r="D499" s="62" t="s">
        <v>5224</v>
      </c>
      <c r="E499" s="48" t="s">
        <v>300</v>
      </c>
      <c r="F499" s="61">
        <v>42566</v>
      </c>
      <c r="G499" s="61">
        <v>42566</v>
      </c>
      <c r="H499" s="125">
        <v>42577</v>
      </c>
      <c r="I499" s="61" t="s">
        <v>279</v>
      </c>
      <c r="J499" s="87"/>
      <c r="K499" s="62" t="s">
        <v>16</v>
      </c>
      <c r="L499" s="124" t="s">
        <v>263</v>
      </c>
      <c r="M499" s="62" t="s">
        <v>409</v>
      </c>
      <c r="N499" s="62" t="s">
        <v>5225</v>
      </c>
      <c r="O499" s="48" t="s">
        <v>948</v>
      </c>
      <c r="P499" s="48" t="s">
        <v>5226</v>
      </c>
      <c r="Q499" s="48" t="s">
        <v>1125</v>
      </c>
      <c r="R499" s="48" t="s">
        <v>5227</v>
      </c>
      <c r="S499" s="48" t="s">
        <v>1610</v>
      </c>
      <c r="T499" s="48" t="s">
        <v>1611</v>
      </c>
      <c r="U499" s="48" t="s">
        <v>5228</v>
      </c>
      <c r="V499" s="48" t="s">
        <v>5229</v>
      </c>
      <c r="W499" s="122" t="s">
        <v>263</v>
      </c>
      <c r="X499" s="48" t="s">
        <v>5230</v>
      </c>
      <c r="Y499" s="48" t="s">
        <v>5231</v>
      </c>
      <c r="Z499" s="61"/>
      <c r="AA499" s="48" t="s">
        <v>273</v>
      </c>
      <c r="AB499" s="48" t="s">
        <v>273</v>
      </c>
      <c r="AC499" s="48" t="s">
        <v>273</v>
      </c>
      <c r="AD499" s="48" t="s">
        <v>273</v>
      </c>
      <c r="AE499" s="48" t="s">
        <v>273</v>
      </c>
      <c r="AF499" s="48" t="s">
        <v>273</v>
      </c>
      <c r="AG499" s="48" t="s">
        <v>273</v>
      </c>
      <c r="AH499" s="48" t="s">
        <v>273</v>
      </c>
      <c r="AI499" s="48" t="s">
        <v>273</v>
      </c>
      <c r="AJ499" s="48" t="s">
        <v>273</v>
      </c>
      <c r="AK499" s="48" t="s">
        <v>273</v>
      </c>
      <c r="AL499" s="48" t="s">
        <v>273</v>
      </c>
      <c r="AM499" s="48" t="s">
        <v>273</v>
      </c>
      <c r="AN499" s="48" t="s">
        <v>273</v>
      </c>
      <c r="AO499" s="48" t="s">
        <v>273</v>
      </c>
      <c r="AP499" s="48" t="s">
        <v>273</v>
      </c>
      <c r="AQ499" s="48" t="s">
        <v>273</v>
      </c>
      <c r="AR499" s="48" t="s">
        <v>273</v>
      </c>
      <c r="AS499" s="48" t="s">
        <v>273</v>
      </c>
      <c r="AT499" s="48" t="s">
        <v>273</v>
      </c>
      <c r="AU499" s="93">
        <v>40575</v>
      </c>
      <c r="AV499" s="93"/>
      <c r="AW499" s="93"/>
      <c r="AX499" s="93"/>
      <c r="AY499" s="93"/>
      <c r="AZ499" s="49" t="s">
        <v>5232</v>
      </c>
    </row>
    <row r="500" spans="1:52" ht="16.5" customHeight="1" x14ac:dyDescent="0.15">
      <c r="A500" s="156" t="s">
        <v>5233</v>
      </c>
      <c r="B500" s="157" t="s">
        <v>5234</v>
      </c>
      <c r="C500" s="48" t="s">
        <v>5235</v>
      </c>
      <c r="D500" s="62" t="s">
        <v>263</v>
      </c>
      <c r="E500" s="48" t="s">
        <v>264</v>
      </c>
      <c r="F500" s="61">
        <v>42566</v>
      </c>
      <c r="G500" s="61">
        <v>42566</v>
      </c>
      <c r="H500" s="125">
        <v>42625</v>
      </c>
      <c r="I500" s="61" t="s">
        <v>1249</v>
      </c>
      <c r="J500" s="87"/>
      <c r="K500" s="62" t="s">
        <v>12</v>
      </c>
      <c r="L500" s="62">
        <v>3</v>
      </c>
      <c r="M500" s="62" t="s">
        <v>442</v>
      </c>
      <c r="N500" s="62" t="s">
        <v>5236</v>
      </c>
      <c r="O500" s="48" t="s">
        <v>983</v>
      </c>
      <c r="P500" s="48" t="s">
        <v>267</v>
      </c>
      <c r="Q500" s="48" t="s">
        <v>892</v>
      </c>
      <c r="R500" s="122" t="s">
        <v>263</v>
      </c>
      <c r="S500" s="48" t="s">
        <v>269</v>
      </c>
      <c r="T500" s="48" t="s">
        <v>270</v>
      </c>
      <c r="U500" s="48" t="s">
        <v>5237</v>
      </c>
      <c r="V500" s="122" t="s">
        <v>263</v>
      </c>
      <c r="W500" s="122" t="s">
        <v>263</v>
      </c>
      <c r="X500" s="122" t="s">
        <v>263</v>
      </c>
      <c r="Y500" s="122" t="s">
        <v>263</v>
      </c>
      <c r="Z500" s="61"/>
      <c r="AA500" s="48" t="s">
        <v>453</v>
      </c>
      <c r="AB500" s="48" t="s">
        <v>273</v>
      </c>
      <c r="AC500" s="48" t="s">
        <v>273</v>
      </c>
      <c r="AD500" s="48" t="s">
        <v>273</v>
      </c>
      <c r="AE500" s="48" t="s">
        <v>273</v>
      </c>
      <c r="AF500" s="48" t="s">
        <v>273</v>
      </c>
      <c r="AG500" s="48" t="s">
        <v>273</v>
      </c>
      <c r="AH500" s="48" t="s">
        <v>273</v>
      </c>
      <c r="AI500" s="48" t="s">
        <v>273</v>
      </c>
      <c r="AJ500" s="48" t="s">
        <v>273</v>
      </c>
      <c r="AK500" s="48" t="s">
        <v>454</v>
      </c>
      <c r="AL500" s="48" t="s">
        <v>273</v>
      </c>
      <c r="AM500" s="48" t="s">
        <v>273</v>
      </c>
      <c r="AN500" s="48" t="s">
        <v>273</v>
      </c>
      <c r="AO500" s="48" t="s">
        <v>273</v>
      </c>
      <c r="AP500" s="48" t="s">
        <v>273</v>
      </c>
      <c r="AQ500" s="48" t="s">
        <v>273</v>
      </c>
      <c r="AR500" s="48" t="s">
        <v>273</v>
      </c>
      <c r="AS500" s="48" t="s">
        <v>273</v>
      </c>
      <c r="AT500" s="48" t="s">
        <v>273</v>
      </c>
      <c r="AU500" s="93">
        <v>38078</v>
      </c>
      <c r="AV500" s="93"/>
      <c r="AW500" s="93"/>
      <c r="AX500" s="93"/>
      <c r="AY500" s="93"/>
    </row>
    <row r="501" spans="1:52" ht="16.5" customHeight="1" x14ac:dyDescent="0.15">
      <c r="A501" s="121" t="s">
        <v>5238</v>
      </c>
      <c r="B501" s="47" t="s">
        <v>5239</v>
      </c>
      <c r="C501" s="48" t="e">
        <f ca="1">INDIRECT("'["&amp;$C$1&amp;".xls]"&amp;$B501&amp;"'!$i$7")</f>
        <v>#REF!</v>
      </c>
      <c r="D501" s="62" t="e">
        <f ca="1">INDIRECT("'["&amp;$C$1&amp;".xls]"&amp;$B501&amp;"'!$b$7")</f>
        <v>#REF!</v>
      </c>
      <c r="E501" s="48" t="e">
        <f ca="1">IF(INDIRECT("'["&amp;$C$1&amp;".xls]"&amp;$B501&amp;"'!$i$2")="","",INDIRECT("'["&amp;$C$1&amp;".xls]"&amp;$B501&amp;"'!$i$2"))</f>
        <v>#REF!</v>
      </c>
      <c r="F501" s="61" t="e">
        <f ca="1">INDIRECT("'["&amp;$C$1&amp;".xls]"&amp;$B501&amp;"'!$b$2")</f>
        <v>#REF!</v>
      </c>
      <c r="G501" s="61" t="e">
        <f ca="1">INDIRECT("'["&amp;$C$1&amp;".xls]"&amp;$B501&amp;"'!$a$20")</f>
        <v>#REF!</v>
      </c>
      <c r="H501" s="88" t="e">
        <f ca="1">INDIRECT("'["&amp;$C$1&amp;".xls]"&amp;$B501&amp;"'!$Q$22")</f>
        <v>#REF!</v>
      </c>
      <c r="I501" s="61" t="e">
        <f ca="1">INDIRECT("'["&amp;$C$1&amp;".xls]"&amp;$B501&amp;"'!$f$6")</f>
        <v>#REF!</v>
      </c>
      <c r="J501" s="87"/>
      <c r="K501" s="62" t="e">
        <f ca="1">INDIRECT("'["&amp;$C$1&amp;".xls]"&amp;$B501&amp;"'!$f$25")</f>
        <v>#REF!</v>
      </c>
      <c r="L501" s="62"/>
      <c r="M501" s="62" t="e">
        <f ca="1">INDIRECT("'["&amp;$C$1&amp;".xls]"&amp;$B501&amp;"'!$f$4")</f>
        <v>#REF!</v>
      </c>
      <c r="N501" s="62" t="e">
        <f ca="1">INDIRECT("'["&amp;$C$1&amp;".xls]"&amp;$B501&amp;"'!$i$4")</f>
        <v>#REF!</v>
      </c>
      <c r="O501" s="48" t="e">
        <f ca="1">INDIRECT("'["&amp;$C$1&amp;".xls]"&amp;$B501&amp;"'!$l$4")</f>
        <v>#REF!</v>
      </c>
      <c r="P501" s="48" t="e">
        <f ca="1">INDIRECT("'["&amp;$C$1&amp;".xls]"&amp;$B501&amp;"'!$b$5")</f>
        <v>#REF!</v>
      </c>
      <c r="Q501" s="48" t="e">
        <f ca="1">INDIRECT("'["&amp;$C$1&amp;".xls]"&amp;$B501&amp;"'!$f$5")</f>
        <v>#REF!</v>
      </c>
      <c r="R501" s="48"/>
      <c r="S501" s="48" t="e">
        <f ca="1">INDIRECT("'["&amp;$C$1&amp;".xls]"&amp;$B501&amp;"'!$i$5")</f>
        <v>#REF!</v>
      </c>
      <c r="T501" s="48" t="e">
        <f ca="1">INDIRECT("'["&amp;$C$1&amp;".xls]"&amp;$B501&amp;"'!$l$5")</f>
        <v>#REF!</v>
      </c>
      <c r="U501" s="48" t="e">
        <f ca="1">INDIRECT("'["&amp;$C$1&amp;".xls]"&amp;$B501&amp;"'!$b$4")</f>
        <v>#REF!</v>
      </c>
      <c r="V501" s="48"/>
      <c r="W501" s="48"/>
      <c r="X501" s="48"/>
      <c r="Y501" s="48"/>
      <c r="Z501" s="61"/>
      <c r="AA501" s="48" t="e">
        <f ca="1">IF(INDIRECT("'["&amp;$C$1&amp;".xls]"&amp;$B501&amp;"'!$P$25")="","",IF(INDIRECT("'["&amp;$C$1&amp;".xls]"&amp;$B501&amp;"'!$O$25")="済み",INDIRECT("'["&amp;$C$1&amp;".xls]"&amp;$B501&amp;"'!$P$25"),""))</f>
        <v>#REF!</v>
      </c>
      <c r="AB501" s="48" t="e">
        <f ca="1">IF(INDIRECT("'["&amp;$C$1&amp;".xls]"&amp;$B501&amp;"'!$P$26")="","",IF(INDIRECT("'["&amp;$C$1&amp;".xls]"&amp;$B501&amp;"'!$O$26")="済み",INDIRECT("'["&amp;$C$1&amp;".xls]"&amp;$B501&amp;"'!$P$26"),""))</f>
        <v>#REF!</v>
      </c>
      <c r="AC501" s="48" t="e">
        <f ca="1">IF(INDIRECT("'["&amp;$C$1&amp;".xls]"&amp;$B501&amp;"'!$P$27")="","",IF(INDIRECT("'["&amp;$C$1&amp;".xls]"&amp;$B501&amp;"'!$O$27")="済み",INDIRECT("'["&amp;$C$1&amp;".xls]"&amp;$B501&amp;"'!$P$27"),""))</f>
        <v>#REF!</v>
      </c>
      <c r="AD501" s="48" t="e">
        <f ca="1">IF(INDIRECT("'["&amp;$C$1&amp;".xls]"&amp;$B501&amp;"'!$P$28")="","",IF(INDIRECT("'["&amp;$C$1&amp;".xls]"&amp;$B501&amp;"'!$O$28")="済み",INDIRECT("'["&amp;$C$1&amp;".xls]"&amp;$B501&amp;"'!$P$28"),""))</f>
        <v>#REF!</v>
      </c>
      <c r="AE501" s="48" t="e">
        <f ca="1">IF(INDIRECT("'["&amp;$C$1&amp;".xls]"&amp;$B501&amp;"'!$P$29")="","",IF(INDIRECT("'["&amp;$C$1&amp;".xls]"&amp;$B501&amp;"'!$O$29")="済み",INDIRECT("'["&amp;$C$1&amp;".xls]"&amp;$B501&amp;"'!$P$29"),""))</f>
        <v>#REF!</v>
      </c>
      <c r="AF501" s="48" t="e">
        <f ca="1">IF(INDIRECT("'["&amp;$C$1&amp;".xls]"&amp;$B501&amp;"'!$P$30")="","",IF(INDIRECT("'["&amp;$C$1&amp;".xls]"&amp;$B501&amp;"'!$O$30")="済み",INDIRECT("'["&amp;$C$1&amp;".xls]"&amp;$B501&amp;"'!$P$30"),""))</f>
        <v>#REF!</v>
      </c>
      <c r="AG501" s="48" t="e">
        <f ca="1">IF(INDIRECT("'["&amp;$C$1&amp;".xls]"&amp;$B501&amp;"'!$P$31")="","",IF(INDIRECT("'["&amp;$C$1&amp;".xls]"&amp;$B501&amp;"'!$O$31")="済み",INDIRECT("'["&amp;$C$1&amp;".xls]"&amp;$B501&amp;"'!$P$31"),""))</f>
        <v>#REF!</v>
      </c>
      <c r="AH501" s="48" t="e">
        <f ca="1">IF(INDIRECT("'["&amp;$C$1&amp;".xls]"&amp;$B501&amp;"'!$P$32")="","",IF(INDIRECT("'["&amp;$C$1&amp;".xls]"&amp;$B501&amp;"'!$O$32")="済み",INDIRECT("'["&amp;$C$1&amp;".xls]"&amp;$B501&amp;"'!$P$32"),""))</f>
        <v>#REF!</v>
      </c>
      <c r="AI501" s="48" t="e">
        <f ca="1">IF(INDIRECT("'["&amp;$C$1&amp;".xls]"&amp;$B501&amp;"'!$P$33")="","",IF(INDIRECT("'["&amp;$C$1&amp;".xls]"&amp;$B501&amp;"'!$O$33")="済み",INDIRECT("'["&amp;$C$1&amp;".xls]"&amp;$B501&amp;"'!$P$33"),""))</f>
        <v>#REF!</v>
      </c>
      <c r="AJ501" s="48" t="e">
        <f ca="1">IF(INDIRECT("'["&amp;$C$1&amp;".xls]"&amp;$B501&amp;"'!$P$34")="","",IF(INDIRECT("'["&amp;$C$1&amp;".xls]"&amp;$B501&amp;"'!$O$34")="済み",INDIRECT("'["&amp;$C$1&amp;".xls]"&amp;$B501&amp;"'!$P$34"),""))</f>
        <v>#REF!</v>
      </c>
      <c r="AK501" s="48" t="e">
        <f ca="1">IF(INDIRECT("'["&amp;$C$1&amp;".xls]"&amp;$B501&amp;"'!$T25")="","",IF(INDIRECT("'["&amp;$C$1&amp;".xls]"&amp;$B501&amp;"'!$O$25")="済み",INDIRECT("'["&amp;$C$1&amp;".xls]"&amp;$B501&amp;"'!$T$25"),""))</f>
        <v>#REF!</v>
      </c>
      <c r="AL501" s="48" t="e">
        <f ca="1">IF(INDIRECT("'["&amp;$C$1&amp;".xls]"&amp;$B501&amp;"'!$T26")="","",IF(INDIRECT("'["&amp;$C$1&amp;".xls]"&amp;$B501&amp;"'!$O$26")="済み",INDIRECT("'["&amp;$C$1&amp;".xls]"&amp;$B501&amp;"'!$T$26"),""))</f>
        <v>#REF!</v>
      </c>
      <c r="AM501" s="48" t="e">
        <f ca="1">IF(INDIRECT("'["&amp;$C$1&amp;".xls]"&amp;$B501&amp;"'!$T27")="","",IF(INDIRECT("'["&amp;$C$1&amp;".xls]"&amp;$B501&amp;"'!$O$27")="済み",INDIRECT("'["&amp;$C$1&amp;".xls]"&amp;$B501&amp;"'!$T$27"),""))</f>
        <v>#REF!</v>
      </c>
      <c r="AN501" s="48" t="e">
        <f ca="1">IF(INDIRECT("'["&amp;$C$1&amp;".xls]"&amp;$B501&amp;"'!$T28")="","",IF(INDIRECT("'["&amp;$C$1&amp;".xls]"&amp;$B501&amp;"'!$O$28")="済み",INDIRECT("'["&amp;$C$1&amp;".xls]"&amp;$B501&amp;"'!$T$28"),""))</f>
        <v>#REF!</v>
      </c>
      <c r="AO501" s="48" t="e">
        <f ca="1">IF(INDIRECT("'["&amp;$C$1&amp;".xls]"&amp;$B501&amp;"'!$T29")="","",IF(INDIRECT("'["&amp;$C$1&amp;".xls]"&amp;$B501&amp;"'!$O$29")="済み",INDIRECT("'["&amp;$C$1&amp;".xls]"&amp;$B501&amp;"'!$T$29"),""))</f>
        <v>#REF!</v>
      </c>
      <c r="AP501" s="48" t="e">
        <f ca="1">IF(INDIRECT("'["&amp;$C$1&amp;".xls]"&amp;$B501&amp;"'!$T30")="","",IF(INDIRECT("'["&amp;$C$1&amp;".xls]"&amp;$B501&amp;"'!$O$30")="済み",INDIRECT("'["&amp;$C$1&amp;".xls]"&amp;$B501&amp;"'!$T$30"),""))</f>
        <v>#REF!</v>
      </c>
      <c r="AQ501" s="48" t="e">
        <f ca="1">IF(INDIRECT("'["&amp;$C$1&amp;".xls]"&amp;$B501&amp;"'!$T31")="","",IF(INDIRECT("'["&amp;$C$1&amp;".xls]"&amp;$B501&amp;"'!$O$31")="済み",INDIRECT("'["&amp;$C$1&amp;".xls]"&amp;$B501&amp;"'!$T$31"),""))</f>
        <v>#REF!</v>
      </c>
      <c r="AR501" s="48" t="e">
        <f ca="1">IF(INDIRECT("'["&amp;$C$1&amp;".xls]"&amp;$B501&amp;"'!$T32")="","",IF(INDIRECT("'["&amp;$C$1&amp;".xls]"&amp;$B501&amp;"'!$O$32")="済み",INDIRECT("'["&amp;$C$1&amp;".xls]"&amp;$B501&amp;"'!$T$32"),""))</f>
        <v>#REF!</v>
      </c>
      <c r="AS501" s="48" t="e">
        <f ca="1">IF(INDIRECT("'["&amp;$C$1&amp;".xls]"&amp;$B501&amp;"'!$T33")="","",IF(INDIRECT("'["&amp;$C$1&amp;".xls]"&amp;$B501&amp;"'!$O$33")="済み",INDIRECT("'["&amp;$C$1&amp;".xls]"&amp;$B501&amp;"'!$T$33"),""))</f>
        <v>#REF!</v>
      </c>
      <c r="AT501" s="48" t="e">
        <f ca="1">IF(INDIRECT("'["&amp;$C$1&amp;".xls]"&amp;$B501&amp;"'!$T34")="","",IF(INDIRECT("'["&amp;$C$1&amp;".xls]"&amp;$B501&amp;"'!$O$34")="済み",INDIRECT("'["&amp;$C$1&amp;".xls]"&amp;$B501&amp;"'!$T$34"),""))</f>
        <v>#REF!</v>
      </c>
      <c r="AU501" s="93" t="e">
        <f ca="1">INDIRECT("'["&amp;$C$1&amp;".xls]"&amp;$B501&amp;"'!$B$6")</f>
        <v>#REF!</v>
      </c>
      <c r="AV501" s="93"/>
      <c r="AW501" s="93"/>
      <c r="AX501" s="93"/>
      <c r="AY501" s="93"/>
    </row>
    <row r="502" spans="1:52" ht="16.5" customHeight="1" x14ac:dyDescent="0.15">
      <c r="A502" s="199" t="s">
        <v>5240</v>
      </c>
      <c r="B502" s="209" t="s">
        <v>5241</v>
      </c>
      <c r="C502" s="48" t="s">
        <v>298</v>
      </c>
      <c r="D502" s="62" t="s">
        <v>5242</v>
      </c>
      <c r="E502" s="48" t="s">
        <v>300</v>
      </c>
      <c r="F502" s="61">
        <v>42566</v>
      </c>
      <c r="G502" s="61">
        <v>42566</v>
      </c>
      <c r="H502" s="125">
        <v>42684</v>
      </c>
      <c r="I502" s="61">
        <v>40431</v>
      </c>
      <c r="J502" s="87"/>
      <c r="K502" s="62" t="s">
        <v>2506</v>
      </c>
      <c r="L502" s="62">
        <v>3</v>
      </c>
      <c r="M502" s="62" t="s">
        <v>409</v>
      </c>
      <c r="N502" s="62" t="s">
        <v>5243</v>
      </c>
      <c r="O502" s="48" t="s">
        <v>606</v>
      </c>
      <c r="P502" s="48" t="s">
        <v>5244</v>
      </c>
      <c r="Q502" s="48" t="s">
        <v>1017</v>
      </c>
      <c r="R502" s="48" t="s">
        <v>5245</v>
      </c>
      <c r="S502" s="48" t="s">
        <v>5246</v>
      </c>
      <c r="T502" s="48" t="s">
        <v>5247</v>
      </c>
      <c r="U502" s="48" t="s">
        <v>5248</v>
      </c>
      <c r="V502" s="48" t="s">
        <v>5249</v>
      </c>
      <c r="W502" s="48" t="s">
        <v>5250</v>
      </c>
      <c r="X502" s="48" t="s">
        <v>5095</v>
      </c>
      <c r="Y502" s="48" t="s">
        <v>5251</v>
      </c>
      <c r="Z502" s="61"/>
      <c r="AA502" s="48" t="s">
        <v>548</v>
      </c>
      <c r="AB502" s="48" t="s">
        <v>547</v>
      </c>
      <c r="AC502" s="48" t="s">
        <v>978</v>
      </c>
      <c r="AD502" s="48" t="s">
        <v>273</v>
      </c>
      <c r="AE502" s="48" t="s">
        <v>273</v>
      </c>
      <c r="AF502" s="48" t="s">
        <v>273</v>
      </c>
      <c r="AG502" s="48" t="s">
        <v>273</v>
      </c>
      <c r="AH502" s="48" t="s">
        <v>273</v>
      </c>
      <c r="AI502" s="48" t="s">
        <v>273</v>
      </c>
      <c r="AJ502" s="48" t="s">
        <v>273</v>
      </c>
      <c r="AK502" s="48" t="s">
        <v>5252</v>
      </c>
      <c r="AL502" s="48" t="s">
        <v>4687</v>
      </c>
      <c r="AM502" s="48" t="s">
        <v>600</v>
      </c>
      <c r="AN502" s="48" t="s">
        <v>273</v>
      </c>
      <c r="AO502" s="48" t="s">
        <v>273</v>
      </c>
      <c r="AP502" s="48" t="s">
        <v>273</v>
      </c>
      <c r="AQ502" s="48" t="s">
        <v>273</v>
      </c>
      <c r="AR502" s="48" t="s">
        <v>273</v>
      </c>
      <c r="AS502" s="48" t="s">
        <v>273</v>
      </c>
      <c r="AT502" s="48" t="s">
        <v>273</v>
      </c>
      <c r="AU502" s="93">
        <v>40360</v>
      </c>
      <c r="AV502" s="93"/>
      <c r="AW502" s="93"/>
      <c r="AX502" s="93"/>
      <c r="AY502" s="93"/>
    </row>
    <row r="503" spans="1:52" ht="16.5" customHeight="1" x14ac:dyDescent="0.15">
      <c r="A503" s="121" t="s">
        <v>5253</v>
      </c>
      <c r="B503" s="47" t="s">
        <v>5254</v>
      </c>
      <c r="C503" s="48" t="e">
        <f ca="1">INDIRECT("'["&amp;$C$1&amp;".xls]"&amp;$B503&amp;"'!$i$7")</f>
        <v>#REF!</v>
      </c>
      <c r="D503" s="62" t="e">
        <f ca="1">INDIRECT("'["&amp;$C$1&amp;".xls]"&amp;$B503&amp;"'!$b$7")</f>
        <v>#REF!</v>
      </c>
      <c r="E503" s="48" t="e">
        <f ca="1">IF(INDIRECT("'["&amp;$C$1&amp;".xls]"&amp;$B503&amp;"'!$i$2")="","",INDIRECT("'["&amp;$C$1&amp;".xls]"&amp;$B503&amp;"'!$i$2"))</f>
        <v>#REF!</v>
      </c>
      <c r="F503" s="61" t="e">
        <f ca="1">INDIRECT("'["&amp;$C$1&amp;".xls]"&amp;$B503&amp;"'!$b$2")</f>
        <v>#REF!</v>
      </c>
      <c r="G503" s="61" t="e">
        <f ca="1">INDIRECT("'["&amp;$C$1&amp;".xls]"&amp;$B503&amp;"'!$a$20")</f>
        <v>#REF!</v>
      </c>
      <c r="H503" s="88" t="e">
        <f ca="1">INDIRECT("'["&amp;$C$1&amp;".xls]"&amp;$B503&amp;"'!$Q$22")</f>
        <v>#REF!</v>
      </c>
      <c r="I503" s="61" t="e">
        <f ca="1">INDIRECT("'["&amp;$C$1&amp;".xls]"&amp;$B503&amp;"'!$f$6")</f>
        <v>#REF!</v>
      </c>
      <c r="J503" s="87"/>
      <c r="K503" s="62" t="e">
        <f ca="1">INDIRECT("'["&amp;$C$1&amp;".xls]"&amp;$B503&amp;"'!$f$25")</f>
        <v>#REF!</v>
      </c>
      <c r="L503" s="62"/>
      <c r="M503" s="62" t="e">
        <f ca="1">INDIRECT("'["&amp;$C$1&amp;".xls]"&amp;$B503&amp;"'!$f$4")</f>
        <v>#REF!</v>
      </c>
      <c r="N503" s="62" t="e">
        <f ca="1">INDIRECT("'["&amp;$C$1&amp;".xls]"&amp;$B503&amp;"'!$i$4")</f>
        <v>#REF!</v>
      </c>
      <c r="O503" s="48" t="e">
        <f ca="1">INDIRECT("'["&amp;$C$1&amp;".xls]"&amp;$B503&amp;"'!$l$4")</f>
        <v>#REF!</v>
      </c>
      <c r="P503" s="48" t="e">
        <f ca="1">INDIRECT("'["&amp;$C$1&amp;".xls]"&amp;$B503&amp;"'!$b$5")</f>
        <v>#REF!</v>
      </c>
      <c r="Q503" s="48" t="e">
        <f ca="1">INDIRECT("'["&amp;$C$1&amp;".xls]"&amp;$B503&amp;"'!$f$5")</f>
        <v>#REF!</v>
      </c>
      <c r="R503" s="48"/>
      <c r="S503" s="48" t="e">
        <f ca="1">INDIRECT("'["&amp;$C$1&amp;".xls]"&amp;$B503&amp;"'!$i$5")</f>
        <v>#REF!</v>
      </c>
      <c r="T503" s="48" t="e">
        <f ca="1">INDIRECT("'["&amp;$C$1&amp;".xls]"&amp;$B503&amp;"'!$l$5")</f>
        <v>#REF!</v>
      </c>
      <c r="U503" s="48" t="e">
        <f ca="1">INDIRECT("'["&amp;$C$1&amp;".xls]"&amp;$B503&amp;"'!$b$4")</f>
        <v>#REF!</v>
      </c>
      <c r="V503" s="48"/>
      <c r="W503" s="48"/>
      <c r="X503" s="48"/>
      <c r="Y503" s="48"/>
      <c r="Z503" s="61"/>
      <c r="AA503" s="48" t="e">
        <f ca="1">IF(INDIRECT("'["&amp;$C$1&amp;".xls]"&amp;$B503&amp;"'!$P$25")="","",IF(INDIRECT("'["&amp;$C$1&amp;".xls]"&amp;$B503&amp;"'!$O$25")="済み",INDIRECT("'["&amp;$C$1&amp;".xls]"&amp;$B503&amp;"'!$P$25"),""))</f>
        <v>#REF!</v>
      </c>
      <c r="AB503" s="48" t="e">
        <f ca="1">IF(INDIRECT("'["&amp;$C$1&amp;".xls]"&amp;$B503&amp;"'!$P$26")="","",IF(INDIRECT("'["&amp;$C$1&amp;".xls]"&amp;$B503&amp;"'!$O$26")="済み",INDIRECT("'["&amp;$C$1&amp;".xls]"&amp;$B503&amp;"'!$P$26"),""))</f>
        <v>#REF!</v>
      </c>
      <c r="AC503" s="48" t="e">
        <f ca="1">IF(INDIRECT("'["&amp;$C$1&amp;".xls]"&amp;$B503&amp;"'!$P$27")="","",IF(INDIRECT("'["&amp;$C$1&amp;".xls]"&amp;$B503&amp;"'!$O$27")="済み",INDIRECT("'["&amp;$C$1&amp;".xls]"&amp;$B503&amp;"'!$P$27"),""))</f>
        <v>#REF!</v>
      </c>
      <c r="AD503" s="48" t="e">
        <f ca="1">IF(INDIRECT("'["&amp;$C$1&amp;".xls]"&amp;$B503&amp;"'!$P$28")="","",IF(INDIRECT("'["&amp;$C$1&amp;".xls]"&amp;$B503&amp;"'!$O$28")="済み",INDIRECT("'["&amp;$C$1&amp;".xls]"&amp;$B503&amp;"'!$P$28"),""))</f>
        <v>#REF!</v>
      </c>
      <c r="AE503" s="48" t="e">
        <f ca="1">IF(INDIRECT("'["&amp;$C$1&amp;".xls]"&amp;$B503&amp;"'!$P$29")="","",IF(INDIRECT("'["&amp;$C$1&amp;".xls]"&amp;$B503&amp;"'!$O$29")="済み",INDIRECT("'["&amp;$C$1&amp;".xls]"&amp;$B503&amp;"'!$P$29"),""))</f>
        <v>#REF!</v>
      </c>
      <c r="AF503" s="48" t="e">
        <f ca="1">IF(INDIRECT("'["&amp;$C$1&amp;".xls]"&amp;$B503&amp;"'!$P$30")="","",IF(INDIRECT("'["&amp;$C$1&amp;".xls]"&amp;$B503&amp;"'!$O$30")="済み",INDIRECT("'["&amp;$C$1&amp;".xls]"&amp;$B503&amp;"'!$P$30"),""))</f>
        <v>#REF!</v>
      </c>
      <c r="AG503" s="48" t="e">
        <f ca="1">IF(INDIRECT("'["&amp;$C$1&amp;".xls]"&amp;$B503&amp;"'!$P$31")="","",IF(INDIRECT("'["&amp;$C$1&amp;".xls]"&amp;$B503&amp;"'!$O$31")="済み",INDIRECT("'["&amp;$C$1&amp;".xls]"&amp;$B503&amp;"'!$P$31"),""))</f>
        <v>#REF!</v>
      </c>
      <c r="AH503" s="48" t="e">
        <f ca="1">IF(INDIRECT("'["&amp;$C$1&amp;".xls]"&amp;$B503&amp;"'!$P$32")="","",IF(INDIRECT("'["&amp;$C$1&amp;".xls]"&amp;$B503&amp;"'!$O$32")="済み",INDIRECT("'["&amp;$C$1&amp;".xls]"&amp;$B503&amp;"'!$P$32"),""))</f>
        <v>#REF!</v>
      </c>
      <c r="AI503" s="48" t="e">
        <f ca="1">IF(INDIRECT("'["&amp;$C$1&amp;".xls]"&amp;$B503&amp;"'!$P$33")="","",IF(INDIRECT("'["&amp;$C$1&amp;".xls]"&amp;$B503&amp;"'!$O$33")="済み",INDIRECT("'["&amp;$C$1&amp;".xls]"&amp;$B503&amp;"'!$P$33"),""))</f>
        <v>#REF!</v>
      </c>
      <c r="AJ503" s="48" t="e">
        <f ca="1">IF(INDIRECT("'["&amp;$C$1&amp;".xls]"&amp;$B503&amp;"'!$P$34")="","",IF(INDIRECT("'["&amp;$C$1&amp;".xls]"&amp;$B503&amp;"'!$O$34")="済み",INDIRECT("'["&amp;$C$1&amp;".xls]"&amp;$B503&amp;"'!$P$34"),""))</f>
        <v>#REF!</v>
      </c>
      <c r="AK503" s="48" t="e">
        <f ca="1">IF(INDIRECT("'["&amp;$C$1&amp;".xls]"&amp;$B503&amp;"'!$T25")="","",IF(INDIRECT("'["&amp;$C$1&amp;".xls]"&amp;$B503&amp;"'!$O$25")="済み",INDIRECT("'["&amp;$C$1&amp;".xls]"&amp;$B503&amp;"'!$T$25"),""))</f>
        <v>#REF!</v>
      </c>
      <c r="AL503" s="48" t="e">
        <f ca="1">IF(INDIRECT("'["&amp;$C$1&amp;".xls]"&amp;$B503&amp;"'!$T26")="","",IF(INDIRECT("'["&amp;$C$1&amp;".xls]"&amp;$B503&amp;"'!$O$26")="済み",INDIRECT("'["&amp;$C$1&amp;".xls]"&amp;$B503&amp;"'!$T$26"),""))</f>
        <v>#REF!</v>
      </c>
      <c r="AM503" s="48" t="e">
        <f ca="1">IF(INDIRECT("'["&amp;$C$1&amp;".xls]"&amp;$B503&amp;"'!$T27")="","",IF(INDIRECT("'["&amp;$C$1&amp;".xls]"&amp;$B503&amp;"'!$O$27")="済み",INDIRECT("'["&amp;$C$1&amp;".xls]"&amp;$B503&amp;"'!$T$27"),""))</f>
        <v>#REF!</v>
      </c>
      <c r="AN503" s="48" t="e">
        <f ca="1">IF(INDIRECT("'["&amp;$C$1&amp;".xls]"&amp;$B503&amp;"'!$T28")="","",IF(INDIRECT("'["&amp;$C$1&amp;".xls]"&amp;$B503&amp;"'!$O$28")="済み",INDIRECT("'["&amp;$C$1&amp;".xls]"&amp;$B503&amp;"'!$T$28"),""))</f>
        <v>#REF!</v>
      </c>
      <c r="AO503" s="48" t="e">
        <f ca="1">IF(INDIRECT("'["&amp;$C$1&amp;".xls]"&amp;$B503&amp;"'!$T29")="","",IF(INDIRECT("'["&amp;$C$1&amp;".xls]"&amp;$B503&amp;"'!$O$29")="済み",INDIRECT("'["&amp;$C$1&amp;".xls]"&amp;$B503&amp;"'!$T$29"),""))</f>
        <v>#REF!</v>
      </c>
      <c r="AP503" s="48" t="e">
        <f ca="1">IF(INDIRECT("'["&amp;$C$1&amp;".xls]"&amp;$B503&amp;"'!$T30")="","",IF(INDIRECT("'["&amp;$C$1&amp;".xls]"&amp;$B503&amp;"'!$O$30")="済み",INDIRECT("'["&amp;$C$1&amp;".xls]"&amp;$B503&amp;"'!$T$30"),""))</f>
        <v>#REF!</v>
      </c>
      <c r="AQ503" s="48" t="e">
        <f ca="1">IF(INDIRECT("'["&amp;$C$1&amp;".xls]"&amp;$B503&amp;"'!$T31")="","",IF(INDIRECT("'["&amp;$C$1&amp;".xls]"&amp;$B503&amp;"'!$O$31")="済み",INDIRECT("'["&amp;$C$1&amp;".xls]"&amp;$B503&amp;"'!$T$31"),""))</f>
        <v>#REF!</v>
      </c>
      <c r="AR503" s="48" t="e">
        <f ca="1">IF(INDIRECT("'["&amp;$C$1&amp;".xls]"&amp;$B503&amp;"'!$T32")="","",IF(INDIRECT("'["&amp;$C$1&amp;".xls]"&amp;$B503&amp;"'!$O$32")="済み",INDIRECT("'["&amp;$C$1&amp;".xls]"&amp;$B503&amp;"'!$T$32"),""))</f>
        <v>#REF!</v>
      </c>
      <c r="AS503" s="48" t="e">
        <f ca="1">IF(INDIRECT("'["&amp;$C$1&amp;".xls]"&amp;$B503&amp;"'!$T33")="","",IF(INDIRECT("'["&amp;$C$1&amp;".xls]"&amp;$B503&amp;"'!$O$33")="済み",INDIRECT("'["&amp;$C$1&amp;".xls]"&amp;$B503&amp;"'!$T$33"),""))</f>
        <v>#REF!</v>
      </c>
      <c r="AT503" s="48" t="e">
        <f ca="1">IF(INDIRECT("'["&amp;$C$1&amp;".xls]"&amp;$B503&amp;"'!$T34")="","",IF(INDIRECT("'["&amp;$C$1&amp;".xls]"&amp;$B503&amp;"'!$O$34")="済み",INDIRECT("'["&amp;$C$1&amp;".xls]"&amp;$B503&amp;"'!$T$34"),""))</f>
        <v>#REF!</v>
      </c>
      <c r="AU503" s="93" t="e">
        <f ca="1">INDIRECT("'["&amp;$C$1&amp;".xls]"&amp;$B503&amp;"'!$B$6")</f>
        <v>#REF!</v>
      </c>
      <c r="AV503" s="93"/>
      <c r="AW503" s="93"/>
      <c r="AX503" s="93"/>
      <c r="AY503" s="93"/>
    </row>
    <row r="504" spans="1:52" ht="16.5" customHeight="1" x14ac:dyDescent="0.15">
      <c r="A504" s="182" t="s">
        <v>5255</v>
      </c>
      <c r="B504" s="183" t="s">
        <v>5256</v>
      </c>
      <c r="C504" s="48" t="s">
        <v>5257</v>
      </c>
      <c r="D504" s="62" t="s">
        <v>5258</v>
      </c>
      <c r="E504" s="48" t="s">
        <v>264</v>
      </c>
      <c r="F504" s="61">
        <v>42570</v>
      </c>
      <c r="G504" s="61">
        <v>0</v>
      </c>
      <c r="H504" s="125">
        <v>42646</v>
      </c>
      <c r="I504" s="61">
        <v>42178</v>
      </c>
      <c r="J504" s="87"/>
      <c r="K504" s="62" t="s">
        <v>16</v>
      </c>
      <c r="L504" s="62">
        <v>3</v>
      </c>
      <c r="M504" s="62" t="s">
        <v>471</v>
      </c>
      <c r="N504" s="62" t="s">
        <v>5259</v>
      </c>
      <c r="O504" s="48" t="s">
        <v>486</v>
      </c>
      <c r="P504" s="48" t="s">
        <v>2473</v>
      </c>
      <c r="Q504" s="48" t="s">
        <v>1386</v>
      </c>
      <c r="R504" s="48" t="s">
        <v>1387</v>
      </c>
      <c r="S504" s="48" t="s">
        <v>1388</v>
      </c>
      <c r="T504" s="48" t="s">
        <v>1389</v>
      </c>
      <c r="U504" s="48" t="s">
        <v>5260</v>
      </c>
      <c r="V504" s="48" t="s">
        <v>5261</v>
      </c>
      <c r="W504" s="48" t="s">
        <v>1614</v>
      </c>
      <c r="X504" s="48" t="s">
        <v>901</v>
      </c>
      <c r="Y504" s="48" t="s">
        <v>3285</v>
      </c>
      <c r="Z504" s="61"/>
      <c r="AA504" s="48" t="s">
        <v>508</v>
      </c>
      <c r="AB504" s="48" t="s">
        <v>2372</v>
      </c>
      <c r="AC504" s="48" t="s">
        <v>273</v>
      </c>
      <c r="AD504" s="48" t="s">
        <v>273</v>
      </c>
      <c r="AE504" s="48" t="s">
        <v>273</v>
      </c>
      <c r="AF504" s="48" t="s">
        <v>273</v>
      </c>
      <c r="AG504" s="48" t="s">
        <v>273</v>
      </c>
      <c r="AH504" s="48" t="s">
        <v>273</v>
      </c>
      <c r="AI504" s="48" t="s">
        <v>273</v>
      </c>
      <c r="AJ504" s="48" t="s">
        <v>273</v>
      </c>
      <c r="AK504" s="48" t="s">
        <v>509</v>
      </c>
      <c r="AL504" s="48" t="s">
        <v>2375</v>
      </c>
      <c r="AM504" s="48" t="s">
        <v>273</v>
      </c>
      <c r="AN504" s="48" t="s">
        <v>273</v>
      </c>
      <c r="AO504" s="48" t="s">
        <v>273</v>
      </c>
      <c r="AP504" s="48" t="s">
        <v>273</v>
      </c>
      <c r="AQ504" s="48" t="s">
        <v>273</v>
      </c>
      <c r="AR504" s="48" t="s">
        <v>273</v>
      </c>
      <c r="AS504" s="48" t="s">
        <v>273</v>
      </c>
      <c r="AT504" s="48" t="s">
        <v>273</v>
      </c>
      <c r="AU504" s="93">
        <v>42064</v>
      </c>
      <c r="AV504" s="93" t="s">
        <v>5262</v>
      </c>
      <c r="AW504" s="93" t="s">
        <v>5263</v>
      </c>
      <c r="AX504" s="93" t="s">
        <v>5264</v>
      </c>
      <c r="AY504" s="93" t="s">
        <v>5265</v>
      </c>
    </row>
    <row r="505" spans="1:52" ht="16.5" customHeight="1" x14ac:dyDescent="0.15">
      <c r="A505" s="156" t="s">
        <v>5266</v>
      </c>
      <c r="B505" s="157" t="s">
        <v>5267</v>
      </c>
      <c r="C505" s="48" t="s">
        <v>5268</v>
      </c>
      <c r="D505" s="62" t="s">
        <v>263</v>
      </c>
      <c r="E505" s="48" t="s">
        <v>300</v>
      </c>
      <c r="F505" s="61">
        <v>42570</v>
      </c>
      <c r="G505" s="61">
        <v>0</v>
      </c>
      <c r="H505" s="125">
        <v>42622</v>
      </c>
      <c r="I505" s="61" t="s">
        <v>279</v>
      </c>
      <c r="J505" s="87"/>
      <c r="K505" s="124" t="s">
        <v>263</v>
      </c>
      <c r="L505" s="124" t="s">
        <v>263</v>
      </c>
      <c r="M505" s="62">
        <v>180</v>
      </c>
      <c r="N505" s="62" t="s">
        <v>5269</v>
      </c>
      <c r="O505" s="48" t="s">
        <v>1528</v>
      </c>
      <c r="P505" s="48" t="s">
        <v>267</v>
      </c>
      <c r="Q505" s="48" t="s">
        <v>5270</v>
      </c>
      <c r="R505" s="48"/>
      <c r="S505" s="48" t="s">
        <v>269</v>
      </c>
      <c r="T505" s="48" t="s">
        <v>270</v>
      </c>
      <c r="U505" s="48" t="s">
        <v>5271</v>
      </c>
      <c r="V505" s="48"/>
      <c r="W505" s="48"/>
      <c r="X505" s="48"/>
      <c r="Y505" s="48"/>
      <c r="Z505" s="61"/>
      <c r="AA505" s="48" t="s">
        <v>273</v>
      </c>
      <c r="AB505" s="48" t="s">
        <v>273</v>
      </c>
      <c r="AC505" s="48" t="s">
        <v>273</v>
      </c>
      <c r="AD505" s="48" t="s">
        <v>273</v>
      </c>
      <c r="AE505" s="48" t="s">
        <v>273</v>
      </c>
      <c r="AF505" s="48" t="s">
        <v>273</v>
      </c>
      <c r="AG505" s="48" t="s">
        <v>273</v>
      </c>
      <c r="AH505" s="48" t="s">
        <v>273</v>
      </c>
      <c r="AI505" s="48" t="s">
        <v>273</v>
      </c>
      <c r="AJ505" s="48" t="s">
        <v>273</v>
      </c>
      <c r="AK505" s="48" t="s">
        <v>273</v>
      </c>
      <c r="AL505" s="48" t="s">
        <v>273</v>
      </c>
      <c r="AM505" s="48" t="s">
        <v>273</v>
      </c>
      <c r="AN505" s="48" t="s">
        <v>273</v>
      </c>
      <c r="AO505" s="48" t="s">
        <v>273</v>
      </c>
      <c r="AP505" s="48" t="s">
        <v>273</v>
      </c>
      <c r="AQ505" s="48" t="s">
        <v>273</v>
      </c>
      <c r="AR505" s="48" t="s">
        <v>273</v>
      </c>
      <c r="AS505" s="48" t="s">
        <v>273</v>
      </c>
      <c r="AT505" s="48" t="s">
        <v>273</v>
      </c>
      <c r="AU505" s="93">
        <v>36586</v>
      </c>
      <c r="AV505" s="93" t="s">
        <v>5272</v>
      </c>
      <c r="AW505" s="93" t="s">
        <v>5273</v>
      </c>
      <c r="AX505" s="93" t="s">
        <v>5274</v>
      </c>
      <c r="AY505" s="93" t="s">
        <v>5275</v>
      </c>
      <c r="AZ505" s="49" t="s">
        <v>5276</v>
      </c>
    </row>
    <row r="506" spans="1:52" ht="16.5" customHeight="1" x14ac:dyDescent="0.15">
      <c r="A506" s="151" t="s">
        <v>5277</v>
      </c>
      <c r="B506" s="152" t="s">
        <v>5278</v>
      </c>
      <c r="C506" s="48" t="s">
        <v>330</v>
      </c>
      <c r="D506" s="62" t="s">
        <v>263</v>
      </c>
      <c r="E506" s="48" t="s">
        <v>300</v>
      </c>
      <c r="F506" s="61">
        <v>42570</v>
      </c>
      <c r="G506" s="61">
        <v>0</v>
      </c>
      <c r="H506" s="125">
        <v>42578</v>
      </c>
      <c r="I506" s="61">
        <v>39477</v>
      </c>
      <c r="J506" s="87"/>
      <c r="K506" s="124" t="s">
        <v>263</v>
      </c>
      <c r="L506" s="124" t="s">
        <v>263</v>
      </c>
      <c r="M506" s="62" t="s">
        <v>394</v>
      </c>
      <c r="N506" s="62" t="s">
        <v>5279</v>
      </c>
      <c r="O506" s="48" t="s">
        <v>396</v>
      </c>
      <c r="P506" s="48" t="s">
        <v>734</v>
      </c>
      <c r="Q506" s="48" t="s">
        <v>971</v>
      </c>
      <c r="R506" s="48" t="s">
        <v>399</v>
      </c>
      <c r="S506" s="48" t="s">
        <v>400</v>
      </c>
      <c r="T506" s="48" t="s">
        <v>401</v>
      </c>
      <c r="U506" s="48" t="s">
        <v>2097</v>
      </c>
      <c r="V506" s="122" t="s">
        <v>263</v>
      </c>
      <c r="W506" s="122" t="s">
        <v>263</v>
      </c>
      <c r="X506" s="48" t="s">
        <v>2098</v>
      </c>
      <c r="Y506" s="48" t="s">
        <v>2099</v>
      </c>
      <c r="Z506" s="61"/>
      <c r="AA506" s="48" t="s">
        <v>273</v>
      </c>
      <c r="AB506" s="48" t="s">
        <v>273</v>
      </c>
      <c r="AC506" s="48" t="s">
        <v>273</v>
      </c>
      <c r="AD506" s="48" t="s">
        <v>273</v>
      </c>
      <c r="AE506" s="48" t="s">
        <v>273</v>
      </c>
      <c r="AF506" s="48" t="s">
        <v>273</v>
      </c>
      <c r="AG506" s="48" t="s">
        <v>273</v>
      </c>
      <c r="AH506" s="48" t="s">
        <v>273</v>
      </c>
      <c r="AI506" s="48" t="s">
        <v>273</v>
      </c>
      <c r="AJ506" s="48" t="s">
        <v>273</v>
      </c>
      <c r="AK506" s="48" t="s">
        <v>273</v>
      </c>
      <c r="AL506" s="48" t="s">
        <v>273</v>
      </c>
      <c r="AM506" s="48" t="s">
        <v>273</v>
      </c>
      <c r="AN506" s="48" t="s">
        <v>273</v>
      </c>
      <c r="AO506" s="48" t="s">
        <v>273</v>
      </c>
      <c r="AP506" s="48" t="s">
        <v>273</v>
      </c>
      <c r="AQ506" s="48" t="s">
        <v>273</v>
      </c>
      <c r="AR506" s="48" t="s">
        <v>273</v>
      </c>
      <c r="AS506" s="48" t="s">
        <v>273</v>
      </c>
      <c r="AT506" s="48" t="s">
        <v>273</v>
      </c>
      <c r="AU506" s="93">
        <v>39114</v>
      </c>
      <c r="AV506" s="93"/>
      <c r="AW506" s="93"/>
      <c r="AX506" s="93"/>
      <c r="AY506" s="93"/>
      <c r="AZ506" s="49" t="s">
        <v>5213</v>
      </c>
    </row>
    <row r="507" spans="1:52" ht="16.5" customHeight="1" x14ac:dyDescent="0.15">
      <c r="A507" s="199" t="s">
        <v>5280</v>
      </c>
      <c r="B507" s="209" t="s">
        <v>5281</v>
      </c>
      <c r="C507" s="48" t="s">
        <v>330</v>
      </c>
      <c r="D507" s="62" t="s">
        <v>5282</v>
      </c>
      <c r="E507" s="48" t="s">
        <v>300</v>
      </c>
      <c r="F507" s="61">
        <v>42570</v>
      </c>
      <c r="G507" s="61">
        <v>0</v>
      </c>
      <c r="H507" s="125">
        <v>42688</v>
      </c>
      <c r="I507" s="61" t="s">
        <v>279</v>
      </c>
      <c r="J507" s="87"/>
      <c r="K507" s="124" t="s">
        <v>4232</v>
      </c>
      <c r="L507" s="124" t="s">
        <v>4232</v>
      </c>
      <c r="M507" s="62">
        <v>180</v>
      </c>
      <c r="N507" s="62" t="s">
        <v>5283</v>
      </c>
      <c r="O507" s="48" t="s">
        <v>1528</v>
      </c>
      <c r="P507" s="48" t="s">
        <v>5284</v>
      </c>
      <c r="Q507" s="48" t="s">
        <v>5285</v>
      </c>
      <c r="R507" s="48" t="s">
        <v>5286</v>
      </c>
      <c r="S507" s="48" t="s">
        <v>5287</v>
      </c>
      <c r="T507" s="48" t="s">
        <v>5288</v>
      </c>
      <c r="U507" s="48" t="s">
        <v>5289</v>
      </c>
      <c r="V507" s="122" t="s">
        <v>4232</v>
      </c>
      <c r="W507" s="122" t="s">
        <v>4232</v>
      </c>
      <c r="X507" s="48" t="s">
        <v>5290</v>
      </c>
      <c r="Y507" s="48" t="s">
        <v>5291</v>
      </c>
      <c r="Z507" s="61"/>
      <c r="AA507" s="48" t="s">
        <v>273</v>
      </c>
      <c r="AB507" s="48" t="s">
        <v>273</v>
      </c>
      <c r="AC507" s="48" t="s">
        <v>273</v>
      </c>
      <c r="AD507" s="48" t="s">
        <v>273</v>
      </c>
      <c r="AE507" s="48" t="s">
        <v>273</v>
      </c>
      <c r="AF507" s="48" t="s">
        <v>273</v>
      </c>
      <c r="AG507" s="48" t="s">
        <v>273</v>
      </c>
      <c r="AH507" s="48" t="s">
        <v>273</v>
      </c>
      <c r="AI507" s="48" t="s">
        <v>273</v>
      </c>
      <c r="AJ507" s="48" t="s">
        <v>273</v>
      </c>
      <c r="AK507" s="48" t="s">
        <v>273</v>
      </c>
      <c r="AL507" s="48" t="s">
        <v>273</v>
      </c>
      <c r="AM507" s="48" t="s">
        <v>273</v>
      </c>
      <c r="AN507" s="48" t="s">
        <v>273</v>
      </c>
      <c r="AO507" s="48" t="s">
        <v>273</v>
      </c>
      <c r="AP507" s="48" t="s">
        <v>273</v>
      </c>
      <c r="AQ507" s="48" t="s">
        <v>273</v>
      </c>
      <c r="AR507" s="48" t="s">
        <v>273</v>
      </c>
      <c r="AS507" s="48" t="s">
        <v>273</v>
      </c>
      <c r="AT507" s="48" t="s">
        <v>273</v>
      </c>
      <c r="AU507" s="93">
        <v>36586</v>
      </c>
      <c r="AV507" s="93" t="s">
        <v>5292</v>
      </c>
      <c r="AW507" s="93" t="s">
        <v>5293</v>
      </c>
      <c r="AX507" s="93" t="s">
        <v>273</v>
      </c>
      <c r="AY507" s="93" t="s">
        <v>5294</v>
      </c>
      <c r="AZ507" s="49" t="s">
        <v>5295</v>
      </c>
    </row>
    <row r="508" spans="1:52" ht="16.5" customHeight="1" x14ac:dyDescent="0.15">
      <c r="A508" s="153" t="s">
        <v>5296</v>
      </c>
      <c r="B508" s="154" t="s">
        <v>5297</v>
      </c>
      <c r="C508" s="48" t="s">
        <v>5298</v>
      </c>
      <c r="D508" s="62" t="s">
        <v>5299</v>
      </c>
      <c r="E508" s="48" t="s">
        <v>300</v>
      </c>
      <c r="F508" s="61">
        <v>42570</v>
      </c>
      <c r="G508" s="61">
        <v>0</v>
      </c>
      <c r="H508" s="125">
        <v>42594</v>
      </c>
      <c r="I508" s="61" t="s">
        <v>279</v>
      </c>
      <c r="J508" s="87"/>
      <c r="K508" s="62" t="s">
        <v>16</v>
      </c>
      <c r="L508" s="62">
        <v>3</v>
      </c>
      <c r="M508" s="62" t="s">
        <v>924</v>
      </c>
      <c r="N508" s="62" t="s">
        <v>5300</v>
      </c>
      <c r="O508" s="48" t="s">
        <v>926</v>
      </c>
      <c r="P508" s="130" t="s">
        <v>5301</v>
      </c>
      <c r="Q508" s="130" t="s">
        <v>5302</v>
      </c>
      <c r="R508" s="48" t="s">
        <v>5303</v>
      </c>
      <c r="S508" s="48" t="s">
        <v>1019</v>
      </c>
      <c r="T508" s="48" t="s">
        <v>1020</v>
      </c>
      <c r="U508" s="48" t="s">
        <v>5304</v>
      </c>
      <c r="V508" s="48" t="s">
        <v>5305</v>
      </c>
      <c r="W508" s="48" t="s">
        <v>5306</v>
      </c>
      <c r="X508" s="48" t="s">
        <v>5307</v>
      </c>
      <c r="Y508" s="48" t="s">
        <v>5308</v>
      </c>
      <c r="Z508" s="61"/>
      <c r="AA508" s="48" t="s">
        <v>849</v>
      </c>
      <c r="AB508" s="48" t="s">
        <v>645</v>
      </c>
      <c r="AC508" s="48" t="s">
        <v>389</v>
      </c>
      <c r="AD508" s="48" t="s">
        <v>581</v>
      </c>
      <c r="AE508" s="48" t="s">
        <v>273</v>
      </c>
      <c r="AF508" s="48" t="s">
        <v>273</v>
      </c>
      <c r="AG508" s="48" t="s">
        <v>273</v>
      </c>
      <c r="AH508" s="48" t="s">
        <v>273</v>
      </c>
      <c r="AI508" s="48" t="s">
        <v>273</v>
      </c>
      <c r="AJ508" s="48" t="s">
        <v>273</v>
      </c>
      <c r="AK508" s="48" t="s">
        <v>850</v>
      </c>
      <c r="AL508" s="48" t="s">
        <v>646</v>
      </c>
      <c r="AM508" s="48" t="s">
        <v>391</v>
      </c>
      <c r="AN508" s="48" t="s">
        <v>582</v>
      </c>
      <c r="AO508" s="48" t="s">
        <v>273</v>
      </c>
      <c r="AP508" s="48" t="s">
        <v>273</v>
      </c>
      <c r="AQ508" s="48" t="s">
        <v>273</v>
      </c>
      <c r="AR508" s="48" t="s">
        <v>273</v>
      </c>
      <c r="AS508" s="48" t="s">
        <v>273</v>
      </c>
      <c r="AT508" s="48" t="s">
        <v>273</v>
      </c>
      <c r="AU508" s="93">
        <v>37196</v>
      </c>
      <c r="AV508" s="93" t="s">
        <v>5309</v>
      </c>
      <c r="AW508" s="93" t="s">
        <v>5310</v>
      </c>
      <c r="AX508" s="93" t="s">
        <v>5311</v>
      </c>
      <c r="AY508" s="93" t="s">
        <v>5312</v>
      </c>
    </row>
    <row r="509" spans="1:52" ht="16.5" customHeight="1" x14ac:dyDescent="0.15">
      <c r="A509" s="182" t="s">
        <v>5313</v>
      </c>
      <c r="B509" s="183" t="s">
        <v>5314</v>
      </c>
      <c r="C509" s="48" t="s">
        <v>330</v>
      </c>
      <c r="D509" s="62" t="s">
        <v>5315</v>
      </c>
      <c r="E509" s="48" t="s">
        <v>300</v>
      </c>
      <c r="F509" s="61">
        <v>42571</v>
      </c>
      <c r="G509" s="61">
        <v>0</v>
      </c>
      <c r="H509" s="125">
        <v>42668</v>
      </c>
      <c r="I509" s="61">
        <v>38754</v>
      </c>
      <c r="J509" s="87"/>
      <c r="K509" s="124" t="s">
        <v>4232</v>
      </c>
      <c r="L509" s="124" t="s">
        <v>4232</v>
      </c>
      <c r="M509" s="62" t="s">
        <v>755</v>
      </c>
      <c r="N509" s="62" t="s">
        <v>5316</v>
      </c>
      <c r="O509" s="48" t="s">
        <v>1906</v>
      </c>
      <c r="P509" s="48" t="s">
        <v>5317</v>
      </c>
      <c r="Q509" s="48" t="s">
        <v>2724</v>
      </c>
      <c r="R509" s="48" t="s">
        <v>4969</v>
      </c>
      <c r="S509" s="48" t="s">
        <v>2726</v>
      </c>
      <c r="T509" s="48" t="s">
        <v>2727</v>
      </c>
      <c r="U509" s="48" t="s">
        <v>5318</v>
      </c>
      <c r="V509" s="122" t="s">
        <v>263</v>
      </c>
      <c r="W509" s="122" t="s">
        <v>263</v>
      </c>
      <c r="X509" s="48" t="s">
        <v>5319</v>
      </c>
      <c r="Y509" s="48" t="s">
        <v>5320</v>
      </c>
      <c r="Z509" s="61"/>
      <c r="AA509" s="48" t="s">
        <v>273</v>
      </c>
      <c r="AB509" s="48" t="s">
        <v>273</v>
      </c>
      <c r="AC509" s="48" t="s">
        <v>273</v>
      </c>
      <c r="AD509" s="48" t="s">
        <v>273</v>
      </c>
      <c r="AE509" s="48" t="s">
        <v>273</v>
      </c>
      <c r="AF509" s="48" t="s">
        <v>273</v>
      </c>
      <c r="AG509" s="48" t="s">
        <v>273</v>
      </c>
      <c r="AH509" s="48" t="s">
        <v>273</v>
      </c>
      <c r="AI509" s="48" t="s">
        <v>273</v>
      </c>
      <c r="AJ509" s="48" t="s">
        <v>273</v>
      </c>
      <c r="AK509" s="48" t="s">
        <v>273</v>
      </c>
      <c r="AL509" s="48" t="s">
        <v>273</v>
      </c>
      <c r="AM509" s="48" t="s">
        <v>273</v>
      </c>
      <c r="AN509" s="48" t="s">
        <v>273</v>
      </c>
      <c r="AO509" s="48" t="s">
        <v>273</v>
      </c>
      <c r="AP509" s="48" t="s">
        <v>273</v>
      </c>
      <c r="AQ509" s="48" t="s">
        <v>273</v>
      </c>
      <c r="AR509" s="48" t="s">
        <v>273</v>
      </c>
      <c r="AS509" s="48" t="s">
        <v>273</v>
      </c>
      <c r="AT509" s="48" t="s">
        <v>273</v>
      </c>
      <c r="AU509" s="93">
        <v>38412</v>
      </c>
      <c r="AV509" s="93" t="s">
        <v>5321</v>
      </c>
      <c r="AW509" s="93" t="s">
        <v>5322</v>
      </c>
      <c r="AX509" s="93" t="s">
        <v>273</v>
      </c>
      <c r="AY509" s="93" t="s">
        <v>5323</v>
      </c>
    </row>
    <row r="510" spans="1:52" ht="16.5" customHeight="1" x14ac:dyDescent="0.15">
      <c r="A510" s="156" t="s">
        <v>5324</v>
      </c>
      <c r="B510" s="157" t="s">
        <v>5325</v>
      </c>
      <c r="C510" s="48" t="s">
        <v>330</v>
      </c>
      <c r="D510" s="62" t="s">
        <v>1249</v>
      </c>
      <c r="E510" s="48" t="s">
        <v>300</v>
      </c>
      <c r="F510" s="61">
        <v>42571</v>
      </c>
      <c r="G510" s="61">
        <v>0</v>
      </c>
      <c r="H510" s="125">
        <v>42621</v>
      </c>
      <c r="I510" s="61">
        <v>39063</v>
      </c>
      <c r="J510" s="87"/>
      <c r="K510" s="62" t="s">
        <v>16</v>
      </c>
      <c r="L510" s="124" t="s">
        <v>263</v>
      </c>
      <c r="M510" s="62" t="s">
        <v>394</v>
      </c>
      <c r="N510" s="62" t="s">
        <v>5326</v>
      </c>
      <c r="O510" s="48" t="s">
        <v>396</v>
      </c>
      <c r="P510" s="48" t="s">
        <v>5327</v>
      </c>
      <c r="Q510" s="48" t="s">
        <v>5328</v>
      </c>
      <c r="R510" s="48" t="s">
        <v>399</v>
      </c>
      <c r="S510" s="48" t="s">
        <v>400</v>
      </c>
      <c r="T510" s="48" t="s">
        <v>401</v>
      </c>
      <c r="U510" s="48" t="s">
        <v>5329</v>
      </c>
      <c r="V510" s="122" t="s">
        <v>263</v>
      </c>
      <c r="W510" s="122" t="s">
        <v>263</v>
      </c>
      <c r="X510" s="48" t="s">
        <v>5330</v>
      </c>
      <c r="Y510" s="48" t="s">
        <v>5331</v>
      </c>
      <c r="Z510" s="61"/>
      <c r="AA510" s="48" t="s">
        <v>273</v>
      </c>
      <c r="AB510" s="48" t="s">
        <v>273</v>
      </c>
      <c r="AC510" s="48" t="s">
        <v>273</v>
      </c>
      <c r="AD510" s="48" t="s">
        <v>273</v>
      </c>
      <c r="AE510" s="48" t="s">
        <v>273</v>
      </c>
      <c r="AF510" s="48" t="s">
        <v>273</v>
      </c>
      <c r="AG510" s="48" t="s">
        <v>273</v>
      </c>
      <c r="AH510" s="48" t="s">
        <v>273</v>
      </c>
      <c r="AI510" s="48" t="s">
        <v>273</v>
      </c>
      <c r="AJ510" s="48" t="s">
        <v>273</v>
      </c>
      <c r="AK510" s="48" t="s">
        <v>273</v>
      </c>
      <c r="AL510" s="48" t="s">
        <v>273</v>
      </c>
      <c r="AM510" s="48" t="s">
        <v>273</v>
      </c>
      <c r="AN510" s="48" t="s">
        <v>273</v>
      </c>
      <c r="AO510" s="48" t="s">
        <v>273</v>
      </c>
      <c r="AP510" s="48" t="s">
        <v>273</v>
      </c>
      <c r="AQ510" s="48" t="s">
        <v>273</v>
      </c>
      <c r="AR510" s="48" t="s">
        <v>273</v>
      </c>
      <c r="AS510" s="48" t="s">
        <v>273</v>
      </c>
      <c r="AT510" s="48" t="s">
        <v>273</v>
      </c>
      <c r="AU510" s="93">
        <v>38930</v>
      </c>
      <c r="AV510" s="93" t="s">
        <v>5332</v>
      </c>
      <c r="AW510" s="93" t="s">
        <v>5333</v>
      </c>
      <c r="AX510" s="93" t="s">
        <v>5334</v>
      </c>
      <c r="AY510" s="93" t="s">
        <v>5312</v>
      </c>
      <c r="AZ510" s="49" t="s">
        <v>5335</v>
      </c>
    </row>
    <row r="511" spans="1:52" ht="16.5" customHeight="1" x14ac:dyDescent="0.15">
      <c r="A511" s="153" t="s">
        <v>5336</v>
      </c>
      <c r="B511" s="154" t="s">
        <v>5337</v>
      </c>
      <c r="C511" s="48" t="s">
        <v>330</v>
      </c>
      <c r="D511" s="62" t="s">
        <v>5338</v>
      </c>
      <c r="E511" s="48" t="s">
        <v>300</v>
      </c>
      <c r="F511" s="61">
        <v>42571</v>
      </c>
      <c r="G511" s="61">
        <v>0</v>
      </c>
      <c r="H511" s="125">
        <v>42586</v>
      </c>
      <c r="I511" s="61" t="s">
        <v>279</v>
      </c>
      <c r="J511" s="87"/>
      <c r="K511" s="62" t="s">
        <v>16</v>
      </c>
      <c r="L511" s="124" t="s">
        <v>263</v>
      </c>
      <c r="M511" s="62" t="s">
        <v>442</v>
      </c>
      <c r="N511" s="62" t="s">
        <v>3783</v>
      </c>
      <c r="O511" s="48" t="s">
        <v>1894</v>
      </c>
      <c r="P511" s="48" t="s">
        <v>5339</v>
      </c>
      <c r="Q511" s="48" t="s">
        <v>3785</v>
      </c>
      <c r="R511" s="48" t="s">
        <v>1830</v>
      </c>
      <c r="S511" s="48" t="s">
        <v>1831</v>
      </c>
      <c r="T511" s="48" t="s">
        <v>1832</v>
      </c>
      <c r="U511" s="48" t="s">
        <v>5340</v>
      </c>
      <c r="V511" s="122" t="s">
        <v>263</v>
      </c>
      <c r="W511" s="122" t="s">
        <v>263</v>
      </c>
      <c r="X511" s="48" t="s">
        <v>4255</v>
      </c>
      <c r="Y511" s="48" t="s">
        <v>3789</v>
      </c>
      <c r="Z511" s="61"/>
      <c r="AA511" s="48" t="s">
        <v>273</v>
      </c>
      <c r="AB511" s="48" t="s">
        <v>273</v>
      </c>
      <c r="AC511" s="48" t="s">
        <v>273</v>
      </c>
      <c r="AD511" s="48" t="s">
        <v>273</v>
      </c>
      <c r="AE511" s="48" t="s">
        <v>273</v>
      </c>
      <c r="AF511" s="48" t="s">
        <v>273</v>
      </c>
      <c r="AG511" s="48" t="s">
        <v>273</v>
      </c>
      <c r="AH511" s="48" t="s">
        <v>273</v>
      </c>
      <c r="AI511" s="48" t="s">
        <v>273</v>
      </c>
      <c r="AJ511" s="48" t="s">
        <v>273</v>
      </c>
      <c r="AK511" s="48" t="s">
        <v>273</v>
      </c>
      <c r="AL511" s="48" t="s">
        <v>273</v>
      </c>
      <c r="AM511" s="48" t="s">
        <v>273</v>
      </c>
      <c r="AN511" s="48" t="s">
        <v>273</v>
      </c>
      <c r="AO511" s="48" t="s">
        <v>273</v>
      </c>
      <c r="AP511" s="48" t="s">
        <v>273</v>
      </c>
      <c r="AQ511" s="48" t="s">
        <v>273</v>
      </c>
      <c r="AR511" s="48" t="s">
        <v>273</v>
      </c>
      <c r="AS511" s="48" t="s">
        <v>273</v>
      </c>
      <c r="AT511" s="48" t="s">
        <v>273</v>
      </c>
      <c r="AU511" s="93">
        <v>38384</v>
      </c>
      <c r="AV511" s="93" t="s">
        <v>5341</v>
      </c>
      <c r="AW511" s="93" t="s">
        <v>5342</v>
      </c>
      <c r="AX511" s="93" t="s">
        <v>5343</v>
      </c>
      <c r="AY511" s="93" t="s">
        <v>5312</v>
      </c>
      <c r="AZ511" s="49" t="s">
        <v>5344</v>
      </c>
    </row>
    <row r="512" spans="1:52" ht="16.5" customHeight="1" x14ac:dyDescent="0.15">
      <c r="A512" s="156" t="s">
        <v>5345</v>
      </c>
      <c r="B512" s="157" t="s">
        <v>5346</v>
      </c>
      <c r="C512" s="48" t="s">
        <v>5347</v>
      </c>
      <c r="D512" s="62" t="s">
        <v>263</v>
      </c>
      <c r="E512" s="48" t="s">
        <v>264</v>
      </c>
      <c r="F512" s="61">
        <v>42571</v>
      </c>
      <c r="G512" s="61">
        <v>0</v>
      </c>
      <c r="H512" s="125">
        <v>42622</v>
      </c>
      <c r="I512" s="61" t="s">
        <v>263</v>
      </c>
      <c r="J512" s="87"/>
      <c r="K512" s="62" t="s">
        <v>12</v>
      </c>
      <c r="L512" s="62">
        <v>3</v>
      </c>
      <c r="M512" s="62" t="s">
        <v>680</v>
      </c>
      <c r="N512" s="62" t="s">
        <v>5348</v>
      </c>
      <c r="O512" s="48" t="s">
        <v>5349</v>
      </c>
      <c r="P512" s="48" t="s">
        <v>267</v>
      </c>
      <c r="Q512" s="48" t="s">
        <v>263</v>
      </c>
      <c r="R512" s="122" t="s">
        <v>263</v>
      </c>
      <c r="S512" s="48" t="s">
        <v>269</v>
      </c>
      <c r="T512" s="48" t="s">
        <v>270</v>
      </c>
      <c r="U512" s="48" t="s">
        <v>5350</v>
      </c>
      <c r="V512" s="122" t="s">
        <v>263</v>
      </c>
      <c r="W512" s="122" t="s">
        <v>263</v>
      </c>
      <c r="X512" s="122" t="s">
        <v>263</v>
      </c>
      <c r="Y512" s="122" t="s">
        <v>263</v>
      </c>
      <c r="Z512" s="61"/>
      <c r="AA512" s="48" t="s">
        <v>833</v>
      </c>
      <c r="AB512" s="48" t="s">
        <v>273</v>
      </c>
      <c r="AC512" s="48" t="s">
        <v>273</v>
      </c>
      <c r="AD512" s="48" t="s">
        <v>273</v>
      </c>
      <c r="AE512" s="48" t="s">
        <v>273</v>
      </c>
      <c r="AF512" s="48" t="s">
        <v>273</v>
      </c>
      <c r="AG512" s="48" t="s">
        <v>273</v>
      </c>
      <c r="AH512" s="48" t="s">
        <v>273</v>
      </c>
      <c r="AI512" s="48" t="s">
        <v>273</v>
      </c>
      <c r="AJ512" s="48" t="s">
        <v>273</v>
      </c>
      <c r="AK512" s="48" t="s">
        <v>834</v>
      </c>
      <c r="AL512" s="48" t="s">
        <v>273</v>
      </c>
      <c r="AM512" s="48" t="s">
        <v>273</v>
      </c>
      <c r="AN512" s="48" t="s">
        <v>273</v>
      </c>
      <c r="AO512" s="48" t="s">
        <v>273</v>
      </c>
      <c r="AP512" s="48" t="s">
        <v>273</v>
      </c>
      <c r="AQ512" s="48" t="s">
        <v>273</v>
      </c>
      <c r="AR512" s="48" t="s">
        <v>273</v>
      </c>
      <c r="AS512" s="48" t="s">
        <v>273</v>
      </c>
      <c r="AT512" s="48" t="s">
        <v>273</v>
      </c>
      <c r="AU512" s="93">
        <v>39692</v>
      </c>
      <c r="AV512" s="93" t="s">
        <v>5351</v>
      </c>
      <c r="AW512" s="93" t="s">
        <v>5352</v>
      </c>
      <c r="AX512" s="93" t="s">
        <v>5353</v>
      </c>
      <c r="AY512" s="93" t="s">
        <v>5354</v>
      </c>
    </row>
    <row r="513" spans="1:52" ht="16.5" customHeight="1" x14ac:dyDescent="0.15">
      <c r="A513" s="182" t="s">
        <v>5355</v>
      </c>
      <c r="B513" s="183" t="s">
        <v>5356</v>
      </c>
      <c r="C513" s="48" t="s">
        <v>5357</v>
      </c>
      <c r="D513" s="62" t="s">
        <v>263</v>
      </c>
      <c r="E513" s="48" t="s">
        <v>264</v>
      </c>
      <c r="F513" s="61">
        <v>42571</v>
      </c>
      <c r="G513" s="61">
        <v>0</v>
      </c>
      <c r="H513" s="125">
        <v>42668</v>
      </c>
      <c r="I513" s="61">
        <v>41857</v>
      </c>
      <c r="J513" s="87"/>
      <c r="K513" s="62" t="s">
        <v>16</v>
      </c>
      <c r="L513" s="62">
        <v>3</v>
      </c>
      <c r="M513" s="62" t="s">
        <v>471</v>
      </c>
      <c r="N513" s="62" t="s">
        <v>5358</v>
      </c>
      <c r="O513" s="48" t="s">
        <v>502</v>
      </c>
      <c r="P513" s="48" t="s">
        <v>5359</v>
      </c>
      <c r="Q513" s="48" t="s">
        <v>318</v>
      </c>
      <c r="R513" s="48" t="s">
        <v>399</v>
      </c>
      <c r="S513" s="48" t="s">
        <v>400</v>
      </c>
      <c r="T513" s="48" t="s">
        <v>401</v>
      </c>
      <c r="U513" s="48" t="s">
        <v>5360</v>
      </c>
      <c r="V513" s="122" t="s">
        <v>263</v>
      </c>
      <c r="W513" s="122" t="s">
        <v>263</v>
      </c>
      <c r="X513" s="48" t="s">
        <v>5361</v>
      </c>
      <c r="Y513" s="48" t="s">
        <v>5362</v>
      </c>
      <c r="Z513" s="61"/>
      <c r="AA513" s="48" t="s">
        <v>508</v>
      </c>
      <c r="AB513" s="48" t="s">
        <v>273</v>
      </c>
      <c r="AC513" s="48" t="s">
        <v>273</v>
      </c>
      <c r="AD513" s="48" t="s">
        <v>273</v>
      </c>
      <c r="AE513" s="48" t="s">
        <v>273</v>
      </c>
      <c r="AF513" s="48" t="s">
        <v>273</v>
      </c>
      <c r="AG513" s="48" t="s">
        <v>273</v>
      </c>
      <c r="AH513" s="48" t="s">
        <v>273</v>
      </c>
      <c r="AI513" s="48" t="s">
        <v>273</v>
      </c>
      <c r="AJ513" s="48" t="s">
        <v>273</v>
      </c>
      <c r="AK513" s="48" t="s">
        <v>509</v>
      </c>
      <c r="AL513" s="48" t="s">
        <v>273</v>
      </c>
      <c r="AM513" s="48" t="s">
        <v>273</v>
      </c>
      <c r="AN513" s="48" t="s">
        <v>273</v>
      </c>
      <c r="AO513" s="48" t="s">
        <v>273</v>
      </c>
      <c r="AP513" s="48" t="s">
        <v>273</v>
      </c>
      <c r="AQ513" s="48" t="s">
        <v>273</v>
      </c>
      <c r="AR513" s="48" t="s">
        <v>273</v>
      </c>
      <c r="AS513" s="48" t="s">
        <v>273</v>
      </c>
      <c r="AT513" s="48" t="s">
        <v>273</v>
      </c>
      <c r="AU513" s="93">
        <v>41699</v>
      </c>
      <c r="AV513" s="93" t="s">
        <v>5363</v>
      </c>
      <c r="AW513" s="93" t="s">
        <v>5364</v>
      </c>
      <c r="AX513" s="93" t="s">
        <v>5365</v>
      </c>
      <c r="AY513" s="93" t="s">
        <v>5366</v>
      </c>
    </row>
    <row r="514" spans="1:52" ht="16.5" customHeight="1" x14ac:dyDescent="0.15">
      <c r="A514" s="153" t="s">
        <v>5367</v>
      </c>
      <c r="B514" s="154" t="s">
        <v>5368</v>
      </c>
      <c r="C514" s="48" t="s">
        <v>330</v>
      </c>
      <c r="D514" s="62" t="s">
        <v>1827</v>
      </c>
      <c r="E514" s="48" t="s">
        <v>300</v>
      </c>
      <c r="F514" s="61">
        <v>42572</v>
      </c>
      <c r="G514" s="61">
        <v>0</v>
      </c>
      <c r="H514" s="125">
        <v>42598</v>
      </c>
      <c r="I514" s="61" t="s">
        <v>279</v>
      </c>
      <c r="J514" s="87"/>
      <c r="K514" s="124" t="s">
        <v>263</v>
      </c>
      <c r="L514" s="124" t="s">
        <v>263</v>
      </c>
      <c r="M514" s="62" t="s">
        <v>1215</v>
      </c>
      <c r="N514" s="62" t="s">
        <v>5369</v>
      </c>
      <c r="O514" s="48" t="s">
        <v>3424</v>
      </c>
      <c r="P514" s="48" t="s">
        <v>5370</v>
      </c>
      <c r="Q514" s="48" t="s">
        <v>5371</v>
      </c>
      <c r="R514" s="48" t="s">
        <v>399</v>
      </c>
      <c r="S514" s="48" t="s">
        <v>400</v>
      </c>
      <c r="T514" s="48" t="s">
        <v>401</v>
      </c>
      <c r="U514" s="48" t="s">
        <v>5372</v>
      </c>
      <c r="V514" s="122" t="s">
        <v>263</v>
      </c>
      <c r="W514" s="122" t="s">
        <v>263</v>
      </c>
      <c r="X514" s="48" t="s">
        <v>5373</v>
      </c>
      <c r="Y514" s="48" t="s">
        <v>5374</v>
      </c>
      <c r="Z514" s="61"/>
      <c r="AA514" s="48" t="s">
        <v>273</v>
      </c>
      <c r="AB514" s="48" t="s">
        <v>273</v>
      </c>
      <c r="AC514" s="48" t="s">
        <v>273</v>
      </c>
      <c r="AD514" s="48" t="s">
        <v>273</v>
      </c>
      <c r="AE514" s="48" t="s">
        <v>273</v>
      </c>
      <c r="AF514" s="48" t="s">
        <v>273</v>
      </c>
      <c r="AG514" s="48" t="s">
        <v>273</v>
      </c>
      <c r="AH514" s="48" t="s">
        <v>273</v>
      </c>
      <c r="AI514" s="48" t="s">
        <v>273</v>
      </c>
      <c r="AJ514" s="48" t="s">
        <v>273</v>
      </c>
      <c r="AK514" s="48" t="s">
        <v>273</v>
      </c>
      <c r="AL514" s="48" t="s">
        <v>273</v>
      </c>
      <c r="AM514" s="48" t="s">
        <v>273</v>
      </c>
      <c r="AN514" s="48" t="s">
        <v>273</v>
      </c>
      <c r="AO514" s="48" t="s">
        <v>273</v>
      </c>
      <c r="AP514" s="48" t="s">
        <v>273</v>
      </c>
      <c r="AQ514" s="48" t="s">
        <v>273</v>
      </c>
      <c r="AR514" s="48" t="s">
        <v>273</v>
      </c>
      <c r="AS514" s="48" t="s">
        <v>273</v>
      </c>
      <c r="AT514" s="48" t="s">
        <v>273</v>
      </c>
      <c r="AU514" s="93">
        <v>40210</v>
      </c>
      <c r="AV514" s="93" t="s">
        <v>5375</v>
      </c>
      <c r="AW514" s="93" t="s">
        <v>5376</v>
      </c>
      <c r="AX514" s="93" t="s">
        <v>5377</v>
      </c>
      <c r="AY514" s="93" t="s">
        <v>5378</v>
      </c>
      <c r="AZ514" s="49" t="s">
        <v>5379</v>
      </c>
    </row>
    <row r="515" spans="1:52" ht="16.5" customHeight="1" x14ac:dyDescent="0.15">
      <c r="A515" s="182" t="s">
        <v>5380</v>
      </c>
      <c r="B515" s="183" t="s">
        <v>5381</v>
      </c>
      <c r="C515" s="48" t="s">
        <v>330</v>
      </c>
      <c r="D515" s="62" t="s">
        <v>5382</v>
      </c>
      <c r="E515" s="48" t="s">
        <v>300</v>
      </c>
      <c r="F515" s="61">
        <v>42573</v>
      </c>
      <c r="G515" s="61">
        <v>0</v>
      </c>
      <c r="H515" s="125">
        <v>42654</v>
      </c>
      <c r="I515" s="61" t="s">
        <v>1249</v>
      </c>
      <c r="J515" s="87"/>
      <c r="K515" s="62" t="s">
        <v>16</v>
      </c>
      <c r="L515" s="124" t="s">
        <v>263</v>
      </c>
      <c r="M515" s="62" t="s">
        <v>409</v>
      </c>
      <c r="N515" s="62" t="s">
        <v>5383</v>
      </c>
      <c r="O515" s="48" t="s">
        <v>932</v>
      </c>
      <c r="P515" s="48" t="s">
        <v>5384</v>
      </c>
      <c r="Q515" s="48" t="s">
        <v>5385</v>
      </c>
      <c r="R515" s="48" t="s">
        <v>5386</v>
      </c>
      <c r="S515" s="48" t="s">
        <v>5387</v>
      </c>
      <c r="T515" s="48" t="s">
        <v>5388</v>
      </c>
      <c r="U515" s="48" t="s">
        <v>5389</v>
      </c>
      <c r="V515" s="122" t="s">
        <v>263</v>
      </c>
      <c r="W515" s="48" t="s">
        <v>5390</v>
      </c>
      <c r="X515" s="48" t="s">
        <v>5387</v>
      </c>
      <c r="Y515" s="48" t="s">
        <v>5386</v>
      </c>
      <c r="Z515" s="61"/>
      <c r="AA515" s="48" t="s">
        <v>273</v>
      </c>
      <c r="AB515" s="48" t="s">
        <v>273</v>
      </c>
      <c r="AC515" s="48" t="s">
        <v>273</v>
      </c>
      <c r="AD515" s="48" t="s">
        <v>273</v>
      </c>
      <c r="AE515" s="48" t="s">
        <v>273</v>
      </c>
      <c r="AF515" s="48" t="s">
        <v>273</v>
      </c>
      <c r="AG515" s="48" t="s">
        <v>273</v>
      </c>
      <c r="AH515" s="48" t="s">
        <v>273</v>
      </c>
      <c r="AI515" s="48" t="s">
        <v>273</v>
      </c>
      <c r="AJ515" s="48" t="s">
        <v>273</v>
      </c>
      <c r="AK515" s="48" t="s">
        <v>273</v>
      </c>
      <c r="AL515" s="48" t="s">
        <v>273</v>
      </c>
      <c r="AM515" s="48" t="s">
        <v>273</v>
      </c>
      <c r="AN515" s="48" t="s">
        <v>273</v>
      </c>
      <c r="AO515" s="48" t="s">
        <v>273</v>
      </c>
      <c r="AP515" s="48" t="s">
        <v>273</v>
      </c>
      <c r="AQ515" s="48" t="s">
        <v>273</v>
      </c>
      <c r="AR515" s="48" t="s">
        <v>273</v>
      </c>
      <c r="AS515" s="48" t="s">
        <v>273</v>
      </c>
      <c r="AT515" s="48" t="s">
        <v>273</v>
      </c>
      <c r="AU515" s="93">
        <v>39569</v>
      </c>
      <c r="AV515" s="93" t="s">
        <v>5391</v>
      </c>
      <c r="AW515" s="93" t="s">
        <v>5392</v>
      </c>
      <c r="AX515" s="93" t="s">
        <v>5393</v>
      </c>
      <c r="AY515" s="93" t="s">
        <v>5394</v>
      </c>
    </row>
    <row r="516" spans="1:52" ht="16.5" customHeight="1" x14ac:dyDescent="0.15">
      <c r="A516" s="182" t="s">
        <v>5395</v>
      </c>
      <c r="B516" s="183" t="s">
        <v>5396</v>
      </c>
      <c r="C516" s="48" t="s">
        <v>5397</v>
      </c>
      <c r="D516" s="62" t="s">
        <v>5398</v>
      </c>
      <c r="E516" s="48" t="s">
        <v>264</v>
      </c>
      <c r="F516" s="61">
        <v>42573</v>
      </c>
      <c r="G516" s="61">
        <v>0</v>
      </c>
      <c r="H516" s="125">
        <v>42647</v>
      </c>
      <c r="I516" s="61" t="s">
        <v>5399</v>
      </c>
      <c r="J516" s="87"/>
      <c r="K516" s="62" t="s">
        <v>16</v>
      </c>
      <c r="L516" s="62">
        <v>3</v>
      </c>
      <c r="M516" s="62" t="s">
        <v>680</v>
      </c>
      <c r="N516" s="62" t="s">
        <v>5400</v>
      </c>
      <c r="O516" s="48" t="s">
        <v>1480</v>
      </c>
      <c r="P516" s="130" t="s">
        <v>267</v>
      </c>
      <c r="Q516" s="130" t="s">
        <v>2953</v>
      </c>
      <c r="R516" s="130" t="s">
        <v>1483</v>
      </c>
      <c r="S516" s="130" t="s">
        <v>1484</v>
      </c>
      <c r="T516" s="130" t="s">
        <v>1485</v>
      </c>
      <c r="U516" s="48" t="s">
        <v>5401</v>
      </c>
      <c r="V516" s="122" t="s">
        <v>263</v>
      </c>
      <c r="W516" s="122" t="s">
        <v>263</v>
      </c>
      <c r="X516" s="48" t="s">
        <v>5402</v>
      </c>
      <c r="Y516" s="48" t="s">
        <v>5403</v>
      </c>
      <c r="Z516" s="61"/>
      <c r="AA516" s="48" t="s">
        <v>833</v>
      </c>
      <c r="AB516" s="48" t="s">
        <v>1139</v>
      </c>
      <c r="AC516" s="48" t="s">
        <v>273</v>
      </c>
      <c r="AD516" s="48" t="s">
        <v>273</v>
      </c>
      <c r="AE516" s="48" t="s">
        <v>273</v>
      </c>
      <c r="AF516" s="48" t="s">
        <v>273</v>
      </c>
      <c r="AG516" s="48" t="s">
        <v>273</v>
      </c>
      <c r="AH516" s="48" t="s">
        <v>273</v>
      </c>
      <c r="AI516" s="48" t="s">
        <v>273</v>
      </c>
      <c r="AJ516" s="48" t="s">
        <v>273</v>
      </c>
      <c r="AK516" s="48" t="s">
        <v>834</v>
      </c>
      <c r="AL516" s="48" t="s">
        <v>1140</v>
      </c>
      <c r="AM516" s="48" t="s">
        <v>273</v>
      </c>
      <c r="AN516" s="48" t="s">
        <v>273</v>
      </c>
      <c r="AO516" s="48" t="s">
        <v>273</v>
      </c>
      <c r="AP516" s="48" t="s">
        <v>273</v>
      </c>
      <c r="AQ516" s="48" t="s">
        <v>273</v>
      </c>
      <c r="AR516" s="48" t="s">
        <v>273</v>
      </c>
      <c r="AS516" s="48" t="s">
        <v>273</v>
      </c>
      <c r="AT516" s="48" t="s">
        <v>273</v>
      </c>
      <c r="AU516" s="93">
        <v>40695</v>
      </c>
      <c r="AV516" s="93" t="s">
        <v>5404</v>
      </c>
      <c r="AW516" s="93" t="s">
        <v>5405</v>
      </c>
      <c r="AX516" s="93" t="s">
        <v>5406</v>
      </c>
      <c r="AY516" s="93" t="s">
        <v>5312</v>
      </c>
    </row>
    <row r="517" spans="1:52" ht="16.5" customHeight="1" x14ac:dyDescent="0.15">
      <c r="A517" s="153" t="s">
        <v>5407</v>
      </c>
      <c r="B517" s="154" t="s">
        <v>5408</v>
      </c>
      <c r="C517" s="48" t="s">
        <v>5409</v>
      </c>
      <c r="D517" s="62">
        <v>0</v>
      </c>
      <c r="E517" s="48" t="s">
        <v>264</v>
      </c>
      <c r="F517" s="61">
        <v>42573</v>
      </c>
      <c r="G517" s="61">
        <v>0</v>
      </c>
      <c r="H517" s="125">
        <v>42586</v>
      </c>
      <c r="I517" s="61" t="s">
        <v>1249</v>
      </c>
      <c r="J517" s="87"/>
      <c r="K517" s="62" t="s">
        <v>12</v>
      </c>
      <c r="L517" s="62">
        <v>3</v>
      </c>
      <c r="M517" s="62" t="s">
        <v>651</v>
      </c>
      <c r="N517" s="62" t="s">
        <v>5410</v>
      </c>
      <c r="O517" s="48" t="s">
        <v>653</v>
      </c>
      <c r="P517" s="48" t="s">
        <v>267</v>
      </c>
      <c r="Q517" s="48" t="s">
        <v>892</v>
      </c>
      <c r="R517" s="122" t="s">
        <v>263</v>
      </c>
      <c r="S517" s="48" t="s">
        <v>269</v>
      </c>
      <c r="T517" s="48" t="s">
        <v>270</v>
      </c>
      <c r="U517" s="48" t="s">
        <v>5411</v>
      </c>
      <c r="V517" s="122" t="s">
        <v>263</v>
      </c>
      <c r="W517" s="122" t="s">
        <v>263</v>
      </c>
      <c r="X517" s="122" t="s">
        <v>263</v>
      </c>
      <c r="Y517" s="122" t="s">
        <v>263</v>
      </c>
      <c r="Z517" s="61"/>
      <c r="AA517" s="48" t="s">
        <v>962</v>
      </c>
      <c r="AB517" s="48" t="s">
        <v>273</v>
      </c>
      <c r="AC517" s="48" t="s">
        <v>273</v>
      </c>
      <c r="AD517" s="48" t="s">
        <v>273</v>
      </c>
      <c r="AE517" s="48" t="s">
        <v>273</v>
      </c>
      <c r="AF517" s="48" t="s">
        <v>273</v>
      </c>
      <c r="AG517" s="48" t="s">
        <v>273</v>
      </c>
      <c r="AH517" s="48" t="s">
        <v>273</v>
      </c>
      <c r="AI517" s="48" t="s">
        <v>273</v>
      </c>
      <c r="AJ517" s="48" t="s">
        <v>273</v>
      </c>
      <c r="AK517" s="48" t="s">
        <v>963</v>
      </c>
      <c r="AL517" s="48" t="s">
        <v>273</v>
      </c>
      <c r="AM517" s="48" t="s">
        <v>273</v>
      </c>
      <c r="AN517" s="48" t="s">
        <v>273</v>
      </c>
      <c r="AO517" s="48" t="s">
        <v>273</v>
      </c>
      <c r="AP517" s="48" t="s">
        <v>273</v>
      </c>
      <c r="AQ517" s="48" t="s">
        <v>273</v>
      </c>
      <c r="AR517" s="48" t="s">
        <v>273</v>
      </c>
      <c r="AS517" s="48" t="s">
        <v>273</v>
      </c>
      <c r="AT517" s="48" t="s">
        <v>273</v>
      </c>
      <c r="AU517" s="93">
        <v>41609</v>
      </c>
      <c r="AV517" s="93"/>
      <c r="AW517" s="93"/>
      <c r="AX517" s="93"/>
      <c r="AY517" s="93"/>
    </row>
    <row r="518" spans="1:52" ht="16.5" customHeight="1" x14ac:dyDescent="0.15">
      <c r="A518" s="156" t="s">
        <v>5412</v>
      </c>
      <c r="B518" s="157" t="s">
        <v>5413</v>
      </c>
      <c r="C518" s="48" t="s">
        <v>298</v>
      </c>
      <c r="D518" s="62" t="s">
        <v>5414</v>
      </c>
      <c r="E518" s="48" t="s">
        <v>300</v>
      </c>
      <c r="F518" s="61">
        <v>42576</v>
      </c>
      <c r="G518" s="61">
        <v>0</v>
      </c>
      <c r="H518" s="125">
        <v>42628</v>
      </c>
      <c r="I518" s="61" t="s">
        <v>279</v>
      </c>
      <c r="J518" s="87"/>
      <c r="K518" s="62" t="s">
        <v>16</v>
      </c>
      <c r="L518" s="62">
        <v>3</v>
      </c>
      <c r="M518" s="62" t="s">
        <v>924</v>
      </c>
      <c r="N518" s="62" t="s">
        <v>5415</v>
      </c>
      <c r="O518" s="48" t="s">
        <v>926</v>
      </c>
      <c r="P518" s="48" t="s">
        <v>5416</v>
      </c>
      <c r="Q518" s="48" t="s">
        <v>5417</v>
      </c>
      <c r="R518" s="48" t="s">
        <v>5418</v>
      </c>
      <c r="S518" s="48" t="s">
        <v>1048</v>
      </c>
      <c r="T518" s="48" t="s">
        <v>1049</v>
      </c>
      <c r="U518" s="48" t="s">
        <v>5419</v>
      </c>
      <c r="V518" s="122" t="s">
        <v>263</v>
      </c>
      <c r="W518" s="122" t="s">
        <v>263</v>
      </c>
      <c r="X518" s="48" t="s">
        <v>5420</v>
      </c>
      <c r="Y518" s="48" t="s">
        <v>5421</v>
      </c>
      <c r="Z518" s="61"/>
      <c r="AA518" s="48" t="s">
        <v>581</v>
      </c>
      <c r="AB518" s="48" t="s">
        <v>645</v>
      </c>
      <c r="AC518" s="48" t="s">
        <v>273</v>
      </c>
      <c r="AD518" s="48" t="s">
        <v>273</v>
      </c>
      <c r="AE518" s="48" t="s">
        <v>273</v>
      </c>
      <c r="AF518" s="48" t="s">
        <v>273</v>
      </c>
      <c r="AG518" s="48" t="s">
        <v>273</v>
      </c>
      <c r="AH518" s="48" t="s">
        <v>273</v>
      </c>
      <c r="AI518" s="48" t="s">
        <v>273</v>
      </c>
      <c r="AJ518" s="48" t="s">
        <v>273</v>
      </c>
      <c r="AK518" s="48" t="s">
        <v>582</v>
      </c>
      <c r="AL518" s="48" t="s">
        <v>646</v>
      </c>
      <c r="AM518" s="48" t="s">
        <v>273</v>
      </c>
      <c r="AN518" s="48" t="s">
        <v>273</v>
      </c>
      <c r="AO518" s="48" t="s">
        <v>273</v>
      </c>
      <c r="AP518" s="48" t="s">
        <v>273</v>
      </c>
      <c r="AQ518" s="48" t="s">
        <v>273</v>
      </c>
      <c r="AR518" s="48" t="s">
        <v>273</v>
      </c>
      <c r="AS518" s="48" t="s">
        <v>273</v>
      </c>
      <c r="AT518" s="48" t="s">
        <v>273</v>
      </c>
      <c r="AU518" s="93">
        <v>37196</v>
      </c>
      <c r="AV518" s="93" t="s">
        <v>5422</v>
      </c>
      <c r="AW518" s="93" t="s">
        <v>5423</v>
      </c>
      <c r="AX518" s="93" t="s">
        <v>5424</v>
      </c>
      <c r="AY518" s="93" t="s">
        <v>5312</v>
      </c>
    </row>
    <row r="519" spans="1:52" ht="16.5" customHeight="1" x14ac:dyDescent="0.15">
      <c r="A519" s="151" t="s">
        <v>5425</v>
      </c>
      <c r="B519" s="152" t="s">
        <v>5426</v>
      </c>
      <c r="C519" s="48" t="s">
        <v>330</v>
      </c>
      <c r="D519" s="62" t="s">
        <v>263</v>
      </c>
      <c r="E519" s="48" t="s">
        <v>264</v>
      </c>
      <c r="F519" s="61">
        <v>42576</v>
      </c>
      <c r="G519" s="61">
        <v>0</v>
      </c>
      <c r="H519" s="125">
        <v>42579</v>
      </c>
      <c r="I519" s="61" t="s">
        <v>1249</v>
      </c>
      <c r="J519" s="87"/>
      <c r="K519" s="124" t="s">
        <v>263</v>
      </c>
      <c r="L519" s="124" t="s">
        <v>263</v>
      </c>
      <c r="M519" s="62" t="s">
        <v>3452</v>
      </c>
      <c r="N519" s="62" t="s">
        <v>5427</v>
      </c>
      <c r="O519" s="48" t="s">
        <v>3454</v>
      </c>
      <c r="P519" s="48" t="s">
        <v>267</v>
      </c>
      <c r="Q519" s="48" t="s">
        <v>3159</v>
      </c>
      <c r="R519" s="122" t="s">
        <v>263</v>
      </c>
      <c r="S519" s="48" t="s">
        <v>269</v>
      </c>
      <c r="T519" s="48" t="s">
        <v>270</v>
      </c>
      <c r="U519" s="48" t="s">
        <v>5428</v>
      </c>
      <c r="V519" s="122" t="s">
        <v>263</v>
      </c>
      <c r="W519" s="122" t="s">
        <v>263</v>
      </c>
      <c r="X519" s="122" t="s">
        <v>263</v>
      </c>
      <c r="Y519" s="122" t="s">
        <v>263</v>
      </c>
      <c r="Z519" s="61"/>
      <c r="AA519" s="48" t="s">
        <v>273</v>
      </c>
      <c r="AB519" s="48" t="s">
        <v>273</v>
      </c>
      <c r="AC519" s="48" t="s">
        <v>273</v>
      </c>
      <c r="AD519" s="48" t="s">
        <v>273</v>
      </c>
      <c r="AE519" s="48" t="s">
        <v>273</v>
      </c>
      <c r="AF519" s="48" t="s">
        <v>273</v>
      </c>
      <c r="AG519" s="48" t="s">
        <v>273</v>
      </c>
      <c r="AH519" s="48" t="s">
        <v>273</v>
      </c>
      <c r="AI519" s="48" t="s">
        <v>273</v>
      </c>
      <c r="AJ519" s="48" t="s">
        <v>273</v>
      </c>
      <c r="AK519" s="48" t="s">
        <v>273</v>
      </c>
      <c r="AL519" s="48" t="s">
        <v>273</v>
      </c>
      <c r="AM519" s="48" t="s">
        <v>273</v>
      </c>
      <c r="AN519" s="48" t="s">
        <v>273</v>
      </c>
      <c r="AO519" s="48" t="s">
        <v>273</v>
      </c>
      <c r="AP519" s="48" t="s">
        <v>273</v>
      </c>
      <c r="AQ519" s="48" t="s">
        <v>273</v>
      </c>
      <c r="AR519" s="48" t="s">
        <v>273</v>
      </c>
      <c r="AS519" s="48" t="s">
        <v>273</v>
      </c>
      <c r="AT519" s="48" t="s">
        <v>273</v>
      </c>
      <c r="AU519" s="93">
        <v>40299</v>
      </c>
      <c r="AV519" s="93"/>
      <c r="AW519" s="93"/>
      <c r="AX519" s="93"/>
      <c r="AY519" s="93"/>
    </row>
    <row r="520" spans="1:52" ht="16.5" customHeight="1" x14ac:dyDescent="0.15">
      <c r="A520" s="156" t="s">
        <v>5429</v>
      </c>
      <c r="B520" s="157" t="s">
        <v>5430</v>
      </c>
      <c r="C520" s="48" t="s">
        <v>298</v>
      </c>
      <c r="D520" s="62" t="s">
        <v>5431</v>
      </c>
      <c r="E520" s="48" t="s">
        <v>300</v>
      </c>
      <c r="F520" s="61">
        <v>42576</v>
      </c>
      <c r="G520" s="61">
        <v>0</v>
      </c>
      <c r="H520" s="125">
        <v>42641</v>
      </c>
      <c r="I520" s="61" t="s">
        <v>279</v>
      </c>
      <c r="J520" s="87"/>
      <c r="K520" s="62" t="s">
        <v>16</v>
      </c>
      <c r="L520" s="62">
        <v>3</v>
      </c>
      <c r="M520" s="62" t="s">
        <v>209</v>
      </c>
      <c r="N520" s="62" t="s">
        <v>5432</v>
      </c>
      <c r="O520" s="48" t="s">
        <v>1402</v>
      </c>
      <c r="P520" s="48" t="s">
        <v>5433</v>
      </c>
      <c r="Q520" s="48" t="s">
        <v>5434</v>
      </c>
      <c r="R520" s="48" t="s">
        <v>5435</v>
      </c>
      <c r="S520" s="48" t="s">
        <v>5436</v>
      </c>
      <c r="T520" s="48" t="s">
        <v>5437</v>
      </c>
      <c r="U520" s="48" t="s">
        <v>5438</v>
      </c>
      <c r="V520" s="122" t="s">
        <v>263</v>
      </c>
      <c r="W520" s="48" t="s">
        <v>3401</v>
      </c>
      <c r="X520" s="48" t="s">
        <v>5439</v>
      </c>
      <c r="Y520" s="48" t="s">
        <v>5440</v>
      </c>
      <c r="Z520" s="61"/>
      <c r="AA520" s="48" t="s">
        <v>327</v>
      </c>
      <c r="AB520" s="48" t="s">
        <v>1392</v>
      </c>
      <c r="AC520" s="48" t="s">
        <v>1393</v>
      </c>
      <c r="AD520" s="48" t="s">
        <v>291</v>
      </c>
      <c r="AE520" s="48" t="s">
        <v>273</v>
      </c>
      <c r="AF520" s="48" t="s">
        <v>273</v>
      </c>
      <c r="AG520" s="48" t="s">
        <v>273</v>
      </c>
      <c r="AH520" s="48" t="s">
        <v>273</v>
      </c>
      <c r="AI520" s="48" t="s">
        <v>273</v>
      </c>
      <c r="AJ520" s="48" t="s">
        <v>273</v>
      </c>
      <c r="AK520" s="48" t="s">
        <v>274</v>
      </c>
      <c r="AL520" s="48" t="s">
        <v>1395</v>
      </c>
      <c r="AM520" s="48" t="s">
        <v>1396</v>
      </c>
      <c r="AN520" s="48" t="s">
        <v>293</v>
      </c>
      <c r="AO520" s="48" t="s">
        <v>273</v>
      </c>
      <c r="AP520" s="48" t="s">
        <v>273</v>
      </c>
      <c r="AQ520" s="48" t="s">
        <v>273</v>
      </c>
      <c r="AR520" s="48" t="s">
        <v>273</v>
      </c>
      <c r="AS520" s="48" t="s">
        <v>273</v>
      </c>
      <c r="AT520" s="48" t="s">
        <v>273</v>
      </c>
      <c r="AU520" s="93">
        <v>40513</v>
      </c>
      <c r="AV520" s="93" t="s">
        <v>5441</v>
      </c>
      <c r="AW520" s="93" t="s">
        <v>5442</v>
      </c>
      <c r="AX520" s="93" t="s">
        <v>5443</v>
      </c>
      <c r="AY520" s="93" t="s">
        <v>5312</v>
      </c>
    </row>
    <row r="521" spans="1:52" ht="16.5" customHeight="1" x14ac:dyDescent="0.15">
      <c r="A521" s="121" t="s">
        <v>5444</v>
      </c>
      <c r="B521" s="47" t="s">
        <v>5445</v>
      </c>
      <c r="C521" s="48" t="e">
        <f ca="1">INDIRECT("'["&amp;$C$1&amp;".xls]"&amp;$B521&amp;"'!$i$7")</f>
        <v>#REF!</v>
      </c>
      <c r="D521" s="62" t="e">
        <f ca="1">INDIRECT("'["&amp;$C$1&amp;".xls]"&amp;$B521&amp;"'!$b$7")</f>
        <v>#REF!</v>
      </c>
      <c r="E521" s="48" t="e">
        <f ca="1">IF(INDIRECT("'["&amp;$C$1&amp;".xls]"&amp;$B521&amp;"'!$i$2")="","",INDIRECT("'["&amp;$C$1&amp;".xls]"&amp;$B521&amp;"'!$i$2"))</f>
        <v>#REF!</v>
      </c>
      <c r="F521" s="61" t="e">
        <f ca="1">INDIRECT("'["&amp;$C$1&amp;".xls]"&amp;$B521&amp;"'!$b$2")</f>
        <v>#REF!</v>
      </c>
      <c r="G521" s="61" t="e">
        <f ca="1">INDIRECT("'["&amp;$C$1&amp;".xls]"&amp;$B521&amp;"'!$a$20")</f>
        <v>#REF!</v>
      </c>
      <c r="H521" s="88" t="e">
        <f ca="1">INDIRECT("'["&amp;$C$1&amp;".xls]"&amp;$B521&amp;"'!$Q$22")</f>
        <v>#REF!</v>
      </c>
      <c r="I521" s="61" t="e">
        <f ca="1">INDIRECT("'["&amp;$C$1&amp;".xls]"&amp;$B521&amp;"'!$f$6")</f>
        <v>#REF!</v>
      </c>
      <c r="J521" s="87"/>
      <c r="K521" s="62" t="e">
        <f ca="1">INDIRECT("'["&amp;$C$1&amp;".xls]"&amp;$B521&amp;"'!$f$25")</f>
        <v>#REF!</v>
      </c>
      <c r="L521" s="62"/>
      <c r="M521" s="62" t="e">
        <f ca="1">INDIRECT("'["&amp;$C$1&amp;".xls]"&amp;$B521&amp;"'!$f$4")</f>
        <v>#REF!</v>
      </c>
      <c r="N521" s="62" t="e">
        <f ca="1">INDIRECT("'["&amp;$C$1&amp;".xls]"&amp;$B521&amp;"'!$i$4")</f>
        <v>#REF!</v>
      </c>
      <c r="O521" s="48" t="e">
        <f ca="1">INDIRECT("'["&amp;$C$1&amp;".xls]"&amp;$B521&amp;"'!$l$4")</f>
        <v>#REF!</v>
      </c>
      <c r="P521" s="48" t="e">
        <f ca="1">INDIRECT("'["&amp;$C$1&amp;".xls]"&amp;$B521&amp;"'!$b$5")</f>
        <v>#REF!</v>
      </c>
      <c r="Q521" s="48" t="e">
        <f ca="1">INDIRECT("'["&amp;$C$1&amp;".xls]"&amp;$B521&amp;"'!$f$5")</f>
        <v>#REF!</v>
      </c>
      <c r="R521" s="48"/>
      <c r="S521" s="48" t="e">
        <f ca="1">INDIRECT("'["&amp;$C$1&amp;".xls]"&amp;$B521&amp;"'!$i$5")</f>
        <v>#REF!</v>
      </c>
      <c r="T521" s="48" t="e">
        <f ca="1">INDIRECT("'["&amp;$C$1&amp;".xls]"&amp;$B521&amp;"'!$l$5")</f>
        <v>#REF!</v>
      </c>
      <c r="U521" s="48" t="e">
        <f ca="1">INDIRECT("'["&amp;$C$1&amp;".xls]"&amp;$B521&amp;"'!$b$4")</f>
        <v>#REF!</v>
      </c>
      <c r="V521" s="48"/>
      <c r="W521" s="48"/>
      <c r="X521" s="48"/>
      <c r="Y521" s="48"/>
      <c r="Z521" s="61"/>
      <c r="AA521" s="48" t="e">
        <f ca="1">IF(INDIRECT("'["&amp;$C$1&amp;".xls]"&amp;$B521&amp;"'!$P$25")="","",IF(INDIRECT("'["&amp;$C$1&amp;".xls]"&amp;$B521&amp;"'!$O$25")="済み",INDIRECT("'["&amp;$C$1&amp;".xls]"&amp;$B521&amp;"'!$P$25"),""))</f>
        <v>#REF!</v>
      </c>
      <c r="AB521" s="48" t="e">
        <f ca="1">IF(INDIRECT("'["&amp;$C$1&amp;".xls]"&amp;$B521&amp;"'!$P$26")="","",IF(INDIRECT("'["&amp;$C$1&amp;".xls]"&amp;$B521&amp;"'!$O$26")="済み",INDIRECT("'["&amp;$C$1&amp;".xls]"&amp;$B521&amp;"'!$P$26"),""))</f>
        <v>#REF!</v>
      </c>
      <c r="AC521" s="48" t="e">
        <f ca="1">IF(INDIRECT("'["&amp;$C$1&amp;".xls]"&amp;$B521&amp;"'!$P$27")="","",IF(INDIRECT("'["&amp;$C$1&amp;".xls]"&amp;$B521&amp;"'!$O$27")="済み",INDIRECT("'["&amp;$C$1&amp;".xls]"&amp;$B521&amp;"'!$P$27"),""))</f>
        <v>#REF!</v>
      </c>
      <c r="AD521" s="48" t="e">
        <f ca="1">IF(INDIRECT("'["&amp;$C$1&amp;".xls]"&amp;$B521&amp;"'!$P$28")="","",IF(INDIRECT("'["&amp;$C$1&amp;".xls]"&amp;$B521&amp;"'!$O$28")="済み",INDIRECT("'["&amp;$C$1&amp;".xls]"&amp;$B521&amp;"'!$P$28"),""))</f>
        <v>#REF!</v>
      </c>
      <c r="AE521" s="48" t="e">
        <f ca="1">IF(INDIRECT("'["&amp;$C$1&amp;".xls]"&amp;$B521&amp;"'!$P$29")="","",IF(INDIRECT("'["&amp;$C$1&amp;".xls]"&amp;$B521&amp;"'!$O$29")="済み",INDIRECT("'["&amp;$C$1&amp;".xls]"&amp;$B521&amp;"'!$P$29"),""))</f>
        <v>#REF!</v>
      </c>
      <c r="AF521" s="48" t="e">
        <f ca="1">IF(INDIRECT("'["&amp;$C$1&amp;".xls]"&amp;$B521&amp;"'!$P$30")="","",IF(INDIRECT("'["&amp;$C$1&amp;".xls]"&amp;$B521&amp;"'!$O$30")="済み",INDIRECT("'["&amp;$C$1&amp;".xls]"&amp;$B521&amp;"'!$P$30"),""))</f>
        <v>#REF!</v>
      </c>
      <c r="AG521" s="48" t="e">
        <f ca="1">IF(INDIRECT("'["&amp;$C$1&amp;".xls]"&amp;$B521&amp;"'!$P$31")="","",IF(INDIRECT("'["&amp;$C$1&amp;".xls]"&amp;$B521&amp;"'!$O$31")="済み",INDIRECT("'["&amp;$C$1&amp;".xls]"&amp;$B521&amp;"'!$P$31"),""))</f>
        <v>#REF!</v>
      </c>
      <c r="AH521" s="48" t="e">
        <f ca="1">IF(INDIRECT("'["&amp;$C$1&amp;".xls]"&amp;$B521&amp;"'!$P$32")="","",IF(INDIRECT("'["&amp;$C$1&amp;".xls]"&amp;$B521&amp;"'!$O$32")="済み",INDIRECT("'["&amp;$C$1&amp;".xls]"&amp;$B521&amp;"'!$P$32"),""))</f>
        <v>#REF!</v>
      </c>
      <c r="AI521" s="48" t="e">
        <f ca="1">IF(INDIRECT("'["&amp;$C$1&amp;".xls]"&amp;$B521&amp;"'!$P$33")="","",IF(INDIRECT("'["&amp;$C$1&amp;".xls]"&amp;$B521&amp;"'!$O$33")="済み",INDIRECT("'["&amp;$C$1&amp;".xls]"&amp;$B521&amp;"'!$P$33"),""))</f>
        <v>#REF!</v>
      </c>
      <c r="AJ521" s="48" t="e">
        <f ca="1">IF(INDIRECT("'["&amp;$C$1&amp;".xls]"&amp;$B521&amp;"'!$P$34")="","",IF(INDIRECT("'["&amp;$C$1&amp;".xls]"&amp;$B521&amp;"'!$O$34")="済み",INDIRECT("'["&amp;$C$1&amp;".xls]"&amp;$B521&amp;"'!$P$34"),""))</f>
        <v>#REF!</v>
      </c>
      <c r="AK521" s="48" t="e">
        <f ca="1">IF(INDIRECT("'["&amp;$C$1&amp;".xls]"&amp;$B521&amp;"'!$T25")="","",IF(INDIRECT("'["&amp;$C$1&amp;".xls]"&amp;$B521&amp;"'!$O$25")="済み",INDIRECT("'["&amp;$C$1&amp;".xls]"&amp;$B521&amp;"'!$T$25"),""))</f>
        <v>#REF!</v>
      </c>
      <c r="AL521" s="48" t="e">
        <f ca="1">IF(INDIRECT("'["&amp;$C$1&amp;".xls]"&amp;$B521&amp;"'!$T26")="","",IF(INDIRECT("'["&amp;$C$1&amp;".xls]"&amp;$B521&amp;"'!$O$26")="済み",INDIRECT("'["&amp;$C$1&amp;".xls]"&amp;$B521&amp;"'!$T$26"),""))</f>
        <v>#REF!</v>
      </c>
      <c r="AM521" s="48" t="e">
        <f ca="1">IF(INDIRECT("'["&amp;$C$1&amp;".xls]"&amp;$B521&amp;"'!$T27")="","",IF(INDIRECT("'["&amp;$C$1&amp;".xls]"&amp;$B521&amp;"'!$O$27")="済み",INDIRECT("'["&amp;$C$1&amp;".xls]"&amp;$B521&amp;"'!$T$27"),""))</f>
        <v>#REF!</v>
      </c>
      <c r="AN521" s="48" t="e">
        <f ca="1">IF(INDIRECT("'["&amp;$C$1&amp;".xls]"&amp;$B521&amp;"'!$T28")="","",IF(INDIRECT("'["&amp;$C$1&amp;".xls]"&amp;$B521&amp;"'!$O$28")="済み",INDIRECT("'["&amp;$C$1&amp;".xls]"&amp;$B521&amp;"'!$T$28"),""))</f>
        <v>#REF!</v>
      </c>
      <c r="AO521" s="48" t="e">
        <f ca="1">IF(INDIRECT("'["&amp;$C$1&amp;".xls]"&amp;$B521&amp;"'!$T29")="","",IF(INDIRECT("'["&amp;$C$1&amp;".xls]"&amp;$B521&amp;"'!$O$29")="済み",INDIRECT("'["&amp;$C$1&amp;".xls]"&amp;$B521&amp;"'!$T$29"),""))</f>
        <v>#REF!</v>
      </c>
      <c r="AP521" s="48" t="e">
        <f ca="1">IF(INDIRECT("'["&amp;$C$1&amp;".xls]"&amp;$B521&amp;"'!$T30")="","",IF(INDIRECT("'["&amp;$C$1&amp;".xls]"&amp;$B521&amp;"'!$O$30")="済み",INDIRECT("'["&amp;$C$1&amp;".xls]"&amp;$B521&amp;"'!$T$30"),""))</f>
        <v>#REF!</v>
      </c>
      <c r="AQ521" s="48" t="e">
        <f ca="1">IF(INDIRECT("'["&amp;$C$1&amp;".xls]"&amp;$B521&amp;"'!$T31")="","",IF(INDIRECT("'["&amp;$C$1&amp;".xls]"&amp;$B521&amp;"'!$O$31")="済み",INDIRECT("'["&amp;$C$1&amp;".xls]"&amp;$B521&amp;"'!$T$31"),""))</f>
        <v>#REF!</v>
      </c>
      <c r="AR521" s="48" t="e">
        <f ca="1">IF(INDIRECT("'["&amp;$C$1&amp;".xls]"&amp;$B521&amp;"'!$T32")="","",IF(INDIRECT("'["&amp;$C$1&amp;".xls]"&amp;$B521&amp;"'!$O$32")="済み",INDIRECT("'["&amp;$C$1&amp;".xls]"&amp;$B521&amp;"'!$T$32"),""))</f>
        <v>#REF!</v>
      </c>
      <c r="AS521" s="48" t="e">
        <f ca="1">IF(INDIRECT("'["&amp;$C$1&amp;".xls]"&amp;$B521&amp;"'!$T33")="","",IF(INDIRECT("'["&amp;$C$1&amp;".xls]"&amp;$B521&amp;"'!$O$33")="済み",INDIRECT("'["&amp;$C$1&amp;".xls]"&amp;$B521&amp;"'!$T$33"),""))</f>
        <v>#REF!</v>
      </c>
      <c r="AT521" s="48" t="e">
        <f ca="1">IF(INDIRECT("'["&amp;$C$1&amp;".xls]"&amp;$B521&amp;"'!$T34")="","",IF(INDIRECT("'["&amp;$C$1&amp;".xls]"&amp;$B521&amp;"'!$O$34")="済み",INDIRECT("'["&amp;$C$1&amp;".xls]"&amp;$B521&amp;"'!$T$34"),""))</f>
        <v>#REF!</v>
      </c>
      <c r="AU521" s="93" t="e">
        <f ca="1">INDIRECT("'["&amp;$C$1&amp;".xls]"&amp;$B521&amp;"'!$B$6")</f>
        <v>#REF!</v>
      </c>
      <c r="AV521" s="93" t="e">
        <f ca="1">INDIRECT("'["&amp;$C$1&amp;".xls]"&amp;$B521&amp;"'!$Y$22")</f>
        <v>#REF!</v>
      </c>
      <c r="AW521" s="93" t="e">
        <f ca="1">INDIRECT("'["&amp;$C$1&amp;".xls]"&amp;$B521&amp;"'!$Y$24")</f>
        <v>#REF!</v>
      </c>
      <c r="AX521" s="93" t="e">
        <f ca="1">INDIRECT("'["&amp;$C$1&amp;".xls]"&amp;$B521&amp;"'!$Y$26")</f>
        <v>#REF!</v>
      </c>
      <c r="AY521" s="93" t="e">
        <f ca="1">INDIRECT("'["&amp;$C$1&amp;".xls]"&amp;$B521&amp;"'!$Y$28")</f>
        <v>#REF!</v>
      </c>
    </row>
    <row r="522" spans="1:52" ht="16.5" customHeight="1" x14ac:dyDescent="0.15">
      <c r="A522" s="153" t="s">
        <v>5446</v>
      </c>
      <c r="B522" s="154" t="s">
        <v>5447</v>
      </c>
      <c r="C522" s="48" t="s">
        <v>5448</v>
      </c>
      <c r="D522" s="62" t="s">
        <v>5449</v>
      </c>
      <c r="E522" s="48" t="s">
        <v>300</v>
      </c>
      <c r="F522" s="61">
        <v>42576</v>
      </c>
      <c r="G522" s="61">
        <v>0</v>
      </c>
      <c r="H522" s="125">
        <v>42584</v>
      </c>
      <c r="I522" s="61" t="s">
        <v>279</v>
      </c>
      <c r="J522" s="87"/>
      <c r="K522" s="62" t="s">
        <v>16</v>
      </c>
      <c r="L522" s="62">
        <v>5</v>
      </c>
      <c r="M522" s="62" t="s">
        <v>209</v>
      </c>
      <c r="N522" s="62" t="s">
        <v>5450</v>
      </c>
      <c r="O522" s="48" t="s">
        <v>1402</v>
      </c>
      <c r="P522" s="48" t="s">
        <v>4070</v>
      </c>
      <c r="Q522" s="48" t="s">
        <v>971</v>
      </c>
      <c r="R522" s="48" t="s">
        <v>5451</v>
      </c>
      <c r="S522" s="48" t="s">
        <v>3318</v>
      </c>
      <c r="T522" s="48" t="s">
        <v>3319</v>
      </c>
      <c r="U522" s="48" t="s">
        <v>5452</v>
      </c>
      <c r="V522" s="122" t="s">
        <v>263</v>
      </c>
      <c r="W522" s="122" t="s">
        <v>263</v>
      </c>
      <c r="X522" s="48" t="s">
        <v>5453</v>
      </c>
      <c r="Y522" s="48" t="s">
        <v>5454</v>
      </c>
      <c r="Z522" s="61"/>
      <c r="AA522" s="48" t="s">
        <v>273</v>
      </c>
      <c r="AB522" s="48" t="s">
        <v>273</v>
      </c>
      <c r="AC522" s="48" t="s">
        <v>273</v>
      </c>
      <c r="AD522" s="48" t="s">
        <v>273</v>
      </c>
      <c r="AE522" s="48" t="s">
        <v>273</v>
      </c>
      <c r="AF522" s="48" t="s">
        <v>273</v>
      </c>
      <c r="AG522" s="48" t="s">
        <v>273</v>
      </c>
      <c r="AH522" s="48" t="s">
        <v>273</v>
      </c>
      <c r="AI522" s="48" t="s">
        <v>273</v>
      </c>
      <c r="AJ522" s="48" t="s">
        <v>273</v>
      </c>
      <c r="AK522" s="48" t="s">
        <v>273</v>
      </c>
      <c r="AL522" s="48" t="s">
        <v>273</v>
      </c>
      <c r="AM522" s="48" t="s">
        <v>273</v>
      </c>
      <c r="AN522" s="48" t="s">
        <v>273</v>
      </c>
      <c r="AO522" s="48" t="s">
        <v>273</v>
      </c>
      <c r="AP522" s="48" t="s">
        <v>273</v>
      </c>
      <c r="AQ522" s="48" t="s">
        <v>273</v>
      </c>
      <c r="AR522" s="48" t="s">
        <v>273</v>
      </c>
      <c r="AS522" s="48" t="s">
        <v>273</v>
      </c>
      <c r="AT522" s="48" t="s">
        <v>273</v>
      </c>
      <c r="AU522" s="93">
        <v>40513</v>
      </c>
      <c r="AV522" s="93" t="s">
        <v>5455</v>
      </c>
      <c r="AW522" s="93" t="s">
        <v>5456</v>
      </c>
      <c r="AX522" s="93" t="s">
        <v>5457</v>
      </c>
      <c r="AY522" s="93" t="s">
        <v>5458</v>
      </c>
      <c r="AZ522" s="49" t="s">
        <v>5459</v>
      </c>
    </row>
    <row r="523" spans="1:52" ht="16.5" customHeight="1" x14ac:dyDescent="0.15">
      <c r="A523" s="182" t="s">
        <v>5460</v>
      </c>
      <c r="B523" s="183" t="s">
        <v>5461</v>
      </c>
      <c r="C523" s="48" t="s">
        <v>298</v>
      </c>
      <c r="D523" s="62" t="s">
        <v>263</v>
      </c>
      <c r="E523" s="48" t="s">
        <v>264</v>
      </c>
      <c r="F523" s="61">
        <v>42576</v>
      </c>
      <c r="G523" s="61">
        <v>0</v>
      </c>
      <c r="H523" s="125">
        <v>42650</v>
      </c>
      <c r="I523" s="61">
        <v>41723</v>
      </c>
      <c r="J523" s="87"/>
      <c r="K523" s="62" t="s">
        <v>16</v>
      </c>
      <c r="L523" s="62">
        <v>3</v>
      </c>
      <c r="M523" s="62" t="s">
        <v>471</v>
      </c>
      <c r="N523" s="62" t="s">
        <v>5462</v>
      </c>
      <c r="O523" s="48" t="s">
        <v>502</v>
      </c>
      <c r="P523" s="48" t="s">
        <v>1741</v>
      </c>
      <c r="Q523" s="48" t="s">
        <v>4267</v>
      </c>
      <c r="R523" s="48" t="s">
        <v>399</v>
      </c>
      <c r="S523" s="48" t="s">
        <v>400</v>
      </c>
      <c r="T523" s="48" t="s">
        <v>401</v>
      </c>
      <c r="U523" s="48" t="s">
        <v>4268</v>
      </c>
      <c r="V523" s="122" t="s">
        <v>263</v>
      </c>
      <c r="W523" s="122" t="s">
        <v>263</v>
      </c>
      <c r="X523" s="48" t="s">
        <v>4269</v>
      </c>
      <c r="Y523" s="48" t="s">
        <v>4270</v>
      </c>
      <c r="Z523" s="61"/>
      <c r="AA523" s="48" t="s">
        <v>273</v>
      </c>
      <c r="AB523" s="48" t="s">
        <v>273</v>
      </c>
      <c r="AC523" s="48" t="s">
        <v>273</v>
      </c>
      <c r="AD523" s="48" t="s">
        <v>273</v>
      </c>
      <c r="AE523" s="48" t="s">
        <v>273</v>
      </c>
      <c r="AF523" s="48" t="s">
        <v>273</v>
      </c>
      <c r="AG523" s="48" t="s">
        <v>273</v>
      </c>
      <c r="AH523" s="48" t="s">
        <v>273</v>
      </c>
      <c r="AI523" s="48" t="s">
        <v>273</v>
      </c>
      <c r="AJ523" s="48" t="s">
        <v>273</v>
      </c>
      <c r="AK523" s="48" t="s">
        <v>273</v>
      </c>
      <c r="AL523" s="48" t="s">
        <v>273</v>
      </c>
      <c r="AM523" s="48" t="s">
        <v>273</v>
      </c>
      <c r="AN523" s="48" t="s">
        <v>273</v>
      </c>
      <c r="AO523" s="48" t="s">
        <v>273</v>
      </c>
      <c r="AP523" s="48" t="s">
        <v>273</v>
      </c>
      <c r="AQ523" s="48" t="s">
        <v>273</v>
      </c>
      <c r="AR523" s="48" t="s">
        <v>273</v>
      </c>
      <c r="AS523" s="48" t="s">
        <v>273</v>
      </c>
      <c r="AT523" s="48" t="s">
        <v>273</v>
      </c>
      <c r="AU523" s="93">
        <v>41699</v>
      </c>
      <c r="AV523" s="93"/>
      <c r="AW523" s="93"/>
      <c r="AX523" s="93"/>
      <c r="AY523" s="93"/>
    </row>
    <row r="524" spans="1:52" ht="16.5" customHeight="1" x14ac:dyDescent="0.15">
      <c r="A524" s="153" t="s">
        <v>5463</v>
      </c>
      <c r="B524" s="154" t="s">
        <v>5464</v>
      </c>
      <c r="C524" s="48" t="s">
        <v>330</v>
      </c>
      <c r="D524" s="62" t="s">
        <v>263</v>
      </c>
      <c r="E524" s="48" t="s">
        <v>300</v>
      </c>
      <c r="F524" s="61">
        <v>42576</v>
      </c>
      <c r="G524" s="61">
        <v>0</v>
      </c>
      <c r="H524" s="125">
        <v>42590</v>
      </c>
      <c r="I524" s="61">
        <v>38854</v>
      </c>
      <c r="J524" s="87"/>
      <c r="K524" s="124" t="s">
        <v>263</v>
      </c>
      <c r="L524" s="124" t="s">
        <v>263</v>
      </c>
      <c r="M524" s="62" t="s">
        <v>394</v>
      </c>
      <c r="N524" s="62" t="s">
        <v>5465</v>
      </c>
      <c r="O524" s="48" t="s">
        <v>555</v>
      </c>
      <c r="P524" s="48" t="s">
        <v>1425</v>
      </c>
      <c r="Q524" s="48" t="s">
        <v>5466</v>
      </c>
      <c r="R524" s="48" t="s">
        <v>399</v>
      </c>
      <c r="S524" s="48" t="s">
        <v>400</v>
      </c>
      <c r="T524" s="48" t="s">
        <v>401</v>
      </c>
      <c r="U524" s="48" t="s">
        <v>5467</v>
      </c>
      <c r="V524" s="122" t="s">
        <v>263</v>
      </c>
      <c r="W524" s="122" t="s">
        <v>263</v>
      </c>
      <c r="X524" s="48" t="s">
        <v>5468</v>
      </c>
      <c r="Y524" s="48" t="s">
        <v>5469</v>
      </c>
      <c r="Z524" s="61"/>
      <c r="AA524" s="48" t="s">
        <v>273</v>
      </c>
      <c r="AB524" s="48" t="s">
        <v>273</v>
      </c>
      <c r="AC524" s="48" t="s">
        <v>273</v>
      </c>
      <c r="AD524" s="48" t="s">
        <v>273</v>
      </c>
      <c r="AE524" s="48" t="s">
        <v>273</v>
      </c>
      <c r="AF524" s="48" t="s">
        <v>273</v>
      </c>
      <c r="AG524" s="48" t="s">
        <v>273</v>
      </c>
      <c r="AH524" s="48" t="s">
        <v>273</v>
      </c>
      <c r="AI524" s="48" t="s">
        <v>273</v>
      </c>
      <c r="AJ524" s="48" t="s">
        <v>273</v>
      </c>
      <c r="AK524" s="48" t="s">
        <v>273</v>
      </c>
      <c r="AL524" s="48" t="s">
        <v>273</v>
      </c>
      <c r="AM524" s="48" t="s">
        <v>273</v>
      </c>
      <c r="AN524" s="48" t="s">
        <v>273</v>
      </c>
      <c r="AO524" s="48" t="s">
        <v>273</v>
      </c>
      <c r="AP524" s="48" t="s">
        <v>273</v>
      </c>
      <c r="AQ524" s="48" t="s">
        <v>273</v>
      </c>
      <c r="AR524" s="48" t="s">
        <v>273</v>
      </c>
      <c r="AS524" s="48" t="s">
        <v>273</v>
      </c>
      <c r="AT524" s="48" t="s">
        <v>273</v>
      </c>
      <c r="AU524" s="93">
        <v>38565</v>
      </c>
      <c r="AV524" s="93" t="s">
        <v>5470</v>
      </c>
      <c r="AW524" s="93" t="s">
        <v>5471</v>
      </c>
      <c r="AX524" s="93" t="s">
        <v>5472</v>
      </c>
      <c r="AY524" s="93" t="s">
        <v>5473</v>
      </c>
      <c r="AZ524" s="49" t="s">
        <v>4028</v>
      </c>
    </row>
    <row r="525" spans="1:52" ht="16.5" customHeight="1" x14ac:dyDescent="0.15">
      <c r="A525" s="121" t="s">
        <v>5474</v>
      </c>
      <c r="B525" s="47" t="s">
        <v>5475</v>
      </c>
      <c r="C525" s="48" t="e">
        <f ca="1">INDIRECT("'["&amp;$C$1&amp;".xls]"&amp;$B525&amp;"'!$i$7")</f>
        <v>#REF!</v>
      </c>
      <c r="D525" s="62" t="e">
        <f ca="1">INDIRECT("'["&amp;$C$1&amp;".xls]"&amp;$B525&amp;"'!$b$7")</f>
        <v>#REF!</v>
      </c>
      <c r="E525" s="48" t="e">
        <f ca="1">IF(INDIRECT("'["&amp;$C$1&amp;".xls]"&amp;$B525&amp;"'!$i$2")="","",INDIRECT("'["&amp;$C$1&amp;".xls]"&amp;$B525&amp;"'!$i$2"))</f>
        <v>#REF!</v>
      </c>
      <c r="F525" s="61" t="e">
        <f ca="1">INDIRECT("'["&amp;$C$1&amp;".xls]"&amp;$B525&amp;"'!$b$2")</f>
        <v>#REF!</v>
      </c>
      <c r="G525" s="61" t="e">
        <f ca="1">INDIRECT("'["&amp;$C$1&amp;".xls]"&amp;$B525&amp;"'!$a$20")</f>
        <v>#REF!</v>
      </c>
      <c r="H525" s="88" t="e">
        <f ca="1">INDIRECT("'["&amp;$C$1&amp;".xls]"&amp;$B525&amp;"'!$Q$22")</f>
        <v>#REF!</v>
      </c>
      <c r="I525" s="61" t="e">
        <f ca="1">INDIRECT("'["&amp;$C$1&amp;".xls]"&amp;$B525&amp;"'!$f$6")</f>
        <v>#REF!</v>
      </c>
      <c r="J525" s="87"/>
      <c r="K525" s="62" t="e">
        <f ca="1">INDIRECT("'["&amp;$C$1&amp;".xls]"&amp;$B525&amp;"'!$f$25")</f>
        <v>#REF!</v>
      </c>
      <c r="L525" s="62"/>
      <c r="M525" s="62" t="e">
        <f ca="1">INDIRECT("'["&amp;$C$1&amp;".xls]"&amp;$B525&amp;"'!$f$4")</f>
        <v>#REF!</v>
      </c>
      <c r="N525" s="62" t="e">
        <f ca="1">INDIRECT("'["&amp;$C$1&amp;".xls]"&amp;$B525&amp;"'!$i$4")</f>
        <v>#REF!</v>
      </c>
      <c r="O525" s="48" t="e">
        <f ca="1">INDIRECT("'["&amp;$C$1&amp;".xls]"&amp;$B525&amp;"'!$l$4")</f>
        <v>#REF!</v>
      </c>
      <c r="P525" s="48" t="e">
        <f ca="1">INDIRECT("'["&amp;$C$1&amp;".xls]"&amp;$B525&amp;"'!$b$5")</f>
        <v>#REF!</v>
      </c>
      <c r="Q525" s="48" t="e">
        <f ca="1">INDIRECT("'["&amp;$C$1&amp;".xls]"&amp;$B525&amp;"'!$f$5")</f>
        <v>#REF!</v>
      </c>
      <c r="R525" s="48"/>
      <c r="S525" s="48" t="e">
        <f ca="1">INDIRECT("'["&amp;$C$1&amp;".xls]"&amp;$B525&amp;"'!$i$5")</f>
        <v>#REF!</v>
      </c>
      <c r="T525" s="48" t="e">
        <f ca="1">INDIRECT("'["&amp;$C$1&amp;".xls]"&amp;$B525&amp;"'!$l$5")</f>
        <v>#REF!</v>
      </c>
      <c r="U525" s="48" t="e">
        <f ca="1">INDIRECT("'["&amp;$C$1&amp;".xls]"&amp;$B525&amp;"'!$b$4")</f>
        <v>#REF!</v>
      </c>
      <c r="V525" s="48"/>
      <c r="W525" s="48"/>
      <c r="X525" s="48"/>
      <c r="Y525" s="48"/>
      <c r="Z525" s="61"/>
      <c r="AA525" s="48" t="e">
        <f ca="1">IF(INDIRECT("'["&amp;$C$1&amp;".xls]"&amp;$B525&amp;"'!$P$25")="","",IF(INDIRECT("'["&amp;$C$1&amp;".xls]"&amp;$B525&amp;"'!$O$25")="済み",INDIRECT("'["&amp;$C$1&amp;".xls]"&amp;$B525&amp;"'!$P$25"),""))</f>
        <v>#REF!</v>
      </c>
      <c r="AB525" s="48" t="e">
        <f ca="1">IF(INDIRECT("'["&amp;$C$1&amp;".xls]"&amp;$B525&amp;"'!$P$26")="","",IF(INDIRECT("'["&amp;$C$1&amp;".xls]"&amp;$B525&amp;"'!$O$26")="済み",INDIRECT("'["&amp;$C$1&amp;".xls]"&amp;$B525&amp;"'!$P$26"),""))</f>
        <v>#REF!</v>
      </c>
      <c r="AC525" s="48" t="e">
        <f ca="1">IF(INDIRECT("'["&amp;$C$1&amp;".xls]"&amp;$B525&amp;"'!$P$27")="","",IF(INDIRECT("'["&amp;$C$1&amp;".xls]"&amp;$B525&amp;"'!$O$27")="済み",INDIRECT("'["&amp;$C$1&amp;".xls]"&amp;$B525&amp;"'!$P$27"),""))</f>
        <v>#REF!</v>
      </c>
      <c r="AD525" s="48" t="e">
        <f ca="1">IF(INDIRECT("'["&amp;$C$1&amp;".xls]"&amp;$B525&amp;"'!$P$28")="","",IF(INDIRECT("'["&amp;$C$1&amp;".xls]"&amp;$B525&amp;"'!$O$28")="済み",INDIRECT("'["&amp;$C$1&amp;".xls]"&amp;$B525&amp;"'!$P$28"),""))</f>
        <v>#REF!</v>
      </c>
      <c r="AE525" s="48" t="e">
        <f ca="1">IF(INDIRECT("'["&amp;$C$1&amp;".xls]"&amp;$B525&amp;"'!$P$29")="","",IF(INDIRECT("'["&amp;$C$1&amp;".xls]"&amp;$B525&amp;"'!$O$29")="済み",INDIRECT("'["&amp;$C$1&amp;".xls]"&amp;$B525&amp;"'!$P$29"),""))</f>
        <v>#REF!</v>
      </c>
      <c r="AF525" s="48" t="e">
        <f ca="1">IF(INDIRECT("'["&amp;$C$1&amp;".xls]"&amp;$B525&amp;"'!$P$30")="","",IF(INDIRECT("'["&amp;$C$1&amp;".xls]"&amp;$B525&amp;"'!$O$30")="済み",INDIRECT("'["&amp;$C$1&amp;".xls]"&amp;$B525&amp;"'!$P$30"),""))</f>
        <v>#REF!</v>
      </c>
      <c r="AG525" s="48" t="e">
        <f ca="1">IF(INDIRECT("'["&amp;$C$1&amp;".xls]"&amp;$B525&amp;"'!$P$31")="","",IF(INDIRECT("'["&amp;$C$1&amp;".xls]"&amp;$B525&amp;"'!$O$31")="済み",INDIRECT("'["&amp;$C$1&amp;".xls]"&amp;$B525&amp;"'!$P$31"),""))</f>
        <v>#REF!</v>
      </c>
      <c r="AH525" s="48" t="e">
        <f ca="1">IF(INDIRECT("'["&amp;$C$1&amp;".xls]"&amp;$B525&amp;"'!$P$32")="","",IF(INDIRECT("'["&amp;$C$1&amp;".xls]"&amp;$B525&amp;"'!$O$32")="済み",INDIRECT("'["&amp;$C$1&amp;".xls]"&amp;$B525&amp;"'!$P$32"),""))</f>
        <v>#REF!</v>
      </c>
      <c r="AI525" s="48" t="e">
        <f ca="1">IF(INDIRECT("'["&amp;$C$1&amp;".xls]"&amp;$B525&amp;"'!$P$33")="","",IF(INDIRECT("'["&amp;$C$1&amp;".xls]"&amp;$B525&amp;"'!$O$33")="済み",INDIRECT("'["&amp;$C$1&amp;".xls]"&amp;$B525&amp;"'!$P$33"),""))</f>
        <v>#REF!</v>
      </c>
      <c r="AJ525" s="48" t="e">
        <f ca="1">IF(INDIRECT("'["&amp;$C$1&amp;".xls]"&amp;$B525&amp;"'!$P$34")="","",IF(INDIRECT("'["&amp;$C$1&amp;".xls]"&amp;$B525&amp;"'!$O$34")="済み",INDIRECT("'["&amp;$C$1&amp;".xls]"&amp;$B525&amp;"'!$P$34"),""))</f>
        <v>#REF!</v>
      </c>
      <c r="AK525" s="48" t="e">
        <f ca="1">IF(INDIRECT("'["&amp;$C$1&amp;".xls]"&amp;$B525&amp;"'!$T25")="","",IF(INDIRECT("'["&amp;$C$1&amp;".xls]"&amp;$B525&amp;"'!$O$25")="済み",INDIRECT("'["&amp;$C$1&amp;".xls]"&amp;$B525&amp;"'!$T$25"),""))</f>
        <v>#REF!</v>
      </c>
      <c r="AL525" s="48" t="e">
        <f ca="1">IF(INDIRECT("'["&amp;$C$1&amp;".xls]"&amp;$B525&amp;"'!$T26")="","",IF(INDIRECT("'["&amp;$C$1&amp;".xls]"&amp;$B525&amp;"'!$O$26")="済み",INDIRECT("'["&amp;$C$1&amp;".xls]"&amp;$B525&amp;"'!$T$26"),""))</f>
        <v>#REF!</v>
      </c>
      <c r="AM525" s="48" t="e">
        <f ca="1">IF(INDIRECT("'["&amp;$C$1&amp;".xls]"&amp;$B525&amp;"'!$T27")="","",IF(INDIRECT("'["&amp;$C$1&amp;".xls]"&amp;$B525&amp;"'!$O$27")="済み",INDIRECT("'["&amp;$C$1&amp;".xls]"&amp;$B525&amp;"'!$T$27"),""))</f>
        <v>#REF!</v>
      </c>
      <c r="AN525" s="48" t="e">
        <f ca="1">IF(INDIRECT("'["&amp;$C$1&amp;".xls]"&amp;$B525&amp;"'!$T28")="","",IF(INDIRECT("'["&amp;$C$1&amp;".xls]"&amp;$B525&amp;"'!$O$28")="済み",INDIRECT("'["&amp;$C$1&amp;".xls]"&amp;$B525&amp;"'!$T$28"),""))</f>
        <v>#REF!</v>
      </c>
      <c r="AO525" s="48" t="e">
        <f ca="1">IF(INDIRECT("'["&amp;$C$1&amp;".xls]"&amp;$B525&amp;"'!$T29")="","",IF(INDIRECT("'["&amp;$C$1&amp;".xls]"&amp;$B525&amp;"'!$O$29")="済み",INDIRECT("'["&amp;$C$1&amp;".xls]"&amp;$B525&amp;"'!$T$29"),""))</f>
        <v>#REF!</v>
      </c>
      <c r="AP525" s="48" t="e">
        <f ca="1">IF(INDIRECT("'["&amp;$C$1&amp;".xls]"&amp;$B525&amp;"'!$T30")="","",IF(INDIRECT("'["&amp;$C$1&amp;".xls]"&amp;$B525&amp;"'!$O$30")="済み",INDIRECT("'["&amp;$C$1&amp;".xls]"&amp;$B525&amp;"'!$T$30"),""))</f>
        <v>#REF!</v>
      </c>
      <c r="AQ525" s="48" t="e">
        <f ca="1">IF(INDIRECT("'["&amp;$C$1&amp;".xls]"&amp;$B525&amp;"'!$T31")="","",IF(INDIRECT("'["&amp;$C$1&amp;".xls]"&amp;$B525&amp;"'!$O$31")="済み",INDIRECT("'["&amp;$C$1&amp;".xls]"&amp;$B525&amp;"'!$T$31"),""))</f>
        <v>#REF!</v>
      </c>
      <c r="AR525" s="48" t="e">
        <f ca="1">IF(INDIRECT("'["&amp;$C$1&amp;".xls]"&amp;$B525&amp;"'!$T32")="","",IF(INDIRECT("'["&amp;$C$1&amp;".xls]"&amp;$B525&amp;"'!$O$32")="済み",INDIRECT("'["&amp;$C$1&amp;".xls]"&amp;$B525&amp;"'!$T$32"),""))</f>
        <v>#REF!</v>
      </c>
      <c r="AS525" s="48" t="e">
        <f ca="1">IF(INDIRECT("'["&amp;$C$1&amp;".xls]"&amp;$B525&amp;"'!$T33")="","",IF(INDIRECT("'["&amp;$C$1&amp;".xls]"&amp;$B525&amp;"'!$O$33")="済み",INDIRECT("'["&amp;$C$1&amp;".xls]"&amp;$B525&amp;"'!$T$33"),""))</f>
        <v>#REF!</v>
      </c>
      <c r="AT525" s="48" t="e">
        <f ca="1">IF(INDIRECT("'["&amp;$C$1&amp;".xls]"&amp;$B525&amp;"'!$T34")="","",IF(INDIRECT("'["&amp;$C$1&amp;".xls]"&amp;$B525&amp;"'!$O$34")="済み",INDIRECT("'["&amp;$C$1&amp;".xls]"&amp;$B525&amp;"'!$T$34"),""))</f>
        <v>#REF!</v>
      </c>
      <c r="AU525" s="93" t="e">
        <f ca="1">INDIRECT("'["&amp;$C$1&amp;".xls]"&amp;$B525&amp;"'!$B$6")</f>
        <v>#REF!</v>
      </c>
      <c r="AV525" s="93" t="e">
        <f ca="1">INDIRECT("'["&amp;$C$1&amp;".xls]"&amp;$B525&amp;"'!$Y$22")</f>
        <v>#REF!</v>
      </c>
      <c r="AW525" s="93" t="e">
        <f ca="1">INDIRECT("'["&amp;$C$1&amp;".xls]"&amp;$B525&amp;"'!$Y$24")</f>
        <v>#REF!</v>
      </c>
      <c r="AX525" s="93" t="e">
        <f ca="1">INDIRECT("'["&amp;$C$1&amp;".xls]"&amp;$B525&amp;"'!$Y$26")</f>
        <v>#REF!</v>
      </c>
      <c r="AY525" s="93" t="e">
        <f ca="1">INDIRECT("'["&amp;$C$1&amp;".xls]"&amp;$B525&amp;"'!$Y$28")</f>
        <v>#REF!</v>
      </c>
    </row>
    <row r="526" spans="1:52" ht="16.5" customHeight="1" x14ac:dyDescent="0.15">
      <c r="A526" s="182" t="s">
        <v>5476</v>
      </c>
      <c r="B526" s="183" t="s">
        <v>5477</v>
      </c>
      <c r="C526" s="48" t="s">
        <v>5478</v>
      </c>
      <c r="D526" s="62" t="s">
        <v>5479</v>
      </c>
      <c r="E526" s="48" t="s">
        <v>264</v>
      </c>
      <c r="F526" s="61">
        <v>42577</v>
      </c>
      <c r="G526" s="61">
        <v>0</v>
      </c>
      <c r="H526" s="125">
        <v>42647</v>
      </c>
      <c r="I526" s="61" t="s">
        <v>279</v>
      </c>
      <c r="J526" s="87"/>
      <c r="K526" s="62" t="s">
        <v>16</v>
      </c>
      <c r="L526" s="62">
        <v>3</v>
      </c>
      <c r="M526" s="62" t="s">
        <v>651</v>
      </c>
      <c r="N526" s="62" t="s">
        <v>5480</v>
      </c>
      <c r="O526" s="48" t="s">
        <v>1799</v>
      </c>
      <c r="P526" s="130" t="s">
        <v>267</v>
      </c>
      <c r="Q526" s="130" t="s">
        <v>5481</v>
      </c>
      <c r="R526" s="130" t="s">
        <v>2441</v>
      </c>
      <c r="S526" s="130" t="s">
        <v>2442</v>
      </c>
      <c r="T526" s="130" t="s">
        <v>2443</v>
      </c>
      <c r="U526" s="48" t="s">
        <v>5482</v>
      </c>
      <c r="V526" s="122" t="s">
        <v>263</v>
      </c>
      <c r="W526" s="122" t="s">
        <v>263</v>
      </c>
      <c r="X526" s="48" t="s">
        <v>4717</v>
      </c>
      <c r="Y526" s="48" t="s">
        <v>4718</v>
      </c>
      <c r="Z526" s="61"/>
      <c r="AA526" s="48" t="s">
        <v>962</v>
      </c>
      <c r="AB526" s="48" t="s">
        <v>273</v>
      </c>
      <c r="AC526" s="48" t="s">
        <v>273</v>
      </c>
      <c r="AD526" s="48" t="s">
        <v>273</v>
      </c>
      <c r="AE526" s="48" t="s">
        <v>273</v>
      </c>
      <c r="AF526" s="48" t="s">
        <v>273</v>
      </c>
      <c r="AG526" s="48" t="s">
        <v>273</v>
      </c>
      <c r="AH526" s="48" t="s">
        <v>273</v>
      </c>
      <c r="AI526" s="48" t="s">
        <v>273</v>
      </c>
      <c r="AJ526" s="48" t="s">
        <v>273</v>
      </c>
      <c r="AK526" s="48" t="s">
        <v>963</v>
      </c>
      <c r="AL526" s="48" t="s">
        <v>273</v>
      </c>
      <c r="AM526" s="48" t="s">
        <v>273</v>
      </c>
      <c r="AN526" s="48" t="s">
        <v>273</v>
      </c>
      <c r="AO526" s="48" t="s">
        <v>273</v>
      </c>
      <c r="AP526" s="48" t="s">
        <v>273</v>
      </c>
      <c r="AQ526" s="48" t="s">
        <v>273</v>
      </c>
      <c r="AR526" s="48" t="s">
        <v>273</v>
      </c>
      <c r="AS526" s="48" t="s">
        <v>273</v>
      </c>
      <c r="AT526" s="48" t="s">
        <v>273</v>
      </c>
      <c r="AU526" s="93">
        <v>42125</v>
      </c>
      <c r="AV526" s="93" t="s">
        <v>5483</v>
      </c>
      <c r="AW526" s="93" t="s">
        <v>5484</v>
      </c>
      <c r="AX526" s="93" t="s">
        <v>5485</v>
      </c>
      <c r="AY526" s="93" t="s">
        <v>5312</v>
      </c>
    </row>
    <row r="527" spans="1:52" ht="16.5" customHeight="1" x14ac:dyDescent="0.15">
      <c r="A527" s="156" t="s">
        <v>5486</v>
      </c>
      <c r="B527" s="157" t="s">
        <v>5487</v>
      </c>
      <c r="C527" s="48" t="s">
        <v>298</v>
      </c>
      <c r="D527" s="62" t="s">
        <v>5488</v>
      </c>
      <c r="E527" s="48" t="s">
        <v>300</v>
      </c>
      <c r="F527" s="61">
        <v>42578</v>
      </c>
      <c r="G527" s="61">
        <v>0</v>
      </c>
      <c r="H527" s="125">
        <v>42628</v>
      </c>
      <c r="I527" s="61" t="s">
        <v>279</v>
      </c>
      <c r="J527" s="87"/>
      <c r="K527" s="62" t="s">
        <v>16</v>
      </c>
      <c r="L527" s="62">
        <v>3</v>
      </c>
      <c r="M527" s="62" t="s">
        <v>755</v>
      </c>
      <c r="N527" s="62" t="s">
        <v>5489</v>
      </c>
      <c r="O527" s="48" t="s">
        <v>2103</v>
      </c>
      <c r="P527" s="48" t="s">
        <v>5490</v>
      </c>
      <c r="Q527" s="48" t="s">
        <v>5491</v>
      </c>
      <c r="R527" s="48" t="s">
        <v>5492</v>
      </c>
      <c r="S527" s="130" t="s">
        <v>5493</v>
      </c>
      <c r="T527" s="130" t="s">
        <v>5494</v>
      </c>
      <c r="U527" s="48" t="s">
        <v>354</v>
      </c>
      <c r="V527" s="122" t="s">
        <v>263</v>
      </c>
      <c r="W527" s="122" t="s">
        <v>263</v>
      </c>
      <c r="X527" s="48" t="s">
        <v>355</v>
      </c>
      <c r="Y527" s="48" t="s">
        <v>5495</v>
      </c>
      <c r="Z527" s="61"/>
      <c r="AA527" s="48" t="s">
        <v>1056</v>
      </c>
      <c r="AB527" s="48" t="s">
        <v>273</v>
      </c>
      <c r="AC527" s="48" t="s">
        <v>273</v>
      </c>
      <c r="AD527" s="48" t="s">
        <v>273</v>
      </c>
      <c r="AE527" s="48" t="s">
        <v>273</v>
      </c>
      <c r="AF527" s="48" t="s">
        <v>273</v>
      </c>
      <c r="AG527" s="48" t="s">
        <v>273</v>
      </c>
      <c r="AH527" s="48" t="s">
        <v>273</v>
      </c>
      <c r="AI527" s="48" t="s">
        <v>273</v>
      </c>
      <c r="AJ527" s="48" t="s">
        <v>273</v>
      </c>
      <c r="AK527" s="48" t="s">
        <v>1059</v>
      </c>
      <c r="AL527" s="48" t="s">
        <v>273</v>
      </c>
      <c r="AM527" s="48" t="s">
        <v>273</v>
      </c>
      <c r="AN527" s="48" t="s">
        <v>273</v>
      </c>
      <c r="AO527" s="48" t="s">
        <v>273</v>
      </c>
      <c r="AP527" s="48" t="s">
        <v>273</v>
      </c>
      <c r="AQ527" s="48" t="s">
        <v>273</v>
      </c>
      <c r="AR527" s="48" t="s">
        <v>273</v>
      </c>
      <c r="AS527" s="48" t="s">
        <v>273</v>
      </c>
      <c r="AT527" s="48" t="s">
        <v>273</v>
      </c>
      <c r="AU527" s="93">
        <v>39022</v>
      </c>
      <c r="AV527" s="93" t="s">
        <v>5496</v>
      </c>
      <c r="AW527" s="93" t="s">
        <v>5497</v>
      </c>
      <c r="AX527" s="93" t="s">
        <v>5498</v>
      </c>
      <c r="AY527" s="93" t="s">
        <v>5312</v>
      </c>
    </row>
    <row r="528" spans="1:52" ht="16.5" customHeight="1" x14ac:dyDescent="0.15">
      <c r="A528" s="153" t="s">
        <v>5499</v>
      </c>
      <c r="B528" s="154" t="s">
        <v>5500</v>
      </c>
      <c r="C528" s="48" t="s">
        <v>298</v>
      </c>
      <c r="D528" s="62" t="s">
        <v>5501</v>
      </c>
      <c r="E528" s="48" t="s">
        <v>300</v>
      </c>
      <c r="F528" s="61">
        <v>42578</v>
      </c>
      <c r="G528" s="61">
        <v>0</v>
      </c>
      <c r="H528" s="125">
        <v>42601</v>
      </c>
      <c r="I528" s="61" t="s">
        <v>279</v>
      </c>
      <c r="J528" s="87"/>
      <c r="K528" s="62" t="s">
        <v>16</v>
      </c>
      <c r="L528" s="62">
        <v>3</v>
      </c>
      <c r="M528" s="62" t="s">
        <v>442</v>
      </c>
      <c r="N528" s="62" t="s">
        <v>3794</v>
      </c>
      <c r="O528" s="48" t="s">
        <v>872</v>
      </c>
      <c r="P528" s="48" t="s">
        <v>3795</v>
      </c>
      <c r="Q528" s="48" t="s">
        <v>3796</v>
      </c>
      <c r="R528" s="48" t="s">
        <v>3797</v>
      </c>
      <c r="S528" s="48" t="s">
        <v>3798</v>
      </c>
      <c r="T528" s="48" t="s">
        <v>3799</v>
      </c>
      <c r="U528" s="48" t="s">
        <v>3800</v>
      </c>
      <c r="V528" s="48" t="s">
        <v>5502</v>
      </c>
      <c r="W528" s="48" t="s">
        <v>5503</v>
      </c>
      <c r="X528" s="48" t="s">
        <v>3803</v>
      </c>
      <c r="Y528" s="48" t="s">
        <v>5504</v>
      </c>
      <c r="Z528" s="61" t="s">
        <v>849</v>
      </c>
      <c r="AA528" s="48"/>
      <c r="AB528" s="48" t="s">
        <v>273</v>
      </c>
      <c r="AC528" s="48" t="s">
        <v>273</v>
      </c>
      <c r="AD528" s="48" t="s">
        <v>273</v>
      </c>
      <c r="AE528" s="48" t="s">
        <v>273</v>
      </c>
      <c r="AF528" s="48" t="s">
        <v>273</v>
      </c>
      <c r="AG528" s="48" t="s">
        <v>273</v>
      </c>
      <c r="AH528" s="48" t="s">
        <v>273</v>
      </c>
      <c r="AI528" s="48" t="s">
        <v>273</v>
      </c>
      <c r="AJ528" s="48" t="s">
        <v>273</v>
      </c>
      <c r="AK528" s="48" t="s">
        <v>850</v>
      </c>
      <c r="AL528" s="48" t="s">
        <v>273</v>
      </c>
      <c r="AM528" s="48" t="s">
        <v>273</v>
      </c>
      <c r="AN528" s="48" t="s">
        <v>273</v>
      </c>
      <c r="AO528" s="48" t="s">
        <v>273</v>
      </c>
      <c r="AP528" s="48" t="s">
        <v>273</v>
      </c>
      <c r="AQ528" s="48" t="s">
        <v>273</v>
      </c>
      <c r="AR528" s="48" t="s">
        <v>273</v>
      </c>
      <c r="AS528" s="48" t="s">
        <v>273</v>
      </c>
      <c r="AT528" s="48" t="s">
        <v>273</v>
      </c>
      <c r="AU528" s="93">
        <v>39264</v>
      </c>
      <c r="AV528" s="93" t="s">
        <v>5505</v>
      </c>
      <c r="AW528" s="93" t="s">
        <v>5506</v>
      </c>
      <c r="AX528" s="93" t="s">
        <v>5507</v>
      </c>
      <c r="AY528" s="93" t="s">
        <v>5312</v>
      </c>
    </row>
    <row r="529" spans="1:52" ht="16.5" customHeight="1" x14ac:dyDescent="0.15">
      <c r="A529" s="153" t="s">
        <v>5508</v>
      </c>
      <c r="B529" s="154" t="s">
        <v>5509</v>
      </c>
      <c r="C529" s="48" t="s">
        <v>5510</v>
      </c>
      <c r="D529" s="62" t="s">
        <v>263</v>
      </c>
      <c r="E529" s="48" t="s">
        <v>300</v>
      </c>
      <c r="F529" s="61">
        <v>42578</v>
      </c>
      <c r="G529" s="61">
        <v>0</v>
      </c>
      <c r="H529" s="125">
        <v>42613</v>
      </c>
      <c r="I529" s="61">
        <v>39895</v>
      </c>
      <c r="J529" s="87"/>
      <c r="K529" s="62" t="s">
        <v>16</v>
      </c>
      <c r="L529" s="62">
        <v>3</v>
      </c>
      <c r="M529" s="62" t="s">
        <v>394</v>
      </c>
      <c r="N529" s="62" t="s">
        <v>5511</v>
      </c>
      <c r="O529" s="48" t="s">
        <v>396</v>
      </c>
      <c r="P529" s="48" t="s">
        <v>5512</v>
      </c>
      <c r="Q529" s="48" t="s">
        <v>5001</v>
      </c>
      <c r="R529" s="48" t="s">
        <v>399</v>
      </c>
      <c r="S529" s="48" t="s">
        <v>400</v>
      </c>
      <c r="T529" s="48" t="s">
        <v>401</v>
      </c>
      <c r="U529" s="48" t="s">
        <v>5002</v>
      </c>
      <c r="V529" s="122" t="s">
        <v>263</v>
      </c>
      <c r="W529" s="122" t="s">
        <v>263</v>
      </c>
      <c r="X529" s="48" t="s">
        <v>5003</v>
      </c>
      <c r="Y529" s="48" t="s">
        <v>5513</v>
      </c>
      <c r="Z529" s="61"/>
      <c r="AA529" s="48" t="s">
        <v>3073</v>
      </c>
      <c r="AB529" s="48" t="s">
        <v>1231</v>
      </c>
      <c r="AC529" s="48" t="s">
        <v>782</v>
      </c>
      <c r="AD529" s="48" t="s">
        <v>273</v>
      </c>
      <c r="AE529" s="48" t="s">
        <v>273</v>
      </c>
      <c r="AF529" s="48" t="s">
        <v>273</v>
      </c>
      <c r="AG529" s="48" t="s">
        <v>273</v>
      </c>
      <c r="AH529" s="48" t="s">
        <v>273</v>
      </c>
      <c r="AI529" s="48" t="s">
        <v>273</v>
      </c>
      <c r="AJ529" s="48" t="s">
        <v>273</v>
      </c>
      <c r="AK529" s="48" t="s">
        <v>564</v>
      </c>
      <c r="AL529" s="48" t="s">
        <v>1232</v>
      </c>
      <c r="AM529" s="48" t="s">
        <v>786</v>
      </c>
      <c r="AN529" s="48" t="s">
        <v>273</v>
      </c>
      <c r="AO529" s="48" t="s">
        <v>273</v>
      </c>
      <c r="AP529" s="48" t="s">
        <v>273</v>
      </c>
      <c r="AQ529" s="48" t="s">
        <v>273</v>
      </c>
      <c r="AR529" s="48" t="s">
        <v>273</v>
      </c>
      <c r="AS529" s="48" t="s">
        <v>273</v>
      </c>
      <c r="AT529" s="48" t="s">
        <v>273</v>
      </c>
      <c r="AU529" s="93">
        <v>39630</v>
      </c>
      <c r="AV529" s="93"/>
      <c r="AW529" s="93"/>
      <c r="AX529" s="93"/>
      <c r="AY529" s="93"/>
    </row>
    <row r="530" spans="1:52" ht="16.5" customHeight="1" x14ac:dyDescent="0.15">
      <c r="A530" s="182" t="s">
        <v>5514</v>
      </c>
      <c r="B530" s="183" t="s">
        <v>5515</v>
      </c>
      <c r="C530" s="48" t="s">
        <v>5516</v>
      </c>
      <c r="D530" s="62" t="s">
        <v>5517</v>
      </c>
      <c r="E530" s="48" t="s">
        <v>264</v>
      </c>
      <c r="F530" s="61">
        <v>42578</v>
      </c>
      <c r="G530" s="61">
        <v>0</v>
      </c>
      <c r="H530" s="125">
        <v>42647</v>
      </c>
      <c r="I530" s="61" t="s">
        <v>279</v>
      </c>
      <c r="J530" s="87"/>
      <c r="K530" s="62" t="s">
        <v>16</v>
      </c>
      <c r="L530" s="62">
        <v>3</v>
      </c>
      <c r="M530" s="62" t="s">
        <v>651</v>
      </c>
      <c r="N530" s="62" t="s">
        <v>5518</v>
      </c>
      <c r="O530" s="48" t="s">
        <v>5519</v>
      </c>
      <c r="P530" s="130" t="s">
        <v>267</v>
      </c>
      <c r="Q530" s="130" t="s">
        <v>379</v>
      </c>
      <c r="R530" s="130" t="s">
        <v>2441</v>
      </c>
      <c r="S530" s="130" t="s">
        <v>2442</v>
      </c>
      <c r="T530" s="130" t="s">
        <v>2443</v>
      </c>
      <c r="U530" s="48" t="s">
        <v>5520</v>
      </c>
      <c r="V530" s="122" t="s">
        <v>263</v>
      </c>
      <c r="W530" s="122" t="s">
        <v>263</v>
      </c>
      <c r="X530" s="48" t="s">
        <v>5521</v>
      </c>
      <c r="Y530" s="48" t="s">
        <v>5522</v>
      </c>
      <c r="Z530" s="61"/>
      <c r="AA530" s="48" t="s">
        <v>962</v>
      </c>
      <c r="AB530" s="48" t="s">
        <v>273</v>
      </c>
      <c r="AC530" s="48" t="s">
        <v>273</v>
      </c>
      <c r="AD530" s="48" t="s">
        <v>273</v>
      </c>
      <c r="AE530" s="48" t="s">
        <v>273</v>
      </c>
      <c r="AF530" s="48" t="s">
        <v>273</v>
      </c>
      <c r="AG530" s="48" t="s">
        <v>273</v>
      </c>
      <c r="AH530" s="48" t="s">
        <v>273</v>
      </c>
      <c r="AI530" s="48" t="s">
        <v>273</v>
      </c>
      <c r="AJ530" s="48" t="s">
        <v>273</v>
      </c>
      <c r="AK530" s="48" t="s">
        <v>963</v>
      </c>
      <c r="AL530" s="48" t="s">
        <v>273</v>
      </c>
      <c r="AM530" s="48" t="s">
        <v>273</v>
      </c>
      <c r="AN530" s="48" t="s">
        <v>273</v>
      </c>
      <c r="AO530" s="48" t="s">
        <v>273</v>
      </c>
      <c r="AP530" s="48" t="s">
        <v>273</v>
      </c>
      <c r="AQ530" s="48" t="s">
        <v>273</v>
      </c>
      <c r="AR530" s="48" t="s">
        <v>273</v>
      </c>
      <c r="AS530" s="48" t="s">
        <v>273</v>
      </c>
      <c r="AT530" s="48" t="s">
        <v>273</v>
      </c>
      <c r="AU530" s="93">
        <v>42217</v>
      </c>
      <c r="AV530" s="93" t="s">
        <v>5523</v>
      </c>
      <c r="AW530" s="93" t="s">
        <v>5524</v>
      </c>
      <c r="AX530" s="93" t="s">
        <v>5525</v>
      </c>
      <c r="AY530" s="93" t="s">
        <v>5312</v>
      </c>
    </row>
    <row r="531" spans="1:52" ht="16.5" customHeight="1" x14ac:dyDescent="0.15">
      <c r="A531" s="153" t="s">
        <v>5526</v>
      </c>
      <c r="B531" s="154" t="s">
        <v>5527</v>
      </c>
      <c r="C531" s="48" t="s">
        <v>298</v>
      </c>
      <c r="D531" s="62" t="s">
        <v>5528</v>
      </c>
      <c r="E531" s="48" t="s">
        <v>300</v>
      </c>
      <c r="F531" s="61">
        <v>42579</v>
      </c>
      <c r="G531" s="61">
        <v>0</v>
      </c>
      <c r="H531" s="125">
        <v>42613</v>
      </c>
      <c r="I531" s="61" t="s">
        <v>279</v>
      </c>
      <c r="J531" s="87"/>
      <c r="K531" s="62" t="s">
        <v>16</v>
      </c>
      <c r="L531" s="62">
        <v>3</v>
      </c>
      <c r="M531" s="62" t="s">
        <v>442</v>
      </c>
      <c r="N531" s="62" t="s">
        <v>5529</v>
      </c>
      <c r="O531" s="48" t="s">
        <v>570</v>
      </c>
      <c r="P531" s="48" t="s">
        <v>5530</v>
      </c>
      <c r="Q531" s="48" t="s">
        <v>537</v>
      </c>
      <c r="R531" s="141" t="s">
        <v>5531</v>
      </c>
      <c r="S531" s="48" t="s">
        <v>5532</v>
      </c>
      <c r="T531" s="48" t="s">
        <v>5533</v>
      </c>
      <c r="U531" s="48" t="s">
        <v>5534</v>
      </c>
      <c r="V531" s="122" t="s">
        <v>263</v>
      </c>
      <c r="W531" s="122" t="s">
        <v>263</v>
      </c>
      <c r="X531" s="122" t="s">
        <v>263</v>
      </c>
      <c r="Y531" s="122" t="s">
        <v>263</v>
      </c>
      <c r="Z531" s="61"/>
      <c r="AA531" s="48" t="s">
        <v>2977</v>
      </c>
      <c r="AB531" s="48" t="s">
        <v>273</v>
      </c>
      <c r="AC531" s="48" t="s">
        <v>273</v>
      </c>
      <c r="AD531" s="48" t="s">
        <v>273</v>
      </c>
      <c r="AE531" s="48" t="s">
        <v>273</v>
      </c>
      <c r="AF531" s="48" t="s">
        <v>273</v>
      </c>
      <c r="AG531" s="48" t="s">
        <v>273</v>
      </c>
      <c r="AH531" s="48" t="s">
        <v>273</v>
      </c>
      <c r="AI531" s="48" t="s">
        <v>273</v>
      </c>
      <c r="AJ531" s="48" t="s">
        <v>273</v>
      </c>
      <c r="AK531" s="48" t="s">
        <v>2978</v>
      </c>
      <c r="AL531" s="48" t="s">
        <v>273</v>
      </c>
      <c r="AM531" s="48" t="s">
        <v>273</v>
      </c>
      <c r="AN531" s="48" t="s">
        <v>273</v>
      </c>
      <c r="AO531" s="48" t="s">
        <v>273</v>
      </c>
      <c r="AP531" s="48" t="s">
        <v>273</v>
      </c>
      <c r="AQ531" s="48" t="s">
        <v>273</v>
      </c>
      <c r="AR531" s="48" t="s">
        <v>273</v>
      </c>
      <c r="AS531" s="48" t="s">
        <v>273</v>
      </c>
      <c r="AT531" s="48" t="s">
        <v>273</v>
      </c>
      <c r="AU531" s="93">
        <v>40057</v>
      </c>
      <c r="AV531" s="93" t="s">
        <v>5535</v>
      </c>
      <c r="AW531" s="93" t="s">
        <v>5536</v>
      </c>
      <c r="AX531" s="93" t="s">
        <v>5537</v>
      </c>
      <c r="AY531" s="93" t="s">
        <v>5538</v>
      </c>
    </row>
    <row r="532" spans="1:52" ht="16.5" customHeight="1" x14ac:dyDescent="0.15">
      <c r="A532" s="121" t="s">
        <v>5539</v>
      </c>
      <c r="B532" s="47" t="s">
        <v>5540</v>
      </c>
      <c r="C532" s="48" t="e">
        <f ca="1">INDIRECT("'["&amp;$C$1&amp;".xls]"&amp;$B532&amp;"'!$i$7")</f>
        <v>#REF!</v>
      </c>
      <c r="D532" s="62" t="e">
        <f ca="1">INDIRECT("'["&amp;$C$1&amp;".xls]"&amp;$B532&amp;"'!$b$7")</f>
        <v>#REF!</v>
      </c>
      <c r="E532" s="48" t="e">
        <f ca="1">IF(INDIRECT("'["&amp;$C$1&amp;".xls]"&amp;$B532&amp;"'!$i$2")="","",INDIRECT("'["&amp;$C$1&amp;".xls]"&amp;$B532&amp;"'!$i$2"))</f>
        <v>#REF!</v>
      </c>
      <c r="F532" s="61" t="e">
        <f ca="1">INDIRECT("'["&amp;$C$1&amp;".xls]"&amp;$B532&amp;"'!$b$2")</f>
        <v>#REF!</v>
      </c>
      <c r="G532" s="61" t="e">
        <f ca="1">INDIRECT("'["&amp;$C$1&amp;".xls]"&amp;$B532&amp;"'!$a$20")</f>
        <v>#REF!</v>
      </c>
      <c r="H532" s="88" t="e">
        <f ca="1">INDIRECT("'["&amp;$C$1&amp;".xls]"&amp;$B532&amp;"'!$Q$22")</f>
        <v>#REF!</v>
      </c>
      <c r="I532" s="61" t="e">
        <f ca="1">INDIRECT("'["&amp;$C$1&amp;".xls]"&amp;$B532&amp;"'!$f$6")</f>
        <v>#REF!</v>
      </c>
      <c r="J532" s="87"/>
      <c r="K532" s="62" t="e">
        <f ca="1">INDIRECT("'["&amp;$C$1&amp;".xls]"&amp;$B532&amp;"'!$f$25")</f>
        <v>#REF!</v>
      </c>
      <c r="L532" s="62"/>
      <c r="M532" s="62" t="e">
        <f ca="1">INDIRECT("'["&amp;$C$1&amp;".xls]"&amp;$B532&amp;"'!$f$4")</f>
        <v>#REF!</v>
      </c>
      <c r="N532" s="62" t="e">
        <f ca="1">INDIRECT("'["&amp;$C$1&amp;".xls]"&amp;$B532&amp;"'!$i$4")</f>
        <v>#REF!</v>
      </c>
      <c r="O532" s="48" t="e">
        <f ca="1">INDIRECT("'["&amp;$C$1&amp;".xls]"&amp;$B532&amp;"'!$l$4")</f>
        <v>#REF!</v>
      </c>
      <c r="P532" s="48" t="e">
        <f ca="1">INDIRECT("'["&amp;$C$1&amp;".xls]"&amp;$B532&amp;"'!$b$5")</f>
        <v>#REF!</v>
      </c>
      <c r="Q532" s="48" t="e">
        <f ca="1">INDIRECT("'["&amp;$C$1&amp;".xls]"&amp;$B532&amp;"'!$f$5")</f>
        <v>#REF!</v>
      </c>
      <c r="R532" s="48"/>
      <c r="S532" s="48" t="e">
        <f ca="1">INDIRECT("'["&amp;$C$1&amp;".xls]"&amp;$B532&amp;"'!$i$5")</f>
        <v>#REF!</v>
      </c>
      <c r="T532" s="48" t="e">
        <f ca="1">INDIRECT("'["&amp;$C$1&amp;".xls]"&amp;$B532&amp;"'!$l$5")</f>
        <v>#REF!</v>
      </c>
      <c r="U532" s="48" t="e">
        <f ca="1">INDIRECT("'["&amp;$C$1&amp;".xls]"&amp;$B532&amp;"'!$b$4")</f>
        <v>#REF!</v>
      </c>
      <c r="V532" s="48"/>
      <c r="W532" s="48"/>
      <c r="X532" s="48"/>
      <c r="Y532" s="48"/>
      <c r="Z532" s="61"/>
      <c r="AA532" s="48" t="e">
        <f ca="1">IF(INDIRECT("'["&amp;$C$1&amp;".xls]"&amp;$B532&amp;"'!$P$25")="","",IF(INDIRECT("'["&amp;$C$1&amp;".xls]"&amp;$B532&amp;"'!$O$25")="済み",INDIRECT("'["&amp;$C$1&amp;".xls]"&amp;$B532&amp;"'!$P$25"),""))</f>
        <v>#REF!</v>
      </c>
      <c r="AB532" s="48" t="e">
        <f ca="1">IF(INDIRECT("'["&amp;$C$1&amp;".xls]"&amp;$B532&amp;"'!$P$26")="","",IF(INDIRECT("'["&amp;$C$1&amp;".xls]"&amp;$B532&amp;"'!$O$26")="済み",INDIRECT("'["&amp;$C$1&amp;".xls]"&amp;$B532&amp;"'!$P$26"),""))</f>
        <v>#REF!</v>
      </c>
      <c r="AC532" s="48" t="e">
        <f ca="1">IF(INDIRECT("'["&amp;$C$1&amp;".xls]"&amp;$B532&amp;"'!$P$27")="","",IF(INDIRECT("'["&amp;$C$1&amp;".xls]"&amp;$B532&amp;"'!$O$27")="済み",INDIRECT("'["&amp;$C$1&amp;".xls]"&amp;$B532&amp;"'!$P$27"),""))</f>
        <v>#REF!</v>
      </c>
      <c r="AD532" s="48" t="e">
        <f ca="1">IF(INDIRECT("'["&amp;$C$1&amp;".xls]"&amp;$B532&amp;"'!$P$28")="","",IF(INDIRECT("'["&amp;$C$1&amp;".xls]"&amp;$B532&amp;"'!$O$28")="済み",INDIRECT("'["&amp;$C$1&amp;".xls]"&amp;$B532&amp;"'!$P$28"),""))</f>
        <v>#REF!</v>
      </c>
      <c r="AE532" s="48" t="e">
        <f ca="1">IF(INDIRECT("'["&amp;$C$1&amp;".xls]"&amp;$B532&amp;"'!$P$29")="","",IF(INDIRECT("'["&amp;$C$1&amp;".xls]"&amp;$B532&amp;"'!$O$29")="済み",INDIRECT("'["&amp;$C$1&amp;".xls]"&amp;$B532&amp;"'!$P$29"),""))</f>
        <v>#REF!</v>
      </c>
      <c r="AF532" s="48" t="e">
        <f ca="1">IF(INDIRECT("'["&amp;$C$1&amp;".xls]"&amp;$B532&amp;"'!$P$30")="","",IF(INDIRECT("'["&amp;$C$1&amp;".xls]"&amp;$B532&amp;"'!$O$30")="済み",INDIRECT("'["&amp;$C$1&amp;".xls]"&amp;$B532&amp;"'!$P$30"),""))</f>
        <v>#REF!</v>
      </c>
      <c r="AG532" s="48" t="e">
        <f ca="1">IF(INDIRECT("'["&amp;$C$1&amp;".xls]"&amp;$B532&amp;"'!$P$31")="","",IF(INDIRECT("'["&amp;$C$1&amp;".xls]"&amp;$B532&amp;"'!$O$31")="済み",INDIRECT("'["&amp;$C$1&amp;".xls]"&amp;$B532&amp;"'!$P$31"),""))</f>
        <v>#REF!</v>
      </c>
      <c r="AH532" s="48" t="e">
        <f ca="1">IF(INDIRECT("'["&amp;$C$1&amp;".xls]"&amp;$B532&amp;"'!$P$32")="","",IF(INDIRECT("'["&amp;$C$1&amp;".xls]"&amp;$B532&amp;"'!$O$32")="済み",INDIRECT("'["&amp;$C$1&amp;".xls]"&amp;$B532&amp;"'!$P$32"),""))</f>
        <v>#REF!</v>
      </c>
      <c r="AI532" s="48" t="e">
        <f ca="1">IF(INDIRECT("'["&amp;$C$1&amp;".xls]"&amp;$B532&amp;"'!$P$33")="","",IF(INDIRECT("'["&amp;$C$1&amp;".xls]"&amp;$B532&amp;"'!$O$33")="済み",INDIRECT("'["&amp;$C$1&amp;".xls]"&amp;$B532&amp;"'!$P$33"),""))</f>
        <v>#REF!</v>
      </c>
      <c r="AJ532" s="48" t="e">
        <f ca="1">IF(INDIRECT("'["&amp;$C$1&amp;".xls]"&amp;$B532&amp;"'!$P$34")="","",IF(INDIRECT("'["&amp;$C$1&amp;".xls]"&amp;$B532&amp;"'!$O$34")="済み",INDIRECT("'["&amp;$C$1&amp;".xls]"&amp;$B532&amp;"'!$P$34"),""))</f>
        <v>#REF!</v>
      </c>
      <c r="AK532" s="48" t="e">
        <f ca="1">IF(INDIRECT("'["&amp;$C$1&amp;".xls]"&amp;$B532&amp;"'!$T25")="","",IF(INDIRECT("'["&amp;$C$1&amp;".xls]"&amp;$B532&amp;"'!$O$25")="済み",INDIRECT("'["&amp;$C$1&amp;".xls]"&amp;$B532&amp;"'!$T$25"),""))</f>
        <v>#REF!</v>
      </c>
      <c r="AL532" s="48" t="e">
        <f ca="1">IF(INDIRECT("'["&amp;$C$1&amp;".xls]"&amp;$B532&amp;"'!$T26")="","",IF(INDIRECT("'["&amp;$C$1&amp;".xls]"&amp;$B532&amp;"'!$O$26")="済み",INDIRECT("'["&amp;$C$1&amp;".xls]"&amp;$B532&amp;"'!$T$26"),""))</f>
        <v>#REF!</v>
      </c>
      <c r="AM532" s="48" t="e">
        <f ca="1">IF(INDIRECT("'["&amp;$C$1&amp;".xls]"&amp;$B532&amp;"'!$T27")="","",IF(INDIRECT("'["&amp;$C$1&amp;".xls]"&amp;$B532&amp;"'!$O$27")="済み",INDIRECT("'["&amp;$C$1&amp;".xls]"&amp;$B532&amp;"'!$T$27"),""))</f>
        <v>#REF!</v>
      </c>
      <c r="AN532" s="48" t="e">
        <f ca="1">IF(INDIRECT("'["&amp;$C$1&amp;".xls]"&amp;$B532&amp;"'!$T28")="","",IF(INDIRECT("'["&amp;$C$1&amp;".xls]"&amp;$B532&amp;"'!$O$28")="済み",INDIRECT("'["&amp;$C$1&amp;".xls]"&amp;$B532&amp;"'!$T$28"),""))</f>
        <v>#REF!</v>
      </c>
      <c r="AO532" s="48" t="e">
        <f ca="1">IF(INDIRECT("'["&amp;$C$1&amp;".xls]"&amp;$B532&amp;"'!$T29")="","",IF(INDIRECT("'["&amp;$C$1&amp;".xls]"&amp;$B532&amp;"'!$O$29")="済み",INDIRECT("'["&amp;$C$1&amp;".xls]"&amp;$B532&amp;"'!$T$29"),""))</f>
        <v>#REF!</v>
      </c>
      <c r="AP532" s="48" t="e">
        <f ca="1">IF(INDIRECT("'["&amp;$C$1&amp;".xls]"&amp;$B532&amp;"'!$T30")="","",IF(INDIRECT("'["&amp;$C$1&amp;".xls]"&amp;$B532&amp;"'!$O$30")="済み",INDIRECT("'["&amp;$C$1&amp;".xls]"&amp;$B532&amp;"'!$T$30"),""))</f>
        <v>#REF!</v>
      </c>
      <c r="AQ532" s="48" t="e">
        <f ca="1">IF(INDIRECT("'["&amp;$C$1&amp;".xls]"&amp;$B532&amp;"'!$T31")="","",IF(INDIRECT("'["&amp;$C$1&amp;".xls]"&amp;$B532&amp;"'!$O$31")="済み",INDIRECT("'["&amp;$C$1&amp;".xls]"&amp;$B532&amp;"'!$T$31"),""))</f>
        <v>#REF!</v>
      </c>
      <c r="AR532" s="48" t="e">
        <f ca="1">IF(INDIRECT("'["&amp;$C$1&amp;".xls]"&amp;$B532&amp;"'!$T32")="","",IF(INDIRECT("'["&amp;$C$1&amp;".xls]"&amp;$B532&amp;"'!$O$32")="済み",INDIRECT("'["&amp;$C$1&amp;".xls]"&amp;$B532&amp;"'!$T$32"),""))</f>
        <v>#REF!</v>
      </c>
      <c r="AS532" s="48" t="e">
        <f ca="1">IF(INDIRECT("'["&amp;$C$1&amp;".xls]"&amp;$B532&amp;"'!$T33")="","",IF(INDIRECT("'["&amp;$C$1&amp;".xls]"&amp;$B532&amp;"'!$O$33")="済み",INDIRECT("'["&amp;$C$1&amp;".xls]"&amp;$B532&amp;"'!$T$33"),""))</f>
        <v>#REF!</v>
      </c>
      <c r="AT532" s="48" t="e">
        <f ca="1">IF(INDIRECT("'["&amp;$C$1&amp;".xls]"&amp;$B532&amp;"'!$T34")="","",IF(INDIRECT("'["&amp;$C$1&amp;".xls]"&amp;$B532&amp;"'!$O$34")="済み",INDIRECT("'["&amp;$C$1&amp;".xls]"&amp;$B532&amp;"'!$T$34"),""))</f>
        <v>#REF!</v>
      </c>
      <c r="AU532" s="93" t="e">
        <f ca="1">INDIRECT("'["&amp;$C$1&amp;".xls]"&amp;$B532&amp;"'!$B$6")</f>
        <v>#REF!</v>
      </c>
      <c r="AV532" s="93" t="e">
        <f ca="1">INDIRECT("'["&amp;$C$1&amp;".xls]"&amp;$B532&amp;"'!$Y$22")</f>
        <v>#REF!</v>
      </c>
      <c r="AW532" s="93" t="e">
        <f ca="1">INDIRECT("'["&amp;$C$1&amp;".xls]"&amp;$B532&amp;"'!$Y$24")</f>
        <v>#REF!</v>
      </c>
      <c r="AX532" s="93" t="e">
        <f ca="1">INDIRECT("'["&amp;$C$1&amp;".xls]"&amp;$B532&amp;"'!$Y$26")</f>
        <v>#REF!</v>
      </c>
      <c r="AY532" s="93" t="e">
        <f ca="1">INDIRECT("'["&amp;$C$1&amp;".xls]"&amp;$B532&amp;"'!$Y$28")</f>
        <v>#REF!</v>
      </c>
    </row>
    <row r="533" spans="1:52" ht="16.5" customHeight="1" x14ac:dyDescent="0.15">
      <c r="A533" s="199" t="s">
        <v>5541</v>
      </c>
      <c r="B533" s="209" t="s">
        <v>5542</v>
      </c>
      <c r="C533" s="48" t="s">
        <v>330</v>
      </c>
      <c r="D533" s="62" t="s">
        <v>263</v>
      </c>
      <c r="E533" s="48" t="s">
        <v>300</v>
      </c>
      <c r="F533" s="61">
        <v>42579</v>
      </c>
      <c r="G533" s="61">
        <v>0</v>
      </c>
      <c r="H533" s="125">
        <v>42676</v>
      </c>
      <c r="I533" s="61">
        <v>39769</v>
      </c>
      <c r="J533" s="87"/>
      <c r="K533" s="62">
        <v>0</v>
      </c>
      <c r="L533" s="62"/>
      <c r="M533" s="62" t="s">
        <v>394</v>
      </c>
      <c r="N533" s="62" t="s">
        <v>5543</v>
      </c>
      <c r="O533" s="48" t="s">
        <v>396</v>
      </c>
      <c r="P533" s="48" t="s">
        <v>1741</v>
      </c>
      <c r="Q533" s="48" t="s">
        <v>2841</v>
      </c>
      <c r="R533" s="48" t="s">
        <v>399</v>
      </c>
      <c r="S533" s="48" t="s">
        <v>400</v>
      </c>
      <c r="T533" s="48" t="s">
        <v>401</v>
      </c>
      <c r="U533" s="48" t="s">
        <v>5544</v>
      </c>
      <c r="V533" s="122" t="s">
        <v>263</v>
      </c>
      <c r="W533" s="122" t="s">
        <v>263</v>
      </c>
      <c r="X533" s="48" t="s">
        <v>5545</v>
      </c>
      <c r="Y533" s="48" t="s">
        <v>5546</v>
      </c>
      <c r="Z533" s="61"/>
      <c r="AA533" s="48" t="s">
        <v>561</v>
      </c>
      <c r="AB533" s="48" t="s">
        <v>3073</v>
      </c>
      <c r="AC533" s="48" t="s">
        <v>1231</v>
      </c>
      <c r="AD533" s="48" t="s">
        <v>273</v>
      </c>
      <c r="AE533" s="48" t="s">
        <v>273</v>
      </c>
      <c r="AF533" s="48" t="s">
        <v>273</v>
      </c>
      <c r="AG533" s="48" t="s">
        <v>273</v>
      </c>
      <c r="AH533" s="48" t="s">
        <v>273</v>
      </c>
      <c r="AI533" s="48" t="s">
        <v>273</v>
      </c>
      <c r="AJ533" s="48" t="s">
        <v>273</v>
      </c>
      <c r="AK533" s="48" t="s">
        <v>563</v>
      </c>
      <c r="AL533" s="48" t="s">
        <v>564</v>
      </c>
      <c r="AM533" s="48" t="s">
        <v>1232</v>
      </c>
      <c r="AN533" s="48" t="s">
        <v>273</v>
      </c>
      <c r="AO533" s="48" t="s">
        <v>273</v>
      </c>
      <c r="AP533" s="48" t="s">
        <v>273</v>
      </c>
      <c r="AQ533" s="48" t="s">
        <v>273</v>
      </c>
      <c r="AR533" s="48" t="s">
        <v>273</v>
      </c>
      <c r="AS533" s="48" t="s">
        <v>273</v>
      </c>
      <c r="AT533" s="48" t="s">
        <v>273</v>
      </c>
      <c r="AU533" s="93">
        <v>39630</v>
      </c>
      <c r="AV533" s="93" t="s">
        <v>5547</v>
      </c>
      <c r="AW533" s="93" t="s">
        <v>5548</v>
      </c>
      <c r="AX533" s="93" t="s">
        <v>5549</v>
      </c>
      <c r="AY533" s="93" t="s">
        <v>5538</v>
      </c>
    </row>
    <row r="534" spans="1:52" ht="16.5" customHeight="1" x14ac:dyDescent="0.15">
      <c r="A534" s="156" t="s">
        <v>5550</v>
      </c>
      <c r="B534" s="157" t="s">
        <v>5551</v>
      </c>
      <c r="C534" s="48" t="s">
        <v>330</v>
      </c>
      <c r="D534" s="62" t="s">
        <v>5552</v>
      </c>
      <c r="E534" s="48" t="s">
        <v>300</v>
      </c>
      <c r="F534" s="61">
        <v>42580</v>
      </c>
      <c r="G534" s="61">
        <v>0</v>
      </c>
      <c r="H534" s="125">
        <v>42639</v>
      </c>
      <c r="I534" s="61" t="s">
        <v>279</v>
      </c>
      <c r="J534" s="87"/>
      <c r="K534" s="124" t="s">
        <v>263</v>
      </c>
      <c r="L534" s="124" t="s">
        <v>263</v>
      </c>
      <c r="M534" s="62" t="s">
        <v>409</v>
      </c>
      <c r="N534" s="62" t="s">
        <v>5553</v>
      </c>
      <c r="O534" s="48" t="s">
        <v>606</v>
      </c>
      <c r="P534" s="48" t="s">
        <v>5554</v>
      </c>
      <c r="Q534" s="48" t="s">
        <v>5073</v>
      </c>
      <c r="R534" s="48" t="s">
        <v>5555</v>
      </c>
      <c r="S534" s="48" t="s">
        <v>5556</v>
      </c>
      <c r="T534" s="48" t="s">
        <v>5557</v>
      </c>
      <c r="U534" s="48" t="s">
        <v>5558</v>
      </c>
      <c r="V534" s="122" t="s">
        <v>263</v>
      </c>
      <c r="W534" s="122" t="s">
        <v>263</v>
      </c>
      <c r="X534" s="48" t="s">
        <v>5559</v>
      </c>
      <c r="Y534" s="48" t="s">
        <v>5560</v>
      </c>
      <c r="Z534" s="61"/>
      <c r="AA534" s="48" t="s">
        <v>273</v>
      </c>
      <c r="AB534" s="48" t="s">
        <v>273</v>
      </c>
      <c r="AC534" s="48" t="s">
        <v>273</v>
      </c>
      <c r="AD534" s="48" t="s">
        <v>273</v>
      </c>
      <c r="AE534" s="48" t="s">
        <v>273</v>
      </c>
      <c r="AF534" s="48" t="s">
        <v>273</v>
      </c>
      <c r="AG534" s="48" t="s">
        <v>273</v>
      </c>
      <c r="AH534" s="48" t="s">
        <v>273</v>
      </c>
      <c r="AI534" s="48" t="s">
        <v>273</v>
      </c>
      <c r="AJ534" s="48" t="s">
        <v>273</v>
      </c>
      <c r="AK534" s="48" t="s">
        <v>273</v>
      </c>
      <c r="AL534" s="48" t="s">
        <v>273</v>
      </c>
      <c r="AM534" s="48" t="s">
        <v>273</v>
      </c>
      <c r="AN534" s="48" t="s">
        <v>273</v>
      </c>
      <c r="AO534" s="48" t="s">
        <v>273</v>
      </c>
      <c r="AP534" s="48" t="s">
        <v>273</v>
      </c>
      <c r="AQ534" s="48" t="s">
        <v>273</v>
      </c>
      <c r="AR534" s="48" t="s">
        <v>273</v>
      </c>
      <c r="AS534" s="48" t="s">
        <v>273</v>
      </c>
      <c r="AT534" s="48" t="s">
        <v>273</v>
      </c>
      <c r="AU534" s="93">
        <v>40179</v>
      </c>
      <c r="AV534" s="93" t="s">
        <v>5561</v>
      </c>
      <c r="AW534" s="93" t="s">
        <v>5562</v>
      </c>
      <c r="AX534" s="93" t="s">
        <v>273</v>
      </c>
      <c r="AY534" s="93" t="s">
        <v>5563</v>
      </c>
      <c r="AZ534" s="49" t="s">
        <v>5564</v>
      </c>
    </row>
    <row r="535" spans="1:52" ht="16.5" customHeight="1" x14ac:dyDescent="0.15">
      <c r="A535" s="156" t="s">
        <v>5565</v>
      </c>
      <c r="B535" s="157" t="s">
        <v>5566</v>
      </c>
      <c r="C535" s="48" t="s">
        <v>330</v>
      </c>
      <c r="D535" s="62" t="s">
        <v>5567</v>
      </c>
      <c r="E535" s="48" t="s">
        <v>300</v>
      </c>
      <c r="F535" s="61">
        <v>42580</v>
      </c>
      <c r="G535" s="61">
        <v>0</v>
      </c>
      <c r="H535" s="125">
        <v>42634</v>
      </c>
      <c r="I535" s="61" t="s">
        <v>279</v>
      </c>
      <c r="J535" s="87"/>
      <c r="K535" s="62" t="s">
        <v>16</v>
      </c>
      <c r="L535" s="62">
        <v>3</v>
      </c>
      <c r="M535" s="62" t="s">
        <v>442</v>
      </c>
      <c r="N535" s="62" t="s">
        <v>5568</v>
      </c>
      <c r="O535" s="48" t="s">
        <v>5569</v>
      </c>
      <c r="P535" s="48" t="s">
        <v>5570</v>
      </c>
      <c r="Q535" s="48" t="s">
        <v>5571</v>
      </c>
      <c r="R535" s="48" t="s">
        <v>5572</v>
      </c>
      <c r="S535" s="48" t="s">
        <v>5573</v>
      </c>
      <c r="T535" s="48" t="s">
        <v>5574</v>
      </c>
      <c r="U535" s="48" t="s">
        <v>5575</v>
      </c>
      <c r="V535" s="122" t="s">
        <v>4607</v>
      </c>
      <c r="W535" s="122" t="s">
        <v>2756</v>
      </c>
      <c r="X535" s="48" t="s">
        <v>5576</v>
      </c>
      <c r="Y535" s="48" t="s">
        <v>5577</v>
      </c>
      <c r="Z535" s="61"/>
      <c r="AA535" s="48" t="s">
        <v>5578</v>
      </c>
      <c r="AB535" s="48" t="s">
        <v>273</v>
      </c>
      <c r="AC535" s="48" t="s">
        <v>273</v>
      </c>
      <c r="AD535" s="48" t="s">
        <v>273</v>
      </c>
      <c r="AE535" s="48" t="s">
        <v>273</v>
      </c>
      <c r="AF535" s="48" t="s">
        <v>273</v>
      </c>
      <c r="AG535" s="48" t="s">
        <v>273</v>
      </c>
      <c r="AH535" s="48" t="s">
        <v>273</v>
      </c>
      <c r="AI535" s="48" t="s">
        <v>273</v>
      </c>
      <c r="AJ535" s="48" t="s">
        <v>273</v>
      </c>
      <c r="AK535" s="48" t="s">
        <v>5579</v>
      </c>
      <c r="AL535" s="48" t="s">
        <v>273</v>
      </c>
      <c r="AM535" s="48" t="s">
        <v>273</v>
      </c>
      <c r="AN535" s="48" t="s">
        <v>273</v>
      </c>
      <c r="AO535" s="48" t="s">
        <v>273</v>
      </c>
      <c r="AP535" s="48" t="s">
        <v>273</v>
      </c>
      <c r="AQ535" s="48" t="s">
        <v>273</v>
      </c>
      <c r="AR535" s="48" t="s">
        <v>273</v>
      </c>
      <c r="AS535" s="48" t="s">
        <v>273</v>
      </c>
      <c r="AT535" s="48" t="s">
        <v>273</v>
      </c>
      <c r="AU535" s="93">
        <v>37591</v>
      </c>
      <c r="AV535" s="93" t="s">
        <v>5580</v>
      </c>
      <c r="AW535" s="93" t="s">
        <v>5581</v>
      </c>
      <c r="AX535" s="93" t="s">
        <v>5582</v>
      </c>
      <c r="AY535" s="93" t="s">
        <v>5312</v>
      </c>
    </row>
    <row r="536" spans="1:52" ht="16.5" customHeight="1" x14ac:dyDescent="0.15">
      <c r="A536" s="153" t="s">
        <v>5583</v>
      </c>
      <c r="B536" s="154" t="s">
        <v>5584</v>
      </c>
      <c r="C536" s="48" t="s">
        <v>330</v>
      </c>
      <c r="D536" s="62" t="s">
        <v>5585</v>
      </c>
      <c r="E536" s="48" t="s">
        <v>300</v>
      </c>
      <c r="F536" s="61">
        <v>42583</v>
      </c>
      <c r="G536" s="61">
        <v>0</v>
      </c>
      <c r="H536" s="125">
        <v>42591</v>
      </c>
      <c r="I536" s="61" t="s">
        <v>279</v>
      </c>
      <c r="J536" s="87"/>
      <c r="K536" s="62" t="s">
        <v>16</v>
      </c>
      <c r="L536" s="124" t="s">
        <v>263</v>
      </c>
      <c r="M536" s="62">
        <v>180</v>
      </c>
      <c r="N536" s="62" t="s">
        <v>5586</v>
      </c>
      <c r="O536" s="48" t="s">
        <v>377</v>
      </c>
      <c r="P536" s="48" t="s">
        <v>5587</v>
      </c>
      <c r="Q536" s="48" t="s">
        <v>1576</v>
      </c>
      <c r="R536" s="48" t="s">
        <v>5588</v>
      </c>
      <c r="S536" s="48" t="s">
        <v>5589</v>
      </c>
      <c r="T536" s="48" t="s">
        <v>5590</v>
      </c>
      <c r="U536" s="48" t="s">
        <v>5591</v>
      </c>
      <c r="V536" s="122" t="s">
        <v>263</v>
      </c>
      <c r="W536" s="122" t="s">
        <v>263</v>
      </c>
      <c r="X536" s="48" t="s">
        <v>5592</v>
      </c>
      <c r="Y536" s="48" t="s">
        <v>5593</v>
      </c>
      <c r="Z536" s="61"/>
      <c r="AA536" s="48" t="s">
        <v>273</v>
      </c>
      <c r="AB536" s="48" t="s">
        <v>273</v>
      </c>
      <c r="AC536" s="48" t="s">
        <v>273</v>
      </c>
      <c r="AD536" s="48" t="s">
        <v>273</v>
      </c>
      <c r="AE536" s="48" t="s">
        <v>273</v>
      </c>
      <c r="AF536" s="48" t="s">
        <v>273</v>
      </c>
      <c r="AG536" s="48" t="s">
        <v>273</v>
      </c>
      <c r="AH536" s="48" t="s">
        <v>273</v>
      </c>
      <c r="AI536" s="48" t="s">
        <v>273</v>
      </c>
      <c r="AJ536" s="48" t="s">
        <v>273</v>
      </c>
      <c r="AK536" s="48" t="s">
        <v>273</v>
      </c>
      <c r="AL536" s="48" t="s">
        <v>273</v>
      </c>
      <c r="AM536" s="48" t="s">
        <v>273</v>
      </c>
      <c r="AN536" s="48" t="s">
        <v>273</v>
      </c>
      <c r="AO536" s="48" t="s">
        <v>273</v>
      </c>
      <c r="AP536" s="48" t="s">
        <v>273</v>
      </c>
      <c r="AQ536" s="48" t="s">
        <v>273</v>
      </c>
      <c r="AR536" s="48" t="s">
        <v>273</v>
      </c>
      <c r="AS536" s="48" t="s">
        <v>273</v>
      </c>
      <c r="AT536" s="48" t="s">
        <v>273</v>
      </c>
      <c r="AU536" s="93">
        <v>36678</v>
      </c>
      <c r="AV536" s="93" t="s">
        <v>5505</v>
      </c>
      <c r="AW536" s="93" t="s">
        <v>5594</v>
      </c>
      <c r="AX536" s="93" t="s">
        <v>5595</v>
      </c>
      <c r="AY536" s="93" t="s">
        <v>5312</v>
      </c>
      <c r="AZ536" s="49" t="s">
        <v>5596</v>
      </c>
    </row>
    <row r="537" spans="1:52" ht="16.5" customHeight="1" x14ac:dyDescent="0.15">
      <c r="A537" s="153" t="s">
        <v>5597</v>
      </c>
      <c r="B537" s="154" t="s">
        <v>5598</v>
      </c>
      <c r="C537" s="48" t="s">
        <v>298</v>
      </c>
      <c r="D537" s="62" t="s">
        <v>5599</v>
      </c>
      <c r="E537" s="48" t="s">
        <v>300</v>
      </c>
      <c r="F537" s="61">
        <v>42583</v>
      </c>
      <c r="G537" s="61">
        <v>0</v>
      </c>
      <c r="H537" s="125">
        <v>42598</v>
      </c>
      <c r="I537" s="61" t="s">
        <v>279</v>
      </c>
      <c r="J537" s="87"/>
      <c r="K537" s="62" t="s">
        <v>16</v>
      </c>
      <c r="L537" s="62">
        <v>3</v>
      </c>
      <c r="M537" s="62" t="s">
        <v>442</v>
      </c>
      <c r="N537" s="62" t="s">
        <v>5600</v>
      </c>
      <c r="O537" s="48" t="s">
        <v>983</v>
      </c>
      <c r="P537" s="48" t="s">
        <v>3795</v>
      </c>
      <c r="Q537" s="48" t="s">
        <v>3796</v>
      </c>
      <c r="R537" s="48" t="s">
        <v>5601</v>
      </c>
      <c r="S537" s="48" t="s">
        <v>3798</v>
      </c>
      <c r="T537" s="130" t="s">
        <v>3799</v>
      </c>
      <c r="U537" s="48" t="s">
        <v>5602</v>
      </c>
      <c r="V537" s="48" t="s">
        <v>5603</v>
      </c>
      <c r="W537" s="122" t="s">
        <v>263</v>
      </c>
      <c r="X537" s="48" t="s">
        <v>5604</v>
      </c>
      <c r="Y537" s="48" t="s">
        <v>5605</v>
      </c>
      <c r="Z537" s="61"/>
      <c r="AA537" s="48" t="s">
        <v>4872</v>
      </c>
      <c r="AB537" s="48" t="s">
        <v>453</v>
      </c>
      <c r="AC537" s="48" t="s">
        <v>645</v>
      </c>
      <c r="AD537" s="48" t="s">
        <v>273</v>
      </c>
      <c r="AE537" s="48" t="s">
        <v>273</v>
      </c>
      <c r="AF537" s="48" t="s">
        <v>273</v>
      </c>
      <c r="AG537" s="48" t="s">
        <v>273</v>
      </c>
      <c r="AH537" s="48" t="s">
        <v>273</v>
      </c>
      <c r="AI537" s="48" t="s">
        <v>273</v>
      </c>
      <c r="AJ537" s="48" t="s">
        <v>273</v>
      </c>
      <c r="AK537" s="48" t="e">
        <v>#N/A</v>
      </c>
      <c r="AL537" s="48" t="s">
        <v>454</v>
      </c>
      <c r="AM537" s="48" t="s">
        <v>646</v>
      </c>
      <c r="AN537" s="48" t="s">
        <v>273</v>
      </c>
      <c r="AO537" s="48" t="s">
        <v>273</v>
      </c>
      <c r="AP537" s="48" t="s">
        <v>273</v>
      </c>
      <c r="AQ537" s="48" t="s">
        <v>273</v>
      </c>
      <c r="AR537" s="48" t="s">
        <v>273</v>
      </c>
      <c r="AS537" s="48" t="s">
        <v>273</v>
      </c>
      <c r="AT537" s="48" t="s">
        <v>273</v>
      </c>
      <c r="AU537" s="93">
        <v>38078</v>
      </c>
      <c r="AV537" s="93" t="s">
        <v>5606</v>
      </c>
      <c r="AW537" s="93" t="s">
        <v>5607</v>
      </c>
      <c r="AX537" s="93" t="s">
        <v>5608</v>
      </c>
      <c r="AY537" s="93" t="s">
        <v>5609</v>
      </c>
      <c r="AZ537" s="49" t="s">
        <v>4819</v>
      </c>
    </row>
    <row r="538" spans="1:52" ht="16.5" customHeight="1" x14ac:dyDescent="0.15">
      <c r="A538" s="199" t="s">
        <v>5610</v>
      </c>
      <c r="B538" s="209" t="s">
        <v>5611</v>
      </c>
      <c r="C538" s="48" t="s">
        <v>330</v>
      </c>
      <c r="D538" s="62" t="s">
        <v>5612</v>
      </c>
      <c r="E538" s="48" t="s">
        <v>300</v>
      </c>
      <c r="F538" s="61">
        <v>42583</v>
      </c>
      <c r="G538" s="61">
        <v>0</v>
      </c>
      <c r="H538" s="125">
        <v>42698</v>
      </c>
      <c r="I538" s="61" t="s">
        <v>279</v>
      </c>
      <c r="J538" s="87"/>
      <c r="K538" s="124" t="s">
        <v>4232</v>
      </c>
      <c r="L538" s="124" t="s">
        <v>4232</v>
      </c>
      <c r="M538" s="62" t="s">
        <v>409</v>
      </c>
      <c r="N538" s="62" t="s">
        <v>5613</v>
      </c>
      <c r="O538" s="48" t="s">
        <v>932</v>
      </c>
      <c r="P538" s="48" t="s">
        <v>1016</v>
      </c>
      <c r="Q538" s="48" t="s">
        <v>5614</v>
      </c>
      <c r="R538" s="48" t="s">
        <v>5615</v>
      </c>
      <c r="S538" s="48" t="s">
        <v>1019</v>
      </c>
      <c r="T538" s="48" t="s">
        <v>1020</v>
      </c>
      <c r="U538" s="48" t="s">
        <v>5616</v>
      </c>
      <c r="V538" s="122" t="s">
        <v>4232</v>
      </c>
      <c r="W538" s="48" t="s">
        <v>3401</v>
      </c>
      <c r="X538" s="48" t="s">
        <v>5617</v>
      </c>
      <c r="Y538" s="48" t="s">
        <v>5618</v>
      </c>
      <c r="Z538" s="61"/>
      <c r="AA538" s="48" t="s">
        <v>273</v>
      </c>
      <c r="AB538" s="48" t="s">
        <v>273</v>
      </c>
      <c r="AC538" s="48" t="s">
        <v>273</v>
      </c>
      <c r="AD538" s="48" t="s">
        <v>273</v>
      </c>
      <c r="AE538" s="48" t="s">
        <v>273</v>
      </c>
      <c r="AF538" s="48" t="s">
        <v>273</v>
      </c>
      <c r="AG538" s="48" t="s">
        <v>273</v>
      </c>
      <c r="AH538" s="48" t="s">
        <v>273</v>
      </c>
      <c r="AI538" s="48" t="s">
        <v>273</v>
      </c>
      <c r="AJ538" s="48" t="s">
        <v>273</v>
      </c>
      <c r="AK538" s="48" t="s">
        <v>273</v>
      </c>
      <c r="AL538" s="48" t="s">
        <v>273</v>
      </c>
      <c r="AM538" s="48" t="s">
        <v>273</v>
      </c>
      <c r="AN538" s="48" t="s">
        <v>273</v>
      </c>
      <c r="AO538" s="48" t="s">
        <v>273</v>
      </c>
      <c r="AP538" s="48" t="s">
        <v>273</v>
      </c>
      <c r="AQ538" s="48" t="s">
        <v>273</v>
      </c>
      <c r="AR538" s="48" t="s">
        <v>273</v>
      </c>
      <c r="AS538" s="48" t="s">
        <v>273</v>
      </c>
      <c r="AT538" s="48" t="s">
        <v>273</v>
      </c>
      <c r="AU538" s="93">
        <v>39630</v>
      </c>
      <c r="AV538" s="93" t="s">
        <v>5619</v>
      </c>
      <c r="AW538" s="93" t="s">
        <v>5620</v>
      </c>
      <c r="AX538" s="93" t="s">
        <v>273</v>
      </c>
      <c r="AY538" s="93" t="s">
        <v>5621</v>
      </c>
    </row>
    <row r="539" spans="1:52" ht="16.5" customHeight="1" x14ac:dyDescent="0.15">
      <c r="A539" s="121" t="s">
        <v>5622</v>
      </c>
      <c r="B539" s="47" t="s">
        <v>5623</v>
      </c>
      <c r="C539" s="48" t="e">
        <f ca="1">INDIRECT("'["&amp;$C$1&amp;".xls]"&amp;$B539&amp;"'!$i$7")</f>
        <v>#REF!</v>
      </c>
      <c r="D539" s="62" t="e">
        <f ca="1">INDIRECT("'["&amp;$C$1&amp;".xls]"&amp;$B539&amp;"'!$b$7")</f>
        <v>#REF!</v>
      </c>
      <c r="E539" s="48" t="e">
        <f ca="1">IF(INDIRECT("'["&amp;$C$1&amp;".xls]"&amp;$B539&amp;"'!$i$2")="","",INDIRECT("'["&amp;$C$1&amp;".xls]"&amp;$B539&amp;"'!$i$2"))</f>
        <v>#REF!</v>
      </c>
      <c r="F539" s="61" t="e">
        <f ca="1">INDIRECT("'["&amp;$C$1&amp;".xls]"&amp;$B539&amp;"'!$b$2")</f>
        <v>#REF!</v>
      </c>
      <c r="G539" s="61" t="e">
        <f ca="1">INDIRECT("'["&amp;$C$1&amp;".xls]"&amp;$B539&amp;"'!$a$20")</f>
        <v>#REF!</v>
      </c>
      <c r="H539" s="88" t="e">
        <f ca="1">INDIRECT("'["&amp;$C$1&amp;".xls]"&amp;$B539&amp;"'!$Q$22")</f>
        <v>#REF!</v>
      </c>
      <c r="I539" s="61" t="e">
        <f ca="1">INDIRECT("'["&amp;$C$1&amp;".xls]"&amp;$B539&amp;"'!$f$6")</f>
        <v>#REF!</v>
      </c>
      <c r="J539" s="87"/>
      <c r="K539" s="62" t="e">
        <f ca="1">INDIRECT("'["&amp;$C$1&amp;".xls]"&amp;$B539&amp;"'!$f$25")</f>
        <v>#REF!</v>
      </c>
      <c r="L539" s="62"/>
      <c r="M539" s="62" t="e">
        <f ca="1">INDIRECT("'["&amp;$C$1&amp;".xls]"&amp;$B539&amp;"'!$f$4")</f>
        <v>#REF!</v>
      </c>
      <c r="N539" s="62" t="e">
        <f ca="1">INDIRECT("'["&amp;$C$1&amp;".xls]"&amp;$B539&amp;"'!$i$4")</f>
        <v>#REF!</v>
      </c>
      <c r="O539" s="48" t="e">
        <f ca="1">INDIRECT("'["&amp;$C$1&amp;".xls]"&amp;$B539&amp;"'!$l$4")</f>
        <v>#REF!</v>
      </c>
      <c r="P539" s="48" t="e">
        <f ca="1">INDIRECT("'["&amp;$C$1&amp;".xls]"&amp;$B539&amp;"'!$b$5")</f>
        <v>#REF!</v>
      </c>
      <c r="Q539" s="48" t="e">
        <f ca="1">INDIRECT("'["&amp;$C$1&amp;".xls]"&amp;$B539&amp;"'!$f$5")</f>
        <v>#REF!</v>
      </c>
      <c r="R539" s="48" t="s">
        <v>5615</v>
      </c>
      <c r="S539" s="48" t="e">
        <f ca="1">INDIRECT("'["&amp;$C$1&amp;".xls]"&amp;$B539&amp;"'!$i$5")</f>
        <v>#REF!</v>
      </c>
      <c r="T539" s="48" t="e">
        <f ca="1">INDIRECT("'["&amp;$C$1&amp;".xls]"&amp;$B539&amp;"'!$l$5")</f>
        <v>#REF!</v>
      </c>
      <c r="U539" s="48" t="e">
        <f ca="1">INDIRECT("'["&amp;$C$1&amp;".xls]"&amp;$B539&amp;"'!$b$4")</f>
        <v>#REF!</v>
      </c>
      <c r="V539" s="48"/>
      <c r="W539" s="48"/>
      <c r="X539" s="48"/>
      <c r="Y539" s="48"/>
      <c r="Z539" s="61"/>
      <c r="AA539" s="48" t="e">
        <f ca="1">IF(INDIRECT("'["&amp;$C$1&amp;".xls]"&amp;$B539&amp;"'!$P$25")="","",IF(INDIRECT("'["&amp;$C$1&amp;".xls]"&amp;$B539&amp;"'!$O$25")="済み",INDIRECT("'["&amp;$C$1&amp;".xls]"&amp;$B539&amp;"'!$P$25"),""))</f>
        <v>#REF!</v>
      </c>
      <c r="AB539" s="48" t="e">
        <f ca="1">IF(INDIRECT("'["&amp;$C$1&amp;".xls]"&amp;$B539&amp;"'!$P$26")="","",IF(INDIRECT("'["&amp;$C$1&amp;".xls]"&amp;$B539&amp;"'!$O$26")="済み",INDIRECT("'["&amp;$C$1&amp;".xls]"&amp;$B539&amp;"'!$P$26"),""))</f>
        <v>#REF!</v>
      </c>
      <c r="AC539" s="48" t="e">
        <f ca="1">IF(INDIRECT("'["&amp;$C$1&amp;".xls]"&amp;$B539&amp;"'!$P$27")="","",IF(INDIRECT("'["&amp;$C$1&amp;".xls]"&amp;$B539&amp;"'!$O$27")="済み",INDIRECT("'["&amp;$C$1&amp;".xls]"&amp;$B539&amp;"'!$P$27"),""))</f>
        <v>#REF!</v>
      </c>
      <c r="AD539" s="48" t="e">
        <f ca="1">IF(INDIRECT("'["&amp;$C$1&amp;".xls]"&amp;$B539&amp;"'!$P$28")="","",IF(INDIRECT("'["&amp;$C$1&amp;".xls]"&amp;$B539&amp;"'!$O$28")="済み",INDIRECT("'["&amp;$C$1&amp;".xls]"&amp;$B539&amp;"'!$P$28"),""))</f>
        <v>#REF!</v>
      </c>
      <c r="AE539" s="48" t="e">
        <f ca="1">IF(INDIRECT("'["&amp;$C$1&amp;".xls]"&amp;$B539&amp;"'!$P$29")="","",IF(INDIRECT("'["&amp;$C$1&amp;".xls]"&amp;$B539&amp;"'!$O$29")="済み",INDIRECT("'["&amp;$C$1&amp;".xls]"&amp;$B539&amp;"'!$P$29"),""))</f>
        <v>#REF!</v>
      </c>
      <c r="AF539" s="48" t="e">
        <f ca="1">IF(INDIRECT("'["&amp;$C$1&amp;".xls]"&amp;$B539&amp;"'!$P$30")="","",IF(INDIRECT("'["&amp;$C$1&amp;".xls]"&amp;$B539&amp;"'!$O$30")="済み",INDIRECT("'["&amp;$C$1&amp;".xls]"&amp;$B539&amp;"'!$P$30"),""))</f>
        <v>#REF!</v>
      </c>
      <c r="AG539" s="48" t="e">
        <f ca="1">IF(INDIRECT("'["&amp;$C$1&amp;".xls]"&amp;$B539&amp;"'!$P$31")="","",IF(INDIRECT("'["&amp;$C$1&amp;".xls]"&amp;$B539&amp;"'!$O$31")="済み",INDIRECT("'["&amp;$C$1&amp;".xls]"&amp;$B539&amp;"'!$P$31"),""))</f>
        <v>#REF!</v>
      </c>
      <c r="AH539" s="48" t="e">
        <f ca="1">IF(INDIRECT("'["&amp;$C$1&amp;".xls]"&amp;$B539&amp;"'!$P$32")="","",IF(INDIRECT("'["&amp;$C$1&amp;".xls]"&amp;$B539&amp;"'!$O$32")="済み",INDIRECT("'["&amp;$C$1&amp;".xls]"&amp;$B539&amp;"'!$P$32"),""))</f>
        <v>#REF!</v>
      </c>
      <c r="AI539" s="48" t="e">
        <f ca="1">IF(INDIRECT("'["&amp;$C$1&amp;".xls]"&amp;$B539&amp;"'!$P$33")="","",IF(INDIRECT("'["&amp;$C$1&amp;".xls]"&amp;$B539&amp;"'!$O$33")="済み",INDIRECT("'["&amp;$C$1&amp;".xls]"&amp;$B539&amp;"'!$P$33"),""))</f>
        <v>#REF!</v>
      </c>
      <c r="AJ539" s="48" t="e">
        <f ca="1">IF(INDIRECT("'["&amp;$C$1&amp;".xls]"&amp;$B539&amp;"'!$P$34")="","",IF(INDIRECT("'["&amp;$C$1&amp;".xls]"&amp;$B539&amp;"'!$O$34")="済み",INDIRECT("'["&amp;$C$1&amp;".xls]"&amp;$B539&amp;"'!$P$34"),""))</f>
        <v>#REF!</v>
      </c>
      <c r="AK539" s="48" t="e">
        <f ca="1">IF(INDIRECT("'["&amp;$C$1&amp;".xls]"&amp;$B539&amp;"'!$T25")="","",IF(INDIRECT("'["&amp;$C$1&amp;".xls]"&amp;$B539&amp;"'!$O$25")="済み",INDIRECT("'["&amp;$C$1&amp;".xls]"&amp;$B539&amp;"'!$T$25"),""))</f>
        <v>#REF!</v>
      </c>
      <c r="AL539" s="48" t="e">
        <f ca="1">IF(INDIRECT("'["&amp;$C$1&amp;".xls]"&amp;$B539&amp;"'!$T26")="","",IF(INDIRECT("'["&amp;$C$1&amp;".xls]"&amp;$B539&amp;"'!$O$26")="済み",INDIRECT("'["&amp;$C$1&amp;".xls]"&amp;$B539&amp;"'!$T$26"),""))</f>
        <v>#REF!</v>
      </c>
      <c r="AM539" s="48" t="e">
        <f ca="1">IF(INDIRECT("'["&amp;$C$1&amp;".xls]"&amp;$B539&amp;"'!$T27")="","",IF(INDIRECT("'["&amp;$C$1&amp;".xls]"&amp;$B539&amp;"'!$O$27")="済み",INDIRECT("'["&amp;$C$1&amp;".xls]"&amp;$B539&amp;"'!$T$27"),""))</f>
        <v>#REF!</v>
      </c>
      <c r="AN539" s="48" t="e">
        <f ca="1">IF(INDIRECT("'["&amp;$C$1&amp;".xls]"&amp;$B539&amp;"'!$T28")="","",IF(INDIRECT("'["&amp;$C$1&amp;".xls]"&amp;$B539&amp;"'!$O$28")="済み",INDIRECT("'["&amp;$C$1&amp;".xls]"&amp;$B539&amp;"'!$T$28"),""))</f>
        <v>#REF!</v>
      </c>
      <c r="AO539" s="48" t="e">
        <f ca="1">IF(INDIRECT("'["&amp;$C$1&amp;".xls]"&amp;$B539&amp;"'!$T29")="","",IF(INDIRECT("'["&amp;$C$1&amp;".xls]"&amp;$B539&amp;"'!$O$29")="済み",INDIRECT("'["&amp;$C$1&amp;".xls]"&amp;$B539&amp;"'!$T$29"),""))</f>
        <v>#REF!</v>
      </c>
      <c r="AP539" s="48" t="e">
        <f ca="1">IF(INDIRECT("'["&amp;$C$1&amp;".xls]"&amp;$B539&amp;"'!$T30")="","",IF(INDIRECT("'["&amp;$C$1&amp;".xls]"&amp;$B539&amp;"'!$O$30")="済み",INDIRECT("'["&amp;$C$1&amp;".xls]"&amp;$B539&amp;"'!$T$30"),""))</f>
        <v>#REF!</v>
      </c>
      <c r="AQ539" s="48" t="e">
        <f ca="1">IF(INDIRECT("'["&amp;$C$1&amp;".xls]"&amp;$B539&amp;"'!$T31")="","",IF(INDIRECT("'["&amp;$C$1&amp;".xls]"&amp;$B539&amp;"'!$O$31")="済み",INDIRECT("'["&amp;$C$1&amp;".xls]"&amp;$B539&amp;"'!$T$31"),""))</f>
        <v>#REF!</v>
      </c>
      <c r="AR539" s="48" t="e">
        <f ca="1">IF(INDIRECT("'["&amp;$C$1&amp;".xls]"&amp;$B539&amp;"'!$T32")="","",IF(INDIRECT("'["&amp;$C$1&amp;".xls]"&amp;$B539&amp;"'!$O$32")="済み",INDIRECT("'["&amp;$C$1&amp;".xls]"&amp;$B539&amp;"'!$T$32"),""))</f>
        <v>#REF!</v>
      </c>
      <c r="AS539" s="48" t="e">
        <f ca="1">IF(INDIRECT("'["&amp;$C$1&amp;".xls]"&amp;$B539&amp;"'!$T33")="","",IF(INDIRECT("'["&amp;$C$1&amp;".xls]"&amp;$B539&amp;"'!$O$33")="済み",INDIRECT("'["&amp;$C$1&amp;".xls]"&amp;$B539&amp;"'!$T$33"),""))</f>
        <v>#REF!</v>
      </c>
      <c r="AT539" s="48" t="e">
        <f ca="1">IF(INDIRECT("'["&amp;$C$1&amp;".xls]"&amp;$B539&amp;"'!$T34")="","",IF(INDIRECT("'["&amp;$C$1&amp;".xls]"&amp;$B539&amp;"'!$O$34")="済み",INDIRECT("'["&amp;$C$1&amp;".xls]"&amp;$B539&amp;"'!$T$34"),""))</f>
        <v>#REF!</v>
      </c>
      <c r="AU539" s="93" t="e">
        <f ca="1">INDIRECT("'["&amp;$C$1&amp;".xls]"&amp;$B539&amp;"'!$B$6")</f>
        <v>#REF!</v>
      </c>
      <c r="AV539" s="93" t="e">
        <f ca="1">INDIRECT("'["&amp;$C$1&amp;".xls]"&amp;$B539&amp;"'!$Y$22")</f>
        <v>#REF!</v>
      </c>
      <c r="AW539" s="93" t="e">
        <f ca="1">INDIRECT("'["&amp;$C$1&amp;".xls]"&amp;$B539&amp;"'!$Y$24")</f>
        <v>#REF!</v>
      </c>
      <c r="AX539" s="93" t="e">
        <f ca="1">INDIRECT("'["&amp;$C$1&amp;".xls]"&amp;$B539&amp;"'!$Y$26")</f>
        <v>#REF!</v>
      </c>
      <c r="AY539" s="93" t="e">
        <f ca="1">INDIRECT("'["&amp;$C$1&amp;".xls]"&amp;$B539&amp;"'!$Y$28")</f>
        <v>#REF!</v>
      </c>
    </row>
    <row r="540" spans="1:52" ht="16.5" customHeight="1" x14ac:dyDescent="0.15">
      <c r="A540" s="199" t="s">
        <v>5624</v>
      </c>
      <c r="B540" s="209" t="s">
        <v>5625</v>
      </c>
      <c r="C540" s="48" t="s">
        <v>298</v>
      </c>
      <c r="D540" s="62" t="s">
        <v>5626</v>
      </c>
      <c r="E540" s="48" t="s">
        <v>300</v>
      </c>
      <c r="F540" s="61">
        <v>42583</v>
      </c>
      <c r="G540" s="61">
        <v>0</v>
      </c>
      <c r="H540" s="125">
        <v>42689</v>
      </c>
      <c r="I540" s="61" t="s">
        <v>279</v>
      </c>
      <c r="J540" s="87"/>
      <c r="K540" s="124" t="s">
        <v>4232</v>
      </c>
      <c r="L540" s="124" t="s">
        <v>4232</v>
      </c>
      <c r="M540" s="62" t="s">
        <v>333</v>
      </c>
      <c r="N540" s="62" t="s">
        <v>5627</v>
      </c>
      <c r="O540" s="48" t="s">
        <v>335</v>
      </c>
      <c r="P540" s="48" t="s">
        <v>4856</v>
      </c>
      <c r="Q540" s="48" t="s">
        <v>1030</v>
      </c>
      <c r="R540" s="48" t="s">
        <v>5628</v>
      </c>
      <c r="S540" s="48" t="s">
        <v>1032</v>
      </c>
      <c r="T540" s="48" t="s">
        <v>1033</v>
      </c>
      <c r="U540" s="48" t="s">
        <v>5629</v>
      </c>
      <c r="V540" s="122" t="s">
        <v>4232</v>
      </c>
      <c r="W540" s="48" t="s">
        <v>3401</v>
      </c>
      <c r="X540" s="48" t="s">
        <v>5630</v>
      </c>
      <c r="Y540" s="48" t="s">
        <v>5631</v>
      </c>
      <c r="Z540" s="61"/>
      <c r="AA540" s="48" t="s">
        <v>273</v>
      </c>
      <c r="AB540" s="48" t="s">
        <v>273</v>
      </c>
      <c r="AC540" s="48" t="s">
        <v>273</v>
      </c>
      <c r="AD540" s="48" t="s">
        <v>273</v>
      </c>
      <c r="AE540" s="48" t="s">
        <v>273</v>
      </c>
      <c r="AF540" s="48" t="s">
        <v>273</v>
      </c>
      <c r="AG540" s="48" t="s">
        <v>273</v>
      </c>
      <c r="AH540" s="48" t="s">
        <v>273</v>
      </c>
      <c r="AI540" s="48" t="s">
        <v>273</v>
      </c>
      <c r="AJ540" s="48" t="s">
        <v>273</v>
      </c>
      <c r="AK540" s="48" t="s">
        <v>273</v>
      </c>
      <c r="AL540" s="48" t="s">
        <v>273</v>
      </c>
      <c r="AM540" s="48" t="s">
        <v>273</v>
      </c>
      <c r="AN540" s="48" t="s">
        <v>273</v>
      </c>
      <c r="AO540" s="48" t="s">
        <v>273</v>
      </c>
      <c r="AP540" s="48" t="s">
        <v>273</v>
      </c>
      <c r="AQ540" s="48" t="s">
        <v>273</v>
      </c>
      <c r="AR540" s="48" t="s">
        <v>273</v>
      </c>
      <c r="AS540" s="48" t="s">
        <v>273</v>
      </c>
      <c r="AT540" s="48" t="s">
        <v>273</v>
      </c>
      <c r="AU540" s="93">
        <v>40575</v>
      </c>
      <c r="AV540" s="93" t="s">
        <v>5632</v>
      </c>
      <c r="AW540" s="93" t="s">
        <v>5633</v>
      </c>
      <c r="AX540" s="93" t="s">
        <v>273</v>
      </c>
      <c r="AY540" s="93" t="s">
        <v>5634</v>
      </c>
    </row>
    <row r="541" spans="1:52" ht="16.5" customHeight="1" x14ac:dyDescent="0.15">
      <c r="A541" s="182" t="s">
        <v>5635</v>
      </c>
      <c r="B541" s="183" t="s">
        <v>5636</v>
      </c>
      <c r="C541" s="48" t="s">
        <v>5637</v>
      </c>
      <c r="D541" s="62" t="s">
        <v>263</v>
      </c>
      <c r="E541" s="48" t="s">
        <v>264</v>
      </c>
      <c r="F541" s="61">
        <v>42585</v>
      </c>
      <c r="G541" s="61">
        <v>0</v>
      </c>
      <c r="H541" s="125">
        <v>42646</v>
      </c>
      <c r="I541" s="61">
        <v>41185</v>
      </c>
      <c r="J541" s="87"/>
      <c r="K541" s="62" t="s">
        <v>16</v>
      </c>
      <c r="L541" s="62">
        <v>3</v>
      </c>
      <c r="M541" s="62" t="s">
        <v>471</v>
      </c>
      <c r="N541" s="62" t="s">
        <v>5638</v>
      </c>
      <c r="O541" s="48" t="s">
        <v>502</v>
      </c>
      <c r="P541" s="48" t="s">
        <v>4060</v>
      </c>
      <c r="Q541" s="48" t="s">
        <v>5466</v>
      </c>
      <c r="R541" s="48" t="s">
        <v>399</v>
      </c>
      <c r="S541" s="48" t="s">
        <v>400</v>
      </c>
      <c r="T541" s="48" t="s">
        <v>401</v>
      </c>
      <c r="U541" s="48" t="s">
        <v>5639</v>
      </c>
      <c r="V541" s="122" t="s">
        <v>263</v>
      </c>
      <c r="W541" s="122" t="s">
        <v>263</v>
      </c>
      <c r="X541" s="48" t="s">
        <v>5640</v>
      </c>
      <c r="Y541" s="48" t="s">
        <v>5641</v>
      </c>
      <c r="Z541" s="61"/>
      <c r="AA541" s="48" t="s">
        <v>508</v>
      </c>
      <c r="AB541" s="48" t="s">
        <v>529</v>
      </c>
      <c r="AC541" s="48" t="s">
        <v>273</v>
      </c>
      <c r="AD541" s="48" t="s">
        <v>273</v>
      </c>
      <c r="AE541" s="48" t="s">
        <v>273</v>
      </c>
      <c r="AF541" s="48" t="s">
        <v>273</v>
      </c>
      <c r="AG541" s="48" t="s">
        <v>273</v>
      </c>
      <c r="AH541" s="48" t="s">
        <v>273</v>
      </c>
      <c r="AI541" s="48" t="s">
        <v>273</v>
      </c>
      <c r="AJ541" s="48" t="s">
        <v>273</v>
      </c>
      <c r="AK541" s="48" t="s">
        <v>509</v>
      </c>
      <c r="AL541" s="48" t="s">
        <v>530</v>
      </c>
      <c r="AM541" s="48" t="s">
        <v>273</v>
      </c>
      <c r="AN541" s="48" t="s">
        <v>273</v>
      </c>
      <c r="AO541" s="48" t="s">
        <v>273</v>
      </c>
      <c r="AP541" s="48" t="s">
        <v>273</v>
      </c>
      <c r="AQ541" s="48" t="s">
        <v>273</v>
      </c>
      <c r="AR541" s="48" t="s">
        <v>273</v>
      </c>
      <c r="AS541" s="48" t="s">
        <v>273</v>
      </c>
      <c r="AT541" s="48" t="s">
        <v>273</v>
      </c>
      <c r="AU541" s="93">
        <v>41153</v>
      </c>
      <c r="AV541" s="93" t="s">
        <v>5642</v>
      </c>
      <c r="AW541" s="93" t="s">
        <v>5643</v>
      </c>
      <c r="AX541" s="93" t="s">
        <v>5644</v>
      </c>
      <c r="AY541" s="93" t="s">
        <v>5645</v>
      </c>
    </row>
    <row r="542" spans="1:52" ht="16.5" customHeight="1" x14ac:dyDescent="0.15">
      <c r="A542" s="199" t="s">
        <v>5646</v>
      </c>
      <c r="B542" s="209" t="s">
        <v>5647</v>
      </c>
      <c r="C542" s="48" t="s">
        <v>298</v>
      </c>
      <c r="D542" s="62" t="s">
        <v>5648</v>
      </c>
      <c r="E542" s="48" t="s">
        <v>300</v>
      </c>
      <c r="F542" s="61">
        <v>42585</v>
      </c>
      <c r="G542" s="61">
        <v>0</v>
      </c>
      <c r="H542" s="125">
        <v>42682</v>
      </c>
      <c r="I542" s="61" t="s">
        <v>279</v>
      </c>
      <c r="J542" s="87"/>
      <c r="K542" s="124" t="s">
        <v>4232</v>
      </c>
      <c r="L542" s="124" t="s">
        <v>4232</v>
      </c>
      <c r="M542" s="62" t="s">
        <v>209</v>
      </c>
      <c r="N542" s="62" t="s">
        <v>5649</v>
      </c>
      <c r="O542" s="48" t="s">
        <v>5650</v>
      </c>
      <c r="P542" s="48" t="s">
        <v>5651</v>
      </c>
      <c r="Q542" s="48" t="s">
        <v>5652</v>
      </c>
      <c r="R542" s="48" t="s">
        <v>4565</v>
      </c>
      <c r="S542" s="48" t="s">
        <v>5653</v>
      </c>
      <c r="T542" s="48" t="s">
        <v>4567</v>
      </c>
      <c r="U542" s="48" t="s">
        <v>5654</v>
      </c>
      <c r="V542" s="122" t="s">
        <v>263</v>
      </c>
      <c r="W542" s="48" t="s">
        <v>3401</v>
      </c>
      <c r="X542" s="48" t="s">
        <v>699</v>
      </c>
      <c r="Y542" s="48" t="s">
        <v>700</v>
      </c>
      <c r="Z542" s="61"/>
      <c r="AA542" s="48" t="s">
        <v>273</v>
      </c>
      <c r="AB542" s="48" t="s">
        <v>273</v>
      </c>
      <c r="AC542" s="48" t="s">
        <v>273</v>
      </c>
      <c r="AD542" s="48" t="s">
        <v>273</v>
      </c>
      <c r="AE542" s="48" t="s">
        <v>273</v>
      </c>
      <c r="AF542" s="48" t="s">
        <v>273</v>
      </c>
      <c r="AG542" s="48" t="s">
        <v>273</v>
      </c>
      <c r="AH542" s="48" t="s">
        <v>273</v>
      </c>
      <c r="AI542" s="48" t="s">
        <v>273</v>
      </c>
      <c r="AJ542" s="48" t="s">
        <v>273</v>
      </c>
      <c r="AK542" s="48" t="s">
        <v>273</v>
      </c>
      <c r="AL542" s="48" t="s">
        <v>273</v>
      </c>
      <c r="AM542" s="48" t="s">
        <v>273</v>
      </c>
      <c r="AN542" s="48" t="s">
        <v>273</v>
      </c>
      <c r="AO542" s="48" t="s">
        <v>273</v>
      </c>
      <c r="AP542" s="48" t="s">
        <v>273</v>
      </c>
      <c r="AQ542" s="48" t="s">
        <v>273</v>
      </c>
      <c r="AR542" s="48" t="s">
        <v>273</v>
      </c>
      <c r="AS542" s="48" t="s">
        <v>273</v>
      </c>
      <c r="AT542" s="48" t="s">
        <v>273</v>
      </c>
      <c r="AU542" s="93" t="s">
        <v>5655</v>
      </c>
      <c r="AV542" s="93" t="s">
        <v>5656</v>
      </c>
      <c r="AW542" s="93" t="s">
        <v>5657</v>
      </c>
      <c r="AX542" s="93" t="s">
        <v>5658</v>
      </c>
      <c r="AY542" s="93" t="s">
        <v>5312</v>
      </c>
    </row>
    <row r="543" spans="1:52" ht="16.5" customHeight="1" x14ac:dyDescent="0.15">
      <c r="A543" s="121" t="s">
        <v>5659</v>
      </c>
      <c r="B543" s="47" t="s">
        <v>5660</v>
      </c>
      <c r="C543" s="48" t="e">
        <f ca="1">INDIRECT("'["&amp;$C$1&amp;".xls]"&amp;$B543&amp;"'!$i$7")</f>
        <v>#REF!</v>
      </c>
      <c r="D543" s="62" t="e">
        <f ca="1">INDIRECT("'["&amp;$C$1&amp;".xls]"&amp;$B543&amp;"'!$b$7")</f>
        <v>#REF!</v>
      </c>
      <c r="E543" s="48" t="e">
        <f ca="1">IF(INDIRECT("'["&amp;$C$1&amp;".xls]"&amp;$B543&amp;"'!$i$2")="","",INDIRECT("'["&amp;$C$1&amp;".xls]"&amp;$B543&amp;"'!$i$2"))</f>
        <v>#REF!</v>
      </c>
      <c r="F543" s="61" t="e">
        <f ca="1">INDIRECT("'["&amp;$C$1&amp;".xls]"&amp;$B543&amp;"'!$b$2")</f>
        <v>#REF!</v>
      </c>
      <c r="G543" s="61" t="e">
        <f ca="1">INDIRECT("'["&amp;$C$1&amp;".xls]"&amp;$B543&amp;"'!$a$20")</f>
        <v>#REF!</v>
      </c>
      <c r="H543" s="88" t="e">
        <f ca="1">INDIRECT("'["&amp;$C$1&amp;".xls]"&amp;$B543&amp;"'!$Q$22")</f>
        <v>#REF!</v>
      </c>
      <c r="I543" s="61" t="e">
        <f ca="1">INDIRECT("'["&amp;$C$1&amp;".xls]"&amp;$B543&amp;"'!$f$6")</f>
        <v>#REF!</v>
      </c>
      <c r="J543" s="87"/>
      <c r="K543" s="62" t="e">
        <f ca="1">INDIRECT("'["&amp;$C$1&amp;".xls]"&amp;$B543&amp;"'!$f$25")</f>
        <v>#REF!</v>
      </c>
      <c r="L543" s="62"/>
      <c r="M543" s="62" t="e">
        <f ca="1">INDIRECT("'["&amp;$C$1&amp;".xls]"&amp;$B543&amp;"'!$f$4")</f>
        <v>#REF!</v>
      </c>
      <c r="N543" s="62" t="e">
        <f ca="1">INDIRECT("'["&amp;$C$1&amp;".xls]"&amp;$B543&amp;"'!$i$4")</f>
        <v>#REF!</v>
      </c>
      <c r="O543" s="48" t="e">
        <f ca="1">INDIRECT("'["&amp;$C$1&amp;".xls]"&amp;$B543&amp;"'!$l$4")</f>
        <v>#REF!</v>
      </c>
      <c r="P543" s="48" t="e">
        <f ca="1">INDIRECT("'["&amp;$C$1&amp;".xls]"&amp;$B543&amp;"'!$b$5")</f>
        <v>#REF!</v>
      </c>
      <c r="Q543" s="48" t="e">
        <f ca="1">INDIRECT("'["&amp;$C$1&amp;".xls]"&amp;$B543&amp;"'!$f$5")</f>
        <v>#REF!</v>
      </c>
      <c r="R543" s="48"/>
      <c r="S543" s="48" t="e">
        <f ca="1">INDIRECT("'["&amp;$C$1&amp;".xls]"&amp;$B543&amp;"'!$i$5")</f>
        <v>#REF!</v>
      </c>
      <c r="T543" s="48" t="e">
        <f ca="1">INDIRECT("'["&amp;$C$1&amp;".xls]"&amp;$B543&amp;"'!$l$5")</f>
        <v>#REF!</v>
      </c>
      <c r="U543" s="48" t="e">
        <f ca="1">INDIRECT("'["&amp;$C$1&amp;".xls]"&amp;$B543&amp;"'!$b$4")</f>
        <v>#REF!</v>
      </c>
      <c r="V543" s="48"/>
      <c r="W543" s="48"/>
      <c r="X543" s="48"/>
      <c r="Y543" s="48"/>
      <c r="Z543" s="61"/>
      <c r="AA543" s="48" t="e">
        <f ca="1">IF(INDIRECT("'["&amp;$C$1&amp;".xls]"&amp;$B543&amp;"'!$P$25")="","",IF(INDIRECT("'["&amp;$C$1&amp;".xls]"&amp;$B543&amp;"'!$O$25")="済み",INDIRECT("'["&amp;$C$1&amp;".xls]"&amp;$B543&amp;"'!$P$25"),""))</f>
        <v>#REF!</v>
      </c>
      <c r="AB543" s="48" t="e">
        <f ca="1">IF(INDIRECT("'["&amp;$C$1&amp;".xls]"&amp;$B543&amp;"'!$P$26")="","",IF(INDIRECT("'["&amp;$C$1&amp;".xls]"&amp;$B543&amp;"'!$O$26")="済み",INDIRECT("'["&amp;$C$1&amp;".xls]"&amp;$B543&amp;"'!$P$26"),""))</f>
        <v>#REF!</v>
      </c>
      <c r="AC543" s="48" t="e">
        <f ca="1">IF(INDIRECT("'["&amp;$C$1&amp;".xls]"&amp;$B543&amp;"'!$P$27")="","",IF(INDIRECT("'["&amp;$C$1&amp;".xls]"&amp;$B543&amp;"'!$O$27")="済み",INDIRECT("'["&amp;$C$1&amp;".xls]"&amp;$B543&amp;"'!$P$27"),""))</f>
        <v>#REF!</v>
      </c>
      <c r="AD543" s="48" t="e">
        <f ca="1">IF(INDIRECT("'["&amp;$C$1&amp;".xls]"&amp;$B543&amp;"'!$P$28")="","",IF(INDIRECT("'["&amp;$C$1&amp;".xls]"&amp;$B543&amp;"'!$O$28")="済み",INDIRECT("'["&amp;$C$1&amp;".xls]"&amp;$B543&amp;"'!$P$28"),""))</f>
        <v>#REF!</v>
      </c>
      <c r="AE543" s="48" t="e">
        <f ca="1">IF(INDIRECT("'["&amp;$C$1&amp;".xls]"&amp;$B543&amp;"'!$P$29")="","",IF(INDIRECT("'["&amp;$C$1&amp;".xls]"&amp;$B543&amp;"'!$O$29")="済み",INDIRECT("'["&amp;$C$1&amp;".xls]"&amp;$B543&amp;"'!$P$29"),""))</f>
        <v>#REF!</v>
      </c>
      <c r="AF543" s="48" t="e">
        <f ca="1">IF(INDIRECT("'["&amp;$C$1&amp;".xls]"&amp;$B543&amp;"'!$P$30")="","",IF(INDIRECT("'["&amp;$C$1&amp;".xls]"&amp;$B543&amp;"'!$O$30")="済み",INDIRECT("'["&amp;$C$1&amp;".xls]"&amp;$B543&amp;"'!$P$30"),""))</f>
        <v>#REF!</v>
      </c>
      <c r="AG543" s="48" t="e">
        <f ca="1">IF(INDIRECT("'["&amp;$C$1&amp;".xls]"&amp;$B543&amp;"'!$P$31")="","",IF(INDIRECT("'["&amp;$C$1&amp;".xls]"&amp;$B543&amp;"'!$O$31")="済み",INDIRECT("'["&amp;$C$1&amp;".xls]"&amp;$B543&amp;"'!$P$31"),""))</f>
        <v>#REF!</v>
      </c>
      <c r="AH543" s="48" t="e">
        <f ca="1">IF(INDIRECT("'["&amp;$C$1&amp;".xls]"&amp;$B543&amp;"'!$P$32")="","",IF(INDIRECT("'["&amp;$C$1&amp;".xls]"&amp;$B543&amp;"'!$O$32")="済み",INDIRECT("'["&amp;$C$1&amp;".xls]"&amp;$B543&amp;"'!$P$32"),""))</f>
        <v>#REF!</v>
      </c>
      <c r="AI543" s="48" t="e">
        <f ca="1">IF(INDIRECT("'["&amp;$C$1&amp;".xls]"&amp;$B543&amp;"'!$P$33")="","",IF(INDIRECT("'["&amp;$C$1&amp;".xls]"&amp;$B543&amp;"'!$O$33")="済み",INDIRECT("'["&amp;$C$1&amp;".xls]"&amp;$B543&amp;"'!$P$33"),""))</f>
        <v>#REF!</v>
      </c>
      <c r="AJ543" s="48" t="e">
        <f ca="1">IF(INDIRECT("'["&amp;$C$1&amp;".xls]"&amp;$B543&amp;"'!$P$34")="","",IF(INDIRECT("'["&amp;$C$1&amp;".xls]"&amp;$B543&amp;"'!$O$34")="済み",INDIRECT("'["&amp;$C$1&amp;".xls]"&amp;$B543&amp;"'!$P$34"),""))</f>
        <v>#REF!</v>
      </c>
      <c r="AK543" s="48" t="e">
        <f ca="1">IF(INDIRECT("'["&amp;$C$1&amp;".xls]"&amp;$B543&amp;"'!$T25")="","",IF(INDIRECT("'["&amp;$C$1&amp;".xls]"&amp;$B543&amp;"'!$O$25")="済み",INDIRECT("'["&amp;$C$1&amp;".xls]"&amp;$B543&amp;"'!$T$25"),""))</f>
        <v>#REF!</v>
      </c>
      <c r="AL543" s="48" t="e">
        <f ca="1">IF(INDIRECT("'["&amp;$C$1&amp;".xls]"&amp;$B543&amp;"'!$T26")="","",IF(INDIRECT("'["&amp;$C$1&amp;".xls]"&amp;$B543&amp;"'!$O$26")="済み",INDIRECT("'["&amp;$C$1&amp;".xls]"&amp;$B543&amp;"'!$T$26"),""))</f>
        <v>#REF!</v>
      </c>
      <c r="AM543" s="48" t="e">
        <f ca="1">IF(INDIRECT("'["&amp;$C$1&amp;".xls]"&amp;$B543&amp;"'!$T27")="","",IF(INDIRECT("'["&amp;$C$1&amp;".xls]"&amp;$B543&amp;"'!$O$27")="済み",INDIRECT("'["&amp;$C$1&amp;".xls]"&amp;$B543&amp;"'!$T$27"),""))</f>
        <v>#REF!</v>
      </c>
      <c r="AN543" s="48" t="e">
        <f ca="1">IF(INDIRECT("'["&amp;$C$1&amp;".xls]"&amp;$B543&amp;"'!$T28")="","",IF(INDIRECT("'["&amp;$C$1&amp;".xls]"&amp;$B543&amp;"'!$O$28")="済み",INDIRECT("'["&amp;$C$1&amp;".xls]"&amp;$B543&amp;"'!$T$28"),""))</f>
        <v>#REF!</v>
      </c>
      <c r="AO543" s="48" t="e">
        <f ca="1">IF(INDIRECT("'["&amp;$C$1&amp;".xls]"&amp;$B543&amp;"'!$T29")="","",IF(INDIRECT("'["&amp;$C$1&amp;".xls]"&amp;$B543&amp;"'!$O$29")="済み",INDIRECT("'["&amp;$C$1&amp;".xls]"&amp;$B543&amp;"'!$T$29"),""))</f>
        <v>#REF!</v>
      </c>
      <c r="AP543" s="48" t="e">
        <f ca="1">IF(INDIRECT("'["&amp;$C$1&amp;".xls]"&amp;$B543&amp;"'!$T30")="","",IF(INDIRECT("'["&amp;$C$1&amp;".xls]"&amp;$B543&amp;"'!$O$30")="済み",INDIRECT("'["&amp;$C$1&amp;".xls]"&amp;$B543&amp;"'!$T$30"),""))</f>
        <v>#REF!</v>
      </c>
      <c r="AQ543" s="48" t="e">
        <f ca="1">IF(INDIRECT("'["&amp;$C$1&amp;".xls]"&amp;$B543&amp;"'!$T31")="","",IF(INDIRECT("'["&amp;$C$1&amp;".xls]"&amp;$B543&amp;"'!$O$31")="済み",INDIRECT("'["&amp;$C$1&amp;".xls]"&amp;$B543&amp;"'!$T$31"),""))</f>
        <v>#REF!</v>
      </c>
      <c r="AR543" s="48" t="e">
        <f ca="1">IF(INDIRECT("'["&amp;$C$1&amp;".xls]"&amp;$B543&amp;"'!$T32")="","",IF(INDIRECT("'["&amp;$C$1&amp;".xls]"&amp;$B543&amp;"'!$O$32")="済み",INDIRECT("'["&amp;$C$1&amp;".xls]"&amp;$B543&amp;"'!$T$32"),""))</f>
        <v>#REF!</v>
      </c>
      <c r="AS543" s="48" t="e">
        <f ca="1">IF(INDIRECT("'["&amp;$C$1&amp;".xls]"&amp;$B543&amp;"'!$T33")="","",IF(INDIRECT("'["&amp;$C$1&amp;".xls]"&amp;$B543&amp;"'!$O$33")="済み",INDIRECT("'["&amp;$C$1&amp;".xls]"&amp;$B543&amp;"'!$T$33"),""))</f>
        <v>#REF!</v>
      </c>
      <c r="AT543" s="48" t="e">
        <f ca="1">IF(INDIRECT("'["&amp;$C$1&amp;".xls]"&amp;$B543&amp;"'!$T34")="","",IF(INDIRECT("'["&amp;$C$1&amp;".xls]"&amp;$B543&amp;"'!$O$34")="済み",INDIRECT("'["&amp;$C$1&amp;".xls]"&amp;$B543&amp;"'!$T$34"),""))</f>
        <v>#REF!</v>
      </c>
      <c r="AU543" s="93" t="e">
        <f ca="1">INDIRECT("'["&amp;$C$1&amp;".xls]"&amp;$B543&amp;"'!$B$6")</f>
        <v>#REF!</v>
      </c>
      <c r="AV543" s="93" t="e">
        <f ca="1">INDIRECT("'["&amp;$C$1&amp;".xls]"&amp;$B543&amp;"'!$Y$22")</f>
        <v>#REF!</v>
      </c>
      <c r="AW543" s="93" t="e">
        <f ca="1">INDIRECT("'["&amp;$C$1&amp;".xls]"&amp;$B543&amp;"'!$Y$24")</f>
        <v>#REF!</v>
      </c>
      <c r="AX543" s="93" t="e">
        <f ca="1">INDIRECT("'["&amp;$C$1&amp;".xls]"&amp;$B543&amp;"'!$Y$26")</f>
        <v>#REF!</v>
      </c>
      <c r="AY543" s="93" t="e">
        <f ca="1">INDIRECT("'["&amp;$C$1&amp;".xls]"&amp;$B543&amp;"'!$Y$28")</f>
        <v>#REF!</v>
      </c>
    </row>
    <row r="544" spans="1:52" ht="16.5" customHeight="1" x14ac:dyDescent="0.15">
      <c r="A544" s="156" t="s">
        <v>5661</v>
      </c>
      <c r="B544" s="157" t="s">
        <v>5662</v>
      </c>
      <c r="C544" s="48" t="s">
        <v>330</v>
      </c>
      <c r="D544" s="62" t="s">
        <v>5663</v>
      </c>
      <c r="E544" s="48" t="s">
        <v>300</v>
      </c>
      <c r="F544" s="61">
        <v>42585</v>
      </c>
      <c r="G544" s="61">
        <v>0</v>
      </c>
      <c r="H544" s="125">
        <v>42642</v>
      </c>
      <c r="I544" s="61" t="s">
        <v>279</v>
      </c>
      <c r="J544" s="87"/>
      <c r="K544" s="124" t="s">
        <v>263</v>
      </c>
      <c r="L544" s="124" t="s">
        <v>263</v>
      </c>
      <c r="M544" s="62" t="s">
        <v>209</v>
      </c>
      <c r="N544" s="62" t="s">
        <v>5664</v>
      </c>
      <c r="O544" s="48" t="s">
        <v>4243</v>
      </c>
      <c r="P544" s="48" t="s">
        <v>5665</v>
      </c>
      <c r="Q544" s="48" t="s">
        <v>5209</v>
      </c>
      <c r="R544" s="48" t="s">
        <v>5666</v>
      </c>
      <c r="S544" s="48" t="s">
        <v>5667</v>
      </c>
      <c r="T544" s="48" t="s">
        <v>4921</v>
      </c>
      <c r="U544" s="48" t="s">
        <v>5668</v>
      </c>
      <c r="V544" s="122" t="s">
        <v>263</v>
      </c>
      <c r="W544" s="122" t="s">
        <v>263</v>
      </c>
      <c r="X544" s="48" t="s">
        <v>4923</v>
      </c>
      <c r="Y544" s="48" t="s">
        <v>4924</v>
      </c>
      <c r="Z544" s="61"/>
      <c r="AA544" s="48" t="s">
        <v>273</v>
      </c>
      <c r="AB544" s="48" t="s">
        <v>273</v>
      </c>
      <c r="AC544" s="48" t="s">
        <v>273</v>
      </c>
      <c r="AD544" s="48" t="s">
        <v>273</v>
      </c>
      <c r="AE544" s="48" t="s">
        <v>273</v>
      </c>
      <c r="AF544" s="48" t="s">
        <v>273</v>
      </c>
      <c r="AG544" s="48" t="s">
        <v>273</v>
      </c>
      <c r="AH544" s="48" t="s">
        <v>273</v>
      </c>
      <c r="AI544" s="48" t="s">
        <v>273</v>
      </c>
      <c r="AJ544" s="48" t="s">
        <v>273</v>
      </c>
      <c r="AK544" s="48" t="s">
        <v>273</v>
      </c>
      <c r="AL544" s="48" t="s">
        <v>273</v>
      </c>
      <c r="AM544" s="48" t="s">
        <v>273</v>
      </c>
      <c r="AN544" s="48" t="s">
        <v>273</v>
      </c>
      <c r="AO544" s="48" t="s">
        <v>273</v>
      </c>
      <c r="AP544" s="48" t="s">
        <v>273</v>
      </c>
      <c r="AQ544" s="48" t="s">
        <v>273</v>
      </c>
      <c r="AR544" s="48" t="s">
        <v>273</v>
      </c>
      <c r="AS544" s="48" t="s">
        <v>273</v>
      </c>
      <c r="AT544" s="48" t="s">
        <v>273</v>
      </c>
      <c r="AU544" s="93" t="s">
        <v>5669</v>
      </c>
      <c r="AV544" s="93" t="s">
        <v>5670</v>
      </c>
      <c r="AW544" s="93" t="s">
        <v>5671</v>
      </c>
      <c r="AX544" s="93" t="s">
        <v>5672</v>
      </c>
      <c r="AY544" s="93" t="s">
        <v>5673</v>
      </c>
    </row>
    <row r="545" spans="1:52" ht="16.5" customHeight="1" x14ac:dyDescent="0.15">
      <c r="A545" s="153" t="s">
        <v>5674</v>
      </c>
      <c r="B545" s="154" t="s">
        <v>5675</v>
      </c>
      <c r="C545" s="48" t="s">
        <v>5676</v>
      </c>
      <c r="D545" s="62" t="s">
        <v>263</v>
      </c>
      <c r="E545" s="48" t="s">
        <v>264</v>
      </c>
      <c r="F545" s="61">
        <v>42585</v>
      </c>
      <c r="G545" s="61">
        <v>0</v>
      </c>
      <c r="H545" s="125">
        <v>42591</v>
      </c>
      <c r="I545" s="61" t="s">
        <v>279</v>
      </c>
      <c r="J545" s="87"/>
      <c r="K545" s="62" t="s">
        <v>12</v>
      </c>
      <c r="L545" s="62">
        <v>3</v>
      </c>
      <c r="M545" s="62" t="s">
        <v>2437</v>
      </c>
      <c r="N545" s="62" t="s">
        <v>5677</v>
      </c>
      <c r="O545" s="48" t="s">
        <v>5678</v>
      </c>
      <c r="P545" s="48" t="s">
        <v>267</v>
      </c>
      <c r="Q545" s="48" t="s">
        <v>5679</v>
      </c>
      <c r="R545" s="122" t="s">
        <v>263</v>
      </c>
      <c r="S545" s="48" t="s">
        <v>269</v>
      </c>
      <c r="T545" s="48" t="s">
        <v>270</v>
      </c>
      <c r="U545" s="48" t="s">
        <v>5680</v>
      </c>
      <c r="V545" s="122" t="s">
        <v>263</v>
      </c>
      <c r="W545" s="122" t="s">
        <v>263</v>
      </c>
      <c r="X545" s="122" t="s">
        <v>263</v>
      </c>
      <c r="Y545" s="122" t="s">
        <v>263</v>
      </c>
      <c r="Z545" s="61"/>
      <c r="AA545" s="48" t="s">
        <v>5681</v>
      </c>
      <c r="AB545" s="48" t="s">
        <v>273</v>
      </c>
      <c r="AC545" s="48" t="s">
        <v>273</v>
      </c>
      <c r="AD545" s="48" t="s">
        <v>273</v>
      </c>
      <c r="AE545" s="48" t="s">
        <v>273</v>
      </c>
      <c r="AF545" s="48" t="s">
        <v>273</v>
      </c>
      <c r="AG545" s="48" t="s">
        <v>273</v>
      </c>
      <c r="AH545" s="48" t="s">
        <v>273</v>
      </c>
      <c r="AI545" s="48" t="s">
        <v>273</v>
      </c>
      <c r="AJ545" s="48" t="s">
        <v>273</v>
      </c>
      <c r="AK545" s="48" t="s">
        <v>5682</v>
      </c>
      <c r="AL545" s="48" t="s">
        <v>273</v>
      </c>
      <c r="AM545" s="48" t="s">
        <v>273</v>
      </c>
      <c r="AN545" s="48" t="s">
        <v>273</v>
      </c>
      <c r="AO545" s="48" t="s">
        <v>273</v>
      </c>
      <c r="AP545" s="48" t="s">
        <v>273</v>
      </c>
      <c r="AQ545" s="48" t="s">
        <v>273</v>
      </c>
      <c r="AR545" s="48" t="s">
        <v>273</v>
      </c>
      <c r="AS545" s="48" t="s">
        <v>273</v>
      </c>
      <c r="AT545" s="48" t="s">
        <v>273</v>
      </c>
      <c r="AU545" s="93">
        <v>41821</v>
      </c>
      <c r="AV545" s="93" t="s">
        <v>5683</v>
      </c>
      <c r="AW545" s="93" t="s">
        <v>5684</v>
      </c>
      <c r="AX545" s="93" t="s">
        <v>5685</v>
      </c>
      <c r="AY545" s="93" t="s">
        <v>5686</v>
      </c>
    </row>
    <row r="546" spans="1:52" ht="16.5" customHeight="1" x14ac:dyDescent="0.15">
      <c r="A546" s="156" t="s">
        <v>5687</v>
      </c>
      <c r="B546" s="157" t="s">
        <v>5688</v>
      </c>
      <c r="C546" s="48" t="s">
        <v>298</v>
      </c>
      <c r="D546" s="62" t="s">
        <v>5689</v>
      </c>
      <c r="E546" s="48" t="s">
        <v>300</v>
      </c>
      <c r="F546" s="61">
        <v>42585</v>
      </c>
      <c r="G546" s="61">
        <v>0</v>
      </c>
      <c r="H546" s="125">
        <v>42622</v>
      </c>
      <c r="I546" s="61" t="s">
        <v>279</v>
      </c>
      <c r="J546" s="87"/>
      <c r="K546" s="62">
        <v>0</v>
      </c>
      <c r="L546" s="62"/>
      <c r="M546" s="62" t="s">
        <v>209</v>
      </c>
      <c r="N546" s="62" t="s">
        <v>5690</v>
      </c>
      <c r="O546" s="48" t="s">
        <v>1402</v>
      </c>
      <c r="P546" s="48" t="s">
        <v>1995</v>
      </c>
      <c r="Q546" s="48" t="s">
        <v>2692</v>
      </c>
      <c r="R546" s="48" t="s">
        <v>5691</v>
      </c>
      <c r="S546" s="130" t="s">
        <v>1997</v>
      </c>
      <c r="T546" s="130" t="s">
        <v>1998</v>
      </c>
      <c r="U546" s="48" t="s">
        <v>5692</v>
      </c>
      <c r="V546" s="122" t="s">
        <v>263</v>
      </c>
      <c r="W546" s="122" t="s">
        <v>263</v>
      </c>
      <c r="X546" s="48" t="s">
        <v>2453</v>
      </c>
      <c r="Y546" s="48" t="s">
        <v>2454</v>
      </c>
      <c r="Z546" s="61"/>
      <c r="AA546" s="48" t="s">
        <v>2886</v>
      </c>
      <c r="AB546" s="48" t="s">
        <v>273</v>
      </c>
      <c r="AC546" s="48" t="s">
        <v>273</v>
      </c>
      <c r="AD546" s="48" t="s">
        <v>273</v>
      </c>
      <c r="AE546" s="48" t="s">
        <v>273</v>
      </c>
      <c r="AF546" s="48" t="s">
        <v>273</v>
      </c>
      <c r="AG546" s="48" t="s">
        <v>273</v>
      </c>
      <c r="AH546" s="48" t="s">
        <v>273</v>
      </c>
      <c r="AI546" s="48" t="s">
        <v>273</v>
      </c>
      <c r="AJ546" s="48" t="s">
        <v>273</v>
      </c>
      <c r="AK546" s="48" t="s">
        <v>5693</v>
      </c>
      <c r="AL546" s="48" t="s">
        <v>273</v>
      </c>
      <c r="AM546" s="48" t="s">
        <v>273</v>
      </c>
      <c r="AN546" s="48" t="s">
        <v>273</v>
      </c>
      <c r="AO546" s="48" t="s">
        <v>273</v>
      </c>
      <c r="AP546" s="48" t="s">
        <v>273</v>
      </c>
      <c r="AQ546" s="48" t="s">
        <v>273</v>
      </c>
      <c r="AR546" s="48" t="s">
        <v>273</v>
      </c>
      <c r="AS546" s="48" t="s">
        <v>273</v>
      </c>
      <c r="AT546" s="48" t="s">
        <v>273</v>
      </c>
      <c r="AU546" s="93">
        <v>40483</v>
      </c>
      <c r="AV546" s="93" t="s">
        <v>5694</v>
      </c>
      <c r="AW546" s="93" t="s">
        <v>5695</v>
      </c>
      <c r="AX546" s="93" t="s">
        <v>5696</v>
      </c>
      <c r="AY546" s="93" t="s">
        <v>5312</v>
      </c>
      <c r="AZ546" s="49" t="s">
        <v>5697</v>
      </c>
    </row>
    <row r="547" spans="1:52" ht="16.5" customHeight="1" x14ac:dyDescent="0.15">
      <c r="A547" s="156" t="s">
        <v>5698</v>
      </c>
      <c r="B547" s="157" t="s">
        <v>5699</v>
      </c>
      <c r="C547" s="48" t="s">
        <v>5700</v>
      </c>
      <c r="D547" s="62" t="s">
        <v>5701</v>
      </c>
      <c r="E547" s="48" t="s">
        <v>300</v>
      </c>
      <c r="F547" s="61">
        <v>42585</v>
      </c>
      <c r="G547" s="61">
        <v>0</v>
      </c>
      <c r="H547" s="125">
        <v>42622</v>
      </c>
      <c r="I547" s="61" t="s">
        <v>279</v>
      </c>
      <c r="J547" s="87"/>
      <c r="K547" s="62" t="s">
        <v>16</v>
      </c>
      <c r="L547" s="62">
        <v>3</v>
      </c>
      <c r="M547" s="62" t="s">
        <v>409</v>
      </c>
      <c r="N547" s="62" t="s">
        <v>2859</v>
      </c>
      <c r="O547" s="48" t="s">
        <v>606</v>
      </c>
      <c r="P547" s="130" t="s">
        <v>1995</v>
      </c>
      <c r="Q547" s="48" t="s">
        <v>2692</v>
      </c>
      <c r="R547" s="48" t="s">
        <v>5691</v>
      </c>
      <c r="S547" s="130" t="s">
        <v>1997</v>
      </c>
      <c r="T547" s="130" t="s">
        <v>1998</v>
      </c>
      <c r="U547" s="48" t="s">
        <v>5692</v>
      </c>
      <c r="V547" s="122" t="s">
        <v>263</v>
      </c>
      <c r="W547" s="122" t="s">
        <v>263</v>
      </c>
      <c r="X547" s="48" t="s">
        <v>2453</v>
      </c>
      <c r="Y547" s="48" t="s">
        <v>2454</v>
      </c>
      <c r="Z547" s="61"/>
      <c r="AA547" s="48" t="s">
        <v>2863</v>
      </c>
      <c r="AB547" s="48" t="s">
        <v>273</v>
      </c>
      <c r="AC547" s="48" t="s">
        <v>273</v>
      </c>
      <c r="AD547" s="48" t="s">
        <v>273</v>
      </c>
      <c r="AE547" s="48" t="s">
        <v>273</v>
      </c>
      <c r="AF547" s="48" t="s">
        <v>273</v>
      </c>
      <c r="AG547" s="48" t="s">
        <v>273</v>
      </c>
      <c r="AH547" s="48" t="s">
        <v>273</v>
      </c>
      <c r="AI547" s="48" t="s">
        <v>273</v>
      </c>
      <c r="AJ547" s="48" t="s">
        <v>273</v>
      </c>
      <c r="AK547" s="48" t="s">
        <v>2864</v>
      </c>
      <c r="AL547" s="48" t="s">
        <v>273</v>
      </c>
      <c r="AM547" s="48" t="s">
        <v>273</v>
      </c>
      <c r="AN547" s="48" t="s">
        <v>273</v>
      </c>
      <c r="AO547" s="48" t="s">
        <v>273</v>
      </c>
      <c r="AP547" s="48" t="s">
        <v>273</v>
      </c>
      <c r="AQ547" s="48" t="s">
        <v>273</v>
      </c>
      <c r="AR547" s="48" t="s">
        <v>273</v>
      </c>
      <c r="AS547" s="48" t="s">
        <v>273</v>
      </c>
      <c r="AT547" s="48" t="s">
        <v>273</v>
      </c>
      <c r="AU547" s="93">
        <v>40179</v>
      </c>
      <c r="AV547" s="93" t="s">
        <v>5702</v>
      </c>
      <c r="AW547" s="93" t="s">
        <v>5703</v>
      </c>
      <c r="AX547" s="93" t="s">
        <v>5704</v>
      </c>
      <c r="AY547" s="93" t="s">
        <v>5705</v>
      </c>
      <c r="AZ547" s="49" t="s">
        <v>5697</v>
      </c>
    </row>
    <row r="548" spans="1:52" ht="16.5" customHeight="1" x14ac:dyDescent="0.15">
      <c r="A548" s="182" t="s">
        <v>5706</v>
      </c>
      <c r="B548" s="183" t="s">
        <v>5707</v>
      </c>
      <c r="C548" s="48" t="s">
        <v>5708</v>
      </c>
      <c r="D548" s="62" t="s">
        <v>5709</v>
      </c>
      <c r="E548" s="48" t="s">
        <v>264</v>
      </c>
      <c r="F548" s="61">
        <v>42586</v>
      </c>
      <c r="G548" s="61">
        <v>0</v>
      </c>
      <c r="H548" s="125">
        <v>42662</v>
      </c>
      <c r="I548" s="61">
        <v>40819</v>
      </c>
      <c r="J548" s="87"/>
      <c r="K548" s="62" t="s">
        <v>2506</v>
      </c>
      <c r="L548" s="62">
        <v>3</v>
      </c>
      <c r="M548" s="62" t="s">
        <v>680</v>
      </c>
      <c r="N548" s="62" t="s">
        <v>5710</v>
      </c>
      <c r="O548" s="48" t="s">
        <v>1480</v>
      </c>
      <c r="P548" s="130" t="s">
        <v>5711</v>
      </c>
      <c r="Q548" s="130" t="s">
        <v>5712</v>
      </c>
      <c r="R548" s="130" t="s">
        <v>5713</v>
      </c>
      <c r="S548" s="130" t="s">
        <v>269</v>
      </c>
      <c r="T548" s="130" t="s">
        <v>270</v>
      </c>
      <c r="U548" s="48" t="s">
        <v>5714</v>
      </c>
      <c r="V548" s="48" t="s">
        <v>5715</v>
      </c>
      <c r="W548" s="48" t="s">
        <v>5716</v>
      </c>
      <c r="X548" s="48" t="s">
        <v>5717</v>
      </c>
      <c r="Y548" s="48" t="s">
        <v>5718</v>
      </c>
      <c r="Z548" s="61"/>
      <c r="AA548" s="48" t="s">
        <v>833</v>
      </c>
      <c r="AB548" s="48" t="s">
        <v>1139</v>
      </c>
      <c r="AC548" s="48" t="s">
        <v>273</v>
      </c>
      <c r="AD548" s="48" t="s">
        <v>273</v>
      </c>
      <c r="AE548" s="48" t="s">
        <v>273</v>
      </c>
      <c r="AF548" s="48" t="s">
        <v>273</v>
      </c>
      <c r="AG548" s="48" t="s">
        <v>273</v>
      </c>
      <c r="AH548" s="48" t="s">
        <v>273</v>
      </c>
      <c r="AI548" s="48" t="s">
        <v>273</v>
      </c>
      <c r="AJ548" s="48" t="s">
        <v>273</v>
      </c>
      <c r="AK548" s="48" t="s">
        <v>834</v>
      </c>
      <c r="AL548" s="48" t="s">
        <v>1140</v>
      </c>
      <c r="AM548" s="48" t="s">
        <v>273</v>
      </c>
      <c r="AN548" s="48" t="s">
        <v>273</v>
      </c>
      <c r="AO548" s="48" t="s">
        <v>273</v>
      </c>
      <c r="AP548" s="48" t="s">
        <v>273</v>
      </c>
      <c r="AQ548" s="48" t="s">
        <v>273</v>
      </c>
      <c r="AR548" s="48" t="s">
        <v>273</v>
      </c>
      <c r="AS548" s="48" t="s">
        <v>273</v>
      </c>
      <c r="AT548" s="48" t="s">
        <v>273</v>
      </c>
      <c r="AU548" s="93">
        <v>40787</v>
      </c>
      <c r="AV548" s="93" t="s">
        <v>5719</v>
      </c>
      <c r="AW548" s="93" t="s">
        <v>5720</v>
      </c>
      <c r="AX548" s="93" t="s">
        <v>5721</v>
      </c>
      <c r="AY548" s="93" t="s">
        <v>5312</v>
      </c>
    </row>
    <row r="549" spans="1:52" ht="16.5" customHeight="1" x14ac:dyDescent="0.15">
      <c r="A549" s="153" t="s">
        <v>5722</v>
      </c>
      <c r="B549" s="154" t="s">
        <v>5723</v>
      </c>
      <c r="C549" s="48" t="s">
        <v>5724</v>
      </c>
      <c r="D549" s="62" t="s">
        <v>263</v>
      </c>
      <c r="E549" s="48" t="s">
        <v>264</v>
      </c>
      <c r="F549" s="61">
        <v>42586</v>
      </c>
      <c r="G549" s="61">
        <v>0</v>
      </c>
      <c r="H549" s="125">
        <v>42613</v>
      </c>
      <c r="I549" s="61">
        <v>41562</v>
      </c>
      <c r="J549" s="87"/>
      <c r="K549" s="124" t="s">
        <v>263</v>
      </c>
      <c r="L549" s="124" t="s">
        <v>263</v>
      </c>
      <c r="M549" s="62" t="s">
        <v>471</v>
      </c>
      <c r="N549" s="62" t="s">
        <v>5725</v>
      </c>
      <c r="O549" s="48" t="s">
        <v>502</v>
      </c>
      <c r="P549" s="48" t="s">
        <v>5726</v>
      </c>
      <c r="Q549" s="48" t="s">
        <v>5727</v>
      </c>
      <c r="R549" s="48" t="s">
        <v>399</v>
      </c>
      <c r="S549" s="48" t="s">
        <v>400</v>
      </c>
      <c r="T549" s="48" t="s">
        <v>401</v>
      </c>
      <c r="U549" s="48" t="s">
        <v>3868</v>
      </c>
      <c r="V549" s="122" t="s">
        <v>263</v>
      </c>
      <c r="W549" s="122" t="s">
        <v>263</v>
      </c>
      <c r="X549" s="48" t="s">
        <v>3869</v>
      </c>
      <c r="Y549" s="48" t="s">
        <v>5728</v>
      </c>
      <c r="Z549" s="61"/>
      <c r="AA549" s="48" t="s">
        <v>273</v>
      </c>
      <c r="AB549" s="48" t="s">
        <v>273</v>
      </c>
      <c r="AC549" s="48" t="s">
        <v>273</v>
      </c>
      <c r="AD549" s="48" t="s">
        <v>273</v>
      </c>
      <c r="AE549" s="48" t="s">
        <v>273</v>
      </c>
      <c r="AF549" s="48" t="s">
        <v>273</v>
      </c>
      <c r="AG549" s="48" t="s">
        <v>273</v>
      </c>
      <c r="AH549" s="48" t="s">
        <v>273</v>
      </c>
      <c r="AI549" s="48" t="s">
        <v>273</v>
      </c>
      <c r="AJ549" s="48" t="s">
        <v>273</v>
      </c>
      <c r="AK549" s="48" t="s">
        <v>273</v>
      </c>
      <c r="AL549" s="48" t="s">
        <v>273</v>
      </c>
      <c r="AM549" s="48" t="s">
        <v>273</v>
      </c>
      <c r="AN549" s="48" t="s">
        <v>273</v>
      </c>
      <c r="AO549" s="48" t="s">
        <v>273</v>
      </c>
      <c r="AP549" s="48" t="s">
        <v>273</v>
      </c>
      <c r="AQ549" s="48" t="s">
        <v>273</v>
      </c>
      <c r="AR549" s="48" t="s">
        <v>273</v>
      </c>
      <c r="AS549" s="48" t="s">
        <v>273</v>
      </c>
      <c r="AT549" s="48" t="s">
        <v>273</v>
      </c>
      <c r="AU549" s="93">
        <v>41395</v>
      </c>
      <c r="AV549" s="93" t="s">
        <v>5729</v>
      </c>
      <c r="AW549" s="93" t="s">
        <v>5730</v>
      </c>
      <c r="AX549" s="93" t="s">
        <v>5731</v>
      </c>
      <c r="AY549" s="93" t="s">
        <v>5732</v>
      </c>
      <c r="AZ549" s="49" t="s">
        <v>5733</v>
      </c>
    </row>
    <row r="550" spans="1:52" ht="16.5" customHeight="1" x14ac:dyDescent="0.15">
      <c r="A550" s="121" t="s">
        <v>5734</v>
      </c>
      <c r="B550" s="47" t="s">
        <v>5735</v>
      </c>
      <c r="C550" s="48" t="e">
        <f ca="1">INDIRECT("'["&amp;$C$1&amp;".xls]"&amp;$B550&amp;"'!$i$7")</f>
        <v>#REF!</v>
      </c>
      <c r="D550" s="62" t="e">
        <f ca="1">INDIRECT("'["&amp;$C$1&amp;".xls]"&amp;$B550&amp;"'!$b$7")</f>
        <v>#REF!</v>
      </c>
      <c r="E550" s="48" t="e">
        <f ca="1">IF(INDIRECT("'["&amp;$C$1&amp;".xls]"&amp;$B550&amp;"'!$i$2")="","",INDIRECT("'["&amp;$C$1&amp;".xls]"&amp;$B550&amp;"'!$i$2"))</f>
        <v>#REF!</v>
      </c>
      <c r="F550" s="61" t="e">
        <f ca="1">INDIRECT("'["&amp;$C$1&amp;".xls]"&amp;$B550&amp;"'!$b$2")</f>
        <v>#REF!</v>
      </c>
      <c r="G550" s="61" t="e">
        <f ca="1">INDIRECT("'["&amp;$C$1&amp;".xls]"&amp;$B550&amp;"'!$a$20")</f>
        <v>#REF!</v>
      </c>
      <c r="H550" s="88" t="e">
        <f ca="1">INDIRECT("'["&amp;$C$1&amp;".xls]"&amp;$B550&amp;"'!$Q$22")</f>
        <v>#REF!</v>
      </c>
      <c r="I550" s="61" t="e">
        <f ca="1">INDIRECT("'["&amp;$C$1&amp;".xls]"&amp;$B550&amp;"'!$f$6")</f>
        <v>#REF!</v>
      </c>
      <c r="J550" s="87"/>
      <c r="K550" s="62" t="e">
        <f ca="1">INDIRECT("'["&amp;$C$1&amp;".xls]"&amp;$B550&amp;"'!$f$25")</f>
        <v>#REF!</v>
      </c>
      <c r="L550" s="62"/>
      <c r="M550" s="62" t="e">
        <f ca="1">INDIRECT("'["&amp;$C$1&amp;".xls]"&amp;$B550&amp;"'!$f$4")</f>
        <v>#REF!</v>
      </c>
      <c r="N550" s="62" t="e">
        <f ca="1">INDIRECT("'["&amp;$C$1&amp;".xls]"&amp;$B550&amp;"'!$i$4")</f>
        <v>#REF!</v>
      </c>
      <c r="O550" s="48" t="e">
        <f ca="1">INDIRECT("'["&amp;$C$1&amp;".xls]"&amp;$B550&amp;"'!$l$4")</f>
        <v>#REF!</v>
      </c>
      <c r="P550" s="48" t="e">
        <f ca="1">INDIRECT("'["&amp;$C$1&amp;".xls]"&amp;$B550&amp;"'!$b$5")</f>
        <v>#REF!</v>
      </c>
      <c r="Q550" s="48" t="e">
        <f ca="1">INDIRECT("'["&amp;$C$1&amp;".xls]"&amp;$B550&amp;"'!$f$5")</f>
        <v>#REF!</v>
      </c>
      <c r="R550" s="48"/>
      <c r="S550" s="48" t="e">
        <f ca="1">INDIRECT("'["&amp;$C$1&amp;".xls]"&amp;$B550&amp;"'!$i$5")</f>
        <v>#REF!</v>
      </c>
      <c r="T550" s="48" t="e">
        <f ca="1">INDIRECT("'["&amp;$C$1&amp;".xls]"&amp;$B550&amp;"'!$l$5")</f>
        <v>#REF!</v>
      </c>
      <c r="U550" s="48" t="e">
        <f ca="1">INDIRECT("'["&amp;$C$1&amp;".xls]"&amp;$B550&amp;"'!$b$4")</f>
        <v>#REF!</v>
      </c>
      <c r="V550" s="48"/>
      <c r="W550" s="48"/>
      <c r="X550" s="48"/>
      <c r="Y550" s="48"/>
      <c r="Z550" s="61"/>
      <c r="AA550" s="48" t="e">
        <f ca="1">IF(INDIRECT("'["&amp;$C$1&amp;".xls]"&amp;$B550&amp;"'!$P$25")="","",IF(INDIRECT("'["&amp;$C$1&amp;".xls]"&amp;$B550&amp;"'!$O$25")="済み",INDIRECT("'["&amp;$C$1&amp;".xls]"&amp;$B550&amp;"'!$P$25"),""))</f>
        <v>#REF!</v>
      </c>
      <c r="AB550" s="48" t="e">
        <f ca="1">IF(INDIRECT("'["&amp;$C$1&amp;".xls]"&amp;$B550&amp;"'!$P$26")="","",IF(INDIRECT("'["&amp;$C$1&amp;".xls]"&amp;$B550&amp;"'!$O$26")="済み",INDIRECT("'["&amp;$C$1&amp;".xls]"&amp;$B550&amp;"'!$P$26"),""))</f>
        <v>#REF!</v>
      </c>
      <c r="AC550" s="48" t="e">
        <f ca="1">IF(INDIRECT("'["&amp;$C$1&amp;".xls]"&amp;$B550&amp;"'!$P$27")="","",IF(INDIRECT("'["&amp;$C$1&amp;".xls]"&amp;$B550&amp;"'!$O$27")="済み",INDIRECT("'["&amp;$C$1&amp;".xls]"&amp;$B550&amp;"'!$P$27"),""))</f>
        <v>#REF!</v>
      </c>
      <c r="AD550" s="48" t="e">
        <f ca="1">IF(INDIRECT("'["&amp;$C$1&amp;".xls]"&amp;$B550&amp;"'!$P$28")="","",IF(INDIRECT("'["&amp;$C$1&amp;".xls]"&amp;$B550&amp;"'!$O$28")="済み",INDIRECT("'["&amp;$C$1&amp;".xls]"&amp;$B550&amp;"'!$P$28"),""))</f>
        <v>#REF!</v>
      </c>
      <c r="AE550" s="48" t="e">
        <f ca="1">IF(INDIRECT("'["&amp;$C$1&amp;".xls]"&amp;$B550&amp;"'!$P$29")="","",IF(INDIRECT("'["&amp;$C$1&amp;".xls]"&amp;$B550&amp;"'!$O$29")="済み",INDIRECT("'["&amp;$C$1&amp;".xls]"&amp;$B550&amp;"'!$P$29"),""))</f>
        <v>#REF!</v>
      </c>
      <c r="AF550" s="48" t="e">
        <f ca="1">IF(INDIRECT("'["&amp;$C$1&amp;".xls]"&amp;$B550&amp;"'!$P$30")="","",IF(INDIRECT("'["&amp;$C$1&amp;".xls]"&amp;$B550&amp;"'!$O$30")="済み",INDIRECT("'["&amp;$C$1&amp;".xls]"&amp;$B550&amp;"'!$P$30"),""))</f>
        <v>#REF!</v>
      </c>
      <c r="AG550" s="48" t="e">
        <f ca="1">IF(INDIRECT("'["&amp;$C$1&amp;".xls]"&amp;$B550&amp;"'!$P$31")="","",IF(INDIRECT("'["&amp;$C$1&amp;".xls]"&amp;$B550&amp;"'!$O$31")="済み",INDIRECT("'["&amp;$C$1&amp;".xls]"&amp;$B550&amp;"'!$P$31"),""))</f>
        <v>#REF!</v>
      </c>
      <c r="AH550" s="48" t="e">
        <f ca="1">IF(INDIRECT("'["&amp;$C$1&amp;".xls]"&amp;$B550&amp;"'!$P$32")="","",IF(INDIRECT("'["&amp;$C$1&amp;".xls]"&amp;$B550&amp;"'!$O$32")="済み",INDIRECT("'["&amp;$C$1&amp;".xls]"&amp;$B550&amp;"'!$P$32"),""))</f>
        <v>#REF!</v>
      </c>
      <c r="AI550" s="48" t="e">
        <f ca="1">IF(INDIRECT("'["&amp;$C$1&amp;".xls]"&amp;$B550&amp;"'!$P$33")="","",IF(INDIRECT("'["&amp;$C$1&amp;".xls]"&amp;$B550&amp;"'!$O$33")="済み",INDIRECT("'["&amp;$C$1&amp;".xls]"&amp;$B550&amp;"'!$P$33"),""))</f>
        <v>#REF!</v>
      </c>
      <c r="AJ550" s="48" t="e">
        <f ca="1">IF(INDIRECT("'["&amp;$C$1&amp;".xls]"&amp;$B550&amp;"'!$P$34")="","",IF(INDIRECT("'["&amp;$C$1&amp;".xls]"&amp;$B550&amp;"'!$O$34")="済み",INDIRECT("'["&amp;$C$1&amp;".xls]"&amp;$B550&amp;"'!$P$34"),""))</f>
        <v>#REF!</v>
      </c>
      <c r="AK550" s="48" t="e">
        <f ca="1">IF(INDIRECT("'["&amp;$C$1&amp;".xls]"&amp;$B550&amp;"'!$T25")="","",IF(INDIRECT("'["&amp;$C$1&amp;".xls]"&amp;$B550&amp;"'!$O$25")="済み",INDIRECT("'["&amp;$C$1&amp;".xls]"&amp;$B550&amp;"'!$T$25"),""))</f>
        <v>#REF!</v>
      </c>
      <c r="AL550" s="48" t="e">
        <f ca="1">IF(INDIRECT("'["&amp;$C$1&amp;".xls]"&amp;$B550&amp;"'!$T26")="","",IF(INDIRECT("'["&amp;$C$1&amp;".xls]"&amp;$B550&amp;"'!$O$26")="済み",INDIRECT("'["&amp;$C$1&amp;".xls]"&amp;$B550&amp;"'!$T$26"),""))</f>
        <v>#REF!</v>
      </c>
      <c r="AM550" s="48" t="e">
        <f ca="1">IF(INDIRECT("'["&amp;$C$1&amp;".xls]"&amp;$B550&amp;"'!$T27")="","",IF(INDIRECT("'["&amp;$C$1&amp;".xls]"&amp;$B550&amp;"'!$O$27")="済み",INDIRECT("'["&amp;$C$1&amp;".xls]"&amp;$B550&amp;"'!$T$27"),""))</f>
        <v>#REF!</v>
      </c>
      <c r="AN550" s="48" t="e">
        <f ca="1">IF(INDIRECT("'["&amp;$C$1&amp;".xls]"&amp;$B550&amp;"'!$T28")="","",IF(INDIRECT("'["&amp;$C$1&amp;".xls]"&amp;$B550&amp;"'!$O$28")="済み",INDIRECT("'["&amp;$C$1&amp;".xls]"&amp;$B550&amp;"'!$T$28"),""))</f>
        <v>#REF!</v>
      </c>
      <c r="AO550" s="48" t="e">
        <f ca="1">IF(INDIRECT("'["&amp;$C$1&amp;".xls]"&amp;$B550&amp;"'!$T29")="","",IF(INDIRECT("'["&amp;$C$1&amp;".xls]"&amp;$B550&amp;"'!$O$29")="済み",INDIRECT("'["&amp;$C$1&amp;".xls]"&amp;$B550&amp;"'!$T$29"),""))</f>
        <v>#REF!</v>
      </c>
      <c r="AP550" s="48" t="e">
        <f ca="1">IF(INDIRECT("'["&amp;$C$1&amp;".xls]"&amp;$B550&amp;"'!$T30")="","",IF(INDIRECT("'["&amp;$C$1&amp;".xls]"&amp;$B550&amp;"'!$O$30")="済み",INDIRECT("'["&amp;$C$1&amp;".xls]"&amp;$B550&amp;"'!$T$30"),""))</f>
        <v>#REF!</v>
      </c>
      <c r="AQ550" s="48" t="e">
        <f ca="1">IF(INDIRECT("'["&amp;$C$1&amp;".xls]"&amp;$B550&amp;"'!$T31")="","",IF(INDIRECT("'["&amp;$C$1&amp;".xls]"&amp;$B550&amp;"'!$O$31")="済み",INDIRECT("'["&amp;$C$1&amp;".xls]"&amp;$B550&amp;"'!$T$31"),""))</f>
        <v>#REF!</v>
      </c>
      <c r="AR550" s="48" t="e">
        <f ca="1">IF(INDIRECT("'["&amp;$C$1&amp;".xls]"&amp;$B550&amp;"'!$T32")="","",IF(INDIRECT("'["&amp;$C$1&amp;".xls]"&amp;$B550&amp;"'!$O$32")="済み",INDIRECT("'["&amp;$C$1&amp;".xls]"&amp;$B550&amp;"'!$T$32"),""))</f>
        <v>#REF!</v>
      </c>
      <c r="AS550" s="48" t="e">
        <f ca="1">IF(INDIRECT("'["&amp;$C$1&amp;".xls]"&amp;$B550&amp;"'!$T33")="","",IF(INDIRECT("'["&amp;$C$1&amp;".xls]"&amp;$B550&amp;"'!$O$33")="済み",INDIRECT("'["&amp;$C$1&amp;".xls]"&amp;$B550&amp;"'!$T$33"),""))</f>
        <v>#REF!</v>
      </c>
      <c r="AT550" s="48" t="e">
        <f ca="1">IF(INDIRECT("'["&amp;$C$1&amp;".xls]"&amp;$B550&amp;"'!$T34")="","",IF(INDIRECT("'["&amp;$C$1&amp;".xls]"&amp;$B550&amp;"'!$O$34")="済み",INDIRECT("'["&amp;$C$1&amp;".xls]"&amp;$B550&amp;"'!$T$34"),""))</f>
        <v>#REF!</v>
      </c>
      <c r="AU550" s="93" t="e">
        <f ca="1">INDIRECT("'["&amp;$C$1&amp;".xls]"&amp;$B550&amp;"'!$B$6")</f>
        <v>#REF!</v>
      </c>
      <c r="AV550" s="93" t="e">
        <f ca="1">INDIRECT("'["&amp;$C$1&amp;".xls]"&amp;$B550&amp;"'!$Y$22")</f>
        <v>#REF!</v>
      </c>
      <c r="AW550" s="93" t="e">
        <f ca="1">INDIRECT("'["&amp;$C$1&amp;".xls]"&amp;$B550&amp;"'!$Y$24")</f>
        <v>#REF!</v>
      </c>
      <c r="AX550" s="93" t="e">
        <f ca="1">INDIRECT("'["&amp;$C$1&amp;".xls]"&amp;$B550&amp;"'!$Y$26")</f>
        <v>#REF!</v>
      </c>
      <c r="AY550" s="93" t="e">
        <f ca="1">INDIRECT("'["&amp;$C$1&amp;".xls]"&amp;$B550&amp;"'!$Y$28")</f>
        <v>#REF!</v>
      </c>
    </row>
    <row r="551" spans="1:52" ht="16.5" customHeight="1" x14ac:dyDescent="0.15">
      <c r="A551" s="153" t="s">
        <v>5736</v>
      </c>
      <c r="B551" s="154" t="s">
        <v>5737</v>
      </c>
      <c r="C551" s="48" t="s">
        <v>330</v>
      </c>
      <c r="D551" s="62" t="s">
        <v>5738</v>
      </c>
      <c r="E551" s="48" t="s">
        <v>300</v>
      </c>
      <c r="F551" s="61">
        <v>42587</v>
      </c>
      <c r="G551" s="61">
        <v>0</v>
      </c>
      <c r="H551" s="125">
        <v>42591</v>
      </c>
      <c r="I551" s="125" t="s">
        <v>279</v>
      </c>
      <c r="J551" s="87"/>
      <c r="K551" s="62" t="s">
        <v>16</v>
      </c>
      <c r="L551" s="124" t="s">
        <v>263</v>
      </c>
      <c r="M551" s="62" t="s">
        <v>209</v>
      </c>
      <c r="N551" s="62" t="s">
        <v>5739</v>
      </c>
      <c r="O551" s="48" t="s">
        <v>1402</v>
      </c>
      <c r="P551" s="48" t="s">
        <v>5740</v>
      </c>
      <c r="Q551" s="48" t="s">
        <v>5741</v>
      </c>
      <c r="R551" s="48" t="s">
        <v>462</v>
      </c>
      <c r="S551" s="48" t="s">
        <v>463</v>
      </c>
      <c r="T551" s="48" t="s">
        <v>464</v>
      </c>
      <c r="U551" s="48" t="s">
        <v>5742</v>
      </c>
      <c r="V551" s="122" t="s">
        <v>263</v>
      </c>
      <c r="W551" s="122" t="s">
        <v>263</v>
      </c>
      <c r="X551" s="48" t="s">
        <v>5743</v>
      </c>
      <c r="Y551" s="48" t="s">
        <v>5744</v>
      </c>
      <c r="Z551" s="61"/>
      <c r="AA551" s="48" t="s">
        <v>273</v>
      </c>
      <c r="AB551" s="48" t="s">
        <v>273</v>
      </c>
      <c r="AC551" s="48" t="s">
        <v>273</v>
      </c>
      <c r="AD551" s="48" t="s">
        <v>273</v>
      </c>
      <c r="AE551" s="48" t="s">
        <v>273</v>
      </c>
      <c r="AF551" s="48" t="s">
        <v>273</v>
      </c>
      <c r="AG551" s="48" t="s">
        <v>273</v>
      </c>
      <c r="AH551" s="48" t="s">
        <v>273</v>
      </c>
      <c r="AI551" s="48" t="s">
        <v>273</v>
      </c>
      <c r="AJ551" s="48" t="s">
        <v>273</v>
      </c>
      <c r="AK551" s="48" t="s">
        <v>273</v>
      </c>
      <c r="AL551" s="48" t="s">
        <v>273</v>
      </c>
      <c r="AM551" s="48" t="s">
        <v>273</v>
      </c>
      <c r="AN551" s="48" t="s">
        <v>273</v>
      </c>
      <c r="AO551" s="48" t="s">
        <v>273</v>
      </c>
      <c r="AP551" s="48" t="s">
        <v>273</v>
      </c>
      <c r="AQ551" s="48" t="s">
        <v>273</v>
      </c>
      <c r="AR551" s="48" t="s">
        <v>273</v>
      </c>
      <c r="AS551" s="48" t="s">
        <v>273</v>
      </c>
      <c r="AT551" s="48" t="s">
        <v>273</v>
      </c>
      <c r="AU551" s="93">
        <v>40513</v>
      </c>
      <c r="AV551" s="93" t="s">
        <v>5745</v>
      </c>
      <c r="AW551" s="93" t="s">
        <v>5746</v>
      </c>
      <c r="AX551" s="93" t="s">
        <v>273</v>
      </c>
      <c r="AY551" s="93" t="s">
        <v>5747</v>
      </c>
      <c r="AZ551" s="49" t="s">
        <v>5748</v>
      </c>
    </row>
    <row r="552" spans="1:52" ht="16.5" customHeight="1" x14ac:dyDescent="0.15">
      <c r="A552" s="156" t="s">
        <v>5749</v>
      </c>
      <c r="B552" s="157" t="s">
        <v>5750</v>
      </c>
      <c r="C552" s="48" t="s">
        <v>298</v>
      </c>
      <c r="D552" s="62" t="s">
        <v>5751</v>
      </c>
      <c r="E552" s="48" t="s">
        <v>300</v>
      </c>
      <c r="F552" s="61">
        <v>42590</v>
      </c>
      <c r="G552" s="61">
        <v>0</v>
      </c>
      <c r="H552" s="125">
        <v>42634</v>
      </c>
      <c r="I552" s="61" t="s">
        <v>279</v>
      </c>
      <c r="J552" s="87"/>
      <c r="K552" s="62" t="s">
        <v>16</v>
      </c>
      <c r="L552" s="124" t="s">
        <v>263</v>
      </c>
      <c r="M552" s="62" t="s">
        <v>409</v>
      </c>
      <c r="N552" s="62" t="s">
        <v>5752</v>
      </c>
      <c r="O552" s="48" t="s">
        <v>606</v>
      </c>
      <c r="P552" s="48" t="s">
        <v>5530</v>
      </c>
      <c r="Q552" s="48" t="s">
        <v>2700</v>
      </c>
      <c r="R552" s="48" t="s">
        <v>5753</v>
      </c>
      <c r="S552" s="48" t="s">
        <v>5754</v>
      </c>
      <c r="T552" s="48" t="s">
        <v>5755</v>
      </c>
      <c r="U552" s="48" t="s">
        <v>5756</v>
      </c>
      <c r="V552" s="122" t="s">
        <v>263</v>
      </c>
      <c r="W552" s="122" t="s">
        <v>263</v>
      </c>
      <c r="X552" s="122" t="s">
        <v>263</v>
      </c>
      <c r="Y552" s="122" t="s">
        <v>263</v>
      </c>
      <c r="Z552" s="61"/>
      <c r="AA552" s="48" t="s">
        <v>357</v>
      </c>
      <c r="AB552" s="48" t="s">
        <v>273</v>
      </c>
      <c r="AC552" s="48" t="s">
        <v>273</v>
      </c>
      <c r="AD552" s="48" t="s">
        <v>273</v>
      </c>
      <c r="AE552" s="48" t="s">
        <v>273</v>
      </c>
      <c r="AF552" s="48" t="s">
        <v>273</v>
      </c>
      <c r="AG552" s="48" t="s">
        <v>273</v>
      </c>
      <c r="AH552" s="48" t="s">
        <v>273</v>
      </c>
      <c r="AI552" s="48" t="s">
        <v>273</v>
      </c>
      <c r="AJ552" s="48" t="s">
        <v>273</v>
      </c>
      <c r="AK552" s="48" t="s">
        <v>358</v>
      </c>
      <c r="AL552" s="48" t="s">
        <v>273</v>
      </c>
      <c r="AM552" s="48" t="s">
        <v>273</v>
      </c>
      <c r="AN552" s="48" t="s">
        <v>273</v>
      </c>
      <c r="AO552" s="48" t="s">
        <v>273</v>
      </c>
      <c r="AP552" s="48" t="s">
        <v>273</v>
      </c>
      <c r="AQ552" s="48" t="s">
        <v>273</v>
      </c>
      <c r="AR552" s="48" t="s">
        <v>273</v>
      </c>
      <c r="AS552" s="48" t="s">
        <v>273</v>
      </c>
      <c r="AT552" s="48" t="s">
        <v>273</v>
      </c>
      <c r="AU552" s="93">
        <v>40087</v>
      </c>
      <c r="AV552" s="93" t="s">
        <v>5757</v>
      </c>
      <c r="AW552" s="93" t="s">
        <v>5758</v>
      </c>
      <c r="AX552" s="93" t="s">
        <v>5759</v>
      </c>
      <c r="AY552" s="93" t="s">
        <v>5760</v>
      </c>
      <c r="AZ552" s="49" t="s">
        <v>5761</v>
      </c>
    </row>
    <row r="553" spans="1:52" ht="16.5" customHeight="1" x14ac:dyDescent="0.15">
      <c r="A553" s="153" t="s">
        <v>5762</v>
      </c>
      <c r="B553" s="154" t="s">
        <v>5763</v>
      </c>
      <c r="C553" s="48" t="s">
        <v>330</v>
      </c>
      <c r="D553" s="62" t="s">
        <v>5764</v>
      </c>
      <c r="E553" s="48" t="s">
        <v>300</v>
      </c>
      <c r="F553" s="61">
        <v>42590</v>
      </c>
      <c r="G553" s="61">
        <v>0</v>
      </c>
      <c r="H553" s="125">
        <v>42606</v>
      </c>
      <c r="I553" s="61">
        <v>37152</v>
      </c>
      <c r="J553" s="87"/>
      <c r="K553" s="124" t="s">
        <v>263</v>
      </c>
      <c r="L553" s="124" t="s">
        <v>263</v>
      </c>
      <c r="M553" s="62">
        <v>180</v>
      </c>
      <c r="N553" s="62" t="s">
        <v>5765</v>
      </c>
      <c r="O553" s="48" t="s">
        <v>1528</v>
      </c>
      <c r="P553" s="48" t="s">
        <v>1016</v>
      </c>
      <c r="Q553" s="48" t="s">
        <v>5766</v>
      </c>
      <c r="R553" s="48" t="s">
        <v>3457</v>
      </c>
      <c r="S553" s="48" t="s">
        <v>3458</v>
      </c>
      <c r="T553" s="48" t="s">
        <v>3459</v>
      </c>
      <c r="U553" s="48" t="s">
        <v>5767</v>
      </c>
      <c r="V553" s="122" t="s">
        <v>263</v>
      </c>
      <c r="W553" s="122" t="s">
        <v>263</v>
      </c>
      <c r="X553" s="48" t="s">
        <v>5768</v>
      </c>
      <c r="Y553" s="48" t="s">
        <v>5769</v>
      </c>
      <c r="Z553" s="61"/>
      <c r="AA553" s="48" t="s">
        <v>273</v>
      </c>
      <c r="AB553" s="48" t="s">
        <v>273</v>
      </c>
      <c r="AC553" s="48" t="s">
        <v>273</v>
      </c>
      <c r="AD553" s="48" t="s">
        <v>273</v>
      </c>
      <c r="AE553" s="48" t="s">
        <v>273</v>
      </c>
      <c r="AF553" s="48" t="s">
        <v>273</v>
      </c>
      <c r="AG553" s="48" t="s">
        <v>273</v>
      </c>
      <c r="AH553" s="48" t="s">
        <v>273</v>
      </c>
      <c r="AI553" s="48" t="s">
        <v>273</v>
      </c>
      <c r="AJ553" s="48" t="s">
        <v>273</v>
      </c>
      <c r="AK553" s="48" t="s">
        <v>273</v>
      </c>
      <c r="AL553" s="48" t="s">
        <v>273</v>
      </c>
      <c r="AM553" s="48" t="s">
        <v>273</v>
      </c>
      <c r="AN553" s="48" t="s">
        <v>273</v>
      </c>
      <c r="AO553" s="48" t="s">
        <v>273</v>
      </c>
      <c r="AP553" s="48" t="s">
        <v>273</v>
      </c>
      <c r="AQ553" s="48" t="s">
        <v>273</v>
      </c>
      <c r="AR553" s="48" t="s">
        <v>273</v>
      </c>
      <c r="AS553" s="48" t="s">
        <v>273</v>
      </c>
      <c r="AT553" s="48" t="s">
        <v>273</v>
      </c>
      <c r="AU553" s="93" t="s">
        <v>5770</v>
      </c>
      <c r="AV553" s="93" t="s">
        <v>5505</v>
      </c>
      <c r="AW553" s="93" t="s">
        <v>5771</v>
      </c>
      <c r="AX553" s="93" t="s">
        <v>273</v>
      </c>
      <c r="AY553" s="93" t="s">
        <v>5772</v>
      </c>
      <c r="AZ553" s="49" t="s">
        <v>5773</v>
      </c>
    </row>
    <row r="554" spans="1:52" ht="16.5" customHeight="1" x14ac:dyDescent="0.15">
      <c r="A554" s="153" t="s">
        <v>5774</v>
      </c>
      <c r="B554" s="154" t="s">
        <v>5775</v>
      </c>
      <c r="C554" s="48" t="s">
        <v>5776</v>
      </c>
      <c r="D554" s="62" t="s">
        <v>5777</v>
      </c>
      <c r="E554" s="48" t="s">
        <v>300</v>
      </c>
      <c r="F554" s="61">
        <v>42590</v>
      </c>
      <c r="G554" s="61">
        <v>0</v>
      </c>
      <c r="H554" s="125">
        <v>42594</v>
      </c>
      <c r="I554" s="61">
        <v>39477</v>
      </c>
      <c r="J554" s="87"/>
      <c r="K554" s="62" t="s">
        <v>16</v>
      </c>
      <c r="L554" s="62">
        <v>3</v>
      </c>
      <c r="M554" s="62" t="s">
        <v>394</v>
      </c>
      <c r="N554" s="62" t="s">
        <v>5778</v>
      </c>
      <c r="O554" s="48" t="s">
        <v>396</v>
      </c>
      <c r="P554" s="48" t="s">
        <v>5779</v>
      </c>
      <c r="Q554" s="48" t="s">
        <v>5780</v>
      </c>
      <c r="R554" s="48" t="s">
        <v>5781</v>
      </c>
      <c r="S554" s="48" t="s">
        <v>5782</v>
      </c>
      <c r="T554" s="48" t="s">
        <v>5783</v>
      </c>
      <c r="U554" s="48" t="s">
        <v>5784</v>
      </c>
      <c r="V554" s="122" t="s">
        <v>263</v>
      </c>
      <c r="W554" s="122" t="s">
        <v>263</v>
      </c>
      <c r="X554" s="48" t="s">
        <v>5785</v>
      </c>
      <c r="Y554" s="48" t="s">
        <v>5786</v>
      </c>
      <c r="Z554" s="61"/>
      <c r="AA554" s="48" t="s">
        <v>1195</v>
      </c>
      <c r="AB554" s="48" t="s">
        <v>273</v>
      </c>
      <c r="AC554" s="48" t="s">
        <v>273</v>
      </c>
      <c r="AD554" s="48" t="s">
        <v>273</v>
      </c>
      <c r="AE554" s="48" t="s">
        <v>273</v>
      </c>
      <c r="AF554" s="48" t="s">
        <v>273</v>
      </c>
      <c r="AG554" s="48" t="s">
        <v>273</v>
      </c>
      <c r="AH554" s="48" t="s">
        <v>273</v>
      </c>
      <c r="AI554" s="48" t="s">
        <v>273</v>
      </c>
      <c r="AJ554" s="48" t="s">
        <v>273</v>
      </c>
      <c r="AK554" s="48" t="s">
        <v>1196</v>
      </c>
      <c r="AL554" s="48" t="s">
        <v>273</v>
      </c>
      <c r="AM554" s="48" t="s">
        <v>273</v>
      </c>
      <c r="AN554" s="48" t="s">
        <v>273</v>
      </c>
      <c r="AO554" s="48" t="s">
        <v>273</v>
      </c>
      <c r="AP554" s="48" t="s">
        <v>273</v>
      </c>
      <c r="AQ554" s="48" t="s">
        <v>273</v>
      </c>
      <c r="AR554" s="48" t="s">
        <v>273</v>
      </c>
      <c r="AS554" s="48" t="s">
        <v>273</v>
      </c>
      <c r="AT554" s="48" t="s">
        <v>273</v>
      </c>
      <c r="AU554" s="93">
        <v>39114</v>
      </c>
      <c r="AV554" s="93" t="s">
        <v>5787</v>
      </c>
      <c r="AW554" s="93" t="s">
        <v>5788</v>
      </c>
      <c r="AX554" s="93" t="s">
        <v>5789</v>
      </c>
      <c r="AY554" s="93" t="s">
        <v>5312</v>
      </c>
      <c r="AZ554" s="49" t="s">
        <v>5790</v>
      </c>
    </row>
    <row r="555" spans="1:52" ht="16.5" customHeight="1" x14ac:dyDescent="0.15">
      <c r="A555" s="156" t="s">
        <v>5791</v>
      </c>
      <c r="B555" s="157" t="s">
        <v>5792</v>
      </c>
      <c r="C555" s="48" t="s">
        <v>330</v>
      </c>
      <c r="D555" s="62" t="s">
        <v>5793</v>
      </c>
      <c r="E555" s="48" t="s">
        <v>300</v>
      </c>
      <c r="F555" s="61">
        <v>42590</v>
      </c>
      <c r="G555" s="61">
        <v>0</v>
      </c>
      <c r="H555" s="125">
        <v>42649</v>
      </c>
      <c r="I555" s="61" t="s">
        <v>279</v>
      </c>
      <c r="J555" s="87"/>
      <c r="K555" s="62" t="s">
        <v>16</v>
      </c>
      <c r="L555" s="124" t="s">
        <v>263</v>
      </c>
      <c r="M555" s="62" t="s">
        <v>680</v>
      </c>
      <c r="N555" s="62" t="s">
        <v>5794</v>
      </c>
      <c r="O555" s="48" t="s">
        <v>1648</v>
      </c>
      <c r="P555" s="48" t="s">
        <v>5795</v>
      </c>
      <c r="Q555" s="48" t="s">
        <v>5796</v>
      </c>
      <c r="R555" s="48" t="s">
        <v>5797</v>
      </c>
      <c r="S555" s="48" t="s">
        <v>5798</v>
      </c>
      <c r="T555" s="48" t="s">
        <v>5799</v>
      </c>
      <c r="U555" s="48" t="s">
        <v>5800</v>
      </c>
      <c r="V555" s="122" t="s">
        <v>263</v>
      </c>
      <c r="W555" s="122" t="s">
        <v>263</v>
      </c>
      <c r="X555" s="48" t="s">
        <v>5801</v>
      </c>
      <c r="Y555" s="48" t="s">
        <v>5802</v>
      </c>
      <c r="Z555" s="61"/>
      <c r="AA555" s="48" t="s">
        <v>2293</v>
      </c>
      <c r="AB555" s="48" t="s">
        <v>273</v>
      </c>
      <c r="AC555" s="48" t="s">
        <v>273</v>
      </c>
      <c r="AD555" s="48" t="s">
        <v>273</v>
      </c>
      <c r="AE555" s="48" t="s">
        <v>273</v>
      </c>
      <c r="AF555" s="48" t="s">
        <v>273</v>
      </c>
      <c r="AG555" s="48" t="s">
        <v>273</v>
      </c>
      <c r="AH555" s="48" t="s">
        <v>273</v>
      </c>
      <c r="AI555" s="48" t="s">
        <v>273</v>
      </c>
      <c r="AJ555" s="48" t="s">
        <v>273</v>
      </c>
      <c r="AK555" s="48" t="s">
        <v>2294</v>
      </c>
      <c r="AL555" s="48" t="s">
        <v>273</v>
      </c>
      <c r="AM555" s="48" t="s">
        <v>273</v>
      </c>
      <c r="AN555" s="48" t="s">
        <v>273</v>
      </c>
      <c r="AO555" s="48" t="s">
        <v>273</v>
      </c>
      <c r="AP555" s="48" t="s">
        <v>273</v>
      </c>
      <c r="AQ555" s="48" t="s">
        <v>273</v>
      </c>
      <c r="AR555" s="48" t="s">
        <v>273</v>
      </c>
      <c r="AS555" s="48" t="s">
        <v>273</v>
      </c>
      <c r="AT555" s="48" t="s">
        <v>273</v>
      </c>
      <c r="AU555" s="93">
        <v>40603</v>
      </c>
      <c r="AV555" s="93" t="s">
        <v>5803</v>
      </c>
      <c r="AW555" s="93" t="s">
        <v>5804</v>
      </c>
      <c r="AX555" s="93" t="s">
        <v>5805</v>
      </c>
      <c r="AY555" s="93" t="s">
        <v>5312</v>
      </c>
      <c r="AZ555" s="49" t="s">
        <v>5806</v>
      </c>
    </row>
    <row r="556" spans="1:52" ht="16.5" customHeight="1" x14ac:dyDescent="0.15">
      <c r="A556" s="121" t="s">
        <v>5807</v>
      </c>
      <c r="B556" s="47" t="s">
        <v>5808</v>
      </c>
      <c r="C556" s="48" t="e">
        <f ca="1">INDIRECT("'["&amp;$C$1&amp;".xls]"&amp;$B556&amp;"'!$i$7")</f>
        <v>#REF!</v>
      </c>
      <c r="D556" s="62" t="e">
        <f ca="1">INDIRECT("'["&amp;$C$1&amp;".xls]"&amp;$B556&amp;"'!$b$7")</f>
        <v>#REF!</v>
      </c>
      <c r="E556" s="48" t="e">
        <f ca="1">IF(INDIRECT("'["&amp;$C$1&amp;".xls]"&amp;$B556&amp;"'!$i$2")="","",INDIRECT("'["&amp;$C$1&amp;".xls]"&amp;$B556&amp;"'!$i$2"))</f>
        <v>#REF!</v>
      </c>
      <c r="F556" s="61" t="e">
        <f ca="1">INDIRECT("'["&amp;$C$1&amp;".xls]"&amp;$B556&amp;"'!$b$2")</f>
        <v>#REF!</v>
      </c>
      <c r="G556" s="61" t="e">
        <f ca="1">INDIRECT("'["&amp;$C$1&amp;".xls]"&amp;$B556&amp;"'!$a$20")</f>
        <v>#REF!</v>
      </c>
      <c r="H556" s="88" t="e">
        <f ca="1">INDIRECT("'["&amp;$C$1&amp;".xls]"&amp;$B556&amp;"'!$Q$22")</f>
        <v>#REF!</v>
      </c>
      <c r="I556" s="61" t="e">
        <f ca="1">INDIRECT("'["&amp;$C$1&amp;".xls]"&amp;$B556&amp;"'!$f$6")</f>
        <v>#REF!</v>
      </c>
      <c r="J556" s="87"/>
      <c r="K556" s="62" t="e">
        <f ca="1">INDIRECT("'["&amp;$C$1&amp;".xls]"&amp;$B556&amp;"'!$f$25")</f>
        <v>#REF!</v>
      </c>
      <c r="L556" s="62"/>
      <c r="M556" s="62" t="e">
        <f ca="1">INDIRECT("'["&amp;$C$1&amp;".xls]"&amp;$B556&amp;"'!$f$4")</f>
        <v>#REF!</v>
      </c>
      <c r="N556" s="62" t="e">
        <f ca="1">INDIRECT("'["&amp;$C$1&amp;".xls]"&amp;$B556&amp;"'!$i$4")</f>
        <v>#REF!</v>
      </c>
      <c r="O556" s="48" t="e">
        <f ca="1">INDIRECT("'["&amp;$C$1&amp;".xls]"&amp;$B556&amp;"'!$l$4")</f>
        <v>#REF!</v>
      </c>
      <c r="P556" s="48" t="e">
        <f ca="1">INDIRECT("'["&amp;$C$1&amp;".xls]"&amp;$B556&amp;"'!$b$5")</f>
        <v>#REF!</v>
      </c>
      <c r="Q556" s="48" t="e">
        <f ca="1">INDIRECT("'["&amp;$C$1&amp;".xls]"&amp;$B556&amp;"'!$f$5")</f>
        <v>#REF!</v>
      </c>
      <c r="R556" s="48"/>
      <c r="S556" s="48" t="e">
        <f ca="1">INDIRECT("'["&amp;$C$1&amp;".xls]"&amp;$B556&amp;"'!$i$5")</f>
        <v>#REF!</v>
      </c>
      <c r="T556" s="48" t="e">
        <f ca="1">INDIRECT("'["&amp;$C$1&amp;".xls]"&amp;$B556&amp;"'!$l$5")</f>
        <v>#REF!</v>
      </c>
      <c r="U556" s="48" t="e">
        <f ca="1">INDIRECT("'["&amp;$C$1&amp;".xls]"&amp;$B556&amp;"'!$b$4")</f>
        <v>#REF!</v>
      </c>
      <c r="V556" s="48"/>
      <c r="W556" s="48"/>
      <c r="X556" s="48"/>
      <c r="Y556" s="48"/>
      <c r="Z556" s="61"/>
      <c r="AA556" s="48" t="e">
        <f ca="1">IF(INDIRECT("'["&amp;$C$1&amp;".xls]"&amp;$B556&amp;"'!$P$25")="","",IF(INDIRECT("'["&amp;$C$1&amp;".xls]"&amp;$B556&amp;"'!$O$25")="済み",INDIRECT("'["&amp;$C$1&amp;".xls]"&amp;$B556&amp;"'!$P$25"),""))</f>
        <v>#REF!</v>
      </c>
      <c r="AB556" s="48" t="e">
        <f ca="1">IF(INDIRECT("'["&amp;$C$1&amp;".xls]"&amp;$B556&amp;"'!$P$26")="","",IF(INDIRECT("'["&amp;$C$1&amp;".xls]"&amp;$B556&amp;"'!$O$26")="済み",INDIRECT("'["&amp;$C$1&amp;".xls]"&amp;$B556&amp;"'!$P$26"),""))</f>
        <v>#REF!</v>
      </c>
      <c r="AC556" s="48" t="e">
        <f ca="1">IF(INDIRECT("'["&amp;$C$1&amp;".xls]"&amp;$B556&amp;"'!$P$27")="","",IF(INDIRECT("'["&amp;$C$1&amp;".xls]"&amp;$B556&amp;"'!$O$27")="済み",INDIRECT("'["&amp;$C$1&amp;".xls]"&amp;$B556&amp;"'!$P$27"),""))</f>
        <v>#REF!</v>
      </c>
      <c r="AD556" s="48" t="e">
        <f ca="1">IF(INDIRECT("'["&amp;$C$1&amp;".xls]"&amp;$B556&amp;"'!$P$28")="","",IF(INDIRECT("'["&amp;$C$1&amp;".xls]"&amp;$B556&amp;"'!$O$28")="済み",INDIRECT("'["&amp;$C$1&amp;".xls]"&amp;$B556&amp;"'!$P$28"),""))</f>
        <v>#REF!</v>
      </c>
      <c r="AE556" s="48" t="e">
        <f ca="1">IF(INDIRECT("'["&amp;$C$1&amp;".xls]"&amp;$B556&amp;"'!$P$29")="","",IF(INDIRECT("'["&amp;$C$1&amp;".xls]"&amp;$B556&amp;"'!$O$29")="済み",INDIRECT("'["&amp;$C$1&amp;".xls]"&amp;$B556&amp;"'!$P$29"),""))</f>
        <v>#REF!</v>
      </c>
      <c r="AF556" s="48" t="e">
        <f ca="1">IF(INDIRECT("'["&amp;$C$1&amp;".xls]"&amp;$B556&amp;"'!$P$30")="","",IF(INDIRECT("'["&amp;$C$1&amp;".xls]"&amp;$B556&amp;"'!$O$30")="済み",INDIRECT("'["&amp;$C$1&amp;".xls]"&amp;$B556&amp;"'!$P$30"),""))</f>
        <v>#REF!</v>
      </c>
      <c r="AG556" s="48" t="e">
        <f ca="1">IF(INDIRECT("'["&amp;$C$1&amp;".xls]"&amp;$B556&amp;"'!$P$31")="","",IF(INDIRECT("'["&amp;$C$1&amp;".xls]"&amp;$B556&amp;"'!$O$31")="済み",INDIRECT("'["&amp;$C$1&amp;".xls]"&amp;$B556&amp;"'!$P$31"),""))</f>
        <v>#REF!</v>
      </c>
      <c r="AH556" s="48" t="e">
        <f ca="1">IF(INDIRECT("'["&amp;$C$1&amp;".xls]"&amp;$B556&amp;"'!$P$32")="","",IF(INDIRECT("'["&amp;$C$1&amp;".xls]"&amp;$B556&amp;"'!$O$32")="済み",INDIRECT("'["&amp;$C$1&amp;".xls]"&amp;$B556&amp;"'!$P$32"),""))</f>
        <v>#REF!</v>
      </c>
      <c r="AI556" s="48" t="e">
        <f ca="1">IF(INDIRECT("'["&amp;$C$1&amp;".xls]"&amp;$B556&amp;"'!$P$33")="","",IF(INDIRECT("'["&amp;$C$1&amp;".xls]"&amp;$B556&amp;"'!$O$33")="済み",INDIRECT("'["&amp;$C$1&amp;".xls]"&amp;$B556&amp;"'!$P$33"),""))</f>
        <v>#REF!</v>
      </c>
      <c r="AJ556" s="48" t="e">
        <f ca="1">IF(INDIRECT("'["&amp;$C$1&amp;".xls]"&amp;$B556&amp;"'!$P$34")="","",IF(INDIRECT("'["&amp;$C$1&amp;".xls]"&amp;$B556&amp;"'!$O$34")="済み",INDIRECT("'["&amp;$C$1&amp;".xls]"&amp;$B556&amp;"'!$P$34"),""))</f>
        <v>#REF!</v>
      </c>
      <c r="AK556" s="48" t="e">
        <f ca="1">IF(INDIRECT("'["&amp;$C$1&amp;".xls]"&amp;$B556&amp;"'!$T25")="","",IF(INDIRECT("'["&amp;$C$1&amp;".xls]"&amp;$B556&amp;"'!$O$25")="済み",INDIRECT("'["&amp;$C$1&amp;".xls]"&amp;$B556&amp;"'!$T$25"),""))</f>
        <v>#REF!</v>
      </c>
      <c r="AL556" s="48" t="e">
        <f ca="1">IF(INDIRECT("'["&amp;$C$1&amp;".xls]"&amp;$B556&amp;"'!$T26")="","",IF(INDIRECT("'["&amp;$C$1&amp;".xls]"&amp;$B556&amp;"'!$O$26")="済み",INDIRECT("'["&amp;$C$1&amp;".xls]"&amp;$B556&amp;"'!$T$26"),""))</f>
        <v>#REF!</v>
      </c>
      <c r="AM556" s="48" t="e">
        <f ca="1">IF(INDIRECT("'["&amp;$C$1&amp;".xls]"&amp;$B556&amp;"'!$T27")="","",IF(INDIRECT("'["&amp;$C$1&amp;".xls]"&amp;$B556&amp;"'!$O$27")="済み",INDIRECT("'["&amp;$C$1&amp;".xls]"&amp;$B556&amp;"'!$T$27"),""))</f>
        <v>#REF!</v>
      </c>
      <c r="AN556" s="48" t="e">
        <f ca="1">IF(INDIRECT("'["&amp;$C$1&amp;".xls]"&amp;$B556&amp;"'!$T28")="","",IF(INDIRECT("'["&amp;$C$1&amp;".xls]"&amp;$B556&amp;"'!$O$28")="済み",INDIRECT("'["&amp;$C$1&amp;".xls]"&amp;$B556&amp;"'!$T$28"),""))</f>
        <v>#REF!</v>
      </c>
      <c r="AO556" s="48" t="e">
        <f ca="1">IF(INDIRECT("'["&amp;$C$1&amp;".xls]"&amp;$B556&amp;"'!$T29")="","",IF(INDIRECT("'["&amp;$C$1&amp;".xls]"&amp;$B556&amp;"'!$O$29")="済み",INDIRECT("'["&amp;$C$1&amp;".xls]"&amp;$B556&amp;"'!$T$29"),""))</f>
        <v>#REF!</v>
      </c>
      <c r="AP556" s="48" t="e">
        <f ca="1">IF(INDIRECT("'["&amp;$C$1&amp;".xls]"&amp;$B556&amp;"'!$T30")="","",IF(INDIRECT("'["&amp;$C$1&amp;".xls]"&amp;$B556&amp;"'!$O$30")="済み",INDIRECT("'["&amp;$C$1&amp;".xls]"&amp;$B556&amp;"'!$T$30"),""))</f>
        <v>#REF!</v>
      </c>
      <c r="AQ556" s="48" t="e">
        <f ca="1">IF(INDIRECT("'["&amp;$C$1&amp;".xls]"&amp;$B556&amp;"'!$T31")="","",IF(INDIRECT("'["&amp;$C$1&amp;".xls]"&amp;$B556&amp;"'!$O$31")="済み",INDIRECT("'["&amp;$C$1&amp;".xls]"&amp;$B556&amp;"'!$T$31"),""))</f>
        <v>#REF!</v>
      </c>
      <c r="AR556" s="48" t="e">
        <f ca="1">IF(INDIRECT("'["&amp;$C$1&amp;".xls]"&amp;$B556&amp;"'!$T32")="","",IF(INDIRECT("'["&amp;$C$1&amp;".xls]"&amp;$B556&amp;"'!$O$32")="済み",INDIRECT("'["&amp;$C$1&amp;".xls]"&amp;$B556&amp;"'!$T$32"),""))</f>
        <v>#REF!</v>
      </c>
      <c r="AS556" s="48" t="e">
        <f ca="1">IF(INDIRECT("'["&amp;$C$1&amp;".xls]"&amp;$B556&amp;"'!$T33")="","",IF(INDIRECT("'["&amp;$C$1&amp;".xls]"&amp;$B556&amp;"'!$O$33")="済み",INDIRECT("'["&amp;$C$1&amp;".xls]"&amp;$B556&amp;"'!$T$33"),""))</f>
        <v>#REF!</v>
      </c>
      <c r="AT556" s="48" t="e">
        <f ca="1">IF(INDIRECT("'["&amp;$C$1&amp;".xls]"&amp;$B556&amp;"'!$T34")="","",IF(INDIRECT("'["&amp;$C$1&amp;".xls]"&amp;$B556&amp;"'!$O$34")="済み",INDIRECT("'["&amp;$C$1&amp;".xls]"&amp;$B556&amp;"'!$T$34"),""))</f>
        <v>#REF!</v>
      </c>
      <c r="AU556" s="93" t="e">
        <f ca="1">INDIRECT("'["&amp;$C$1&amp;".xls]"&amp;$B556&amp;"'!$B$6")</f>
        <v>#REF!</v>
      </c>
      <c r="AV556" s="93" t="e">
        <f ca="1">INDIRECT("'["&amp;$C$1&amp;".xls]"&amp;$B556&amp;"'!$Y$22")</f>
        <v>#REF!</v>
      </c>
      <c r="AW556" s="93" t="e">
        <f ca="1">INDIRECT("'["&amp;$C$1&amp;".xls]"&amp;$B556&amp;"'!$Y$24")</f>
        <v>#REF!</v>
      </c>
      <c r="AX556" s="93" t="e">
        <f ca="1">INDIRECT("'["&amp;$C$1&amp;".xls]"&amp;$B556&amp;"'!$Y$26")</f>
        <v>#REF!</v>
      </c>
      <c r="AY556" s="93" t="e">
        <f ca="1">INDIRECT("'["&amp;$C$1&amp;".xls]"&amp;$B556&amp;"'!$Y$28")</f>
        <v>#REF!</v>
      </c>
    </row>
    <row r="557" spans="1:52" ht="16.5" customHeight="1" x14ac:dyDescent="0.15">
      <c r="A557" s="153" t="s">
        <v>5809</v>
      </c>
      <c r="B557" s="154" t="s">
        <v>5810</v>
      </c>
      <c r="C557" s="48" t="s">
        <v>330</v>
      </c>
      <c r="D557" s="62" t="s">
        <v>5811</v>
      </c>
      <c r="E557" s="48" t="s">
        <v>300</v>
      </c>
      <c r="F557" s="61">
        <v>42591</v>
      </c>
      <c r="G557" s="61">
        <v>0</v>
      </c>
      <c r="H557" s="125">
        <v>42613</v>
      </c>
      <c r="I557" s="61" t="s">
        <v>279</v>
      </c>
      <c r="J557" s="87"/>
      <c r="K557" s="62" t="s">
        <v>16</v>
      </c>
      <c r="L557" s="62">
        <v>3</v>
      </c>
      <c r="M557" s="62" t="s">
        <v>924</v>
      </c>
      <c r="N557" s="62" t="s">
        <v>5812</v>
      </c>
      <c r="O557" s="48" t="s">
        <v>5813</v>
      </c>
      <c r="P557" s="48" t="s">
        <v>267</v>
      </c>
      <c r="Q557" s="48" t="s">
        <v>1801</v>
      </c>
      <c r="R557" s="48" t="s">
        <v>5814</v>
      </c>
      <c r="S557" s="130" t="s">
        <v>5815</v>
      </c>
      <c r="T557" s="130" t="s">
        <v>5816</v>
      </c>
      <c r="U557" s="48" t="s">
        <v>1783</v>
      </c>
      <c r="V557" s="122" t="s">
        <v>263</v>
      </c>
      <c r="W557" s="122" t="s">
        <v>263</v>
      </c>
      <c r="X557" s="48" t="s">
        <v>1784</v>
      </c>
      <c r="Y557" s="48" t="s">
        <v>1785</v>
      </c>
      <c r="Z557" s="61"/>
      <c r="AA557" s="48" t="s">
        <v>273</v>
      </c>
      <c r="AB557" s="48" t="s">
        <v>273</v>
      </c>
      <c r="AC557" s="48" t="s">
        <v>273</v>
      </c>
      <c r="AD557" s="48" t="s">
        <v>273</v>
      </c>
      <c r="AE557" s="48" t="s">
        <v>273</v>
      </c>
      <c r="AF557" s="48" t="s">
        <v>273</v>
      </c>
      <c r="AG557" s="48" t="s">
        <v>273</v>
      </c>
      <c r="AH557" s="48" t="s">
        <v>273</v>
      </c>
      <c r="AI557" s="48" t="s">
        <v>273</v>
      </c>
      <c r="AJ557" s="48" t="s">
        <v>273</v>
      </c>
      <c r="AK557" s="48" t="s">
        <v>273</v>
      </c>
      <c r="AL557" s="48" t="s">
        <v>273</v>
      </c>
      <c r="AM557" s="48" t="s">
        <v>273</v>
      </c>
      <c r="AN557" s="48" t="s">
        <v>273</v>
      </c>
      <c r="AO557" s="48" t="s">
        <v>273</v>
      </c>
      <c r="AP557" s="48" t="s">
        <v>273</v>
      </c>
      <c r="AQ557" s="48" t="s">
        <v>273</v>
      </c>
      <c r="AR557" s="48" t="s">
        <v>273</v>
      </c>
      <c r="AS557" s="48" t="s">
        <v>273</v>
      </c>
      <c r="AT557" s="48" t="s">
        <v>273</v>
      </c>
      <c r="AU557" s="93" t="s">
        <v>263</v>
      </c>
      <c r="AV557" s="93" t="s">
        <v>5817</v>
      </c>
      <c r="AW557" s="93" t="s">
        <v>5818</v>
      </c>
      <c r="AX557" s="93" t="s">
        <v>5819</v>
      </c>
      <c r="AY557" s="93" t="s">
        <v>5312</v>
      </c>
    </row>
    <row r="558" spans="1:52" ht="16.5" customHeight="1" x14ac:dyDescent="0.15">
      <c r="A558" s="121" t="s">
        <v>5820</v>
      </c>
      <c r="B558" s="47" t="s">
        <v>5821</v>
      </c>
      <c r="C558" s="48" t="e">
        <f ca="1">INDIRECT("'["&amp;$C$1&amp;".xls]"&amp;$B558&amp;"'!$i$7")</f>
        <v>#REF!</v>
      </c>
      <c r="D558" s="62" t="e">
        <f ca="1">INDIRECT("'["&amp;$C$1&amp;".xls]"&amp;$B558&amp;"'!$b$7")</f>
        <v>#REF!</v>
      </c>
      <c r="E558" s="48" t="e">
        <f ca="1">IF(INDIRECT("'["&amp;$C$1&amp;".xls]"&amp;$B558&amp;"'!$i$2")="","",INDIRECT("'["&amp;$C$1&amp;".xls]"&amp;$B558&amp;"'!$i$2"))</f>
        <v>#REF!</v>
      </c>
      <c r="F558" s="61" t="e">
        <f ca="1">INDIRECT("'["&amp;$C$1&amp;".xls]"&amp;$B558&amp;"'!$b$2")</f>
        <v>#REF!</v>
      </c>
      <c r="G558" s="61" t="e">
        <f ca="1">INDIRECT("'["&amp;$C$1&amp;".xls]"&amp;$B558&amp;"'!$a$20")</f>
        <v>#REF!</v>
      </c>
      <c r="H558" s="88" t="e">
        <f ca="1">INDIRECT("'["&amp;$C$1&amp;".xls]"&amp;$B558&amp;"'!$Q$22")</f>
        <v>#REF!</v>
      </c>
      <c r="I558" s="61" t="e">
        <f ca="1">INDIRECT("'["&amp;$C$1&amp;".xls]"&amp;$B558&amp;"'!$f$6")</f>
        <v>#REF!</v>
      </c>
      <c r="J558" s="87"/>
      <c r="K558" s="62" t="e">
        <f ca="1">INDIRECT("'["&amp;$C$1&amp;".xls]"&amp;$B558&amp;"'!$f$25")</f>
        <v>#REF!</v>
      </c>
      <c r="L558" s="62"/>
      <c r="M558" s="62" t="e">
        <f ca="1">INDIRECT("'["&amp;$C$1&amp;".xls]"&amp;$B558&amp;"'!$f$4")</f>
        <v>#REF!</v>
      </c>
      <c r="N558" s="62" t="e">
        <f ca="1">INDIRECT("'["&amp;$C$1&amp;".xls]"&amp;$B558&amp;"'!$i$4")</f>
        <v>#REF!</v>
      </c>
      <c r="O558" s="48" t="e">
        <f ca="1">INDIRECT("'["&amp;$C$1&amp;".xls]"&amp;$B558&amp;"'!$l$4")</f>
        <v>#REF!</v>
      </c>
      <c r="P558" s="48" t="e">
        <f ca="1">INDIRECT("'["&amp;$C$1&amp;".xls]"&amp;$B558&amp;"'!$b$5")</f>
        <v>#REF!</v>
      </c>
      <c r="Q558" s="48" t="e">
        <f ca="1">INDIRECT("'["&amp;$C$1&amp;".xls]"&amp;$B558&amp;"'!$f$5")</f>
        <v>#REF!</v>
      </c>
      <c r="R558" s="48"/>
      <c r="S558" s="48" t="e">
        <f ca="1">INDIRECT("'["&amp;$C$1&amp;".xls]"&amp;$B558&amp;"'!$i$5")</f>
        <v>#REF!</v>
      </c>
      <c r="T558" s="48" t="e">
        <f ca="1">INDIRECT("'["&amp;$C$1&amp;".xls]"&amp;$B558&amp;"'!$l$5")</f>
        <v>#REF!</v>
      </c>
      <c r="U558" s="48" t="e">
        <f ca="1">INDIRECT("'["&amp;$C$1&amp;".xls]"&amp;$B558&amp;"'!$b$4")</f>
        <v>#REF!</v>
      </c>
      <c r="V558" s="48"/>
      <c r="W558" s="48"/>
      <c r="X558" s="48"/>
      <c r="Y558" s="48"/>
      <c r="Z558" s="61"/>
      <c r="AA558" s="48" t="e">
        <f ca="1">IF(INDIRECT("'["&amp;$C$1&amp;".xls]"&amp;$B558&amp;"'!$P$25")="","",IF(INDIRECT("'["&amp;$C$1&amp;".xls]"&amp;$B558&amp;"'!$O$25")="済み",INDIRECT("'["&amp;$C$1&amp;".xls]"&amp;$B558&amp;"'!$P$25"),""))</f>
        <v>#REF!</v>
      </c>
      <c r="AB558" s="48" t="e">
        <f ca="1">IF(INDIRECT("'["&amp;$C$1&amp;".xls]"&amp;$B558&amp;"'!$P$26")="","",IF(INDIRECT("'["&amp;$C$1&amp;".xls]"&amp;$B558&amp;"'!$O$26")="済み",INDIRECT("'["&amp;$C$1&amp;".xls]"&amp;$B558&amp;"'!$P$26"),""))</f>
        <v>#REF!</v>
      </c>
      <c r="AC558" s="48" t="e">
        <f ca="1">IF(INDIRECT("'["&amp;$C$1&amp;".xls]"&amp;$B558&amp;"'!$P$27")="","",IF(INDIRECT("'["&amp;$C$1&amp;".xls]"&amp;$B558&amp;"'!$O$27")="済み",INDIRECT("'["&amp;$C$1&amp;".xls]"&amp;$B558&amp;"'!$P$27"),""))</f>
        <v>#REF!</v>
      </c>
      <c r="AD558" s="48" t="e">
        <f ca="1">IF(INDIRECT("'["&amp;$C$1&amp;".xls]"&amp;$B558&amp;"'!$P$28")="","",IF(INDIRECT("'["&amp;$C$1&amp;".xls]"&amp;$B558&amp;"'!$O$28")="済み",INDIRECT("'["&amp;$C$1&amp;".xls]"&amp;$B558&amp;"'!$P$28"),""))</f>
        <v>#REF!</v>
      </c>
      <c r="AE558" s="48" t="e">
        <f ca="1">IF(INDIRECT("'["&amp;$C$1&amp;".xls]"&amp;$B558&amp;"'!$P$29")="","",IF(INDIRECT("'["&amp;$C$1&amp;".xls]"&amp;$B558&amp;"'!$O$29")="済み",INDIRECT("'["&amp;$C$1&amp;".xls]"&amp;$B558&amp;"'!$P$29"),""))</f>
        <v>#REF!</v>
      </c>
      <c r="AF558" s="48" t="e">
        <f ca="1">IF(INDIRECT("'["&amp;$C$1&amp;".xls]"&amp;$B558&amp;"'!$P$30")="","",IF(INDIRECT("'["&amp;$C$1&amp;".xls]"&amp;$B558&amp;"'!$O$30")="済み",INDIRECT("'["&amp;$C$1&amp;".xls]"&amp;$B558&amp;"'!$P$30"),""))</f>
        <v>#REF!</v>
      </c>
      <c r="AG558" s="48" t="e">
        <f ca="1">IF(INDIRECT("'["&amp;$C$1&amp;".xls]"&amp;$B558&amp;"'!$P$31")="","",IF(INDIRECT("'["&amp;$C$1&amp;".xls]"&amp;$B558&amp;"'!$O$31")="済み",INDIRECT("'["&amp;$C$1&amp;".xls]"&amp;$B558&amp;"'!$P$31"),""))</f>
        <v>#REF!</v>
      </c>
      <c r="AH558" s="48" t="e">
        <f ca="1">IF(INDIRECT("'["&amp;$C$1&amp;".xls]"&amp;$B558&amp;"'!$P$32")="","",IF(INDIRECT("'["&amp;$C$1&amp;".xls]"&amp;$B558&amp;"'!$O$32")="済み",INDIRECT("'["&amp;$C$1&amp;".xls]"&amp;$B558&amp;"'!$P$32"),""))</f>
        <v>#REF!</v>
      </c>
      <c r="AI558" s="48" t="e">
        <f ca="1">IF(INDIRECT("'["&amp;$C$1&amp;".xls]"&amp;$B558&amp;"'!$P$33")="","",IF(INDIRECT("'["&amp;$C$1&amp;".xls]"&amp;$B558&amp;"'!$O$33")="済み",INDIRECT("'["&amp;$C$1&amp;".xls]"&amp;$B558&amp;"'!$P$33"),""))</f>
        <v>#REF!</v>
      </c>
      <c r="AJ558" s="48" t="e">
        <f ca="1">IF(INDIRECT("'["&amp;$C$1&amp;".xls]"&amp;$B558&amp;"'!$P$34")="","",IF(INDIRECT("'["&amp;$C$1&amp;".xls]"&amp;$B558&amp;"'!$O$34")="済み",INDIRECT("'["&amp;$C$1&amp;".xls]"&amp;$B558&amp;"'!$P$34"),""))</f>
        <v>#REF!</v>
      </c>
      <c r="AK558" s="48" t="e">
        <f ca="1">IF(INDIRECT("'["&amp;$C$1&amp;".xls]"&amp;$B558&amp;"'!$T25")="","",IF(INDIRECT("'["&amp;$C$1&amp;".xls]"&amp;$B558&amp;"'!$O$25")="済み",INDIRECT("'["&amp;$C$1&amp;".xls]"&amp;$B558&amp;"'!$T$25"),""))</f>
        <v>#REF!</v>
      </c>
      <c r="AL558" s="48" t="e">
        <f ca="1">IF(INDIRECT("'["&amp;$C$1&amp;".xls]"&amp;$B558&amp;"'!$T26")="","",IF(INDIRECT("'["&amp;$C$1&amp;".xls]"&amp;$B558&amp;"'!$O$26")="済み",INDIRECT("'["&amp;$C$1&amp;".xls]"&amp;$B558&amp;"'!$T$26"),""))</f>
        <v>#REF!</v>
      </c>
      <c r="AM558" s="48" t="e">
        <f ca="1">IF(INDIRECT("'["&amp;$C$1&amp;".xls]"&amp;$B558&amp;"'!$T27")="","",IF(INDIRECT("'["&amp;$C$1&amp;".xls]"&amp;$B558&amp;"'!$O$27")="済み",INDIRECT("'["&amp;$C$1&amp;".xls]"&amp;$B558&amp;"'!$T$27"),""))</f>
        <v>#REF!</v>
      </c>
      <c r="AN558" s="48" t="e">
        <f ca="1">IF(INDIRECT("'["&amp;$C$1&amp;".xls]"&amp;$B558&amp;"'!$T28")="","",IF(INDIRECT("'["&amp;$C$1&amp;".xls]"&amp;$B558&amp;"'!$O$28")="済み",INDIRECT("'["&amp;$C$1&amp;".xls]"&amp;$B558&amp;"'!$T$28"),""))</f>
        <v>#REF!</v>
      </c>
      <c r="AO558" s="48" t="e">
        <f ca="1">IF(INDIRECT("'["&amp;$C$1&amp;".xls]"&amp;$B558&amp;"'!$T29")="","",IF(INDIRECT("'["&amp;$C$1&amp;".xls]"&amp;$B558&amp;"'!$O$29")="済み",INDIRECT("'["&amp;$C$1&amp;".xls]"&amp;$B558&amp;"'!$T$29"),""))</f>
        <v>#REF!</v>
      </c>
      <c r="AP558" s="48" t="e">
        <f ca="1">IF(INDIRECT("'["&amp;$C$1&amp;".xls]"&amp;$B558&amp;"'!$T30")="","",IF(INDIRECT("'["&amp;$C$1&amp;".xls]"&amp;$B558&amp;"'!$O$30")="済み",INDIRECT("'["&amp;$C$1&amp;".xls]"&amp;$B558&amp;"'!$T$30"),""))</f>
        <v>#REF!</v>
      </c>
      <c r="AQ558" s="48" t="e">
        <f ca="1">IF(INDIRECT("'["&amp;$C$1&amp;".xls]"&amp;$B558&amp;"'!$T31")="","",IF(INDIRECT("'["&amp;$C$1&amp;".xls]"&amp;$B558&amp;"'!$O$31")="済み",INDIRECT("'["&amp;$C$1&amp;".xls]"&amp;$B558&amp;"'!$T$31"),""))</f>
        <v>#REF!</v>
      </c>
      <c r="AR558" s="48" t="e">
        <f ca="1">IF(INDIRECT("'["&amp;$C$1&amp;".xls]"&amp;$B558&amp;"'!$T32")="","",IF(INDIRECT("'["&amp;$C$1&amp;".xls]"&amp;$B558&amp;"'!$O$32")="済み",INDIRECT("'["&amp;$C$1&amp;".xls]"&amp;$B558&amp;"'!$T$32"),""))</f>
        <v>#REF!</v>
      </c>
      <c r="AS558" s="48" t="e">
        <f ca="1">IF(INDIRECT("'["&amp;$C$1&amp;".xls]"&amp;$B558&amp;"'!$T33")="","",IF(INDIRECT("'["&amp;$C$1&amp;".xls]"&amp;$B558&amp;"'!$O$33")="済み",INDIRECT("'["&amp;$C$1&amp;".xls]"&amp;$B558&amp;"'!$T$33"),""))</f>
        <v>#REF!</v>
      </c>
      <c r="AT558" s="48" t="e">
        <f ca="1">IF(INDIRECT("'["&amp;$C$1&amp;".xls]"&amp;$B558&amp;"'!$T34")="","",IF(INDIRECT("'["&amp;$C$1&amp;".xls]"&amp;$B558&amp;"'!$O$34")="済み",INDIRECT("'["&amp;$C$1&amp;".xls]"&amp;$B558&amp;"'!$T$34"),""))</f>
        <v>#REF!</v>
      </c>
      <c r="AU558" s="93" t="e">
        <f ca="1">INDIRECT("'["&amp;$C$1&amp;".xls]"&amp;$B558&amp;"'!$B$6")</f>
        <v>#REF!</v>
      </c>
      <c r="AV558" s="93" t="e">
        <f ca="1">INDIRECT("'["&amp;$C$1&amp;".xls]"&amp;$B558&amp;"'!$Y$22")</f>
        <v>#REF!</v>
      </c>
      <c r="AW558" s="93" t="e">
        <f ca="1">INDIRECT("'["&amp;$C$1&amp;".xls]"&amp;$B558&amp;"'!$Y$24")</f>
        <v>#REF!</v>
      </c>
      <c r="AX558" s="93" t="e">
        <f ca="1">INDIRECT("'["&amp;$C$1&amp;".xls]"&amp;$B558&amp;"'!$Y$26")</f>
        <v>#REF!</v>
      </c>
      <c r="AY558" s="93" t="e">
        <f ca="1">INDIRECT("'["&amp;$C$1&amp;".xls]"&amp;$B558&amp;"'!$Y$28")</f>
        <v>#REF!</v>
      </c>
    </row>
    <row r="559" spans="1:52" ht="16.5" customHeight="1" x14ac:dyDescent="0.15">
      <c r="A559" s="199" t="s">
        <v>5822</v>
      </c>
      <c r="B559" s="209" t="s">
        <v>5823</v>
      </c>
      <c r="C559" s="48" t="s">
        <v>5824</v>
      </c>
      <c r="D559" s="62" t="s">
        <v>1249</v>
      </c>
      <c r="E559" s="48" t="s">
        <v>264</v>
      </c>
      <c r="F559" s="61">
        <v>42591</v>
      </c>
      <c r="G559" s="61">
        <v>0</v>
      </c>
      <c r="H559" s="125">
        <v>42704</v>
      </c>
      <c r="I559" s="61" t="s">
        <v>1249</v>
      </c>
      <c r="J559" s="87"/>
      <c r="K559" s="62" t="s">
        <v>5202</v>
      </c>
      <c r="L559" s="62">
        <v>3</v>
      </c>
      <c r="M559" s="62" t="s">
        <v>2437</v>
      </c>
      <c r="N559" s="62" t="s">
        <v>5825</v>
      </c>
      <c r="O559" s="48" t="s">
        <v>5826</v>
      </c>
      <c r="P559" s="48" t="s">
        <v>267</v>
      </c>
      <c r="Q559" s="48" t="s">
        <v>5827</v>
      </c>
      <c r="R559" s="48" t="s">
        <v>5828</v>
      </c>
      <c r="S559" s="48" t="s">
        <v>5829</v>
      </c>
      <c r="T559" s="48" t="s">
        <v>5830</v>
      </c>
      <c r="U559" s="48" t="s">
        <v>5831</v>
      </c>
      <c r="V559" s="122" t="s">
        <v>4232</v>
      </c>
      <c r="W559" s="122" t="s">
        <v>4232</v>
      </c>
      <c r="X559" s="122" t="s">
        <v>4232</v>
      </c>
      <c r="Y559" s="122" t="s">
        <v>4232</v>
      </c>
      <c r="Z559" s="61"/>
      <c r="AA559" s="48" t="s">
        <v>5681</v>
      </c>
      <c r="AB559" s="48" t="s">
        <v>273</v>
      </c>
      <c r="AC559" s="48" t="s">
        <v>273</v>
      </c>
      <c r="AD559" s="48" t="s">
        <v>273</v>
      </c>
      <c r="AE559" s="48" t="s">
        <v>273</v>
      </c>
      <c r="AF559" s="48" t="s">
        <v>273</v>
      </c>
      <c r="AG559" s="48" t="s">
        <v>273</v>
      </c>
      <c r="AH559" s="48" t="s">
        <v>273</v>
      </c>
      <c r="AI559" s="48" t="s">
        <v>273</v>
      </c>
      <c r="AJ559" s="48" t="s">
        <v>273</v>
      </c>
      <c r="AK559" s="48" t="s">
        <v>5832</v>
      </c>
      <c r="AL559" s="48" t="s">
        <v>273</v>
      </c>
      <c r="AM559" s="48" t="s">
        <v>273</v>
      </c>
      <c r="AN559" s="48" t="s">
        <v>273</v>
      </c>
      <c r="AO559" s="48" t="s">
        <v>273</v>
      </c>
      <c r="AP559" s="48" t="s">
        <v>273</v>
      </c>
      <c r="AQ559" s="48" t="s">
        <v>273</v>
      </c>
      <c r="AR559" s="48" t="s">
        <v>273</v>
      </c>
      <c r="AS559" s="48" t="s">
        <v>273</v>
      </c>
      <c r="AT559" s="48" t="s">
        <v>273</v>
      </c>
      <c r="AU559" s="93" t="s">
        <v>1249</v>
      </c>
      <c r="AV559" s="93" t="s">
        <v>5833</v>
      </c>
      <c r="AW559" s="93" t="s">
        <v>5834</v>
      </c>
      <c r="AX559" s="93" t="s">
        <v>273</v>
      </c>
      <c r="AY559" s="93" t="s">
        <v>5835</v>
      </c>
    </row>
    <row r="560" spans="1:52" ht="16.5" customHeight="1" x14ac:dyDescent="0.15">
      <c r="A560" s="156" t="s">
        <v>5836</v>
      </c>
      <c r="B560" s="157" t="s">
        <v>5837</v>
      </c>
      <c r="C560" s="48" t="s">
        <v>5838</v>
      </c>
      <c r="D560" s="62" t="s">
        <v>5839</v>
      </c>
      <c r="E560" s="48" t="s">
        <v>264</v>
      </c>
      <c r="F560" s="61">
        <v>42592</v>
      </c>
      <c r="G560" s="61">
        <v>0</v>
      </c>
      <c r="H560" s="125">
        <v>42639</v>
      </c>
      <c r="I560" s="61" t="s">
        <v>279</v>
      </c>
      <c r="J560" s="87"/>
      <c r="K560" s="62" t="s">
        <v>5840</v>
      </c>
      <c r="L560" s="62">
        <v>3</v>
      </c>
      <c r="M560" s="62" t="s">
        <v>2437</v>
      </c>
      <c r="N560" s="62" t="s">
        <v>5841</v>
      </c>
      <c r="O560" s="48" t="s">
        <v>2439</v>
      </c>
      <c r="P560" s="48" t="s">
        <v>4131</v>
      </c>
      <c r="Q560" s="48" t="s">
        <v>5842</v>
      </c>
      <c r="R560" s="48" t="s">
        <v>4133</v>
      </c>
      <c r="S560" s="48" t="s">
        <v>4134</v>
      </c>
      <c r="T560" s="48" t="s">
        <v>4135</v>
      </c>
      <c r="U560" s="48" t="s">
        <v>5843</v>
      </c>
      <c r="V560" s="122" t="s">
        <v>263</v>
      </c>
      <c r="W560" s="122" t="s">
        <v>263</v>
      </c>
      <c r="X560" s="48" t="s">
        <v>5844</v>
      </c>
      <c r="Y560" s="48" t="s">
        <v>5845</v>
      </c>
      <c r="Z560" s="61"/>
      <c r="AA560" s="48" t="s">
        <v>5846</v>
      </c>
      <c r="AB560" s="48" t="s">
        <v>273</v>
      </c>
      <c r="AC560" s="48" t="s">
        <v>273</v>
      </c>
      <c r="AD560" s="48" t="s">
        <v>273</v>
      </c>
      <c r="AE560" s="48" t="s">
        <v>273</v>
      </c>
      <c r="AF560" s="48" t="s">
        <v>273</v>
      </c>
      <c r="AG560" s="48" t="s">
        <v>273</v>
      </c>
      <c r="AH560" s="48" t="s">
        <v>273</v>
      </c>
      <c r="AI560" s="48" t="s">
        <v>273</v>
      </c>
      <c r="AJ560" s="48" t="s">
        <v>273</v>
      </c>
      <c r="AK560" s="48" t="s">
        <v>5847</v>
      </c>
      <c r="AL560" s="48" t="s">
        <v>273</v>
      </c>
      <c r="AM560" s="48" t="s">
        <v>273</v>
      </c>
      <c r="AN560" s="48" t="s">
        <v>273</v>
      </c>
      <c r="AO560" s="48" t="s">
        <v>273</v>
      </c>
      <c r="AP560" s="48" t="s">
        <v>273</v>
      </c>
      <c r="AQ560" s="48" t="s">
        <v>273</v>
      </c>
      <c r="AR560" s="48" t="s">
        <v>273</v>
      </c>
      <c r="AS560" s="48" t="s">
        <v>273</v>
      </c>
      <c r="AT560" s="48" t="s">
        <v>273</v>
      </c>
      <c r="AU560" s="93">
        <v>0</v>
      </c>
      <c r="AV560" s="93" t="s">
        <v>5848</v>
      </c>
      <c r="AW560" s="93" t="s">
        <v>5849</v>
      </c>
      <c r="AX560" s="93" t="s">
        <v>5850</v>
      </c>
      <c r="AY560" s="93" t="s">
        <v>5851</v>
      </c>
    </row>
    <row r="561" spans="1:52" ht="16.5" customHeight="1" x14ac:dyDescent="0.15">
      <c r="A561" s="153" t="s">
        <v>5852</v>
      </c>
      <c r="B561" s="154" t="s">
        <v>5853</v>
      </c>
      <c r="C561" s="48" t="s">
        <v>330</v>
      </c>
      <c r="D561" s="62" t="s">
        <v>263</v>
      </c>
      <c r="E561" s="48" t="s">
        <v>264</v>
      </c>
      <c r="F561" s="61">
        <v>42592</v>
      </c>
      <c r="G561" s="61">
        <v>0</v>
      </c>
      <c r="H561" s="125">
        <v>42592</v>
      </c>
      <c r="I561" s="61" t="s">
        <v>279</v>
      </c>
      <c r="J561" s="87"/>
      <c r="K561" s="124" t="s">
        <v>263</v>
      </c>
      <c r="L561" s="124" t="s">
        <v>263</v>
      </c>
      <c r="M561" s="62" t="s">
        <v>651</v>
      </c>
      <c r="N561" s="62" t="s">
        <v>5854</v>
      </c>
      <c r="O561" s="48" t="s">
        <v>653</v>
      </c>
      <c r="P561" s="48" t="s">
        <v>5855</v>
      </c>
      <c r="Q561" s="48" t="s">
        <v>5856</v>
      </c>
      <c r="R561" s="48"/>
      <c r="S561" s="48" t="s">
        <v>5857</v>
      </c>
      <c r="T561" s="48" t="s">
        <v>5858</v>
      </c>
      <c r="U561" s="48" t="s">
        <v>5859</v>
      </c>
      <c r="V561" s="48"/>
      <c r="W561" s="48"/>
      <c r="X561" s="48"/>
      <c r="Y561" s="48"/>
      <c r="Z561" s="61"/>
      <c r="AA561" s="48" t="s">
        <v>273</v>
      </c>
      <c r="AB561" s="48" t="s">
        <v>273</v>
      </c>
      <c r="AC561" s="48" t="s">
        <v>273</v>
      </c>
      <c r="AD561" s="48" t="s">
        <v>273</v>
      </c>
      <c r="AE561" s="48" t="s">
        <v>273</v>
      </c>
      <c r="AF561" s="48" t="s">
        <v>273</v>
      </c>
      <c r="AG561" s="48" t="s">
        <v>273</v>
      </c>
      <c r="AH561" s="48" t="s">
        <v>273</v>
      </c>
      <c r="AI561" s="48" t="s">
        <v>273</v>
      </c>
      <c r="AJ561" s="48" t="s">
        <v>273</v>
      </c>
      <c r="AK561" s="48" t="s">
        <v>273</v>
      </c>
      <c r="AL561" s="48" t="s">
        <v>273</v>
      </c>
      <c r="AM561" s="48" t="s">
        <v>273</v>
      </c>
      <c r="AN561" s="48" t="s">
        <v>273</v>
      </c>
      <c r="AO561" s="48" t="s">
        <v>273</v>
      </c>
      <c r="AP561" s="48" t="s">
        <v>273</v>
      </c>
      <c r="AQ561" s="48" t="s">
        <v>273</v>
      </c>
      <c r="AR561" s="48" t="s">
        <v>273</v>
      </c>
      <c r="AS561" s="48" t="s">
        <v>273</v>
      </c>
      <c r="AT561" s="48" t="s">
        <v>273</v>
      </c>
      <c r="AU561" s="93" t="s">
        <v>1249</v>
      </c>
      <c r="AV561" s="93" t="s">
        <v>5860</v>
      </c>
      <c r="AW561" s="93" t="s">
        <v>5861</v>
      </c>
      <c r="AX561" s="93" t="s">
        <v>1249</v>
      </c>
      <c r="AY561" s="93" t="s">
        <v>5862</v>
      </c>
    </row>
    <row r="562" spans="1:52" ht="16.5" customHeight="1" x14ac:dyDescent="0.15">
      <c r="A562" s="199" t="s">
        <v>5863</v>
      </c>
      <c r="B562" s="209" t="s">
        <v>5864</v>
      </c>
      <c r="C562" s="48" t="s">
        <v>330</v>
      </c>
      <c r="D562" s="62" t="s">
        <v>5865</v>
      </c>
      <c r="E562" s="48" t="s">
        <v>300</v>
      </c>
      <c r="F562" s="61">
        <v>42592</v>
      </c>
      <c r="G562" s="61">
        <v>0</v>
      </c>
      <c r="H562" s="125">
        <v>42688</v>
      </c>
      <c r="I562" s="61" t="s">
        <v>279</v>
      </c>
      <c r="J562" s="87"/>
      <c r="K562" s="124" t="s">
        <v>5866</v>
      </c>
      <c r="L562" s="124" t="s">
        <v>5866</v>
      </c>
      <c r="M562" s="62" t="s">
        <v>755</v>
      </c>
      <c r="N562" s="62" t="s">
        <v>5867</v>
      </c>
      <c r="O562" s="48" t="s">
        <v>1044</v>
      </c>
      <c r="P562" s="48" t="s">
        <v>5868</v>
      </c>
      <c r="Q562" s="48" t="s">
        <v>5869</v>
      </c>
      <c r="R562" s="48" t="s">
        <v>5870</v>
      </c>
      <c r="S562" s="48" t="s">
        <v>5871</v>
      </c>
      <c r="T562" s="48" t="s">
        <v>5872</v>
      </c>
      <c r="U562" s="48" t="s">
        <v>5873</v>
      </c>
      <c r="V562" s="122" t="s">
        <v>5866</v>
      </c>
      <c r="W562" s="122" t="s">
        <v>5866</v>
      </c>
      <c r="X562" s="48" t="s">
        <v>5874</v>
      </c>
      <c r="Y562" s="48" t="s">
        <v>5875</v>
      </c>
      <c r="Z562" s="61"/>
      <c r="AA562" s="48" t="s">
        <v>273</v>
      </c>
      <c r="AB562" s="48" t="s">
        <v>273</v>
      </c>
      <c r="AC562" s="48" t="s">
        <v>273</v>
      </c>
      <c r="AD562" s="48" t="s">
        <v>273</v>
      </c>
      <c r="AE562" s="48" t="s">
        <v>273</v>
      </c>
      <c r="AF562" s="48" t="s">
        <v>273</v>
      </c>
      <c r="AG562" s="48" t="s">
        <v>273</v>
      </c>
      <c r="AH562" s="48" t="s">
        <v>273</v>
      </c>
      <c r="AI562" s="48" t="s">
        <v>273</v>
      </c>
      <c r="AJ562" s="48" t="s">
        <v>273</v>
      </c>
      <c r="AK562" s="48" t="s">
        <v>273</v>
      </c>
      <c r="AL562" s="48" t="s">
        <v>273</v>
      </c>
      <c r="AM562" s="48" t="s">
        <v>273</v>
      </c>
      <c r="AN562" s="48" t="s">
        <v>273</v>
      </c>
      <c r="AO562" s="48" t="s">
        <v>273</v>
      </c>
      <c r="AP562" s="48" t="s">
        <v>273</v>
      </c>
      <c r="AQ562" s="48" t="s">
        <v>273</v>
      </c>
      <c r="AR562" s="48" t="s">
        <v>273</v>
      </c>
      <c r="AS562" s="48" t="s">
        <v>273</v>
      </c>
      <c r="AT562" s="48" t="s">
        <v>273</v>
      </c>
      <c r="AU562" s="93">
        <v>38200</v>
      </c>
      <c r="AV562" s="93" t="s">
        <v>5876</v>
      </c>
      <c r="AW562" s="93" t="s">
        <v>5877</v>
      </c>
      <c r="AX562" s="93" t="s">
        <v>273</v>
      </c>
      <c r="AY562" s="93" t="s">
        <v>5878</v>
      </c>
      <c r="AZ562" s="49" t="s">
        <v>5879</v>
      </c>
    </row>
    <row r="563" spans="1:52" ht="16.5" customHeight="1" x14ac:dyDescent="0.15">
      <c r="A563" s="121" t="s">
        <v>5880</v>
      </c>
      <c r="B563" s="47" t="s">
        <v>5881</v>
      </c>
      <c r="C563" s="48" t="e">
        <f ca="1">INDIRECT("'["&amp;$C$1&amp;".xls]"&amp;$B563&amp;"'!$i$7")</f>
        <v>#REF!</v>
      </c>
      <c r="D563" s="62" t="e">
        <f ca="1">INDIRECT("'["&amp;$C$1&amp;".xls]"&amp;$B563&amp;"'!$b$7")</f>
        <v>#REF!</v>
      </c>
      <c r="E563" s="48" t="e">
        <f ca="1">IF(INDIRECT("'["&amp;$C$1&amp;".xls]"&amp;$B563&amp;"'!$i$2")="","",INDIRECT("'["&amp;$C$1&amp;".xls]"&amp;$B563&amp;"'!$i$2"))</f>
        <v>#REF!</v>
      </c>
      <c r="F563" s="61" t="e">
        <f ca="1">INDIRECT("'["&amp;$C$1&amp;".xls]"&amp;$B563&amp;"'!$b$2")</f>
        <v>#REF!</v>
      </c>
      <c r="G563" s="61" t="e">
        <f ca="1">INDIRECT("'["&amp;$C$1&amp;".xls]"&amp;$B563&amp;"'!$a$20")</f>
        <v>#REF!</v>
      </c>
      <c r="H563" s="88" t="e">
        <f ca="1">INDIRECT("'["&amp;$C$1&amp;".xls]"&amp;$B563&amp;"'!$Q$22")</f>
        <v>#REF!</v>
      </c>
      <c r="I563" s="61" t="e">
        <f ca="1">INDIRECT("'["&amp;$C$1&amp;".xls]"&amp;$B563&amp;"'!$f$6")</f>
        <v>#REF!</v>
      </c>
      <c r="J563" s="87"/>
      <c r="K563" s="62" t="e">
        <f ca="1">INDIRECT("'["&amp;$C$1&amp;".xls]"&amp;$B563&amp;"'!$f$25")</f>
        <v>#REF!</v>
      </c>
      <c r="L563" s="62"/>
      <c r="M563" s="62" t="e">
        <f ca="1">INDIRECT("'["&amp;$C$1&amp;".xls]"&amp;$B563&amp;"'!$f$4")</f>
        <v>#REF!</v>
      </c>
      <c r="N563" s="62" t="e">
        <f ca="1">INDIRECT("'["&amp;$C$1&amp;".xls]"&amp;$B563&amp;"'!$i$4")</f>
        <v>#REF!</v>
      </c>
      <c r="O563" s="48" t="e">
        <f ca="1">INDIRECT("'["&amp;$C$1&amp;".xls]"&amp;$B563&amp;"'!$l$4")</f>
        <v>#REF!</v>
      </c>
      <c r="P563" s="48" t="e">
        <f ca="1">INDIRECT("'["&amp;$C$1&amp;".xls]"&amp;$B563&amp;"'!$b$5")</f>
        <v>#REF!</v>
      </c>
      <c r="Q563" s="48" t="e">
        <f ca="1">INDIRECT("'["&amp;$C$1&amp;".xls]"&amp;$B563&amp;"'!$f$5")</f>
        <v>#REF!</v>
      </c>
      <c r="R563" s="48"/>
      <c r="S563" s="48" t="e">
        <f ca="1">INDIRECT("'["&amp;$C$1&amp;".xls]"&amp;$B563&amp;"'!$i$5")</f>
        <v>#REF!</v>
      </c>
      <c r="T563" s="48" t="e">
        <f ca="1">INDIRECT("'["&amp;$C$1&amp;".xls]"&amp;$B563&amp;"'!$l$5")</f>
        <v>#REF!</v>
      </c>
      <c r="U563" s="48" t="e">
        <f ca="1">INDIRECT("'["&amp;$C$1&amp;".xls]"&amp;$B563&amp;"'!$b$4")</f>
        <v>#REF!</v>
      </c>
      <c r="V563" s="48"/>
      <c r="W563" s="48"/>
      <c r="X563" s="48"/>
      <c r="Y563" s="48"/>
      <c r="Z563" s="61"/>
      <c r="AA563" s="48" t="e">
        <f ca="1">IF(INDIRECT("'["&amp;$C$1&amp;".xls]"&amp;$B563&amp;"'!$P$25")="","",IF(INDIRECT("'["&amp;$C$1&amp;".xls]"&amp;$B563&amp;"'!$O$25")="済み",INDIRECT("'["&amp;$C$1&amp;".xls]"&amp;$B563&amp;"'!$P$25"),""))</f>
        <v>#REF!</v>
      </c>
      <c r="AB563" s="48" t="e">
        <f ca="1">IF(INDIRECT("'["&amp;$C$1&amp;".xls]"&amp;$B563&amp;"'!$P$26")="","",IF(INDIRECT("'["&amp;$C$1&amp;".xls]"&amp;$B563&amp;"'!$O$26")="済み",INDIRECT("'["&amp;$C$1&amp;".xls]"&amp;$B563&amp;"'!$P$26"),""))</f>
        <v>#REF!</v>
      </c>
      <c r="AC563" s="48" t="e">
        <f ca="1">IF(INDIRECT("'["&amp;$C$1&amp;".xls]"&amp;$B563&amp;"'!$P$27")="","",IF(INDIRECT("'["&amp;$C$1&amp;".xls]"&amp;$B563&amp;"'!$O$27")="済み",INDIRECT("'["&amp;$C$1&amp;".xls]"&amp;$B563&amp;"'!$P$27"),""))</f>
        <v>#REF!</v>
      </c>
      <c r="AD563" s="48" t="e">
        <f ca="1">IF(INDIRECT("'["&amp;$C$1&amp;".xls]"&amp;$B563&amp;"'!$P$28")="","",IF(INDIRECT("'["&amp;$C$1&amp;".xls]"&amp;$B563&amp;"'!$O$28")="済み",INDIRECT("'["&amp;$C$1&amp;".xls]"&amp;$B563&amp;"'!$P$28"),""))</f>
        <v>#REF!</v>
      </c>
      <c r="AE563" s="48" t="e">
        <f ca="1">IF(INDIRECT("'["&amp;$C$1&amp;".xls]"&amp;$B563&amp;"'!$P$29")="","",IF(INDIRECT("'["&amp;$C$1&amp;".xls]"&amp;$B563&amp;"'!$O$29")="済み",INDIRECT("'["&amp;$C$1&amp;".xls]"&amp;$B563&amp;"'!$P$29"),""))</f>
        <v>#REF!</v>
      </c>
      <c r="AF563" s="48" t="e">
        <f ca="1">IF(INDIRECT("'["&amp;$C$1&amp;".xls]"&amp;$B563&amp;"'!$P$30")="","",IF(INDIRECT("'["&amp;$C$1&amp;".xls]"&amp;$B563&amp;"'!$O$30")="済み",INDIRECT("'["&amp;$C$1&amp;".xls]"&amp;$B563&amp;"'!$P$30"),""))</f>
        <v>#REF!</v>
      </c>
      <c r="AG563" s="48" t="e">
        <f ca="1">IF(INDIRECT("'["&amp;$C$1&amp;".xls]"&amp;$B563&amp;"'!$P$31")="","",IF(INDIRECT("'["&amp;$C$1&amp;".xls]"&amp;$B563&amp;"'!$O$31")="済み",INDIRECT("'["&amp;$C$1&amp;".xls]"&amp;$B563&amp;"'!$P$31"),""))</f>
        <v>#REF!</v>
      </c>
      <c r="AH563" s="48" t="e">
        <f ca="1">IF(INDIRECT("'["&amp;$C$1&amp;".xls]"&amp;$B563&amp;"'!$P$32")="","",IF(INDIRECT("'["&amp;$C$1&amp;".xls]"&amp;$B563&amp;"'!$O$32")="済み",INDIRECT("'["&amp;$C$1&amp;".xls]"&amp;$B563&amp;"'!$P$32"),""))</f>
        <v>#REF!</v>
      </c>
      <c r="AI563" s="48" t="e">
        <f ca="1">IF(INDIRECT("'["&amp;$C$1&amp;".xls]"&amp;$B563&amp;"'!$P$33")="","",IF(INDIRECT("'["&amp;$C$1&amp;".xls]"&amp;$B563&amp;"'!$O$33")="済み",INDIRECT("'["&amp;$C$1&amp;".xls]"&amp;$B563&amp;"'!$P$33"),""))</f>
        <v>#REF!</v>
      </c>
      <c r="AJ563" s="48" t="e">
        <f ca="1">IF(INDIRECT("'["&amp;$C$1&amp;".xls]"&amp;$B563&amp;"'!$P$34")="","",IF(INDIRECT("'["&amp;$C$1&amp;".xls]"&amp;$B563&amp;"'!$O$34")="済み",INDIRECT("'["&amp;$C$1&amp;".xls]"&amp;$B563&amp;"'!$P$34"),""))</f>
        <v>#REF!</v>
      </c>
      <c r="AK563" s="48" t="e">
        <f ca="1">IF(INDIRECT("'["&amp;$C$1&amp;".xls]"&amp;$B563&amp;"'!$T25")="","",IF(INDIRECT("'["&amp;$C$1&amp;".xls]"&amp;$B563&amp;"'!$O$25")="済み",INDIRECT("'["&amp;$C$1&amp;".xls]"&amp;$B563&amp;"'!$T$25"),""))</f>
        <v>#REF!</v>
      </c>
      <c r="AL563" s="48" t="e">
        <f ca="1">IF(INDIRECT("'["&amp;$C$1&amp;".xls]"&amp;$B563&amp;"'!$T26")="","",IF(INDIRECT("'["&amp;$C$1&amp;".xls]"&amp;$B563&amp;"'!$O$26")="済み",INDIRECT("'["&amp;$C$1&amp;".xls]"&amp;$B563&amp;"'!$T$26"),""))</f>
        <v>#REF!</v>
      </c>
      <c r="AM563" s="48" t="e">
        <f ca="1">IF(INDIRECT("'["&amp;$C$1&amp;".xls]"&amp;$B563&amp;"'!$T27")="","",IF(INDIRECT("'["&amp;$C$1&amp;".xls]"&amp;$B563&amp;"'!$O$27")="済み",INDIRECT("'["&amp;$C$1&amp;".xls]"&amp;$B563&amp;"'!$T$27"),""))</f>
        <v>#REF!</v>
      </c>
      <c r="AN563" s="48" t="e">
        <f ca="1">IF(INDIRECT("'["&amp;$C$1&amp;".xls]"&amp;$B563&amp;"'!$T28")="","",IF(INDIRECT("'["&amp;$C$1&amp;".xls]"&amp;$B563&amp;"'!$O$28")="済み",INDIRECT("'["&amp;$C$1&amp;".xls]"&amp;$B563&amp;"'!$T$28"),""))</f>
        <v>#REF!</v>
      </c>
      <c r="AO563" s="48" t="e">
        <f ca="1">IF(INDIRECT("'["&amp;$C$1&amp;".xls]"&amp;$B563&amp;"'!$T29")="","",IF(INDIRECT("'["&amp;$C$1&amp;".xls]"&amp;$B563&amp;"'!$O$29")="済み",INDIRECT("'["&amp;$C$1&amp;".xls]"&amp;$B563&amp;"'!$T$29"),""))</f>
        <v>#REF!</v>
      </c>
      <c r="AP563" s="48" t="e">
        <f ca="1">IF(INDIRECT("'["&amp;$C$1&amp;".xls]"&amp;$B563&amp;"'!$T30")="","",IF(INDIRECT("'["&amp;$C$1&amp;".xls]"&amp;$B563&amp;"'!$O$30")="済み",INDIRECT("'["&amp;$C$1&amp;".xls]"&amp;$B563&amp;"'!$T$30"),""))</f>
        <v>#REF!</v>
      </c>
      <c r="AQ563" s="48" t="e">
        <f ca="1">IF(INDIRECT("'["&amp;$C$1&amp;".xls]"&amp;$B563&amp;"'!$T31")="","",IF(INDIRECT("'["&amp;$C$1&amp;".xls]"&amp;$B563&amp;"'!$O$31")="済み",INDIRECT("'["&amp;$C$1&amp;".xls]"&amp;$B563&amp;"'!$T$31"),""))</f>
        <v>#REF!</v>
      </c>
      <c r="AR563" s="48" t="e">
        <f ca="1">IF(INDIRECT("'["&amp;$C$1&amp;".xls]"&amp;$B563&amp;"'!$T32")="","",IF(INDIRECT("'["&amp;$C$1&amp;".xls]"&amp;$B563&amp;"'!$O$32")="済み",INDIRECT("'["&amp;$C$1&amp;".xls]"&amp;$B563&amp;"'!$T$32"),""))</f>
        <v>#REF!</v>
      </c>
      <c r="AS563" s="48" t="e">
        <f ca="1">IF(INDIRECT("'["&amp;$C$1&amp;".xls]"&amp;$B563&amp;"'!$T33")="","",IF(INDIRECT("'["&amp;$C$1&amp;".xls]"&amp;$B563&amp;"'!$O$33")="済み",INDIRECT("'["&amp;$C$1&amp;".xls]"&amp;$B563&amp;"'!$T$33"),""))</f>
        <v>#REF!</v>
      </c>
      <c r="AT563" s="48" t="e">
        <f ca="1">IF(INDIRECT("'["&amp;$C$1&amp;".xls]"&amp;$B563&amp;"'!$T34")="","",IF(INDIRECT("'["&amp;$C$1&amp;".xls]"&amp;$B563&amp;"'!$O$34")="済み",INDIRECT("'["&amp;$C$1&amp;".xls]"&amp;$B563&amp;"'!$T$34"),""))</f>
        <v>#REF!</v>
      </c>
      <c r="AU563" s="93" t="e">
        <f ca="1">INDIRECT("'["&amp;$C$1&amp;".xls]"&amp;$B563&amp;"'!$B$6")</f>
        <v>#REF!</v>
      </c>
      <c r="AV563" s="93" t="e">
        <f ca="1">INDIRECT("'["&amp;$C$1&amp;".xls]"&amp;$B563&amp;"'!$Y$22")</f>
        <v>#REF!</v>
      </c>
      <c r="AW563" s="93" t="e">
        <f ca="1">INDIRECT("'["&amp;$C$1&amp;".xls]"&amp;$B563&amp;"'!$Y$24")</f>
        <v>#REF!</v>
      </c>
      <c r="AX563" s="93" t="e">
        <f ca="1">INDIRECT("'["&amp;$C$1&amp;".xls]"&amp;$B563&amp;"'!$Y$26")</f>
        <v>#REF!</v>
      </c>
      <c r="AY563" s="93" t="e">
        <f ca="1">INDIRECT("'["&amp;$C$1&amp;".xls]"&amp;$B563&amp;"'!$Y$28")</f>
        <v>#REF!</v>
      </c>
    </row>
    <row r="564" spans="1:52" ht="16.5" customHeight="1" x14ac:dyDescent="0.15">
      <c r="A564" s="156" t="s">
        <v>5882</v>
      </c>
      <c r="B564" s="157" t="s">
        <v>5883</v>
      </c>
      <c r="C564" s="48" t="s">
        <v>298</v>
      </c>
      <c r="D564" s="62" t="s">
        <v>5884</v>
      </c>
      <c r="E564" s="48" t="s">
        <v>5885</v>
      </c>
      <c r="F564" s="61">
        <v>42594</v>
      </c>
      <c r="G564" s="61">
        <v>0</v>
      </c>
      <c r="H564" s="125">
        <v>42621</v>
      </c>
      <c r="I564" s="61" t="s">
        <v>279</v>
      </c>
      <c r="J564" s="87"/>
      <c r="K564" s="62" t="s">
        <v>16</v>
      </c>
      <c r="L564" s="62">
        <v>3</v>
      </c>
      <c r="M564" s="62" t="s">
        <v>651</v>
      </c>
      <c r="N564" s="62" t="s">
        <v>5886</v>
      </c>
      <c r="O564" s="48" t="s">
        <v>5519</v>
      </c>
      <c r="P564" s="130" t="s">
        <v>5887</v>
      </c>
      <c r="Q564" s="130" t="s">
        <v>5888</v>
      </c>
      <c r="R564" s="48" t="s">
        <v>5889</v>
      </c>
      <c r="S564" s="48" t="s">
        <v>5890</v>
      </c>
      <c r="T564" s="48" t="s">
        <v>5891</v>
      </c>
      <c r="U564" s="48" t="s">
        <v>5892</v>
      </c>
      <c r="V564" s="122" t="s">
        <v>263</v>
      </c>
      <c r="W564" s="122" t="s">
        <v>263</v>
      </c>
      <c r="X564" s="48" t="s">
        <v>5891</v>
      </c>
      <c r="Y564" s="48" t="s">
        <v>5893</v>
      </c>
      <c r="Z564" s="61"/>
      <c r="AA564" s="48" t="s">
        <v>5894</v>
      </c>
      <c r="AB564" s="48" t="s">
        <v>5895</v>
      </c>
      <c r="AC564" s="48" t="s">
        <v>273</v>
      </c>
      <c r="AD564" s="48" t="s">
        <v>273</v>
      </c>
      <c r="AE564" s="48" t="s">
        <v>273</v>
      </c>
      <c r="AF564" s="48" t="s">
        <v>273</v>
      </c>
      <c r="AG564" s="48" t="s">
        <v>273</v>
      </c>
      <c r="AH564" s="48" t="s">
        <v>273</v>
      </c>
      <c r="AI564" s="48" t="s">
        <v>273</v>
      </c>
      <c r="AJ564" s="48" t="s">
        <v>273</v>
      </c>
      <c r="AK564" s="48" t="s">
        <v>5896</v>
      </c>
      <c r="AL564" s="48" t="s">
        <v>5897</v>
      </c>
      <c r="AM564" s="48" t="s">
        <v>273</v>
      </c>
      <c r="AN564" s="48" t="s">
        <v>273</v>
      </c>
      <c r="AO564" s="48" t="s">
        <v>273</v>
      </c>
      <c r="AP564" s="48" t="s">
        <v>273</v>
      </c>
      <c r="AQ564" s="48" t="s">
        <v>273</v>
      </c>
      <c r="AR564" s="48" t="s">
        <v>273</v>
      </c>
      <c r="AS564" s="48" t="s">
        <v>273</v>
      </c>
      <c r="AT564" s="48" t="s">
        <v>273</v>
      </c>
      <c r="AU564" s="93">
        <v>41487</v>
      </c>
      <c r="AV564" s="93" t="s">
        <v>5898</v>
      </c>
      <c r="AW564" s="93" t="s">
        <v>5899</v>
      </c>
      <c r="AX564" s="93" t="s">
        <v>5900</v>
      </c>
      <c r="AY564" s="93" t="s">
        <v>5312</v>
      </c>
      <c r="AZ564" s="49" t="s">
        <v>5901</v>
      </c>
    </row>
    <row r="565" spans="1:52" ht="16.5" customHeight="1" x14ac:dyDescent="0.15">
      <c r="A565" s="153" t="s">
        <v>5902</v>
      </c>
      <c r="B565" s="154" t="s">
        <v>5903</v>
      </c>
      <c r="C565" s="48" t="s">
        <v>298</v>
      </c>
      <c r="D565" s="62" t="s">
        <v>5904</v>
      </c>
      <c r="E565" s="48" t="s">
        <v>264</v>
      </c>
      <c r="F565" s="61">
        <v>42594</v>
      </c>
      <c r="G565" s="61">
        <v>0</v>
      </c>
      <c r="H565" s="125">
        <v>42601</v>
      </c>
      <c r="I565" s="61" t="s">
        <v>279</v>
      </c>
      <c r="J565" s="87"/>
      <c r="K565" s="62" t="s">
        <v>16</v>
      </c>
      <c r="L565" s="124" t="s">
        <v>263</v>
      </c>
      <c r="M565" s="62" t="s">
        <v>409</v>
      </c>
      <c r="N565" s="62" t="s">
        <v>5905</v>
      </c>
      <c r="O565" s="48" t="s">
        <v>535</v>
      </c>
      <c r="P565" s="48" t="s">
        <v>5906</v>
      </c>
      <c r="Q565" s="48" t="s">
        <v>5907</v>
      </c>
      <c r="R565" s="48" t="s">
        <v>5908</v>
      </c>
      <c r="S565" s="48" t="s">
        <v>5909</v>
      </c>
      <c r="T565" s="48" t="s">
        <v>5910</v>
      </c>
      <c r="U565" s="48" t="s">
        <v>5911</v>
      </c>
      <c r="V565" s="48" t="s">
        <v>5912</v>
      </c>
      <c r="W565" s="48" t="s">
        <v>5913</v>
      </c>
      <c r="X565" s="48" t="s">
        <v>5914</v>
      </c>
      <c r="Y565" s="48" t="s">
        <v>5915</v>
      </c>
      <c r="Z565" s="61"/>
      <c r="AA565" s="48" t="s">
        <v>273</v>
      </c>
      <c r="AB565" s="48" t="s">
        <v>273</v>
      </c>
      <c r="AC565" s="48" t="s">
        <v>273</v>
      </c>
      <c r="AD565" s="48" t="s">
        <v>273</v>
      </c>
      <c r="AE565" s="48" t="s">
        <v>273</v>
      </c>
      <c r="AF565" s="48" t="s">
        <v>273</v>
      </c>
      <c r="AG565" s="48" t="s">
        <v>273</v>
      </c>
      <c r="AH565" s="48" t="s">
        <v>273</v>
      </c>
      <c r="AI565" s="48" t="s">
        <v>273</v>
      </c>
      <c r="AJ565" s="48" t="s">
        <v>273</v>
      </c>
      <c r="AK565" s="48" t="s">
        <v>273</v>
      </c>
      <c r="AL565" s="48" t="s">
        <v>273</v>
      </c>
      <c r="AM565" s="48" t="s">
        <v>273</v>
      </c>
      <c r="AN565" s="48" t="s">
        <v>273</v>
      </c>
      <c r="AO565" s="48" t="s">
        <v>273</v>
      </c>
      <c r="AP565" s="48" t="s">
        <v>273</v>
      </c>
      <c r="AQ565" s="48" t="s">
        <v>273</v>
      </c>
      <c r="AR565" s="48" t="s">
        <v>273</v>
      </c>
      <c r="AS565" s="48" t="s">
        <v>273</v>
      </c>
      <c r="AT565" s="48" t="s">
        <v>273</v>
      </c>
      <c r="AU565" s="93">
        <v>40940</v>
      </c>
      <c r="AV565" s="93" t="s">
        <v>5916</v>
      </c>
      <c r="AW565" s="93" t="s">
        <v>5917</v>
      </c>
      <c r="AX565" s="93" t="s">
        <v>5918</v>
      </c>
      <c r="AY565" s="93" t="s">
        <v>5312</v>
      </c>
    </row>
    <row r="566" spans="1:52" ht="16.5" customHeight="1" x14ac:dyDescent="0.15">
      <c r="A566" s="182" t="s">
        <v>5919</v>
      </c>
      <c r="B566" s="183" t="s">
        <v>5920</v>
      </c>
      <c r="C566" s="48" t="s">
        <v>298</v>
      </c>
      <c r="D566" s="62" t="s">
        <v>263</v>
      </c>
      <c r="E566" s="48" t="s">
        <v>300</v>
      </c>
      <c r="F566" s="61">
        <v>42594</v>
      </c>
      <c r="G566" s="61">
        <v>0</v>
      </c>
      <c r="H566" s="125">
        <v>42649</v>
      </c>
      <c r="I566" s="61">
        <v>40228</v>
      </c>
      <c r="J566" s="87"/>
      <c r="K566" s="62" t="s">
        <v>16</v>
      </c>
      <c r="L566" s="62">
        <v>3</v>
      </c>
      <c r="M566" s="62" t="s">
        <v>394</v>
      </c>
      <c r="N566" s="62" t="s">
        <v>5921</v>
      </c>
      <c r="O566" s="48" t="s">
        <v>396</v>
      </c>
      <c r="P566" s="48" t="s">
        <v>5178</v>
      </c>
      <c r="Q566" s="48" t="s">
        <v>1494</v>
      </c>
      <c r="R566" s="48" t="s">
        <v>399</v>
      </c>
      <c r="S566" s="48" t="s">
        <v>400</v>
      </c>
      <c r="T566" s="48" t="s">
        <v>401</v>
      </c>
      <c r="U566" s="48" t="s">
        <v>4518</v>
      </c>
      <c r="V566" s="122" t="s">
        <v>263</v>
      </c>
      <c r="W566" s="122" t="s">
        <v>263</v>
      </c>
      <c r="X566" s="48" t="s">
        <v>4051</v>
      </c>
      <c r="Y566" s="48" t="s">
        <v>4052</v>
      </c>
      <c r="Z566" s="61"/>
      <c r="AA566" s="48" t="s">
        <v>701</v>
      </c>
      <c r="AB566" s="48" t="s">
        <v>273</v>
      </c>
      <c r="AC566" s="48" t="s">
        <v>273</v>
      </c>
      <c r="AD566" s="48" t="s">
        <v>273</v>
      </c>
      <c r="AE566" s="48" t="s">
        <v>273</v>
      </c>
      <c r="AF566" s="48" t="s">
        <v>273</v>
      </c>
      <c r="AG566" s="48" t="s">
        <v>273</v>
      </c>
      <c r="AH566" s="48" t="s">
        <v>273</v>
      </c>
      <c r="AI566" s="48" t="s">
        <v>273</v>
      </c>
      <c r="AJ566" s="48" t="s">
        <v>273</v>
      </c>
      <c r="AK566" s="48" t="s">
        <v>702</v>
      </c>
      <c r="AL566" s="48" t="s">
        <v>273</v>
      </c>
      <c r="AM566" s="48" t="s">
        <v>273</v>
      </c>
      <c r="AN566" s="48" t="s">
        <v>273</v>
      </c>
      <c r="AO566" s="48" t="s">
        <v>273</v>
      </c>
      <c r="AP566" s="48" t="s">
        <v>273</v>
      </c>
      <c r="AQ566" s="48" t="s">
        <v>273</v>
      </c>
      <c r="AR566" s="48" t="s">
        <v>273</v>
      </c>
      <c r="AS566" s="48" t="s">
        <v>273</v>
      </c>
      <c r="AT566" s="48" t="s">
        <v>273</v>
      </c>
      <c r="AU566" s="93">
        <v>39479</v>
      </c>
      <c r="AV566" s="93" t="s">
        <v>5922</v>
      </c>
      <c r="AW566" s="93" t="s">
        <v>5923</v>
      </c>
      <c r="AX566" s="93" t="s">
        <v>5924</v>
      </c>
      <c r="AY566" s="93" t="s">
        <v>5312</v>
      </c>
    </row>
    <row r="567" spans="1:52" ht="16.5" customHeight="1" x14ac:dyDescent="0.15">
      <c r="A567" s="182" t="s">
        <v>5925</v>
      </c>
      <c r="B567" s="183" t="s">
        <v>5926</v>
      </c>
      <c r="C567" s="48" t="s">
        <v>5927</v>
      </c>
      <c r="D567" s="62" t="s">
        <v>263</v>
      </c>
      <c r="E567" s="48" t="s">
        <v>264</v>
      </c>
      <c r="F567" s="61">
        <v>42594</v>
      </c>
      <c r="G567" s="61">
        <v>0</v>
      </c>
      <c r="H567" s="125">
        <v>42671</v>
      </c>
      <c r="I567" s="61">
        <v>41632</v>
      </c>
      <c r="J567" s="87"/>
      <c r="K567" s="62" t="s">
        <v>2506</v>
      </c>
      <c r="L567" s="62">
        <v>3</v>
      </c>
      <c r="M567" s="62" t="s">
        <v>471</v>
      </c>
      <c r="N567" s="62" t="s">
        <v>5928</v>
      </c>
      <c r="O567" s="48" t="s">
        <v>502</v>
      </c>
      <c r="P567" s="48" t="s">
        <v>5929</v>
      </c>
      <c r="Q567" s="48" t="s">
        <v>5930</v>
      </c>
      <c r="R567" s="48" t="s">
        <v>399</v>
      </c>
      <c r="S567" s="48" t="s">
        <v>400</v>
      </c>
      <c r="T567" s="48" t="s">
        <v>401</v>
      </c>
      <c r="U567" s="48" t="s">
        <v>5931</v>
      </c>
      <c r="V567" s="122" t="s">
        <v>263</v>
      </c>
      <c r="W567" s="122" t="s">
        <v>263</v>
      </c>
      <c r="X567" s="48" t="s">
        <v>5932</v>
      </c>
      <c r="Y567" s="48" t="s">
        <v>5933</v>
      </c>
      <c r="Z567" s="61"/>
      <c r="AA567" s="48" t="s">
        <v>529</v>
      </c>
      <c r="AB567" s="48" t="s">
        <v>2372</v>
      </c>
      <c r="AC567" s="48" t="s">
        <v>5934</v>
      </c>
      <c r="AD567" s="48" t="s">
        <v>273</v>
      </c>
      <c r="AE567" s="48" t="s">
        <v>273</v>
      </c>
      <c r="AF567" s="48" t="s">
        <v>273</v>
      </c>
      <c r="AG567" s="48" t="s">
        <v>273</v>
      </c>
      <c r="AH567" s="48" t="s">
        <v>273</v>
      </c>
      <c r="AI567" s="48" t="s">
        <v>273</v>
      </c>
      <c r="AJ567" s="48" t="s">
        <v>273</v>
      </c>
      <c r="AK567" s="48" t="s">
        <v>530</v>
      </c>
      <c r="AL567" s="48" t="s">
        <v>2375</v>
      </c>
      <c r="AM567" s="48" t="s">
        <v>5935</v>
      </c>
      <c r="AN567" s="48" t="s">
        <v>273</v>
      </c>
      <c r="AO567" s="48" t="s">
        <v>273</v>
      </c>
      <c r="AP567" s="48" t="s">
        <v>273</v>
      </c>
      <c r="AQ567" s="48" t="s">
        <v>273</v>
      </c>
      <c r="AR567" s="48" t="s">
        <v>273</v>
      </c>
      <c r="AS567" s="48" t="s">
        <v>273</v>
      </c>
      <c r="AT567" s="48" t="s">
        <v>273</v>
      </c>
      <c r="AU567" s="93">
        <v>41487</v>
      </c>
      <c r="AV567" s="93" t="s">
        <v>5936</v>
      </c>
      <c r="AW567" s="93" t="s">
        <v>5937</v>
      </c>
      <c r="AX567" s="93" t="s">
        <v>5938</v>
      </c>
      <c r="AY567" s="93" t="s">
        <v>5312</v>
      </c>
    </row>
    <row r="568" spans="1:52" ht="16.5" customHeight="1" x14ac:dyDescent="0.15">
      <c r="A568" s="199" t="s">
        <v>5939</v>
      </c>
      <c r="B568" s="209" t="s">
        <v>5940</v>
      </c>
      <c r="C568" s="48" t="s">
        <v>330</v>
      </c>
      <c r="D568" s="62" t="s">
        <v>5941</v>
      </c>
      <c r="E568" s="48" t="s">
        <v>300</v>
      </c>
      <c r="F568" s="61">
        <v>42594</v>
      </c>
      <c r="G568" s="61">
        <v>0</v>
      </c>
      <c r="H568" s="125">
        <v>42702</v>
      </c>
      <c r="I568" s="61" t="s">
        <v>279</v>
      </c>
      <c r="J568" s="87"/>
      <c r="K568" s="124" t="s">
        <v>5866</v>
      </c>
      <c r="L568" s="124" t="s">
        <v>5866</v>
      </c>
      <c r="M568" s="62">
        <v>180</v>
      </c>
      <c r="N568" s="62" t="s">
        <v>5942</v>
      </c>
      <c r="O568" s="48" t="s">
        <v>2168</v>
      </c>
      <c r="P568" s="48" t="s">
        <v>2169</v>
      </c>
      <c r="Q568" s="48" t="s">
        <v>5943</v>
      </c>
      <c r="R568" s="48"/>
      <c r="S568" s="48" t="s">
        <v>5944</v>
      </c>
      <c r="T568" s="48" t="s">
        <v>5945</v>
      </c>
      <c r="U568" s="48" t="s">
        <v>5946</v>
      </c>
      <c r="V568" s="48"/>
      <c r="W568" s="48"/>
      <c r="X568" s="48"/>
      <c r="Y568" s="48"/>
      <c r="Z568" s="61"/>
      <c r="AA568" s="48" t="s">
        <v>273</v>
      </c>
      <c r="AB568" s="48" t="s">
        <v>273</v>
      </c>
      <c r="AC568" s="48" t="s">
        <v>273</v>
      </c>
      <c r="AD568" s="48" t="s">
        <v>273</v>
      </c>
      <c r="AE568" s="48" t="s">
        <v>273</v>
      </c>
      <c r="AF568" s="48" t="s">
        <v>273</v>
      </c>
      <c r="AG568" s="48" t="s">
        <v>273</v>
      </c>
      <c r="AH568" s="48" t="s">
        <v>273</v>
      </c>
      <c r="AI568" s="48" t="s">
        <v>273</v>
      </c>
      <c r="AJ568" s="48" t="s">
        <v>273</v>
      </c>
      <c r="AK568" s="48" t="s">
        <v>273</v>
      </c>
      <c r="AL568" s="48" t="s">
        <v>273</v>
      </c>
      <c r="AM568" s="48" t="s">
        <v>273</v>
      </c>
      <c r="AN568" s="48" t="s">
        <v>273</v>
      </c>
      <c r="AO568" s="48" t="s">
        <v>273</v>
      </c>
      <c r="AP568" s="48" t="s">
        <v>273</v>
      </c>
      <c r="AQ568" s="48" t="s">
        <v>273</v>
      </c>
      <c r="AR568" s="48" t="s">
        <v>273</v>
      </c>
      <c r="AS568" s="48" t="s">
        <v>273</v>
      </c>
      <c r="AT568" s="48" t="s">
        <v>273</v>
      </c>
      <c r="AU568" s="93">
        <v>36647</v>
      </c>
      <c r="AV568" s="93" t="s">
        <v>5947</v>
      </c>
      <c r="AW568" s="93" t="s">
        <v>5948</v>
      </c>
      <c r="AX568" s="93" t="s">
        <v>273</v>
      </c>
      <c r="AY568" s="93" t="s">
        <v>5949</v>
      </c>
    </row>
    <row r="569" spans="1:52" ht="16.5" customHeight="1" x14ac:dyDescent="0.15">
      <c r="A569" s="153" t="s">
        <v>5950</v>
      </c>
      <c r="B569" s="154" t="s">
        <v>5951</v>
      </c>
      <c r="C569" s="48" t="s">
        <v>5952</v>
      </c>
      <c r="D569" s="62" t="s">
        <v>1249</v>
      </c>
      <c r="E569" s="48" t="s">
        <v>264</v>
      </c>
      <c r="F569" s="61">
        <v>42597</v>
      </c>
      <c r="G569" s="61">
        <v>0</v>
      </c>
      <c r="H569" s="125">
        <v>42613</v>
      </c>
      <c r="I569" s="61" t="s">
        <v>1249</v>
      </c>
      <c r="J569" s="87"/>
      <c r="K569" s="62">
        <v>0</v>
      </c>
      <c r="L569" s="62"/>
      <c r="M569" s="62" t="s">
        <v>409</v>
      </c>
      <c r="N569" s="62" t="s">
        <v>5953</v>
      </c>
      <c r="O569" s="48" t="s">
        <v>4765</v>
      </c>
      <c r="P569" s="48" t="s">
        <v>267</v>
      </c>
      <c r="Q569" s="48" t="s">
        <v>892</v>
      </c>
      <c r="R569" s="48"/>
      <c r="S569" s="48" t="s">
        <v>2442</v>
      </c>
      <c r="T569" s="48" t="s">
        <v>2443</v>
      </c>
      <c r="U569" s="48" t="s">
        <v>5954</v>
      </c>
      <c r="V569" s="48"/>
      <c r="W569" s="48"/>
      <c r="X569" s="48"/>
      <c r="Y569" s="48"/>
      <c r="Z569" s="61"/>
      <c r="AA569" s="129" t="s">
        <v>2215</v>
      </c>
      <c r="AB569" s="48" t="s">
        <v>273</v>
      </c>
      <c r="AC569" s="48" t="s">
        <v>273</v>
      </c>
      <c r="AD569" s="48" t="s">
        <v>273</v>
      </c>
      <c r="AE569" s="48" t="s">
        <v>273</v>
      </c>
      <c r="AF569" s="48" t="s">
        <v>273</v>
      </c>
      <c r="AG569" s="48" t="s">
        <v>273</v>
      </c>
      <c r="AH569" s="48" t="s">
        <v>273</v>
      </c>
      <c r="AI569" s="48" t="s">
        <v>273</v>
      </c>
      <c r="AJ569" s="48" t="s">
        <v>273</v>
      </c>
      <c r="AK569" s="48" t="s">
        <v>2216</v>
      </c>
      <c r="AL569" s="48" t="s">
        <v>273</v>
      </c>
      <c r="AM569" s="48" t="s">
        <v>273</v>
      </c>
      <c r="AN569" s="48" t="s">
        <v>273</v>
      </c>
      <c r="AO569" s="48" t="s">
        <v>273</v>
      </c>
      <c r="AP569" s="48" t="s">
        <v>273</v>
      </c>
      <c r="AQ569" s="48" t="s">
        <v>273</v>
      </c>
      <c r="AR569" s="48" t="s">
        <v>273</v>
      </c>
      <c r="AS569" s="48" t="s">
        <v>273</v>
      </c>
      <c r="AT569" s="48" t="s">
        <v>273</v>
      </c>
      <c r="AU569" s="93">
        <v>38777</v>
      </c>
      <c r="AV569" s="93" t="s">
        <v>5955</v>
      </c>
      <c r="AW569" s="93" t="s">
        <v>5956</v>
      </c>
      <c r="AX569" s="93" t="s">
        <v>5957</v>
      </c>
      <c r="AY569" s="93" t="s">
        <v>5958</v>
      </c>
    </row>
    <row r="570" spans="1:52" ht="16.5" customHeight="1" x14ac:dyDescent="0.15">
      <c r="A570" s="121" t="s">
        <v>5959</v>
      </c>
      <c r="B570" s="47" t="s">
        <v>5960</v>
      </c>
      <c r="C570" s="48" t="e">
        <f ca="1">INDIRECT("'["&amp;$C$1&amp;".xls]"&amp;$B570&amp;"'!$i$7")</f>
        <v>#REF!</v>
      </c>
      <c r="D570" s="62" t="e">
        <f ca="1">INDIRECT("'["&amp;$C$1&amp;".xls]"&amp;$B570&amp;"'!$b$7")</f>
        <v>#REF!</v>
      </c>
      <c r="E570" s="48" t="e">
        <f ca="1">IF(INDIRECT("'["&amp;$C$1&amp;".xls]"&amp;$B570&amp;"'!$i$2")="","",INDIRECT("'["&amp;$C$1&amp;".xls]"&amp;$B570&amp;"'!$i$2"))</f>
        <v>#REF!</v>
      </c>
      <c r="F570" s="61" t="e">
        <f ca="1">INDIRECT("'["&amp;$C$1&amp;".xls]"&amp;$B570&amp;"'!$b$2")</f>
        <v>#REF!</v>
      </c>
      <c r="G570" s="61" t="e">
        <f ca="1">INDIRECT("'["&amp;$C$1&amp;".xls]"&amp;$B570&amp;"'!$a$20")</f>
        <v>#REF!</v>
      </c>
      <c r="H570" s="88" t="e">
        <f ca="1">INDIRECT("'["&amp;$C$1&amp;".xls]"&amp;$B570&amp;"'!$Q$22")</f>
        <v>#REF!</v>
      </c>
      <c r="I570" s="61" t="e">
        <f ca="1">INDIRECT("'["&amp;$C$1&amp;".xls]"&amp;$B570&amp;"'!$f$6")</f>
        <v>#REF!</v>
      </c>
      <c r="J570" s="87"/>
      <c r="K570" s="62" t="e">
        <f ca="1">INDIRECT("'["&amp;$C$1&amp;".xls]"&amp;$B570&amp;"'!$f$25")</f>
        <v>#REF!</v>
      </c>
      <c r="L570" s="62"/>
      <c r="M570" s="62" t="e">
        <f ca="1">INDIRECT("'["&amp;$C$1&amp;".xls]"&amp;$B570&amp;"'!$f$4")</f>
        <v>#REF!</v>
      </c>
      <c r="N570" s="62" t="e">
        <f ca="1">INDIRECT("'["&amp;$C$1&amp;".xls]"&amp;$B570&amp;"'!$i$4")</f>
        <v>#REF!</v>
      </c>
      <c r="O570" s="48" t="e">
        <f ca="1">INDIRECT("'["&amp;$C$1&amp;".xls]"&amp;$B570&amp;"'!$l$4")</f>
        <v>#REF!</v>
      </c>
      <c r="P570" s="48" t="e">
        <f ca="1">INDIRECT("'["&amp;$C$1&amp;".xls]"&amp;$B570&amp;"'!$b$5")</f>
        <v>#REF!</v>
      </c>
      <c r="Q570" s="48" t="e">
        <f ca="1">INDIRECT("'["&amp;$C$1&amp;".xls]"&amp;$B570&amp;"'!$f$5")</f>
        <v>#REF!</v>
      </c>
      <c r="R570" s="48"/>
      <c r="S570" s="48" t="e">
        <f ca="1">INDIRECT("'["&amp;$C$1&amp;".xls]"&amp;$B570&amp;"'!$i$5")</f>
        <v>#REF!</v>
      </c>
      <c r="T570" s="48" t="e">
        <f ca="1">INDIRECT("'["&amp;$C$1&amp;".xls]"&amp;$B570&amp;"'!$l$5")</f>
        <v>#REF!</v>
      </c>
      <c r="U570" s="48" t="e">
        <f ca="1">INDIRECT("'["&amp;$C$1&amp;".xls]"&amp;$B570&amp;"'!$b$4")</f>
        <v>#REF!</v>
      </c>
      <c r="V570" s="48"/>
      <c r="W570" s="48"/>
      <c r="X570" s="48"/>
      <c r="Y570" s="48"/>
      <c r="Z570" s="61"/>
      <c r="AA570" s="48" t="e">
        <f ca="1">IF(INDIRECT("'["&amp;$C$1&amp;".xls]"&amp;$B570&amp;"'!$P$25")="","",IF(INDIRECT("'["&amp;$C$1&amp;".xls]"&amp;$B570&amp;"'!$O$25")="済み",INDIRECT("'["&amp;$C$1&amp;".xls]"&amp;$B570&amp;"'!$P$25"),""))</f>
        <v>#REF!</v>
      </c>
      <c r="AB570" s="48" t="e">
        <f ca="1">IF(INDIRECT("'["&amp;$C$1&amp;".xls]"&amp;$B570&amp;"'!$P$26")="","",IF(INDIRECT("'["&amp;$C$1&amp;".xls]"&amp;$B570&amp;"'!$O$26")="済み",INDIRECT("'["&amp;$C$1&amp;".xls]"&amp;$B570&amp;"'!$P$26"),""))</f>
        <v>#REF!</v>
      </c>
      <c r="AC570" s="48" t="e">
        <f ca="1">IF(INDIRECT("'["&amp;$C$1&amp;".xls]"&amp;$B570&amp;"'!$P$27")="","",IF(INDIRECT("'["&amp;$C$1&amp;".xls]"&amp;$B570&amp;"'!$O$27")="済み",INDIRECT("'["&amp;$C$1&amp;".xls]"&amp;$B570&amp;"'!$P$27"),""))</f>
        <v>#REF!</v>
      </c>
      <c r="AD570" s="48" t="e">
        <f ca="1">IF(INDIRECT("'["&amp;$C$1&amp;".xls]"&amp;$B570&amp;"'!$P$28")="","",IF(INDIRECT("'["&amp;$C$1&amp;".xls]"&amp;$B570&amp;"'!$O$28")="済み",INDIRECT("'["&amp;$C$1&amp;".xls]"&amp;$B570&amp;"'!$P$28"),""))</f>
        <v>#REF!</v>
      </c>
      <c r="AE570" s="48" t="e">
        <f ca="1">IF(INDIRECT("'["&amp;$C$1&amp;".xls]"&amp;$B570&amp;"'!$P$29")="","",IF(INDIRECT("'["&amp;$C$1&amp;".xls]"&amp;$B570&amp;"'!$O$29")="済み",INDIRECT("'["&amp;$C$1&amp;".xls]"&amp;$B570&amp;"'!$P$29"),""))</f>
        <v>#REF!</v>
      </c>
      <c r="AF570" s="48" t="e">
        <f ca="1">IF(INDIRECT("'["&amp;$C$1&amp;".xls]"&amp;$B570&amp;"'!$P$30")="","",IF(INDIRECT("'["&amp;$C$1&amp;".xls]"&amp;$B570&amp;"'!$O$30")="済み",INDIRECT("'["&amp;$C$1&amp;".xls]"&amp;$B570&amp;"'!$P$30"),""))</f>
        <v>#REF!</v>
      </c>
      <c r="AG570" s="48" t="e">
        <f ca="1">IF(INDIRECT("'["&amp;$C$1&amp;".xls]"&amp;$B570&amp;"'!$P$31")="","",IF(INDIRECT("'["&amp;$C$1&amp;".xls]"&amp;$B570&amp;"'!$O$31")="済み",INDIRECT("'["&amp;$C$1&amp;".xls]"&amp;$B570&amp;"'!$P$31"),""))</f>
        <v>#REF!</v>
      </c>
      <c r="AH570" s="48" t="e">
        <f ca="1">IF(INDIRECT("'["&amp;$C$1&amp;".xls]"&amp;$B570&amp;"'!$P$32")="","",IF(INDIRECT("'["&amp;$C$1&amp;".xls]"&amp;$B570&amp;"'!$O$32")="済み",INDIRECT("'["&amp;$C$1&amp;".xls]"&amp;$B570&amp;"'!$P$32"),""))</f>
        <v>#REF!</v>
      </c>
      <c r="AI570" s="48" t="e">
        <f ca="1">IF(INDIRECT("'["&amp;$C$1&amp;".xls]"&amp;$B570&amp;"'!$P$33")="","",IF(INDIRECT("'["&amp;$C$1&amp;".xls]"&amp;$B570&amp;"'!$O$33")="済み",INDIRECT("'["&amp;$C$1&amp;".xls]"&amp;$B570&amp;"'!$P$33"),""))</f>
        <v>#REF!</v>
      </c>
      <c r="AJ570" s="48" t="e">
        <f ca="1">IF(INDIRECT("'["&amp;$C$1&amp;".xls]"&amp;$B570&amp;"'!$P$34")="","",IF(INDIRECT("'["&amp;$C$1&amp;".xls]"&amp;$B570&amp;"'!$O$34")="済み",INDIRECT("'["&amp;$C$1&amp;".xls]"&amp;$B570&amp;"'!$P$34"),""))</f>
        <v>#REF!</v>
      </c>
      <c r="AK570" s="48" t="e">
        <f ca="1">IF(INDIRECT("'["&amp;$C$1&amp;".xls]"&amp;$B570&amp;"'!$T25")="","",IF(INDIRECT("'["&amp;$C$1&amp;".xls]"&amp;$B570&amp;"'!$O$25")="済み",INDIRECT("'["&amp;$C$1&amp;".xls]"&amp;$B570&amp;"'!$T$25"),""))</f>
        <v>#REF!</v>
      </c>
      <c r="AL570" s="48" t="e">
        <f ca="1">IF(INDIRECT("'["&amp;$C$1&amp;".xls]"&amp;$B570&amp;"'!$T26")="","",IF(INDIRECT("'["&amp;$C$1&amp;".xls]"&amp;$B570&amp;"'!$O$26")="済み",INDIRECT("'["&amp;$C$1&amp;".xls]"&amp;$B570&amp;"'!$T$26"),""))</f>
        <v>#REF!</v>
      </c>
      <c r="AM570" s="48" t="e">
        <f ca="1">IF(INDIRECT("'["&amp;$C$1&amp;".xls]"&amp;$B570&amp;"'!$T27")="","",IF(INDIRECT("'["&amp;$C$1&amp;".xls]"&amp;$B570&amp;"'!$O$27")="済み",INDIRECT("'["&amp;$C$1&amp;".xls]"&amp;$B570&amp;"'!$T$27"),""))</f>
        <v>#REF!</v>
      </c>
      <c r="AN570" s="48" t="e">
        <f ca="1">IF(INDIRECT("'["&amp;$C$1&amp;".xls]"&amp;$B570&amp;"'!$T28")="","",IF(INDIRECT("'["&amp;$C$1&amp;".xls]"&amp;$B570&amp;"'!$O$28")="済み",INDIRECT("'["&amp;$C$1&amp;".xls]"&amp;$B570&amp;"'!$T$28"),""))</f>
        <v>#REF!</v>
      </c>
      <c r="AO570" s="48" t="e">
        <f ca="1">IF(INDIRECT("'["&amp;$C$1&amp;".xls]"&amp;$B570&amp;"'!$T29")="","",IF(INDIRECT("'["&amp;$C$1&amp;".xls]"&amp;$B570&amp;"'!$O$29")="済み",INDIRECT("'["&amp;$C$1&amp;".xls]"&amp;$B570&amp;"'!$T$29"),""))</f>
        <v>#REF!</v>
      </c>
      <c r="AP570" s="48" t="e">
        <f ca="1">IF(INDIRECT("'["&amp;$C$1&amp;".xls]"&amp;$B570&amp;"'!$T30")="","",IF(INDIRECT("'["&amp;$C$1&amp;".xls]"&amp;$B570&amp;"'!$O$30")="済み",INDIRECT("'["&amp;$C$1&amp;".xls]"&amp;$B570&amp;"'!$T$30"),""))</f>
        <v>#REF!</v>
      </c>
      <c r="AQ570" s="48" t="e">
        <f ca="1">IF(INDIRECT("'["&amp;$C$1&amp;".xls]"&amp;$B570&amp;"'!$T31")="","",IF(INDIRECT("'["&amp;$C$1&amp;".xls]"&amp;$B570&amp;"'!$O$31")="済み",INDIRECT("'["&amp;$C$1&amp;".xls]"&amp;$B570&amp;"'!$T$31"),""))</f>
        <v>#REF!</v>
      </c>
      <c r="AR570" s="48" t="e">
        <f ca="1">IF(INDIRECT("'["&amp;$C$1&amp;".xls]"&amp;$B570&amp;"'!$T32")="","",IF(INDIRECT("'["&amp;$C$1&amp;".xls]"&amp;$B570&amp;"'!$O$32")="済み",INDIRECT("'["&amp;$C$1&amp;".xls]"&amp;$B570&amp;"'!$T$32"),""))</f>
        <v>#REF!</v>
      </c>
      <c r="AS570" s="48" t="e">
        <f ca="1">IF(INDIRECT("'["&amp;$C$1&amp;".xls]"&amp;$B570&amp;"'!$T33")="","",IF(INDIRECT("'["&amp;$C$1&amp;".xls]"&amp;$B570&amp;"'!$O$33")="済み",INDIRECT("'["&amp;$C$1&amp;".xls]"&amp;$B570&amp;"'!$T$33"),""))</f>
        <v>#REF!</v>
      </c>
      <c r="AT570" s="48" t="e">
        <f ca="1">IF(INDIRECT("'["&amp;$C$1&amp;".xls]"&amp;$B570&amp;"'!$T34")="","",IF(INDIRECT("'["&amp;$C$1&amp;".xls]"&amp;$B570&amp;"'!$O$34")="済み",INDIRECT("'["&amp;$C$1&amp;".xls]"&amp;$B570&amp;"'!$T$34"),""))</f>
        <v>#REF!</v>
      </c>
      <c r="AU570" s="93" t="e">
        <f ca="1">INDIRECT("'["&amp;$C$1&amp;".xls]"&amp;$B570&amp;"'!$B$6")</f>
        <v>#REF!</v>
      </c>
      <c r="AV570" s="93" t="e">
        <f ca="1">INDIRECT("'["&amp;$C$1&amp;".xls]"&amp;$B570&amp;"'!$Y$22")</f>
        <v>#REF!</v>
      </c>
      <c r="AW570" s="93" t="e">
        <f ca="1">INDIRECT("'["&amp;$C$1&amp;".xls]"&amp;$B570&amp;"'!$Y$24")</f>
        <v>#REF!</v>
      </c>
      <c r="AX570" s="93" t="e">
        <f ca="1">INDIRECT("'["&amp;$C$1&amp;".xls]"&amp;$B570&amp;"'!$Y$26")</f>
        <v>#REF!</v>
      </c>
      <c r="AY570" s="93" t="e">
        <f ca="1">INDIRECT("'["&amp;$C$1&amp;".xls]"&amp;$B570&amp;"'!$Y$28")</f>
        <v>#REF!</v>
      </c>
    </row>
    <row r="571" spans="1:52" ht="16.5" customHeight="1" x14ac:dyDescent="0.15">
      <c r="A571" s="153" t="s">
        <v>5961</v>
      </c>
      <c r="B571" s="154" t="s">
        <v>5962</v>
      </c>
      <c r="C571" s="48" t="s">
        <v>5963</v>
      </c>
      <c r="D571" s="62" t="s">
        <v>5964</v>
      </c>
      <c r="E571" s="48" t="s">
        <v>264</v>
      </c>
      <c r="F571" s="61">
        <v>42597</v>
      </c>
      <c r="G571" s="61">
        <v>0</v>
      </c>
      <c r="H571" s="125">
        <v>42611</v>
      </c>
      <c r="I571" s="61">
        <v>0</v>
      </c>
      <c r="J571" s="87"/>
      <c r="K571" s="62" t="s">
        <v>2506</v>
      </c>
      <c r="L571" s="62">
        <v>3</v>
      </c>
      <c r="M571" s="62" t="s">
        <v>2437</v>
      </c>
      <c r="N571" s="62" t="s">
        <v>5965</v>
      </c>
      <c r="O571" s="48" t="s">
        <v>1249</v>
      </c>
      <c r="P571" s="48" t="s">
        <v>267</v>
      </c>
      <c r="Q571" s="48" t="s">
        <v>3159</v>
      </c>
      <c r="R571" s="48" t="s">
        <v>1948</v>
      </c>
      <c r="S571" s="48" t="s">
        <v>1949</v>
      </c>
      <c r="T571" s="48" t="s">
        <v>1950</v>
      </c>
      <c r="U571" s="48" t="s">
        <v>5966</v>
      </c>
      <c r="V571" s="122" t="s">
        <v>263</v>
      </c>
      <c r="W571" s="48" t="s">
        <v>5967</v>
      </c>
      <c r="X571" s="48" t="s">
        <v>3869</v>
      </c>
      <c r="Y571" s="48" t="s">
        <v>3870</v>
      </c>
      <c r="Z571" s="61"/>
      <c r="AA571" s="48" t="s">
        <v>5846</v>
      </c>
      <c r="AB571" s="48" t="s">
        <v>273</v>
      </c>
      <c r="AC571" s="48" t="s">
        <v>273</v>
      </c>
      <c r="AD571" s="48" t="s">
        <v>273</v>
      </c>
      <c r="AE571" s="48" t="s">
        <v>273</v>
      </c>
      <c r="AF571" s="48" t="s">
        <v>273</v>
      </c>
      <c r="AG571" s="48" t="s">
        <v>273</v>
      </c>
      <c r="AH571" s="48" t="s">
        <v>273</v>
      </c>
      <c r="AI571" s="48" t="s">
        <v>273</v>
      </c>
      <c r="AJ571" s="48" t="s">
        <v>273</v>
      </c>
      <c r="AK571" s="48" t="s">
        <v>2450</v>
      </c>
      <c r="AL571" s="48" t="s">
        <v>273</v>
      </c>
      <c r="AM571" s="48" t="s">
        <v>273</v>
      </c>
      <c r="AN571" s="48" t="s">
        <v>273</v>
      </c>
      <c r="AO571" s="48" t="s">
        <v>273</v>
      </c>
      <c r="AP571" s="48" t="s">
        <v>273</v>
      </c>
      <c r="AQ571" s="48" t="s">
        <v>273</v>
      </c>
      <c r="AR571" s="48" t="s">
        <v>273</v>
      </c>
      <c r="AS571" s="48" t="s">
        <v>273</v>
      </c>
      <c r="AT571" s="48" t="s">
        <v>273</v>
      </c>
      <c r="AU571" s="93">
        <v>0</v>
      </c>
      <c r="AV571" s="93" t="s">
        <v>5968</v>
      </c>
      <c r="AW571" s="93" t="s">
        <v>5969</v>
      </c>
      <c r="AX571" s="93" t="s">
        <v>5970</v>
      </c>
      <c r="AY571" s="93" t="s">
        <v>5971</v>
      </c>
    </row>
    <row r="572" spans="1:52" ht="16.5" customHeight="1" x14ac:dyDescent="0.15">
      <c r="A572" s="153" t="s">
        <v>5972</v>
      </c>
      <c r="B572" s="154" t="s">
        <v>5973</v>
      </c>
      <c r="C572" s="48" t="s">
        <v>5974</v>
      </c>
      <c r="D572" s="62" t="s">
        <v>5975</v>
      </c>
      <c r="E572" s="48" t="s">
        <v>264</v>
      </c>
      <c r="F572" s="61">
        <v>42599</v>
      </c>
      <c r="G572" s="61">
        <v>0</v>
      </c>
      <c r="H572" s="125">
        <v>42606</v>
      </c>
      <c r="I572" s="61" t="s">
        <v>279</v>
      </c>
      <c r="J572" s="87"/>
      <c r="K572" s="62" t="s">
        <v>16</v>
      </c>
      <c r="L572" s="62">
        <v>3</v>
      </c>
      <c r="M572" s="62" t="s">
        <v>651</v>
      </c>
      <c r="N572" s="62" t="s">
        <v>1179</v>
      </c>
      <c r="O572" s="48" t="s">
        <v>653</v>
      </c>
      <c r="P572" s="48" t="s">
        <v>1180</v>
      </c>
      <c r="Q572" s="48" t="s">
        <v>735</v>
      </c>
      <c r="R572" s="48" t="s">
        <v>1182</v>
      </c>
      <c r="S572" s="48" t="s">
        <v>1183</v>
      </c>
      <c r="T572" s="48" t="s">
        <v>1184</v>
      </c>
      <c r="U572" s="48" t="s">
        <v>1185</v>
      </c>
      <c r="V572" s="122" t="s">
        <v>263</v>
      </c>
      <c r="W572" s="122" t="s">
        <v>263</v>
      </c>
      <c r="X572" s="48" t="s">
        <v>5976</v>
      </c>
      <c r="Y572" s="48" t="s">
        <v>1187</v>
      </c>
      <c r="Z572" s="61"/>
      <c r="AA572" s="48" t="s">
        <v>1074</v>
      </c>
      <c r="AB572" s="48" t="s">
        <v>273</v>
      </c>
      <c r="AC572" s="48" t="s">
        <v>273</v>
      </c>
      <c r="AD572" s="48" t="s">
        <v>273</v>
      </c>
      <c r="AE572" s="48" t="s">
        <v>273</v>
      </c>
      <c r="AF572" s="48" t="s">
        <v>273</v>
      </c>
      <c r="AG572" s="48" t="s">
        <v>273</v>
      </c>
      <c r="AH572" s="48" t="s">
        <v>273</v>
      </c>
      <c r="AI572" s="48" t="s">
        <v>273</v>
      </c>
      <c r="AJ572" s="48" t="s">
        <v>273</v>
      </c>
      <c r="AK572" s="48" t="s">
        <v>1075</v>
      </c>
      <c r="AL572" s="48" t="s">
        <v>273</v>
      </c>
      <c r="AM572" s="48" t="s">
        <v>273</v>
      </c>
      <c r="AN572" s="48" t="s">
        <v>273</v>
      </c>
      <c r="AO572" s="48" t="s">
        <v>273</v>
      </c>
      <c r="AP572" s="48" t="s">
        <v>273</v>
      </c>
      <c r="AQ572" s="48" t="s">
        <v>273</v>
      </c>
      <c r="AR572" s="48" t="s">
        <v>273</v>
      </c>
      <c r="AS572" s="48" t="s">
        <v>273</v>
      </c>
      <c r="AT572" s="48" t="s">
        <v>273</v>
      </c>
      <c r="AU572" s="93">
        <v>41640</v>
      </c>
      <c r="AV572" s="93" t="s">
        <v>5977</v>
      </c>
      <c r="AW572" s="93" t="s">
        <v>5978</v>
      </c>
      <c r="AX572" s="93" t="s">
        <v>5979</v>
      </c>
      <c r="AY572" s="93" t="s">
        <v>5312</v>
      </c>
    </row>
    <row r="573" spans="1:52" ht="16.5" customHeight="1" x14ac:dyDescent="0.15">
      <c r="A573" s="121" t="s">
        <v>5980</v>
      </c>
      <c r="B573" s="47" t="s">
        <v>5981</v>
      </c>
      <c r="C573" s="48" t="e">
        <f ca="1">INDIRECT("'["&amp;$C$1&amp;".xls]"&amp;$B573&amp;"'!$i$7")</f>
        <v>#REF!</v>
      </c>
      <c r="D573" s="62" t="e">
        <f ca="1">INDIRECT("'["&amp;$C$1&amp;".xls]"&amp;$B573&amp;"'!$b$7")</f>
        <v>#REF!</v>
      </c>
      <c r="E573" s="48" t="e">
        <f ca="1">IF(INDIRECT("'["&amp;$C$1&amp;".xls]"&amp;$B573&amp;"'!$i$2")="","",INDIRECT("'["&amp;$C$1&amp;".xls]"&amp;$B573&amp;"'!$i$2"))</f>
        <v>#REF!</v>
      </c>
      <c r="F573" s="61" t="e">
        <f ca="1">INDIRECT("'["&amp;$C$1&amp;".xls]"&amp;$B573&amp;"'!$b$2")</f>
        <v>#REF!</v>
      </c>
      <c r="G573" s="61" t="e">
        <f ca="1">INDIRECT("'["&amp;$C$1&amp;".xls]"&amp;$B573&amp;"'!$a$20")</f>
        <v>#REF!</v>
      </c>
      <c r="H573" s="88" t="e">
        <f ca="1">INDIRECT("'["&amp;$C$1&amp;".xls]"&amp;$B573&amp;"'!$Q$22")</f>
        <v>#REF!</v>
      </c>
      <c r="I573" s="61" t="e">
        <f ca="1">INDIRECT("'["&amp;$C$1&amp;".xls]"&amp;$B573&amp;"'!$f$6")</f>
        <v>#REF!</v>
      </c>
      <c r="J573" s="87"/>
      <c r="K573" s="62" t="e">
        <f ca="1">INDIRECT("'["&amp;$C$1&amp;".xls]"&amp;$B573&amp;"'!$f$25")</f>
        <v>#REF!</v>
      </c>
      <c r="L573" s="62"/>
      <c r="M573" s="62" t="e">
        <f ca="1">INDIRECT("'["&amp;$C$1&amp;".xls]"&amp;$B573&amp;"'!$f$4")</f>
        <v>#REF!</v>
      </c>
      <c r="N573" s="62" t="e">
        <f ca="1">INDIRECT("'["&amp;$C$1&amp;".xls]"&amp;$B573&amp;"'!$i$4")</f>
        <v>#REF!</v>
      </c>
      <c r="O573" s="48" t="e">
        <f ca="1">INDIRECT("'["&amp;$C$1&amp;".xls]"&amp;$B573&amp;"'!$l$4")</f>
        <v>#REF!</v>
      </c>
      <c r="P573" s="48" t="e">
        <f ca="1">INDIRECT("'["&amp;$C$1&amp;".xls]"&amp;$B573&amp;"'!$b$5")</f>
        <v>#REF!</v>
      </c>
      <c r="Q573" s="48" t="e">
        <f ca="1">INDIRECT("'["&amp;$C$1&amp;".xls]"&amp;$B573&amp;"'!$f$5")</f>
        <v>#REF!</v>
      </c>
      <c r="R573" s="48"/>
      <c r="S573" s="48" t="e">
        <f ca="1">INDIRECT("'["&amp;$C$1&amp;".xls]"&amp;$B573&amp;"'!$i$5")</f>
        <v>#REF!</v>
      </c>
      <c r="T573" s="48" t="e">
        <f ca="1">INDIRECT("'["&amp;$C$1&amp;".xls]"&amp;$B573&amp;"'!$l$5")</f>
        <v>#REF!</v>
      </c>
      <c r="U573" s="48" t="e">
        <f ca="1">INDIRECT("'["&amp;$C$1&amp;".xls]"&amp;$B573&amp;"'!$b$4")</f>
        <v>#REF!</v>
      </c>
      <c r="V573" s="48"/>
      <c r="W573" s="48"/>
      <c r="X573" s="48"/>
      <c r="Y573" s="48"/>
      <c r="Z573" s="61"/>
      <c r="AA573" s="48" t="e">
        <f ca="1">IF(INDIRECT("'["&amp;$C$1&amp;".xls]"&amp;$B573&amp;"'!$P$25")="","",IF(INDIRECT("'["&amp;$C$1&amp;".xls]"&amp;$B573&amp;"'!$O$25")="済み",INDIRECT("'["&amp;$C$1&amp;".xls]"&amp;$B573&amp;"'!$P$25"),""))</f>
        <v>#REF!</v>
      </c>
      <c r="AB573" s="48" t="e">
        <f ca="1">IF(INDIRECT("'["&amp;$C$1&amp;".xls]"&amp;$B573&amp;"'!$P$26")="","",IF(INDIRECT("'["&amp;$C$1&amp;".xls]"&amp;$B573&amp;"'!$O$26")="済み",INDIRECT("'["&amp;$C$1&amp;".xls]"&amp;$B573&amp;"'!$P$26"),""))</f>
        <v>#REF!</v>
      </c>
      <c r="AC573" s="48" t="e">
        <f ca="1">IF(INDIRECT("'["&amp;$C$1&amp;".xls]"&amp;$B573&amp;"'!$P$27")="","",IF(INDIRECT("'["&amp;$C$1&amp;".xls]"&amp;$B573&amp;"'!$O$27")="済み",INDIRECT("'["&amp;$C$1&amp;".xls]"&amp;$B573&amp;"'!$P$27"),""))</f>
        <v>#REF!</v>
      </c>
      <c r="AD573" s="48" t="e">
        <f ca="1">IF(INDIRECT("'["&amp;$C$1&amp;".xls]"&amp;$B573&amp;"'!$P$28")="","",IF(INDIRECT("'["&amp;$C$1&amp;".xls]"&amp;$B573&amp;"'!$O$28")="済み",INDIRECT("'["&amp;$C$1&amp;".xls]"&amp;$B573&amp;"'!$P$28"),""))</f>
        <v>#REF!</v>
      </c>
      <c r="AE573" s="48" t="e">
        <f ca="1">IF(INDIRECT("'["&amp;$C$1&amp;".xls]"&amp;$B573&amp;"'!$P$29")="","",IF(INDIRECT("'["&amp;$C$1&amp;".xls]"&amp;$B573&amp;"'!$O$29")="済み",INDIRECT("'["&amp;$C$1&amp;".xls]"&amp;$B573&amp;"'!$P$29"),""))</f>
        <v>#REF!</v>
      </c>
      <c r="AF573" s="48" t="e">
        <f ca="1">IF(INDIRECT("'["&amp;$C$1&amp;".xls]"&amp;$B573&amp;"'!$P$30")="","",IF(INDIRECT("'["&amp;$C$1&amp;".xls]"&amp;$B573&amp;"'!$O$30")="済み",INDIRECT("'["&amp;$C$1&amp;".xls]"&amp;$B573&amp;"'!$P$30"),""))</f>
        <v>#REF!</v>
      </c>
      <c r="AG573" s="48" t="e">
        <f ca="1">IF(INDIRECT("'["&amp;$C$1&amp;".xls]"&amp;$B573&amp;"'!$P$31")="","",IF(INDIRECT("'["&amp;$C$1&amp;".xls]"&amp;$B573&amp;"'!$O$31")="済み",INDIRECT("'["&amp;$C$1&amp;".xls]"&amp;$B573&amp;"'!$P$31"),""))</f>
        <v>#REF!</v>
      </c>
      <c r="AH573" s="48" t="e">
        <f ca="1">IF(INDIRECT("'["&amp;$C$1&amp;".xls]"&amp;$B573&amp;"'!$P$32")="","",IF(INDIRECT("'["&amp;$C$1&amp;".xls]"&amp;$B573&amp;"'!$O$32")="済み",INDIRECT("'["&amp;$C$1&amp;".xls]"&amp;$B573&amp;"'!$P$32"),""))</f>
        <v>#REF!</v>
      </c>
      <c r="AI573" s="48" t="e">
        <f ca="1">IF(INDIRECT("'["&amp;$C$1&amp;".xls]"&amp;$B573&amp;"'!$P$33")="","",IF(INDIRECT("'["&amp;$C$1&amp;".xls]"&amp;$B573&amp;"'!$O$33")="済み",INDIRECT("'["&amp;$C$1&amp;".xls]"&amp;$B573&amp;"'!$P$33"),""))</f>
        <v>#REF!</v>
      </c>
      <c r="AJ573" s="48" t="e">
        <f ca="1">IF(INDIRECT("'["&amp;$C$1&amp;".xls]"&amp;$B573&amp;"'!$P$34")="","",IF(INDIRECT("'["&amp;$C$1&amp;".xls]"&amp;$B573&amp;"'!$O$34")="済み",INDIRECT("'["&amp;$C$1&amp;".xls]"&amp;$B573&amp;"'!$P$34"),""))</f>
        <v>#REF!</v>
      </c>
      <c r="AK573" s="48" t="e">
        <f ca="1">IF(INDIRECT("'["&amp;$C$1&amp;".xls]"&amp;$B573&amp;"'!$T25")="","",IF(INDIRECT("'["&amp;$C$1&amp;".xls]"&amp;$B573&amp;"'!$O$25")="済み",INDIRECT("'["&amp;$C$1&amp;".xls]"&amp;$B573&amp;"'!$T$25"),""))</f>
        <v>#REF!</v>
      </c>
      <c r="AL573" s="48" t="e">
        <f ca="1">IF(INDIRECT("'["&amp;$C$1&amp;".xls]"&amp;$B573&amp;"'!$T26")="","",IF(INDIRECT("'["&amp;$C$1&amp;".xls]"&amp;$B573&amp;"'!$O$26")="済み",INDIRECT("'["&amp;$C$1&amp;".xls]"&amp;$B573&amp;"'!$T$26"),""))</f>
        <v>#REF!</v>
      </c>
      <c r="AM573" s="48" t="e">
        <f ca="1">IF(INDIRECT("'["&amp;$C$1&amp;".xls]"&amp;$B573&amp;"'!$T27")="","",IF(INDIRECT("'["&amp;$C$1&amp;".xls]"&amp;$B573&amp;"'!$O$27")="済み",INDIRECT("'["&amp;$C$1&amp;".xls]"&amp;$B573&amp;"'!$T$27"),""))</f>
        <v>#REF!</v>
      </c>
      <c r="AN573" s="48" t="e">
        <f ca="1">IF(INDIRECT("'["&amp;$C$1&amp;".xls]"&amp;$B573&amp;"'!$T28")="","",IF(INDIRECT("'["&amp;$C$1&amp;".xls]"&amp;$B573&amp;"'!$O$28")="済み",INDIRECT("'["&amp;$C$1&amp;".xls]"&amp;$B573&amp;"'!$T$28"),""))</f>
        <v>#REF!</v>
      </c>
      <c r="AO573" s="48" t="e">
        <f ca="1">IF(INDIRECT("'["&amp;$C$1&amp;".xls]"&amp;$B573&amp;"'!$T29")="","",IF(INDIRECT("'["&amp;$C$1&amp;".xls]"&amp;$B573&amp;"'!$O$29")="済み",INDIRECT("'["&amp;$C$1&amp;".xls]"&amp;$B573&amp;"'!$T$29"),""))</f>
        <v>#REF!</v>
      </c>
      <c r="AP573" s="48" t="e">
        <f ca="1">IF(INDIRECT("'["&amp;$C$1&amp;".xls]"&amp;$B573&amp;"'!$T30")="","",IF(INDIRECT("'["&amp;$C$1&amp;".xls]"&amp;$B573&amp;"'!$O$30")="済み",INDIRECT("'["&amp;$C$1&amp;".xls]"&amp;$B573&amp;"'!$T$30"),""))</f>
        <v>#REF!</v>
      </c>
      <c r="AQ573" s="48" t="e">
        <f ca="1">IF(INDIRECT("'["&amp;$C$1&amp;".xls]"&amp;$B573&amp;"'!$T31")="","",IF(INDIRECT("'["&amp;$C$1&amp;".xls]"&amp;$B573&amp;"'!$O$31")="済み",INDIRECT("'["&amp;$C$1&amp;".xls]"&amp;$B573&amp;"'!$T$31"),""))</f>
        <v>#REF!</v>
      </c>
      <c r="AR573" s="48" t="e">
        <f ca="1">IF(INDIRECT("'["&amp;$C$1&amp;".xls]"&amp;$B573&amp;"'!$T32")="","",IF(INDIRECT("'["&amp;$C$1&amp;".xls]"&amp;$B573&amp;"'!$O$32")="済み",INDIRECT("'["&amp;$C$1&amp;".xls]"&amp;$B573&amp;"'!$T$32"),""))</f>
        <v>#REF!</v>
      </c>
      <c r="AS573" s="48" t="e">
        <f ca="1">IF(INDIRECT("'["&amp;$C$1&amp;".xls]"&amp;$B573&amp;"'!$T33")="","",IF(INDIRECT("'["&amp;$C$1&amp;".xls]"&amp;$B573&amp;"'!$O$33")="済み",INDIRECT("'["&amp;$C$1&amp;".xls]"&amp;$B573&amp;"'!$T$33"),""))</f>
        <v>#REF!</v>
      </c>
      <c r="AT573" s="48" t="e">
        <f ca="1">IF(INDIRECT("'["&amp;$C$1&amp;".xls]"&amp;$B573&amp;"'!$T34")="","",IF(INDIRECT("'["&amp;$C$1&amp;".xls]"&amp;$B573&amp;"'!$O$34")="済み",INDIRECT("'["&amp;$C$1&amp;".xls]"&amp;$B573&amp;"'!$T$34"),""))</f>
        <v>#REF!</v>
      </c>
      <c r="AU573" s="93" t="e">
        <f ca="1">INDIRECT("'["&amp;$C$1&amp;".xls]"&amp;$B573&amp;"'!$B$6")</f>
        <v>#REF!</v>
      </c>
      <c r="AV573" s="93" t="e">
        <f ca="1">INDIRECT("'["&amp;$C$1&amp;".xls]"&amp;$B573&amp;"'!$Y$22")</f>
        <v>#REF!</v>
      </c>
      <c r="AW573" s="93" t="e">
        <f ca="1">INDIRECT("'["&amp;$C$1&amp;".xls]"&amp;$B573&amp;"'!$Y$24")</f>
        <v>#REF!</v>
      </c>
      <c r="AX573" s="93" t="e">
        <f ca="1">INDIRECT("'["&amp;$C$1&amp;".xls]"&amp;$B573&amp;"'!$Y$26")</f>
        <v>#REF!</v>
      </c>
      <c r="AY573" s="93" t="e">
        <f ca="1">INDIRECT("'["&amp;$C$1&amp;".xls]"&amp;$B573&amp;"'!$Y$28")</f>
        <v>#REF!</v>
      </c>
    </row>
    <row r="574" spans="1:52" ht="16.5" customHeight="1" x14ac:dyDescent="0.15">
      <c r="A574" s="211" t="s">
        <v>5982</v>
      </c>
      <c r="B574" s="47" t="s">
        <v>5983</v>
      </c>
      <c r="C574" s="48" t="e">
        <f ca="1">INDIRECT("'["&amp;$C$1&amp;".xls]"&amp;$B574&amp;"'!$i$7")</f>
        <v>#REF!</v>
      </c>
      <c r="D574" s="62" t="e">
        <f ca="1">INDIRECT("'["&amp;$C$1&amp;".xls]"&amp;$B574&amp;"'!$b$7")</f>
        <v>#REF!</v>
      </c>
      <c r="E574" s="48" t="e">
        <f ca="1">IF(INDIRECT("'["&amp;$C$1&amp;".xls]"&amp;$B574&amp;"'!$i$2")="","",INDIRECT("'["&amp;$C$1&amp;".xls]"&amp;$B574&amp;"'!$i$2"))</f>
        <v>#REF!</v>
      </c>
      <c r="F574" s="61" t="e">
        <f ca="1">INDIRECT("'["&amp;$C$1&amp;".xls]"&amp;$B574&amp;"'!$b$2")</f>
        <v>#REF!</v>
      </c>
      <c r="G574" s="61" t="e">
        <f ca="1">INDIRECT("'["&amp;$C$1&amp;".xls]"&amp;$B574&amp;"'!$a$20")</f>
        <v>#REF!</v>
      </c>
      <c r="H574" s="88" t="e">
        <f ca="1">INDIRECT("'["&amp;$C$1&amp;".xls]"&amp;$B574&amp;"'!$Q$22")</f>
        <v>#REF!</v>
      </c>
      <c r="I574" s="61" t="e">
        <f ca="1">INDIRECT("'["&amp;$C$1&amp;".xls]"&amp;$B574&amp;"'!$f$6")</f>
        <v>#REF!</v>
      </c>
      <c r="J574" s="87"/>
      <c r="K574" s="62" t="s">
        <v>2506</v>
      </c>
      <c r="L574" s="62">
        <v>3</v>
      </c>
      <c r="M574" s="62" t="e">
        <f ca="1">INDIRECT("'["&amp;$C$1&amp;".xls]"&amp;$B574&amp;"'!$f$4")</f>
        <v>#REF!</v>
      </c>
      <c r="N574" s="62" t="e">
        <f ca="1">INDIRECT("'["&amp;$C$1&amp;".xls]"&amp;$B574&amp;"'!$i$4")</f>
        <v>#REF!</v>
      </c>
      <c r="O574" s="48" t="e">
        <f ca="1">INDIRECT("'["&amp;$C$1&amp;".xls]"&amp;$B574&amp;"'!$l$4")</f>
        <v>#REF!</v>
      </c>
      <c r="P574" s="48" t="e">
        <f ca="1">INDIRECT("'["&amp;$C$1&amp;".xls]"&amp;$B574&amp;"'!$b$5")</f>
        <v>#REF!</v>
      </c>
      <c r="Q574" s="48" t="e">
        <f ca="1">INDIRECT("'["&amp;$C$1&amp;".xls]"&amp;$B574&amp;"'!$f$5")</f>
        <v>#REF!</v>
      </c>
      <c r="R574" s="48" t="s">
        <v>5984</v>
      </c>
      <c r="S574" s="48" t="e">
        <f ca="1">INDIRECT("'["&amp;$C$1&amp;".xls]"&amp;$B574&amp;"'!$i$5")</f>
        <v>#REF!</v>
      </c>
      <c r="T574" s="48" t="e">
        <f ca="1">INDIRECT("'["&amp;$C$1&amp;".xls]"&amp;$B574&amp;"'!$l$5")</f>
        <v>#REF!</v>
      </c>
      <c r="U574" s="48" t="e">
        <f ca="1">INDIRECT("'["&amp;$C$1&amp;".xls]"&amp;$B574&amp;"'!$b$4")</f>
        <v>#REF!</v>
      </c>
      <c r="V574" s="48" t="s">
        <v>5985</v>
      </c>
      <c r="W574" s="48" t="s">
        <v>5986</v>
      </c>
      <c r="X574" s="48" t="s">
        <v>5987</v>
      </c>
      <c r="Y574" s="48" t="s">
        <v>5988</v>
      </c>
      <c r="Z574" s="61"/>
      <c r="AA574" s="48" t="e">
        <f ca="1">IF(INDIRECT("'["&amp;$C$1&amp;".xls]"&amp;$B574&amp;"'!$P$25")="","",IF(INDIRECT("'["&amp;$C$1&amp;".xls]"&amp;$B574&amp;"'!$O$25")="済み",INDIRECT("'["&amp;$C$1&amp;".xls]"&amp;$B574&amp;"'!$P$25"),""))</f>
        <v>#REF!</v>
      </c>
      <c r="AB574" s="48" t="e">
        <f ca="1">IF(INDIRECT("'["&amp;$C$1&amp;".xls]"&amp;$B574&amp;"'!$P$26")="","",IF(INDIRECT("'["&amp;$C$1&amp;".xls]"&amp;$B574&amp;"'!$O$26")="済み",INDIRECT("'["&amp;$C$1&amp;".xls]"&amp;$B574&amp;"'!$P$26"),""))</f>
        <v>#REF!</v>
      </c>
      <c r="AC574" s="48" t="e">
        <f ca="1">IF(INDIRECT("'["&amp;$C$1&amp;".xls]"&amp;$B574&amp;"'!$P$27")="","",IF(INDIRECT("'["&amp;$C$1&amp;".xls]"&amp;$B574&amp;"'!$O$27")="済み",INDIRECT("'["&amp;$C$1&amp;".xls]"&amp;$B574&amp;"'!$P$27"),""))</f>
        <v>#REF!</v>
      </c>
      <c r="AD574" s="48" t="e">
        <f ca="1">IF(INDIRECT("'["&amp;$C$1&amp;".xls]"&amp;$B574&amp;"'!$P$28")="","",IF(INDIRECT("'["&amp;$C$1&amp;".xls]"&amp;$B574&amp;"'!$O$28")="済み",INDIRECT("'["&amp;$C$1&amp;".xls]"&amp;$B574&amp;"'!$P$28"),""))</f>
        <v>#REF!</v>
      </c>
      <c r="AE574" s="48" t="e">
        <f ca="1">IF(INDIRECT("'["&amp;$C$1&amp;".xls]"&amp;$B574&amp;"'!$P$29")="","",IF(INDIRECT("'["&amp;$C$1&amp;".xls]"&amp;$B574&amp;"'!$O$29")="済み",INDIRECT("'["&amp;$C$1&amp;".xls]"&amp;$B574&amp;"'!$P$29"),""))</f>
        <v>#REF!</v>
      </c>
      <c r="AF574" s="48" t="e">
        <f ca="1">IF(INDIRECT("'["&amp;$C$1&amp;".xls]"&amp;$B574&amp;"'!$P$30")="","",IF(INDIRECT("'["&amp;$C$1&amp;".xls]"&amp;$B574&amp;"'!$O$30")="済み",INDIRECT("'["&amp;$C$1&amp;".xls]"&amp;$B574&amp;"'!$P$30"),""))</f>
        <v>#REF!</v>
      </c>
      <c r="AG574" s="48" t="e">
        <f ca="1">IF(INDIRECT("'["&amp;$C$1&amp;".xls]"&amp;$B574&amp;"'!$P$31")="","",IF(INDIRECT("'["&amp;$C$1&amp;".xls]"&amp;$B574&amp;"'!$O$31")="済み",INDIRECT("'["&amp;$C$1&amp;".xls]"&amp;$B574&amp;"'!$P$31"),""))</f>
        <v>#REF!</v>
      </c>
      <c r="AH574" s="48" t="e">
        <f ca="1">IF(INDIRECT("'["&amp;$C$1&amp;".xls]"&amp;$B574&amp;"'!$P$32")="","",IF(INDIRECT("'["&amp;$C$1&amp;".xls]"&amp;$B574&amp;"'!$O$32")="済み",INDIRECT("'["&amp;$C$1&amp;".xls]"&amp;$B574&amp;"'!$P$32"),""))</f>
        <v>#REF!</v>
      </c>
      <c r="AI574" s="48" t="e">
        <f ca="1">IF(INDIRECT("'["&amp;$C$1&amp;".xls]"&amp;$B574&amp;"'!$P$33")="","",IF(INDIRECT("'["&amp;$C$1&amp;".xls]"&amp;$B574&amp;"'!$O$33")="済み",INDIRECT("'["&amp;$C$1&amp;".xls]"&amp;$B574&amp;"'!$P$33"),""))</f>
        <v>#REF!</v>
      </c>
      <c r="AJ574" s="48" t="e">
        <f ca="1">IF(INDIRECT("'["&amp;$C$1&amp;".xls]"&amp;$B574&amp;"'!$P$34")="","",IF(INDIRECT("'["&amp;$C$1&amp;".xls]"&amp;$B574&amp;"'!$O$34")="済み",INDIRECT("'["&amp;$C$1&amp;".xls]"&amp;$B574&amp;"'!$P$34"),""))</f>
        <v>#REF!</v>
      </c>
      <c r="AK574" s="48" t="e">
        <f ca="1">IF(INDIRECT("'["&amp;$C$1&amp;".xls]"&amp;$B574&amp;"'!$T25")="","",IF(INDIRECT("'["&amp;$C$1&amp;".xls]"&amp;$B574&amp;"'!$O$25")="済み",INDIRECT("'["&amp;$C$1&amp;".xls]"&amp;$B574&amp;"'!$T$25"),""))</f>
        <v>#REF!</v>
      </c>
      <c r="AL574" s="48" t="e">
        <f ca="1">IF(INDIRECT("'["&amp;$C$1&amp;".xls]"&amp;$B574&amp;"'!$T26")="","",IF(INDIRECT("'["&amp;$C$1&amp;".xls]"&amp;$B574&amp;"'!$O$26")="済み",INDIRECT("'["&amp;$C$1&amp;".xls]"&amp;$B574&amp;"'!$T$26"),""))</f>
        <v>#REF!</v>
      </c>
      <c r="AM574" s="48" t="e">
        <f ca="1">IF(INDIRECT("'["&amp;$C$1&amp;".xls]"&amp;$B574&amp;"'!$T27")="","",IF(INDIRECT("'["&amp;$C$1&amp;".xls]"&amp;$B574&amp;"'!$O$27")="済み",INDIRECT("'["&amp;$C$1&amp;".xls]"&amp;$B574&amp;"'!$T$27"),""))</f>
        <v>#REF!</v>
      </c>
      <c r="AN574" s="48" t="e">
        <f ca="1">IF(INDIRECT("'["&amp;$C$1&amp;".xls]"&amp;$B574&amp;"'!$T28")="","",IF(INDIRECT("'["&amp;$C$1&amp;".xls]"&amp;$B574&amp;"'!$O$28")="済み",INDIRECT("'["&amp;$C$1&amp;".xls]"&amp;$B574&amp;"'!$T$28"),""))</f>
        <v>#REF!</v>
      </c>
      <c r="AO574" s="48" t="e">
        <f ca="1">IF(INDIRECT("'["&amp;$C$1&amp;".xls]"&amp;$B574&amp;"'!$T29")="","",IF(INDIRECT("'["&amp;$C$1&amp;".xls]"&amp;$B574&amp;"'!$O$29")="済み",INDIRECT("'["&amp;$C$1&amp;".xls]"&amp;$B574&amp;"'!$T$29"),""))</f>
        <v>#REF!</v>
      </c>
      <c r="AP574" s="48" t="e">
        <f ca="1">IF(INDIRECT("'["&amp;$C$1&amp;".xls]"&amp;$B574&amp;"'!$T30")="","",IF(INDIRECT("'["&amp;$C$1&amp;".xls]"&amp;$B574&amp;"'!$O$30")="済み",INDIRECT("'["&amp;$C$1&amp;".xls]"&amp;$B574&amp;"'!$T$30"),""))</f>
        <v>#REF!</v>
      </c>
      <c r="AQ574" s="48" t="e">
        <f ca="1">IF(INDIRECT("'["&amp;$C$1&amp;".xls]"&amp;$B574&amp;"'!$T31")="","",IF(INDIRECT("'["&amp;$C$1&amp;".xls]"&amp;$B574&amp;"'!$O$31")="済み",INDIRECT("'["&amp;$C$1&amp;".xls]"&amp;$B574&amp;"'!$T$31"),""))</f>
        <v>#REF!</v>
      </c>
      <c r="AR574" s="48" t="e">
        <f ca="1">IF(INDIRECT("'["&amp;$C$1&amp;".xls]"&amp;$B574&amp;"'!$T32")="","",IF(INDIRECT("'["&amp;$C$1&amp;".xls]"&amp;$B574&amp;"'!$O$32")="済み",INDIRECT("'["&amp;$C$1&amp;".xls]"&amp;$B574&amp;"'!$T$32"),""))</f>
        <v>#REF!</v>
      </c>
      <c r="AS574" s="48" t="e">
        <f ca="1">IF(INDIRECT("'["&amp;$C$1&amp;".xls]"&amp;$B574&amp;"'!$T33")="","",IF(INDIRECT("'["&amp;$C$1&amp;".xls]"&amp;$B574&amp;"'!$O$33")="済み",INDIRECT("'["&amp;$C$1&amp;".xls]"&amp;$B574&amp;"'!$T$33"),""))</f>
        <v>#REF!</v>
      </c>
      <c r="AT574" s="48" t="e">
        <f ca="1">IF(INDIRECT("'["&amp;$C$1&amp;".xls]"&amp;$B574&amp;"'!$T34")="","",IF(INDIRECT("'["&amp;$C$1&amp;".xls]"&amp;$B574&amp;"'!$O$34")="済み",INDIRECT("'["&amp;$C$1&amp;".xls]"&amp;$B574&amp;"'!$T$34"),""))</f>
        <v>#REF!</v>
      </c>
      <c r="AU574" s="93" t="e">
        <f ca="1">INDIRECT("'["&amp;$C$1&amp;".xls]"&amp;$B574&amp;"'!$B$6")</f>
        <v>#REF!</v>
      </c>
      <c r="AV574" s="93" t="e">
        <f ca="1">INDIRECT("'["&amp;$C$1&amp;".xls]"&amp;$B574&amp;"'!$Y$22")</f>
        <v>#REF!</v>
      </c>
      <c r="AW574" s="93" t="e">
        <f ca="1">INDIRECT("'["&amp;$C$1&amp;".xls]"&amp;$B574&amp;"'!$Y$24")</f>
        <v>#REF!</v>
      </c>
      <c r="AX574" s="93" t="e">
        <f ca="1">INDIRECT("'["&amp;$C$1&amp;".xls]"&amp;$B574&amp;"'!$Y$26")</f>
        <v>#REF!</v>
      </c>
      <c r="AY574" s="93" t="e">
        <f ca="1">INDIRECT("'["&amp;$C$1&amp;".xls]"&amp;$B574&amp;"'!$Y$28")</f>
        <v>#REF!</v>
      </c>
      <c r="AZ574" s="49" t="s">
        <v>5989</v>
      </c>
    </row>
    <row r="575" spans="1:52" ht="16.5" customHeight="1" x14ac:dyDescent="0.15">
      <c r="A575" s="182" t="s">
        <v>5990</v>
      </c>
      <c r="B575" s="183" t="s">
        <v>5991</v>
      </c>
      <c r="C575" s="48" t="s">
        <v>298</v>
      </c>
      <c r="D575" s="62">
        <v>0</v>
      </c>
      <c r="E575" s="48" t="s">
        <v>300</v>
      </c>
      <c r="F575" s="61">
        <v>42601</v>
      </c>
      <c r="G575" s="61">
        <v>0</v>
      </c>
      <c r="H575" s="125">
        <v>42646</v>
      </c>
      <c r="I575" s="61">
        <v>39398</v>
      </c>
      <c r="J575" s="87"/>
      <c r="K575" s="62" t="s">
        <v>16</v>
      </c>
      <c r="L575" s="62">
        <v>3</v>
      </c>
      <c r="M575" s="62" t="s">
        <v>394</v>
      </c>
      <c r="N575" s="62" t="s">
        <v>5992</v>
      </c>
      <c r="O575" s="48" t="s">
        <v>396</v>
      </c>
      <c r="P575" s="48" t="s">
        <v>1425</v>
      </c>
      <c r="Q575" s="48" t="s">
        <v>2999</v>
      </c>
      <c r="R575" s="48" t="s">
        <v>5993</v>
      </c>
      <c r="S575" s="48" t="s">
        <v>400</v>
      </c>
      <c r="T575" s="48" t="s">
        <v>401</v>
      </c>
      <c r="U575" s="48" t="s">
        <v>5994</v>
      </c>
      <c r="V575" s="122" t="s">
        <v>263</v>
      </c>
      <c r="W575" s="122" t="s">
        <v>263</v>
      </c>
      <c r="X575" s="48" t="s">
        <v>289</v>
      </c>
      <c r="Y575" s="48" t="s">
        <v>290</v>
      </c>
      <c r="Z575" s="61"/>
      <c r="AA575" s="48" t="s">
        <v>562</v>
      </c>
      <c r="AB575" s="48" t="s">
        <v>273</v>
      </c>
      <c r="AC575" s="48" t="s">
        <v>273</v>
      </c>
      <c r="AD575" s="48" t="s">
        <v>273</v>
      </c>
      <c r="AE575" s="48" t="s">
        <v>273</v>
      </c>
      <c r="AF575" s="48" t="s">
        <v>273</v>
      </c>
      <c r="AG575" s="48" t="s">
        <v>273</v>
      </c>
      <c r="AH575" s="48" t="s">
        <v>273</v>
      </c>
      <c r="AI575" s="48" t="s">
        <v>273</v>
      </c>
      <c r="AJ575" s="48" t="s">
        <v>273</v>
      </c>
      <c r="AK575" s="48" t="s">
        <v>564</v>
      </c>
      <c r="AL575" s="48" t="s">
        <v>273</v>
      </c>
      <c r="AM575" s="48" t="s">
        <v>273</v>
      </c>
      <c r="AN575" s="48" t="s">
        <v>273</v>
      </c>
      <c r="AO575" s="48" t="s">
        <v>273</v>
      </c>
      <c r="AP575" s="48" t="s">
        <v>273</v>
      </c>
      <c r="AQ575" s="48" t="s">
        <v>273</v>
      </c>
      <c r="AR575" s="48" t="s">
        <v>273</v>
      </c>
      <c r="AS575" s="48" t="s">
        <v>273</v>
      </c>
      <c r="AT575" s="48" t="s">
        <v>273</v>
      </c>
      <c r="AU575" s="93">
        <v>39295</v>
      </c>
      <c r="AV575" s="93" t="s">
        <v>5995</v>
      </c>
      <c r="AW575" s="93" t="s">
        <v>5996</v>
      </c>
      <c r="AX575" s="93" t="s">
        <v>5997</v>
      </c>
      <c r="AY575" s="93" t="s">
        <v>5312</v>
      </c>
    </row>
    <row r="576" spans="1:52" ht="16.5" customHeight="1" x14ac:dyDescent="0.15">
      <c r="A576" s="199" t="s">
        <v>5998</v>
      </c>
      <c r="B576" s="209" t="s">
        <v>5999</v>
      </c>
      <c r="C576" s="48" t="s">
        <v>6000</v>
      </c>
      <c r="D576" s="62" t="s">
        <v>263</v>
      </c>
      <c r="E576" s="48" t="s">
        <v>6001</v>
      </c>
      <c r="F576" s="61">
        <v>42601</v>
      </c>
      <c r="G576" s="61">
        <v>0</v>
      </c>
      <c r="H576" s="125">
        <v>42682</v>
      </c>
      <c r="I576" s="61">
        <v>40391</v>
      </c>
      <c r="J576" s="87"/>
      <c r="K576" s="124" t="s">
        <v>5866</v>
      </c>
      <c r="L576" s="124" t="s">
        <v>5866</v>
      </c>
      <c r="M576" s="62" t="s">
        <v>6002</v>
      </c>
      <c r="N576" s="62" t="s">
        <v>6003</v>
      </c>
      <c r="O576" s="48" t="s">
        <v>1334</v>
      </c>
      <c r="P576" s="48" t="s">
        <v>6004</v>
      </c>
      <c r="Q576" s="48" t="s">
        <v>6005</v>
      </c>
      <c r="R576" s="48" t="s">
        <v>6006</v>
      </c>
      <c r="S576" s="48" t="s">
        <v>6007</v>
      </c>
      <c r="T576" s="48" t="s">
        <v>6008</v>
      </c>
      <c r="U576" s="48" t="s">
        <v>6009</v>
      </c>
      <c r="V576" s="122" t="s">
        <v>5866</v>
      </c>
      <c r="W576" s="48" t="s">
        <v>6010</v>
      </c>
      <c r="X576" s="48" t="s">
        <v>1684</v>
      </c>
      <c r="Y576" s="50" t="s">
        <v>1685</v>
      </c>
      <c r="Z576" s="61"/>
      <c r="AA576" s="48"/>
      <c r="AB576" s="48"/>
      <c r="AC576" s="48"/>
      <c r="AD576" s="48" t="s">
        <v>273</v>
      </c>
      <c r="AE576" s="48" t="s">
        <v>273</v>
      </c>
      <c r="AF576" s="48" t="s">
        <v>273</v>
      </c>
      <c r="AG576" s="48" t="s">
        <v>273</v>
      </c>
      <c r="AH576" s="48" t="s">
        <v>273</v>
      </c>
      <c r="AI576" s="48" t="s">
        <v>273</v>
      </c>
      <c r="AJ576" s="48" t="s">
        <v>273</v>
      </c>
      <c r="AK576" s="48"/>
      <c r="AL576" s="48"/>
      <c r="AM576" s="48"/>
      <c r="AN576" s="48" t="s">
        <v>273</v>
      </c>
      <c r="AO576" s="48" t="s">
        <v>273</v>
      </c>
      <c r="AP576" s="48" t="s">
        <v>273</v>
      </c>
      <c r="AQ576" s="48" t="s">
        <v>273</v>
      </c>
      <c r="AR576" s="48" t="s">
        <v>273</v>
      </c>
      <c r="AS576" s="48" t="s">
        <v>273</v>
      </c>
      <c r="AT576" s="48" t="s">
        <v>273</v>
      </c>
      <c r="AU576" s="93">
        <v>40391</v>
      </c>
      <c r="AV576" s="93" t="s">
        <v>6011</v>
      </c>
      <c r="AW576" s="93" t="s">
        <v>6012</v>
      </c>
      <c r="AX576" s="210" t="s">
        <v>5866</v>
      </c>
      <c r="AY576" s="93" t="s">
        <v>6013</v>
      </c>
    </row>
    <row r="577" spans="1:52" ht="16.5" customHeight="1" x14ac:dyDescent="0.15">
      <c r="A577" s="121" t="s">
        <v>6014</v>
      </c>
      <c r="B577" s="47" t="s">
        <v>6015</v>
      </c>
      <c r="C577" s="48" t="e">
        <f ca="1">INDIRECT("'["&amp;$C$1&amp;".xls]"&amp;$B577&amp;"'!$i$7")</f>
        <v>#REF!</v>
      </c>
      <c r="D577" s="62" t="e">
        <f ca="1">INDIRECT("'["&amp;$C$1&amp;".xls]"&amp;$B577&amp;"'!$b$7")</f>
        <v>#REF!</v>
      </c>
      <c r="E577" s="48" t="e">
        <f ca="1">IF(INDIRECT("'["&amp;$C$1&amp;".xls]"&amp;$B577&amp;"'!$i$2")="","",INDIRECT("'["&amp;$C$1&amp;".xls]"&amp;$B577&amp;"'!$i$2"))</f>
        <v>#REF!</v>
      </c>
      <c r="F577" s="61" t="e">
        <f ca="1">INDIRECT("'["&amp;$C$1&amp;".xls]"&amp;$B577&amp;"'!$b$2")</f>
        <v>#REF!</v>
      </c>
      <c r="G577" s="61" t="e">
        <f ca="1">INDIRECT("'["&amp;$C$1&amp;".xls]"&amp;$B577&amp;"'!$a$20")</f>
        <v>#REF!</v>
      </c>
      <c r="H577" s="88" t="e">
        <f ca="1">INDIRECT("'["&amp;$C$1&amp;".xls]"&amp;$B577&amp;"'!$Q$22")</f>
        <v>#REF!</v>
      </c>
      <c r="I577" s="61" t="e">
        <f ca="1">INDIRECT("'["&amp;$C$1&amp;".xls]"&amp;$B577&amp;"'!$f$6")</f>
        <v>#REF!</v>
      </c>
      <c r="J577" s="87"/>
      <c r="K577" s="62" t="e">
        <f ca="1">INDIRECT("'["&amp;$C$1&amp;".xls]"&amp;$B577&amp;"'!$f$25")</f>
        <v>#REF!</v>
      </c>
      <c r="L577" s="62"/>
      <c r="M577" s="62" t="e">
        <f ca="1">INDIRECT("'["&amp;$C$1&amp;".xls]"&amp;$B577&amp;"'!$f$4")</f>
        <v>#REF!</v>
      </c>
      <c r="N577" s="62" t="e">
        <f ca="1">INDIRECT("'["&amp;$C$1&amp;".xls]"&amp;$B577&amp;"'!$i$4")</f>
        <v>#REF!</v>
      </c>
      <c r="O577" s="48" t="e">
        <f ca="1">INDIRECT("'["&amp;$C$1&amp;".xls]"&amp;$B577&amp;"'!$l$4")</f>
        <v>#REF!</v>
      </c>
      <c r="P577" s="48" t="e">
        <f ca="1">INDIRECT("'["&amp;$C$1&amp;".xls]"&amp;$B577&amp;"'!$b$5")</f>
        <v>#REF!</v>
      </c>
      <c r="Q577" s="48" t="e">
        <f ca="1">INDIRECT("'["&amp;$C$1&amp;".xls]"&amp;$B577&amp;"'!$f$5")</f>
        <v>#REF!</v>
      </c>
      <c r="R577" s="48"/>
      <c r="S577" s="48" t="e">
        <f ca="1">INDIRECT("'["&amp;$C$1&amp;".xls]"&amp;$B577&amp;"'!$i$5")</f>
        <v>#REF!</v>
      </c>
      <c r="T577" s="48" t="e">
        <f ca="1">INDIRECT("'["&amp;$C$1&amp;".xls]"&amp;$B577&amp;"'!$l$5")</f>
        <v>#REF!</v>
      </c>
      <c r="U577" s="48" t="e">
        <f ca="1">INDIRECT("'["&amp;$C$1&amp;".xls]"&amp;$B577&amp;"'!$b$4")</f>
        <v>#REF!</v>
      </c>
      <c r="V577" s="48"/>
      <c r="W577" s="48"/>
      <c r="X577" s="48"/>
      <c r="Y577" s="48"/>
      <c r="Z577" s="61"/>
      <c r="AA577" s="48" t="e">
        <f ca="1">IF(INDIRECT("'["&amp;$C$1&amp;".xls]"&amp;$B577&amp;"'!$P$25")="","",IF(INDIRECT("'["&amp;$C$1&amp;".xls]"&amp;$B577&amp;"'!$O$25")="済み",INDIRECT("'["&amp;$C$1&amp;".xls]"&amp;$B577&amp;"'!$P$25"),""))</f>
        <v>#REF!</v>
      </c>
      <c r="AB577" s="48" t="e">
        <f ca="1">IF(INDIRECT("'["&amp;$C$1&amp;".xls]"&amp;$B577&amp;"'!$P$26")="","",IF(INDIRECT("'["&amp;$C$1&amp;".xls]"&amp;$B577&amp;"'!$O$26")="済み",INDIRECT("'["&amp;$C$1&amp;".xls]"&amp;$B577&amp;"'!$P$26"),""))</f>
        <v>#REF!</v>
      </c>
      <c r="AC577" s="48" t="e">
        <f ca="1">IF(INDIRECT("'["&amp;$C$1&amp;".xls]"&amp;$B577&amp;"'!$P$27")="","",IF(INDIRECT("'["&amp;$C$1&amp;".xls]"&amp;$B577&amp;"'!$O$27")="済み",INDIRECT("'["&amp;$C$1&amp;".xls]"&amp;$B577&amp;"'!$P$27"),""))</f>
        <v>#REF!</v>
      </c>
      <c r="AD577" s="48" t="e">
        <f ca="1">IF(INDIRECT("'["&amp;$C$1&amp;".xls]"&amp;$B577&amp;"'!$P$28")="","",IF(INDIRECT("'["&amp;$C$1&amp;".xls]"&amp;$B577&amp;"'!$O$28")="済み",INDIRECT("'["&amp;$C$1&amp;".xls]"&amp;$B577&amp;"'!$P$28"),""))</f>
        <v>#REF!</v>
      </c>
      <c r="AE577" s="48" t="e">
        <f ca="1">IF(INDIRECT("'["&amp;$C$1&amp;".xls]"&amp;$B577&amp;"'!$P$29")="","",IF(INDIRECT("'["&amp;$C$1&amp;".xls]"&amp;$B577&amp;"'!$O$29")="済み",INDIRECT("'["&amp;$C$1&amp;".xls]"&amp;$B577&amp;"'!$P$29"),""))</f>
        <v>#REF!</v>
      </c>
      <c r="AF577" s="48" t="e">
        <f ca="1">IF(INDIRECT("'["&amp;$C$1&amp;".xls]"&amp;$B577&amp;"'!$P$30")="","",IF(INDIRECT("'["&amp;$C$1&amp;".xls]"&amp;$B577&amp;"'!$O$30")="済み",INDIRECT("'["&amp;$C$1&amp;".xls]"&amp;$B577&amp;"'!$P$30"),""))</f>
        <v>#REF!</v>
      </c>
      <c r="AG577" s="48" t="e">
        <f ca="1">IF(INDIRECT("'["&amp;$C$1&amp;".xls]"&amp;$B577&amp;"'!$P$31")="","",IF(INDIRECT("'["&amp;$C$1&amp;".xls]"&amp;$B577&amp;"'!$O$31")="済み",INDIRECT("'["&amp;$C$1&amp;".xls]"&amp;$B577&amp;"'!$P$31"),""))</f>
        <v>#REF!</v>
      </c>
      <c r="AH577" s="48" t="e">
        <f ca="1">IF(INDIRECT("'["&amp;$C$1&amp;".xls]"&amp;$B577&amp;"'!$P$32")="","",IF(INDIRECT("'["&amp;$C$1&amp;".xls]"&amp;$B577&amp;"'!$O$32")="済み",INDIRECT("'["&amp;$C$1&amp;".xls]"&amp;$B577&amp;"'!$P$32"),""))</f>
        <v>#REF!</v>
      </c>
      <c r="AI577" s="48" t="e">
        <f ca="1">IF(INDIRECT("'["&amp;$C$1&amp;".xls]"&amp;$B577&amp;"'!$P$33")="","",IF(INDIRECT("'["&amp;$C$1&amp;".xls]"&amp;$B577&amp;"'!$O$33")="済み",INDIRECT("'["&amp;$C$1&amp;".xls]"&amp;$B577&amp;"'!$P$33"),""))</f>
        <v>#REF!</v>
      </c>
      <c r="AJ577" s="48" t="e">
        <f ca="1">IF(INDIRECT("'["&amp;$C$1&amp;".xls]"&amp;$B577&amp;"'!$P$34")="","",IF(INDIRECT("'["&amp;$C$1&amp;".xls]"&amp;$B577&amp;"'!$O$34")="済み",INDIRECT("'["&amp;$C$1&amp;".xls]"&amp;$B577&amp;"'!$P$34"),""))</f>
        <v>#REF!</v>
      </c>
      <c r="AK577" s="48" t="e">
        <f ca="1">IF(INDIRECT("'["&amp;$C$1&amp;".xls]"&amp;$B577&amp;"'!$T25")="","",IF(INDIRECT("'["&amp;$C$1&amp;".xls]"&amp;$B577&amp;"'!$O$25")="済み",INDIRECT("'["&amp;$C$1&amp;".xls]"&amp;$B577&amp;"'!$T$25"),""))</f>
        <v>#REF!</v>
      </c>
      <c r="AL577" s="48" t="e">
        <f ca="1">IF(INDIRECT("'["&amp;$C$1&amp;".xls]"&amp;$B577&amp;"'!$T26")="","",IF(INDIRECT("'["&amp;$C$1&amp;".xls]"&amp;$B577&amp;"'!$O$26")="済み",INDIRECT("'["&amp;$C$1&amp;".xls]"&amp;$B577&amp;"'!$T$26"),""))</f>
        <v>#REF!</v>
      </c>
      <c r="AM577" s="48" t="e">
        <f ca="1">IF(INDIRECT("'["&amp;$C$1&amp;".xls]"&amp;$B577&amp;"'!$T27")="","",IF(INDIRECT("'["&amp;$C$1&amp;".xls]"&amp;$B577&amp;"'!$O$27")="済み",INDIRECT("'["&amp;$C$1&amp;".xls]"&amp;$B577&amp;"'!$T$27"),""))</f>
        <v>#REF!</v>
      </c>
      <c r="AN577" s="48" t="e">
        <f ca="1">IF(INDIRECT("'["&amp;$C$1&amp;".xls]"&amp;$B577&amp;"'!$T28")="","",IF(INDIRECT("'["&amp;$C$1&amp;".xls]"&amp;$B577&amp;"'!$O$28")="済み",INDIRECT("'["&amp;$C$1&amp;".xls]"&amp;$B577&amp;"'!$T$28"),""))</f>
        <v>#REF!</v>
      </c>
      <c r="AO577" s="48" t="e">
        <f ca="1">IF(INDIRECT("'["&amp;$C$1&amp;".xls]"&amp;$B577&amp;"'!$T29")="","",IF(INDIRECT("'["&amp;$C$1&amp;".xls]"&amp;$B577&amp;"'!$O$29")="済み",INDIRECT("'["&amp;$C$1&amp;".xls]"&amp;$B577&amp;"'!$T$29"),""))</f>
        <v>#REF!</v>
      </c>
      <c r="AP577" s="48" t="e">
        <f ca="1">IF(INDIRECT("'["&amp;$C$1&amp;".xls]"&amp;$B577&amp;"'!$T30")="","",IF(INDIRECT("'["&amp;$C$1&amp;".xls]"&amp;$B577&amp;"'!$O$30")="済み",INDIRECT("'["&amp;$C$1&amp;".xls]"&amp;$B577&amp;"'!$T$30"),""))</f>
        <v>#REF!</v>
      </c>
      <c r="AQ577" s="48" t="e">
        <f ca="1">IF(INDIRECT("'["&amp;$C$1&amp;".xls]"&amp;$B577&amp;"'!$T31")="","",IF(INDIRECT("'["&amp;$C$1&amp;".xls]"&amp;$B577&amp;"'!$O$31")="済み",INDIRECT("'["&amp;$C$1&amp;".xls]"&amp;$B577&amp;"'!$T$31"),""))</f>
        <v>#REF!</v>
      </c>
      <c r="AR577" s="48" t="e">
        <f ca="1">IF(INDIRECT("'["&amp;$C$1&amp;".xls]"&amp;$B577&amp;"'!$T32")="","",IF(INDIRECT("'["&amp;$C$1&amp;".xls]"&amp;$B577&amp;"'!$O$32")="済み",INDIRECT("'["&amp;$C$1&amp;".xls]"&amp;$B577&amp;"'!$T$32"),""))</f>
        <v>#REF!</v>
      </c>
      <c r="AS577" s="48" t="e">
        <f ca="1">IF(INDIRECT("'["&amp;$C$1&amp;".xls]"&amp;$B577&amp;"'!$T33")="","",IF(INDIRECT("'["&amp;$C$1&amp;".xls]"&amp;$B577&amp;"'!$O$33")="済み",INDIRECT("'["&amp;$C$1&amp;".xls]"&amp;$B577&amp;"'!$T$33"),""))</f>
        <v>#REF!</v>
      </c>
      <c r="AT577" s="48" t="e">
        <f ca="1">IF(INDIRECT("'["&amp;$C$1&amp;".xls]"&amp;$B577&amp;"'!$T34")="","",IF(INDIRECT("'["&amp;$C$1&amp;".xls]"&amp;$B577&amp;"'!$O$34")="済み",INDIRECT("'["&amp;$C$1&amp;".xls]"&amp;$B577&amp;"'!$T$34"),""))</f>
        <v>#REF!</v>
      </c>
      <c r="AU577" s="93" t="e">
        <f ca="1">INDIRECT("'["&amp;$C$1&amp;".xls]"&amp;$B577&amp;"'!$B$6")</f>
        <v>#REF!</v>
      </c>
      <c r="AV577" s="93" t="e">
        <f ca="1">INDIRECT("'["&amp;$C$1&amp;".xls]"&amp;$B577&amp;"'!$Y$22")</f>
        <v>#REF!</v>
      </c>
      <c r="AW577" s="93" t="e">
        <f ca="1">INDIRECT("'["&amp;$C$1&amp;".xls]"&amp;$B577&amp;"'!$Y$24")</f>
        <v>#REF!</v>
      </c>
      <c r="AX577" s="93" t="e">
        <f ca="1">INDIRECT("'["&amp;$C$1&amp;".xls]"&amp;$B577&amp;"'!$Y$26")</f>
        <v>#REF!</v>
      </c>
      <c r="AY577" s="93" t="e">
        <f ca="1">INDIRECT("'["&amp;$C$1&amp;".xls]"&amp;$B577&amp;"'!$Y$28")</f>
        <v>#REF!</v>
      </c>
    </row>
    <row r="578" spans="1:52" ht="16.5" customHeight="1" x14ac:dyDescent="0.15">
      <c r="A578" s="121" t="s">
        <v>6016</v>
      </c>
      <c r="B578" s="47" t="s">
        <v>6017</v>
      </c>
      <c r="C578" s="48" t="e">
        <f ca="1">INDIRECT("'["&amp;$C$1&amp;".xls]"&amp;$B578&amp;"'!$i$7")</f>
        <v>#REF!</v>
      </c>
      <c r="D578" s="62" t="e">
        <f ca="1">INDIRECT("'["&amp;$C$1&amp;".xls]"&amp;$B578&amp;"'!$b$7")</f>
        <v>#REF!</v>
      </c>
      <c r="E578" s="48" t="e">
        <f ca="1">IF(INDIRECT("'["&amp;$C$1&amp;".xls]"&amp;$B578&amp;"'!$i$2")="","",INDIRECT("'["&amp;$C$1&amp;".xls]"&amp;$B578&amp;"'!$i$2"))</f>
        <v>#REF!</v>
      </c>
      <c r="F578" s="61" t="e">
        <f ca="1">INDIRECT("'["&amp;$C$1&amp;".xls]"&amp;$B578&amp;"'!$b$2")</f>
        <v>#REF!</v>
      </c>
      <c r="G578" s="61" t="e">
        <f ca="1">INDIRECT("'["&amp;$C$1&amp;".xls]"&amp;$B578&amp;"'!$a$20")</f>
        <v>#REF!</v>
      </c>
      <c r="H578" s="88" t="e">
        <f ca="1">INDIRECT("'["&amp;$C$1&amp;".xls]"&amp;$B578&amp;"'!$Q$22")</f>
        <v>#REF!</v>
      </c>
      <c r="I578" s="61" t="e">
        <f ca="1">INDIRECT("'["&amp;$C$1&amp;".xls]"&amp;$B578&amp;"'!$f$6")</f>
        <v>#REF!</v>
      </c>
      <c r="J578" s="87"/>
      <c r="K578" s="62" t="e">
        <f ca="1">INDIRECT("'["&amp;$C$1&amp;".xls]"&amp;$B578&amp;"'!$f$25")</f>
        <v>#REF!</v>
      </c>
      <c r="L578" s="62"/>
      <c r="M578" s="62" t="e">
        <f ca="1">INDIRECT("'["&amp;$C$1&amp;".xls]"&amp;$B578&amp;"'!$f$4")</f>
        <v>#REF!</v>
      </c>
      <c r="N578" s="62" t="e">
        <f ca="1">INDIRECT("'["&amp;$C$1&amp;".xls]"&amp;$B578&amp;"'!$i$4")</f>
        <v>#REF!</v>
      </c>
      <c r="O578" s="48" t="e">
        <f ca="1">INDIRECT("'["&amp;$C$1&amp;".xls]"&amp;$B578&amp;"'!$l$4")</f>
        <v>#REF!</v>
      </c>
      <c r="P578" s="48" t="e">
        <f ca="1">INDIRECT("'["&amp;$C$1&amp;".xls]"&amp;$B578&amp;"'!$b$5")</f>
        <v>#REF!</v>
      </c>
      <c r="Q578" s="48" t="e">
        <f ca="1">INDIRECT("'["&amp;$C$1&amp;".xls]"&amp;$B578&amp;"'!$f$5")</f>
        <v>#REF!</v>
      </c>
      <c r="R578" s="48"/>
      <c r="S578" s="48" t="e">
        <f ca="1">INDIRECT("'["&amp;$C$1&amp;".xls]"&amp;$B578&amp;"'!$i$5")</f>
        <v>#REF!</v>
      </c>
      <c r="T578" s="48" t="e">
        <f ca="1">INDIRECT("'["&amp;$C$1&amp;".xls]"&amp;$B578&amp;"'!$l$5")</f>
        <v>#REF!</v>
      </c>
      <c r="U578" s="48" t="e">
        <f ca="1">INDIRECT("'["&amp;$C$1&amp;".xls]"&amp;$B578&amp;"'!$b$4")</f>
        <v>#REF!</v>
      </c>
      <c r="V578" s="48"/>
      <c r="W578" s="48"/>
      <c r="X578" s="48"/>
      <c r="Y578" s="48"/>
      <c r="Z578" s="61"/>
      <c r="AA578" s="48" t="e">
        <f ca="1">IF(INDIRECT("'["&amp;$C$1&amp;".xls]"&amp;$B578&amp;"'!$P$25")="","",IF(INDIRECT("'["&amp;$C$1&amp;".xls]"&amp;$B578&amp;"'!$O$25")="済み",INDIRECT("'["&amp;$C$1&amp;".xls]"&amp;$B578&amp;"'!$P$25"),""))</f>
        <v>#REF!</v>
      </c>
      <c r="AB578" s="48" t="e">
        <f ca="1">IF(INDIRECT("'["&amp;$C$1&amp;".xls]"&amp;$B578&amp;"'!$P$26")="","",IF(INDIRECT("'["&amp;$C$1&amp;".xls]"&amp;$B578&amp;"'!$O$26")="済み",INDIRECT("'["&amp;$C$1&amp;".xls]"&amp;$B578&amp;"'!$P$26"),""))</f>
        <v>#REF!</v>
      </c>
      <c r="AC578" s="48" t="e">
        <f ca="1">IF(INDIRECT("'["&amp;$C$1&amp;".xls]"&amp;$B578&amp;"'!$P$27")="","",IF(INDIRECT("'["&amp;$C$1&amp;".xls]"&amp;$B578&amp;"'!$O$27")="済み",INDIRECT("'["&amp;$C$1&amp;".xls]"&amp;$B578&amp;"'!$P$27"),""))</f>
        <v>#REF!</v>
      </c>
      <c r="AD578" s="48" t="e">
        <f ca="1">IF(INDIRECT("'["&amp;$C$1&amp;".xls]"&amp;$B578&amp;"'!$P$28")="","",IF(INDIRECT("'["&amp;$C$1&amp;".xls]"&amp;$B578&amp;"'!$O$28")="済み",INDIRECT("'["&amp;$C$1&amp;".xls]"&amp;$B578&amp;"'!$P$28"),""))</f>
        <v>#REF!</v>
      </c>
      <c r="AE578" s="48" t="e">
        <f ca="1">IF(INDIRECT("'["&amp;$C$1&amp;".xls]"&amp;$B578&amp;"'!$P$29")="","",IF(INDIRECT("'["&amp;$C$1&amp;".xls]"&amp;$B578&amp;"'!$O$29")="済み",INDIRECT("'["&amp;$C$1&amp;".xls]"&amp;$B578&amp;"'!$P$29"),""))</f>
        <v>#REF!</v>
      </c>
      <c r="AF578" s="48" t="e">
        <f ca="1">IF(INDIRECT("'["&amp;$C$1&amp;".xls]"&amp;$B578&amp;"'!$P$30")="","",IF(INDIRECT("'["&amp;$C$1&amp;".xls]"&amp;$B578&amp;"'!$O$30")="済み",INDIRECT("'["&amp;$C$1&amp;".xls]"&amp;$B578&amp;"'!$P$30"),""))</f>
        <v>#REF!</v>
      </c>
      <c r="AG578" s="48" t="e">
        <f ca="1">IF(INDIRECT("'["&amp;$C$1&amp;".xls]"&amp;$B578&amp;"'!$P$31")="","",IF(INDIRECT("'["&amp;$C$1&amp;".xls]"&amp;$B578&amp;"'!$O$31")="済み",INDIRECT("'["&amp;$C$1&amp;".xls]"&amp;$B578&amp;"'!$P$31"),""))</f>
        <v>#REF!</v>
      </c>
      <c r="AH578" s="48" t="e">
        <f ca="1">IF(INDIRECT("'["&amp;$C$1&amp;".xls]"&amp;$B578&amp;"'!$P$32")="","",IF(INDIRECT("'["&amp;$C$1&amp;".xls]"&amp;$B578&amp;"'!$O$32")="済み",INDIRECT("'["&amp;$C$1&amp;".xls]"&amp;$B578&amp;"'!$P$32"),""))</f>
        <v>#REF!</v>
      </c>
      <c r="AI578" s="48" t="e">
        <f ca="1">IF(INDIRECT("'["&amp;$C$1&amp;".xls]"&amp;$B578&amp;"'!$P$33")="","",IF(INDIRECT("'["&amp;$C$1&amp;".xls]"&amp;$B578&amp;"'!$O$33")="済み",INDIRECT("'["&amp;$C$1&amp;".xls]"&amp;$B578&amp;"'!$P$33"),""))</f>
        <v>#REF!</v>
      </c>
      <c r="AJ578" s="48" t="e">
        <f ca="1">IF(INDIRECT("'["&amp;$C$1&amp;".xls]"&amp;$B578&amp;"'!$P$34")="","",IF(INDIRECT("'["&amp;$C$1&amp;".xls]"&amp;$B578&amp;"'!$O$34")="済み",INDIRECT("'["&amp;$C$1&amp;".xls]"&amp;$B578&amp;"'!$P$34"),""))</f>
        <v>#REF!</v>
      </c>
      <c r="AK578" s="48" t="e">
        <f ca="1">IF(INDIRECT("'["&amp;$C$1&amp;".xls]"&amp;$B578&amp;"'!$T25")="","",IF(INDIRECT("'["&amp;$C$1&amp;".xls]"&amp;$B578&amp;"'!$O$25")="済み",INDIRECT("'["&amp;$C$1&amp;".xls]"&amp;$B578&amp;"'!$T$25"),""))</f>
        <v>#REF!</v>
      </c>
      <c r="AL578" s="48" t="e">
        <f ca="1">IF(INDIRECT("'["&amp;$C$1&amp;".xls]"&amp;$B578&amp;"'!$T26")="","",IF(INDIRECT("'["&amp;$C$1&amp;".xls]"&amp;$B578&amp;"'!$O$26")="済み",INDIRECT("'["&amp;$C$1&amp;".xls]"&amp;$B578&amp;"'!$T$26"),""))</f>
        <v>#REF!</v>
      </c>
      <c r="AM578" s="48" t="e">
        <f ca="1">IF(INDIRECT("'["&amp;$C$1&amp;".xls]"&amp;$B578&amp;"'!$T27")="","",IF(INDIRECT("'["&amp;$C$1&amp;".xls]"&amp;$B578&amp;"'!$O$27")="済み",INDIRECT("'["&amp;$C$1&amp;".xls]"&amp;$B578&amp;"'!$T$27"),""))</f>
        <v>#REF!</v>
      </c>
      <c r="AN578" s="48" t="e">
        <f ca="1">IF(INDIRECT("'["&amp;$C$1&amp;".xls]"&amp;$B578&amp;"'!$T28")="","",IF(INDIRECT("'["&amp;$C$1&amp;".xls]"&amp;$B578&amp;"'!$O$28")="済み",INDIRECT("'["&amp;$C$1&amp;".xls]"&amp;$B578&amp;"'!$T$28"),""))</f>
        <v>#REF!</v>
      </c>
      <c r="AO578" s="48" t="e">
        <f ca="1">IF(INDIRECT("'["&amp;$C$1&amp;".xls]"&amp;$B578&amp;"'!$T29")="","",IF(INDIRECT("'["&amp;$C$1&amp;".xls]"&amp;$B578&amp;"'!$O$29")="済み",INDIRECT("'["&amp;$C$1&amp;".xls]"&amp;$B578&amp;"'!$T$29"),""))</f>
        <v>#REF!</v>
      </c>
      <c r="AP578" s="48" t="e">
        <f ca="1">IF(INDIRECT("'["&amp;$C$1&amp;".xls]"&amp;$B578&amp;"'!$T30")="","",IF(INDIRECT("'["&amp;$C$1&amp;".xls]"&amp;$B578&amp;"'!$O$30")="済み",INDIRECT("'["&amp;$C$1&amp;".xls]"&amp;$B578&amp;"'!$T$30"),""))</f>
        <v>#REF!</v>
      </c>
      <c r="AQ578" s="48" t="e">
        <f ca="1">IF(INDIRECT("'["&amp;$C$1&amp;".xls]"&amp;$B578&amp;"'!$T31")="","",IF(INDIRECT("'["&amp;$C$1&amp;".xls]"&amp;$B578&amp;"'!$O$31")="済み",INDIRECT("'["&amp;$C$1&amp;".xls]"&amp;$B578&amp;"'!$T$31"),""))</f>
        <v>#REF!</v>
      </c>
      <c r="AR578" s="48" t="e">
        <f ca="1">IF(INDIRECT("'["&amp;$C$1&amp;".xls]"&amp;$B578&amp;"'!$T32")="","",IF(INDIRECT("'["&amp;$C$1&amp;".xls]"&amp;$B578&amp;"'!$O$32")="済み",INDIRECT("'["&amp;$C$1&amp;".xls]"&amp;$B578&amp;"'!$T$32"),""))</f>
        <v>#REF!</v>
      </c>
      <c r="AS578" s="48" t="e">
        <f ca="1">IF(INDIRECT("'["&amp;$C$1&amp;".xls]"&amp;$B578&amp;"'!$T33")="","",IF(INDIRECT("'["&amp;$C$1&amp;".xls]"&amp;$B578&amp;"'!$O$33")="済み",INDIRECT("'["&amp;$C$1&amp;".xls]"&amp;$B578&amp;"'!$T$33"),""))</f>
        <v>#REF!</v>
      </c>
      <c r="AT578" s="48" t="e">
        <f ca="1">IF(INDIRECT("'["&amp;$C$1&amp;".xls]"&amp;$B578&amp;"'!$T34")="","",IF(INDIRECT("'["&amp;$C$1&amp;".xls]"&amp;$B578&amp;"'!$O$34")="済み",INDIRECT("'["&amp;$C$1&amp;".xls]"&amp;$B578&amp;"'!$T$34"),""))</f>
        <v>#REF!</v>
      </c>
      <c r="AU578" s="93" t="e">
        <f ca="1">INDIRECT("'["&amp;$C$1&amp;".xls]"&amp;$B578&amp;"'!$B$6")</f>
        <v>#REF!</v>
      </c>
      <c r="AV578" s="93" t="e">
        <f ca="1">INDIRECT("'["&amp;$C$1&amp;".xls]"&amp;$B578&amp;"'!$Y$22")</f>
        <v>#REF!</v>
      </c>
      <c r="AW578" s="93" t="e">
        <f ca="1">INDIRECT("'["&amp;$C$1&amp;".xls]"&amp;$B578&amp;"'!$Y$24")</f>
        <v>#REF!</v>
      </c>
      <c r="AX578" s="93" t="e">
        <f ca="1">INDIRECT("'["&amp;$C$1&amp;".xls]"&amp;$B578&amp;"'!$Y$26")</f>
        <v>#REF!</v>
      </c>
      <c r="AY578" s="93" t="e">
        <f ca="1">INDIRECT("'["&amp;$C$1&amp;".xls]"&amp;$B578&amp;"'!$Y$28")</f>
        <v>#REF!</v>
      </c>
    </row>
    <row r="579" spans="1:52" ht="16.5" customHeight="1" x14ac:dyDescent="0.15">
      <c r="A579" s="153" t="s">
        <v>6018</v>
      </c>
      <c r="B579" s="154" t="s">
        <v>6019</v>
      </c>
      <c r="C579" s="48" t="s">
        <v>6020</v>
      </c>
      <c r="D579" s="62" t="s">
        <v>263</v>
      </c>
      <c r="E579" s="48" t="s">
        <v>264</v>
      </c>
      <c r="F579" s="61">
        <v>42604</v>
      </c>
      <c r="G579" s="61">
        <v>0</v>
      </c>
      <c r="H579" s="125" t="s">
        <v>6021</v>
      </c>
      <c r="I579" s="61">
        <v>41862</v>
      </c>
      <c r="J579" s="87"/>
      <c r="K579" s="62" t="s">
        <v>16</v>
      </c>
      <c r="L579" s="62">
        <v>3</v>
      </c>
      <c r="M579" s="62" t="s">
        <v>471</v>
      </c>
      <c r="N579" s="62" t="s">
        <v>6022</v>
      </c>
      <c r="O579" s="48" t="s">
        <v>502</v>
      </c>
      <c r="P579" s="48" t="s">
        <v>1425</v>
      </c>
      <c r="Q579" s="48" t="s">
        <v>2993</v>
      </c>
      <c r="R579" s="48" t="s">
        <v>399</v>
      </c>
      <c r="S579" s="48" t="s">
        <v>400</v>
      </c>
      <c r="T579" s="48" t="s">
        <v>401</v>
      </c>
      <c r="U579" s="48" t="s">
        <v>6023</v>
      </c>
      <c r="V579" s="122" t="s">
        <v>263</v>
      </c>
      <c r="W579" s="122" t="s">
        <v>263</v>
      </c>
      <c r="X579" s="48" t="s">
        <v>6024</v>
      </c>
      <c r="Y579" s="48" t="s">
        <v>6025</v>
      </c>
      <c r="Z579" s="61"/>
      <c r="AA579" s="48" t="s">
        <v>529</v>
      </c>
      <c r="AB579" s="48" t="s">
        <v>273</v>
      </c>
      <c r="AC579" s="48" t="s">
        <v>273</v>
      </c>
      <c r="AD579" s="48" t="s">
        <v>273</v>
      </c>
      <c r="AE579" s="48" t="s">
        <v>273</v>
      </c>
      <c r="AF579" s="48" t="s">
        <v>273</v>
      </c>
      <c r="AG579" s="48" t="s">
        <v>273</v>
      </c>
      <c r="AH579" s="48" t="s">
        <v>273</v>
      </c>
      <c r="AI579" s="48" t="s">
        <v>273</v>
      </c>
      <c r="AJ579" s="48" t="s">
        <v>273</v>
      </c>
      <c r="AK579" s="48" t="s">
        <v>530</v>
      </c>
      <c r="AL579" s="48" t="s">
        <v>273</v>
      </c>
      <c r="AM579" s="48" t="s">
        <v>273</v>
      </c>
      <c r="AN579" s="48" t="s">
        <v>273</v>
      </c>
      <c r="AO579" s="48" t="s">
        <v>273</v>
      </c>
      <c r="AP579" s="48" t="s">
        <v>273</v>
      </c>
      <c r="AQ579" s="48" t="s">
        <v>273</v>
      </c>
      <c r="AR579" s="48" t="s">
        <v>273</v>
      </c>
      <c r="AS579" s="48" t="s">
        <v>273</v>
      </c>
      <c r="AT579" s="48" t="s">
        <v>273</v>
      </c>
      <c r="AU579" s="93">
        <v>41699</v>
      </c>
      <c r="AV579" s="93" t="s">
        <v>6026</v>
      </c>
      <c r="AW579" s="93" t="s">
        <v>6027</v>
      </c>
      <c r="AX579" s="93" t="s">
        <v>6028</v>
      </c>
      <c r="AY579" s="93" t="s">
        <v>6029</v>
      </c>
    </row>
    <row r="580" spans="1:52" ht="16.5" customHeight="1" x14ac:dyDescent="0.15">
      <c r="A580" s="182" t="s">
        <v>6030</v>
      </c>
      <c r="B580" s="183" t="s">
        <v>6031</v>
      </c>
      <c r="C580" s="48" t="s">
        <v>298</v>
      </c>
      <c r="D580" s="62" t="s">
        <v>6032</v>
      </c>
      <c r="E580" s="48" t="s">
        <v>300</v>
      </c>
      <c r="F580" s="61">
        <v>42605</v>
      </c>
      <c r="G580" s="61">
        <v>0</v>
      </c>
      <c r="H580" s="125">
        <v>42648</v>
      </c>
      <c r="I580" s="61" t="s">
        <v>279</v>
      </c>
      <c r="J580" s="87"/>
      <c r="K580" s="62" t="s">
        <v>16</v>
      </c>
      <c r="L580" s="62">
        <v>3</v>
      </c>
      <c r="M580" s="62">
        <v>180</v>
      </c>
      <c r="N580" s="62" t="s">
        <v>6033</v>
      </c>
      <c r="O580" s="48" t="s">
        <v>1528</v>
      </c>
      <c r="P580" s="48" t="s">
        <v>6034</v>
      </c>
      <c r="Q580" s="48" t="s">
        <v>6035</v>
      </c>
      <c r="R580" s="48" t="s">
        <v>2048</v>
      </c>
      <c r="S580" s="48" t="s">
        <v>2049</v>
      </c>
      <c r="T580" s="48" t="s">
        <v>6036</v>
      </c>
      <c r="U580" s="48" t="s">
        <v>6037</v>
      </c>
      <c r="V580" s="122" t="s">
        <v>263</v>
      </c>
      <c r="W580" s="48" t="s">
        <v>6038</v>
      </c>
      <c r="X580" s="48" t="s">
        <v>6039</v>
      </c>
      <c r="Y580" s="48" t="s">
        <v>2090</v>
      </c>
      <c r="Z580" s="61"/>
      <c r="AA580" s="48" t="s">
        <v>453</v>
      </c>
      <c r="AB580" s="48" t="s">
        <v>273</v>
      </c>
      <c r="AC580" s="48" t="s">
        <v>273</v>
      </c>
      <c r="AD580" s="48" t="s">
        <v>273</v>
      </c>
      <c r="AE580" s="48" t="s">
        <v>273</v>
      </c>
      <c r="AF580" s="48" t="s">
        <v>273</v>
      </c>
      <c r="AG580" s="48" t="s">
        <v>273</v>
      </c>
      <c r="AH580" s="48" t="s">
        <v>273</v>
      </c>
      <c r="AI580" s="48" t="s">
        <v>273</v>
      </c>
      <c r="AJ580" s="48" t="s">
        <v>273</v>
      </c>
      <c r="AK580" s="48" t="s">
        <v>454</v>
      </c>
      <c r="AL580" s="48" t="s">
        <v>273</v>
      </c>
      <c r="AM580" s="48" t="s">
        <v>273</v>
      </c>
      <c r="AN580" s="48" t="s">
        <v>273</v>
      </c>
      <c r="AO580" s="48" t="s">
        <v>273</v>
      </c>
      <c r="AP580" s="48" t="s">
        <v>273</v>
      </c>
      <c r="AQ580" s="48" t="s">
        <v>273</v>
      </c>
      <c r="AR580" s="48" t="s">
        <v>273</v>
      </c>
      <c r="AS580" s="48" t="s">
        <v>273</v>
      </c>
      <c r="AT580" s="48" t="s">
        <v>273</v>
      </c>
      <c r="AU580" s="93">
        <v>36557</v>
      </c>
      <c r="AV580" s="93" t="s">
        <v>6040</v>
      </c>
      <c r="AW580" s="93" t="s">
        <v>6041</v>
      </c>
      <c r="AX580" s="93" t="s">
        <v>6042</v>
      </c>
      <c r="AY580" s="93" t="s">
        <v>5312</v>
      </c>
    </row>
    <row r="581" spans="1:52" ht="16.5" customHeight="1" x14ac:dyDescent="0.15">
      <c r="A581" s="182" t="s">
        <v>6043</v>
      </c>
      <c r="B581" s="183" t="s">
        <v>6044</v>
      </c>
      <c r="C581" s="48" t="s">
        <v>298</v>
      </c>
      <c r="D581" s="62" t="s">
        <v>6045</v>
      </c>
      <c r="E581" s="48" t="s">
        <v>264</v>
      </c>
      <c r="F581" s="61">
        <v>42605</v>
      </c>
      <c r="G581" s="61">
        <v>0</v>
      </c>
      <c r="H581" s="125">
        <v>42662</v>
      </c>
      <c r="I581" s="61" t="s">
        <v>279</v>
      </c>
      <c r="J581" s="87"/>
      <c r="K581" s="62" t="s">
        <v>16</v>
      </c>
      <c r="L581" s="62">
        <v>3</v>
      </c>
      <c r="M581" s="62" t="s">
        <v>651</v>
      </c>
      <c r="N581" s="62" t="s">
        <v>6046</v>
      </c>
      <c r="O581" s="48" t="s">
        <v>1065</v>
      </c>
      <c r="P581" s="48" t="s">
        <v>6047</v>
      </c>
      <c r="Q581" s="48" t="s">
        <v>3957</v>
      </c>
      <c r="R581" s="48" t="s">
        <v>6048</v>
      </c>
      <c r="S581" s="48" t="s">
        <v>1650</v>
      </c>
      <c r="T581" s="48" t="s">
        <v>1171</v>
      </c>
      <c r="U581" s="48" t="s">
        <v>6049</v>
      </c>
      <c r="V581" s="122" t="s">
        <v>263</v>
      </c>
      <c r="W581" s="122" t="s">
        <v>263</v>
      </c>
      <c r="X581" s="48" t="s">
        <v>6050</v>
      </c>
      <c r="Y581" s="48" t="s">
        <v>6051</v>
      </c>
      <c r="Z581" s="61"/>
      <c r="AA581" s="48" t="s">
        <v>5894</v>
      </c>
      <c r="AB581" s="48" t="s">
        <v>5895</v>
      </c>
      <c r="AC581" s="48" t="s">
        <v>273</v>
      </c>
      <c r="AD581" s="48" t="s">
        <v>273</v>
      </c>
      <c r="AE581" s="48" t="s">
        <v>273</v>
      </c>
      <c r="AF581" s="48" t="s">
        <v>273</v>
      </c>
      <c r="AG581" s="48" t="s">
        <v>273</v>
      </c>
      <c r="AH581" s="48" t="s">
        <v>273</v>
      </c>
      <c r="AI581" s="48" t="s">
        <v>273</v>
      </c>
      <c r="AJ581" s="48" t="s">
        <v>273</v>
      </c>
      <c r="AK581" s="48" t="s">
        <v>5896</v>
      </c>
      <c r="AL581" s="48" t="s">
        <v>6052</v>
      </c>
      <c r="AM581" s="48" t="s">
        <v>273</v>
      </c>
      <c r="AN581" s="48" t="s">
        <v>273</v>
      </c>
      <c r="AO581" s="48" t="s">
        <v>273</v>
      </c>
      <c r="AP581" s="48" t="s">
        <v>273</v>
      </c>
      <c r="AQ581" s="48" t="s">
        <v>273</v>
      </c>
      <c r="AR581" s="48" t="s">
        <v>273</v>
      </c>
      <c r="AS581" s="48" t="s">
        <v>273</v>
      </c>
      <c r="AT581" s="48" t="s">
        <v>273</v>
      </c>
      <c r="AU581" s="93">
        <v>41091</v>
      </c>
      <c r="AV581" s="93" t="s">
        <v>6053</v>
      </c>
      <c r="AW581" s="93" t="s">
        <v>6054</v>
      </c>
      <c r="AX581" s="93" t="s">
        <v>6055</v>
      </c>
      <c r="AY581" s="93" t="s">
        <v>5312</v>
      </c>
    </row>
    <row r="582" spans="1:52" ht="16.5" customHeight="1" x14ac:dyDescent="0.15">
      <c r="A582" s="153" t="s">
        <v>6056</v>
      </c>
      <c r="B582" s="154" t="s">
        <v>6057</v>
      </c>
      <c r="C582" s="48" t="s">
        <v>6058</v>
      </c>
      <c r="D582" s="62" t="s">
        <v>6059</v>
      </c>
      <c r="E582" s="48" t="s">
        <v>264</v>
      </c>
      <c r="F582" s="61">
        <v>42606</v>
      </c>
      <c r="G582" s="61">
        <v>0</v>
      </c>
      <c r="H582" s="125">
        <v>42613</v>
      </c>
      <c r="I582" s="61" t="s">
        <v>279</v>
      </c>
      <c r="J582" s="87"/>
      <c r="K582" s="62" t="s">
        <v>16</v>
      </c>
      <c r="L582" s="124" t="s">
        <v>263</v>
      </c>
      <c r="M582" s="62" t="s">
        <v>209</v>
      </c>
      <c r="N582" s="62" t="s">
        <v>6060</v>
      </c>
      <c r="O582" s="48" t="s">
        <v>3919</v>
      </c>
      <c r="P582" s="48" t="s">
        <v>6061</v>
      </c>
      <c r="Q582" s="48" t="s">
        <v>2953</v>
      </c>
      <c r="R582" s="48" t="s">
        <v>3921</v>
      </c>
      <c r="S582" s="48" t="s">
        <v>1484</v>
      </c>
      <c r="T582" s="48" t="s">
        <v>1485</v>
      </c>
      <c r="U582" s="48" t="s">
        <v>6062</v>
      </c>
      <c r="V582" s="122" t="s">
        <v>263</v>
      </c>
      <c r="W582" s="122" t="s">
        <v>263</v>
      </c>
      <c r="X582" s="48" t="s">
        <v>6063</v>
      </c>
      <c r="Y582" s="48" t="s">
        <v>6064</v>
      </c>
      <c r="Z582" s="61"/>
      <c r="AA582" s="48" t="s">
        <v>273</v>
      </c>
      <c r="AB582" s="48" t="s">
        <v>273</v>
      </c>
      <c r="AC582" s="48" t="s">
        <v>273</v>
      </c>
      <c r="AD582" s="48" t="s">
        <v>273</v>
      </c>
      <c r="AE582" s="48" t="s">
        <v>273</v>
      </c>
      <c r="AF582" s="48" t="s">
        <v>273</v>
      </c>
      <c r="AG582" s="48" t="s">
        <v>273</v>
      </c>
      <c r="AH582" s="48" t="s">
        <v>273</v>
      </c>
      <c r="AI582" s="48" t="s">
        <v>273</v>
      </c>
      <c r="AJ582" s="48" t="s">
        <v>273</v>
      </c>
      <c r="AK582" s="48" t="s">
        <v>273</v>
      </c>
      <c r="AL582" s="48" t="s">
        <v>273</v>
      </c>
      <c r="AM582" s="48" t="s">
        <v>273</v>
      </c>
      <c r="AN582" s="48" t="s">
        <v>273</v>
      </c>
      <c r="AO582" s="48" t="s">
        <v>273</v>
      </c>
      <c r="AP582" s="48" t="s">
        <v>273</v>
      </c>
      <c r="AQ582" s="48" t="s">
        <v>273</v>
      </c>
      <c r="AR582" s="48" t="s">
        <v>273</v>
      </c>
      <c r="AS582" s="48" t="s">
        <v>273</v>
      </c>
      <c r="AT582" s="48" t="s">
        <v>273</v>
      </c>
      <c r="AU582" s="93">
        <v>42430</v>
      </c>
      <c r="AV582" s="93" t="s">
        <v>6065</v>
      </c>
      <c r="AW582" s="93" t="s">
        <v>6066</v>
      </c>
      <c r="AX582" s="93" t="s">
        <v>6067</v>
      </c>
      <c r="AY582" s="93" t="s">
        <v>6068</v>
      </c>
      <c r="AZ582" s="49" t="s">
        <v>6069</v>
      </c>
    </row>
    <row r="583" spans="1:52" ht="16.5" customHeight="1" x14ac:dyDescent="0.15">
      <c r="A583" s="199" t="s">
        <v>6070</v>
      </c>
      <c r="B583" s="209" t="s">
        <v>6071</v>
      </c>
      <c r="C583" s="48" t="s">
        <v>6072</v>
      </c>
      <c r="D583" s="62" t="s">
        <v>263</v>
      </c>
      <c r="E583" s="48" t="s">
        <v>264</v>
      </c>
      <c r="F583" s="61">
        <v>42606</v>
      </c>
      <c r="G583" s="61">
        <v>0</v>
      </c>
      <c r="H583" s="125">
        <v>42689</v>
      </c>
      <c r="I583" s="61" t="s">
        <v>1249</v>
      </c>
      <c r="J583" s="87"/>
      <c r="K583" s="62" t="s">
        <v>6073</v>
      </c>
      <c r="L583" s="62">
        <v>3</v>
      </c>
      <c r="M583" s="62" t="s">
        <v>680</v>
      </c>
      <c r="N583" s="62" t="s">
        <v>6074</v>
      </c>
      <c r="O583" s="48" t="s">
        <v>1648</v>
      </c>
      <c r="P583" s="48" t="s">
        <v>267</v>
      </c>
      <c r="Q583" s="48" t="s">
        <v>892</v>
      </c>
      <c r="R583" s="48"/>
      <c r="S583" s="48" t="s">
        <v>6075</v>
      </c>
      <c r="T583" s="48" t="s">
        <v>6076</v>
      </c>
      <c r="U583" s="48" t="s">
        <v>6077</v>
      </c>
      <c r="V583" s="122" t="s">
        <v>5866</v>
      </c>
      <c r="W583" s="122" t="s">
        <v>5866</v>
      </c>
      <c r="X583" s="122" t="s">
        <v>5866</v>
      </c>
      <c r="Y583" s="122" t="s">
        <v>5866</v>
      </c>
      <c r="Z583" s="61"/>
      <c r="AA583" s="48" t="s">
        <v>833</v>
      </c>
      <c r="AB583" s="48" t="s">
        <v>273</v>
      </c>
      <c r="AC583" s="48" t="s">
        <v>273</v>
      </c>
      <c r="AD583" s="48" t="s">
        <v>273</v>
      </c>
      <c r="AE583" s="48" t="s">
        <v>273</v>
      </c>
      <c r="AF583" s="48" t="s">
        <v>273</v>
      </c>
      <c r="AG583" s="48" t="s">
        <v>273</v>
      </c>
      <c r="AH583" s="48" t="s">
        <v>273</v>
      </c>
      <c r="AI583" s="48" t="s">
        <v>273</v>
      </c>
      <c r="AJ583" s="48" t="s">
        <v>273</v>
      </c>
      <c r="AK583" s="48" t="s">
        <v>834</v>
      </c>
      <c r="AL583" s="48" t="s">
        <v>273</v>
      </c>
      <c r="AM583" s="48" t="s">
        <v>273</v>
      </c>
      <c r="AN583" s="48" t="s">
        <v>273</v>
      </c>
      <c r="AO583" s="48" t="s">
        <v>273</v>
      </c>
      <c r="AP583" s="48" t="s">
        <v>273</v>
      </c>
      <c r="AQ583" s="48" t="s">
        <v>273</v>
      </c>
      <c r="AR583" s="48" t="s">
        <v>273</v>
      </c>
      <c r="AS583" s="48" t="s">
        <v>273</v>
      </c>
      <c r="AT583" s="48" t="s">
        <v>273</v>
      </c>
      <c r="AU583" s="93">
        <v>40603</v>
      </c>
      <c r="AV583" s="93" t="s">
        <v>6078</v>
      </c>
      <c r="AW583" s="93" t="s">
        <v>6079</v>
      </c>
      <c r="AX583" s="93" t="s">
        <v>6080</v>
      </c>
      <c r="AY583" s="93" t="s">
        <v>6081</v>
      </c>
    </row>
    <row r="584" spans="1:52" ht="16.5" customHeight="1" x14ac:dyDescent="0.15">
      <c r="A584" s="121" t="s">
        <v>6082</v>
      </c>
      <c r="B584" s="47" t="s">
        <v>6083</v>
      </c>
      <c r="C584" s="48" t="e">
        <f ca="1">INDIRECT("'["&amp;$C$1&amp;".xls]"&amp;$B584&amp;"'!$i$7")</f>
        <v>#REF!</v>
      </c>
      <c r="D584" s="62" t="e">
        <f ca="1">INDIRECT("'["&amp;$C$1&amp;".xls]"&amp;$B584&amp;"'!$b$7")</f>
        <v>#REF!</v>
      </c>
      <c r="E584" s="48" t="e">
        <f ca="1">IF(INDIRECT("'["&amp;$C$1&amp;".xls]"&amp;$B584&amp;"'!$i$2")="","",INDIRECT("'["&amp;$C$1&amp;".xls]"&amp;$B584&amp;"'!$i$2"))</f>
        <v>#REF!</v>
      </c>
      <c r="F584" s="61" t="e">
        <f ca="1">INDIRECT("'["&amp;$C$1&amp;".xls]"&amp;$B584&amp;"'!$b$2")</f>
        <v>#REF!</v>
      </c>
      <c r="G584" s="61" t="e">
        <f ca="1">INDIRECT("'["&amp;$C$1&amp;".xls]"&amp;$B584&amp;"'!$a$20")</f>
        <v>#REF!</v>
      </c>
      <c r="H584" s="88" t="e">
        <f ca="1">INDIRECT("'["&amp;$C$1&amp;".xls]"&amp;$B584&amp;"'!$Q$22")</f>
        <v>#REF!</v>
      </c>
      <c r="I584" s="61" t="e">
        <f ca="1">INDIRECT("'["&amp;$C$1&amp;".xls]"&amp;$B584&amp;"'!$f$6")</f>
        <v>#REF!</v>
      </c>
      <c r="J584" s="87"/>
      <c r="K584" s="62" t="e">
        <f ca="1">INDIRECT("'["&amp;$C$1&amp;".xls]"&amp;$B584&amp;"'!$f$25")</f>
        <v>#REF!</v>
      </c>
      <c r="L584" s="62"/>
      <c r="M584" s="62" t="e">
        <f ca="1">INDIRECT("'["&amp;$C$1&amp;".xls]"&amp;$B584&amp;"'!$f$4")</f>
        <v>#REF!</v>
      </c>
      <c r="N584" s="62" t="e">
        <f ca="1">INDIRECT("'["&amp;$C$1&amp;".xls]"&amp;$B584&amp;"'!$i$4")</f>
        <v>#REF!</v>
      </c>
      <c r="O584" s="48" t="e">
        <f ca="1">INDIRECT("'["&amp;$C$1&amp;".xls]"&amp;$B584&amp;"'!$l$4")</f>
        <v>#REF!</v>
      </c>
      <c r="P584" s="48" t="e">
        <f ca="1">INDIRECT("'["&amp;$C$1&amp;".xls]"&amp;$B584&amp;"'!$b$5")</f>
        <v>#REF!</v>
      </c>
      <c r="Q584" s="48" t="e">
        <f ca="1">INDIRECT("'["&amp;$C$1&amp;".xls]"&amp;$B584&amp;"'!$f$5")</f>
        <v>#REF!</v>
      </c>
      <c r="R584" s="48"/>
      <c r="S584" s="48" t="e">
        <f ca="1">INDIRECT("'["&amp;$C$1&amp;".xls]"&amp;$B584&amp;"'!$i$5")</f>
        <v>#REF!</v>
      </c>
      <c r="T584" s="48" t="e">
        <f ca="1">INDIRECT("'["&amp;$C$1&amp;".xls]"&amp;$B584&amp;"'!$l$5")</f>
        <v>#REF!</v>
      </c>
      <c r="U584" s="48" t="e">
        <f ca="1">INDIRECT("'["&amp;$C$1&amp;".xls]"&amp;$B584&amp;"'!$b$4")</f>
        <v>#REF!</v>
      </c>
      <c r="V584" s="48"/>
      <c r="W584" s="48"/>
      <c r="X584" s="48"/>
      <c r="Y584" s="48"/>
      <c r="Z584" s="61"/>
      <c r="AA584" s="48" t="e">
        <f ca="1">IF(INDIRECT("'["&amp;$C$1&amp;".xls]"&amp;$B584&amp;"'!$P$25")="","",IF(INDIRECT("'["&amp;$C$1&amp;".xls]"&amp;$B584&amp;"'!$O$25")="済み",INDIRECT("'["&amp;$C$1&amp;".xls]"&amp;$B584&amp;"'!$P$25"),""))</f>
        <v>#REF!</v>
      </c>
      <c r="AB584" s="48" t="e">
        <f ca="1">IF(INDIRECT("'["&amp;$C$1&amp;".xls]"&amp;$B584&amp;"'!$P$26")="","",IF(INDIRECT("'["&amp;$C$1&amp;".xls]"&amp;$B584&amp;"'!$O$26")="済み",INDIRECT("'["&amp;$C$1&amp;".xls]"&amp;$B584&amp;"'!$P$26"),""))</f>
        <v>#REF!</v>
      </c>
      <c r="AC584" s="48" t="e">
        <f ca="1">IF(INDIRECT("'["&amp;$C$1&amp;".xls]"&amp;$B584&amp;"'!$P$27")="","",IF(INDIRECT("'["&amp;$C$1&amp;".xls]"&amp;$B584&amp;"'!$O$27")="済み",INDIRECT("'["&amp;$C$1&amp;".xls]"&amp;$B584&amp;"'!$P$27"),""))</f>
        <v>#REF!</v>
      </c>
      <c r="AD584" s="48" t="e">
        <f ca="1">IF(INDIRECT("'["&amp;$C$1&amp;".xls]"&amp;$B584&amp;"'!$P$28")="","",IF(INDIRECT("'["&amp;$C$1&amp;".xls]"&amp;$B584&amp;"'!$O$28")="済み",INDIRECT("'["&amp;$C$1&amp;".xls]"&amp;$B584&amp;"'!$P$28"),""))</f>
        <v>#REF!</v>
      </c>
      <c r="AE584" s="48" t="e">
        <f ca="1">IF(INDIRECT("'["&amp;$C$1&amp;".xls]"&amp;$B584&amp;"'!$P$29")="","",IF(INDIRECT("'["&amp;$C$1&amp;".xls]"&amp;$B584&amp;"'!$O$29")="済み",INDIRECT("'["&amp;$C$1&amp;".xls]"&amp;$B584&amp;"'!$P$29"),""))</f>
        <v>#REF!</v>
      </c>
      <c r="AF584" s="48" t="e">
        <f ca="1">IF(INDIRECT("'["&amp;$C$1&amp;".xls]"&amp;$B584&amp;"'!$P$30")="","",IF(INDIRECT("'["&amp;$C$1&amp;".xls]"&amp;$B584&amp;"'!$O$30")="済み",INDIRECT("'["&amp;$C$1&amp;".xls]"&amp;$B584&amp;"'!$P$30"),""))</f>
        <v>#REF!</v>
      </c>
      <c r="AG584" s="48" t="e">
        <f ca="1">IF(INDIRECT("'["&amp;$C$1&amp;".xls]"&amp;$B584&amp;"'!$P$31")="","",IF(INDIRECT("'["&amp;$C$1&amp;".xls]"&amp;$B584&amp;"'!$O$31")="済み",INDIRECT("'["&amp;$C$1&amp;".xls]"&amp;$B584&amp;"'!$P$31"),""))</f>
        <v>#REF!</v>
      </c>
      <c r="AH584" s="48" t="e">
        <f ca="1">IF(INDIRECT("'["&amp;$C$1&amp;".xls]"&amp;$B584&amp;"'!$P$32")="","",IF(INDIRECT("'["&amp;$C$1&amp;".xls]"&amp;$B584&amp;"'!$O$32")="済み",INDIRECT("'["&amp;$C$1&amp;".xls]"&amp;$B584&amp;"'!$P$32"),""))</f>
        <v>#REF!</v>
      </c>
      <c r="AI584" s="48" t="e">
        <f ca="1">IF(INDIRECT("'["&amp;$C$1&amp;".xls]"&amp;$B584&amp;"'!$P$33")="","",IF(INDIRECT("'["&amp;$C$1&amp;".xls]"&amp;$B584&amp;"'!$O$33")="済み",INDIRECT("'["&amp;$C$1&amp;".xls]"&amp;$B584&amp;"'!$P$33"),""))</f>
        <v>#REF!</v>
      </c>
      <c r="AJ584" s="48" t="e">
        <f ca="1">IF(INDIRECT("'["&amp;$C$1&amp;".xls]"&amp;$B584&amp;"'!$P$34")="","",IF(INDIRECT("'["&amp;$C$1&amp;".xls]"&amp;$B584&amp;"'!$O$34")="済み",INDIRECT("'["&amp;$C$1&amp;".xls]"&amp;$B584&amp;"'!$P$34"),""))</f>
        <v>#REF!</v>
      </c>
      <c r="AK584" s="48" t="e">
        <f ca="1">IF(INDIRECT("'["&amp;$C$1&amp;".xls]"&amp;$B584&amp;"'!$T25")="","",IF(INDIRECT("'["&amp;$C$1&amp;".xls]"&amp;$B584&amp;"'!$O$25")="済み",INDIRECT("'["&amp;$C$1&amp;".xls]"&amp;$B584&amp;"'!$T$25"),""))</f>
        <v>#REF!</v>
      </c>
      <c r="AL584" s="48" t="e">
        <f ca="1">IF(INDIRECT("'["&amp;$C$1&amp;".xls]"&amp;$B584&amp;"'!$T26")="","",IF(INDIRECT("'["&amp;$C$1&amp;".xls]"&amp;$B584&amp;"'!$O$26")="済み",INDIRECT("'["&amp;$C$1&amp;".xls]"&amp;$B584&amp;"'!$T$26"),""))</f>
        <v>#REF!</v>
      </c>
      <c r="AM584" s="48" t="e">
        <f ca="1">IF(INDIRECT("'["&amp;$C$1&amp;".xls]"&amp;$B584&amp;"'!$T27")="","",IF(INDIRECT("'["&amp;$C$1&amp;".xls]"&amp;$B584&amp;"'!$O$27")="済み",INDIRECT("'["&amp;$C$1&amp;".xls]"&amp;$B584&amp;"'!$T$27"),""))</f>
        <v>#REF!</v>
      </c>
      <c r="AN584" s="48" t="e">
        <f ca="1">IF(INDIRECT("'["&amp;$C$1&amp;".xls]"&amp;$B584&amp;"'!$T28")="","",IF(INDIRECT("'["&amp;$C$1&amp;".xls]"&amp;$B584&amp;"'!$O$28")="済み",INDIRECT("'["&amp;$C$1&amp;".xls]"&amp;$B584&amp;"'!$T$28"),""))</f>
        <v>#REF!</v>
      </c>
      <c r="AO584" s="48" t="e">
        <f ca="1">IF(INDIRECT("'["&amp;$C$1&amp;".xls]"&amp;$B584&amp;"'!$T29")="","",IF(INDIRECT("'["&amp;$C$1&amp;".xls]"&amp;$B584&amp;"'!$O$29")="済み",INDIRECT("'["&amp;$C$1&amp;".xls]"&amp;$B584&amp;"'!$T$29"),""))</f>
        <v>#REF!</v>
      </c>
      <c r="AP584" s="48" t="e">
        <f ca="1">IF(INDIRECT("'["&amp;$C$1&amp;".xls]"&amp;$B584&amp;"'!$T30")="","",IF(INDIRECT("'["&amp;$C$1&amp;".xls]"&amp;$B584&amp;"'!$O$30")="済み",INDIRECT("'["&amp;$C$1&amp;".xls]"&amp;$B584&amp;"'!$T$30"),""))</f>
        <v>#REF!</v>
      </c>
      <c r="AQ584" s="48" t="e">
        <f ca="1">IF(INDIRECT("'["&amp;$C$1&amp;".xls]"&amp;$B584&amp;"'!$T31")="","",IF(INDIRECT("'["&amp;$C$1&amp;".xls]"&amp;$B584&amp;"'!$O$31")="済み",INDIRECT("'["&amp;$C$1&amp;".xls]"&amp;$B584&amp;"'!$T$31"),""))</f>
        <v>#REF!</v>
      </c>
      <c r="AR584" s="48" t="e">
        <f ca="1">IF(INDIRECT("'["&amp;$C$1&amp;".xls]"&amp;$B584&amp;"'!$T32")="","",IF(INDIRECT("'["&amp;$C$1&amp;".xls]"&amp;$B584&amp;"'!$O$32")="済み",INDIRECT("'["&amp;$C$1&amp;".xls]"&amp;$B584&amp;"'!$T$32"),""))</f>
        <v>#REF!</v>
      </c>
      <c r="AS584" s="48" t="e">
        <f ca="1">IF(INDIRECT("'["&amp;$C$1&amp;".xls]"&amp;$B584&amp;"'!$T33")="","",IF(INDIRECT("'["&amp;$C$1&amp;".xls]"&amp;$B584&amp;"'!$O$33")="済み",INDIRECT("'["&amp;$C$1&amp;".xls]"&amp;$B584&amp;"'!$T$33"),""))</f>
        <v>#REF!</v>
      </c>
      <c r="AT584" s="48" t="e">
        <f ca="1">IF(INDIRECT("'["&amp;$C$1&amp;".xls]"&amp;$B584&amp;"'!$T34")="","",IF(INDIRECT("'["&amp;$C$1&amp;".xls]"&amp;$B584&amp;"'!$O$34")="済み",INDIRECT("'["&amp;$C$1&amp;".xls]"&amp;$B584&amp;"'!$T$34"),""))</f>
        <v>#REF!</v>
      </c>
      <c r="AU584" s="93" t="e">
        <f ca="1">INDIRECT("'["&amp;$C$1&amp;".xls]"&amp;$B584&amp;"'!$B$6")</f>
        <v>#REF!</v>
      </c>
      <c r="AV584" s="93" t="e">
        <f ca="1">INDIRECT("'["&amp;$C$1&amp;".xls]"&amp;$B584&amp;"'!$Y$22")</f>
        <v>#REF!</v>
      </c>
      <c r="AW584" s="93" t="e">
        <f ca="1">INDIRECT("'["&amp;$C$1&amp;".xls]"&amp;$B584&amp;"'!$Y$24")</f>
        <v>#REF!</v>
      </c>
      <c r="AX584" s="93" t="e">
        <f ca="1">INDIRECT("'["&amp;$C$1&amp;".xls]"&amp;$B584&amp;"'!$Y$26")</f>
        <v>#REF!</v>
      </c>
      <c r="AY584" s="93" t="e">
        <f ca="1">INDIRECT("'["&amp;$C$1&amp;".xls]"&amp;$B584&amp;"'!$Y$28")</f>
        <v>#REF!</v>
      </c>
    </row>
    <row r="585" spans="1:52" ht="16.5" customHeight="1" x14ac:dyDescent="0.15">
      <c r="A585" s="156" t="s">
        <v>6084</v>
      </c>
      <c r="B585" s="157" t="s">
        <v>6085</v>
      </c>
      <c r="C585" s="48" t="s">
        <v>298</v>
      </c>
      <c r="D585" s="62" t="s">
        <v>6086</v>
      </c>
      <c r="E585" s="48" t="s">
        <v>300</v>
      </c>
      <c r="F585" s="61">
        <v>42606</v>
      </c>
      <c r="G585" s="61">
        <v>0</v>
      </c>
      <c r="H585" s="125">
        <v>42620</v>
      </c>
      <c r="I585" s="61" t="s">
        <v>279</v>
      </c>
      <c r="J585" s="87"/>
      <c r="K585" s="62" t="s">
        <v>16</v>
      </c>
      <c r="L585" s="62">
        <v>3</v>
      </c>
      <c r="M585" s="62" t="s">
        <v>409</v>
      </c>
      <c r="N585" s="62" t="s">
        <v>6087</v>
      </c>
      <c r="O585" s="48" t="s">
        <v>948</v>
      </c>
      <c r="P585" s="48" t="s">
        <v>6088</v>
      </c>
      <c r="Q585" s="48" t="s">
        <v>880</v>
      </c>
      <c r="R585" s="48" t="s">
        <v>6089</v>
      </c>
      <c r="S585" s="48" t="s">
        <v>6090</v>
      </c>
      <c r="T585" s="48" t="s">
        <v>6091</v>
      </c>
      <c r="U585" s="48" t="s">
        <v>6092</v>
      </c>
      <c r="V585" s="122" t="s">
        <v>263</v>
      </c>
      <c r="W585" s="122" t="s">
        <v>263</v>
      </c>
      <c r="X585" s="48" t="s">
        <v>6093</v>
      </c>
      <c r="Y585" s="48" t="s">
        <v>6094</v>
      </c>
      <c r="Z585" s="61"/>
      <c r="AA585" s="48" t="s">
        <v>978</v>
      </c>
      <c r="AB585" s="48" t="s">
        <v>291</v>
      </c>
      <c r="AC585" s="48" t="s">
        <v>273</v>
      </c>
      <c r="AD585" s="48" t="s">
        <v>273</v>
      </c>
      <c r="AE585" s="48" t="s">
        <v>273</v>
      </c>
      <c r="AF585" s="48" t="s">
        <v>273</v>
      </c>
      <c r="AG585" s="48" t="s">
        <v>273</v>
      </c>
      <c r="AH585" s="48" t="s">
        <v>273</v>
      </c>
      <c r="AI585" s="48" t="s">
        <v>273</v>
      </c>
      <c r="AJ585" s="48" t="s">
        <v>273</v>
      </c>
      <c r="AK585" s="48" t="s">
        <v>600</v>
      </c>
      <c r="AL585" s="48" t="s">
        <v>293</v>
      </c>
      <c r="AM585" s="48" t="s">
        <v>273</v>
      </c>
      <c r="AN585" s="48" t="s">
        <v>273</v>
      </c>
      <c r="AO585" s="48" t="s">
        <v>273</v>
      </c>
      <c r="AP585" s="48" t="s">
        <v>273</v>
      </c>
      <c r="AQ585" s="48" t="s">
        <v>273</v>
      </c>
      <c r="AR585" s="48" t="s">
        <v>273</v>
      </c>
      <c r="AS585" s="48" t="s">
        <v>273</v>
      </c>
      <c r="AT585" s="48" t="s">
        <v>273</v>
      </c>
      <c r="AU585" s="93">
        <v>40603</v>
      </c>
      <c r="AV585" s="93" t="s">
        <v>6095</v>
      </c>
      <c r="AW585" s="93" t="s">
        <v>6096</v>
      </c>
      <c r="AX585" s="93" t="s">
        <v>6097</v>
      </c>
      <c r="AY585" s="93" t="s">
        <v>5312</v>
      </c>
    </row>
    <row r="586" spans="1:52" ht="16.5" customHeight="1" x14ac:dyDescent="0.15">
      <c r="A586" s="182" t="s">
        <v>6098</v>
      </c>
      <c r="B586" s="183" t="s">
        <v>6099</v>
      </c>
      <c r="C586" s="48" t="s">
        <v>6100</v>
      </c>
      <c r="D586" s="62" t="s">
        <v>6101</v>
      </c>
      <c r="E586" s="48" t="s">
        <v>264</v>
      </c>
      <c r="F586" s="61">
        <v>42607</v>
      </c>
      <c r="G586" s="61">
        <v>0</v>
      </c>
      <c r="H586" s="125">
        <v>42668</v>
      </c>
      <c r="I586" s="61">
        <v>42305</v>
      </c>
      <c r="J586" s="87"/>
      <c r="K586" s="62" t="s">
        <v>16</v>
      </c>
      <c r="L586" s="62">
        <v>3</v>
      </c>
      <c r="M586" s="62" t="s">
        <v>651</v>
      </c>
      <c r="N586" s="62" t="s">
        <v>6102</v>
      </c>
      <c r="O586" s="48" t="s">
        <v>4910</v>
      </c>
      <c r="P586" s="48" t="s">
        <v>1543</v>
      </c>
      <c r="Q586" s="48" t="s">
        <v>6103</v>
      </c>
      <c r="R586" s="48" t="s">
        <v>1545</v>
      </c>
      <c r="S586" s="48" t="s">
        <v>1546</v>
      </c>
      <c r="T586" s="48" t="s">
        <v>1547</v>
      </c>
      <c r="U586" s="48" t="s">
        <v>1548</v>
      </c>
      <c r="V586" s="48" t="s">
        <v>6104</v>
      </c>
      <c r="W586" s="48" t="s">
        <v>6105</v>
      </c>
      <c r="X586" s="48" t="s">
        <v>1549</v>
      </c>
      <c r="Y586" s="48" t="s">
        <v>1550</v>
      </c>
      <c r="Z586" s="61"/>
      <c r="AA586" s="48" t="s">
        <v>962</v>
      </c>
      <c r="AB586" s="48" t="s">
        <v>273</v>
      </c>
      <c r="AC586" s="48" t="s">
        <v>273</v>
      </c>
      <c r="AD586" s="48" t="s">
        <v>273</v>
      </c>
      <c r="AE586" s="48" t="s">
        <v>273</v>
      </c>
      <c r="AF586" s="48" t="s">
        <v>273</v>
      </c>
      <c r="AG586" s="48" t="s">
        <v>273</v>
      </c>
      <c r="AH586" s="48" t="s">
        <v>273</v>
      </c>
      <c r="AI586" s="48" t="s">
        <v>273</v>
      </c>
      <c r="AJ586" s="48" t="s">
        <v>273</v>
      </c>
      <c r="AK586" s="48" t="s">
        <v>963</v>
      </c>
      <c r="AL586" s="48" t="s">
        <v>273</v>
      </c>
      <c r="AM586" s="48" t="s">
        <v>273</v>
      </c>
      <c r="AN586" s="48" t="s">
        <v>273</v>
      </c>
      <c r="AO586" s="48" t="s">
        <v>273</v>
      </c>
      <c r="AP586" s="48" t="s">
        <v>273</v>
      </c>
      <c r="AQ586" s="48" t="s">
        <v>273</v>
      </c>
      <c r="AR586" s="48" t="s">
        <v>273</v>
      </c>
      <c r="AS586" s="48" t="s">
        <v>273</v>
      </c>
      <c r="AT586" s="48" t="s">
        <v>273</v>
      </c>
      <c r="AU586" s="93">
        <v>42217</v>
      </c>
      <c r="AV586" s="93" t="s">
        <v>6106</v>
      </c>
      <c r="AW586" s="93" t="s">
        <v>6107</v>
      </c>
      <c r="AX586" s="93" t="s">
        <v>5924</v>
      </c>
      <c r="AY586" s="93" t="s">
        <v>6108</v>
      </c>
    </row>
    <row r="587" spans="1:52" ht="16.5" customHeight="1" x14ac:dyDescent="0.15">
      <c r="A587" s="182" t="s">
        <v>6109</v>
      </c>
      <c r="B587" s="183" t="s">
        <v>6110</v>
      </c>
      <c r="C587" s="48" t="s">
        <v>330</v>
      </c>
      <c r="D587" s="62" t="s">
        <v>263</v>
      </c>
      <c r="E587" s="48" t="s">
        <v>273</v>
      </c>
      <c r="F587" s="61">
        <v>42607</v>
      </c>
      <c r="G587" s="61">
        <v>0</v>
      </c>
      <c r="H587" s="125">
        <v>42674</v>
      </c>
      <c r="I587" s="61">
        <v>39477</v>
      </c>
      <c r="J587" s="87"/>
      <c r="K587" s="124" t="s">
        <v>5866</v>
      </c>
      <c r="L587" s="124" t="s">
        <v>5866</v>
      </c>
      <c r="M587" s="62" t="s">
        <v>394</v>
      </c>
      <c r="N587" s="62" t="s">
        <v>6111</v>
      </c>
      <c r="O587" s="48" t="s">
        <v>396</v>
      </c>
      <c r="P587" s="48" t="s">
        <v>4275</v>
      </c>
      <c r="Q587" s="48" t="s">
        <v>6112</v>
      </c>
      <c r="R587" s="48" t="s">
        <v>399</v>
      </c>
      <c r="S587" s="48" t="s">
        <v>400</v>
      </c>
      <c r="T587" s="48" t="s">
        <v>401</v>
      </c>
      <c r="U587" s="48" t="s">
        <v>558</v>
      </c>
      <c r="V587" s="122" t="s">
        <v>263</v>
      </c>
      <c r="W587" s="122" t="s">
        <v>263</v>
      </c>
      <c r="X587" s="48" t="s">
        <v>559</v>
      </c>
      <c r="Y587" s="48" t="s">
        <v>560</v>
      </c>
      <c r="Z587" s="61"/>
      <c r="AA587" s="48" t="s">
        <v>273</v>
      </c>
      <c r="AB587" s="48" t="s">
        <v>273</v>
      </c>
      <c r="AC587" s="48" t="s">
        <v>273</v>
      </c>
      <c r="AD587" s="48" t="s">
        <v>273</v>
      </c>
      <c r="AE587" s="48" t="s">
        <v>273</v>
      </c>
      <c r="AF587" s="48" t="s">
        <v>273</v>
      </c>
      <c r="AG587" s="48" t="s">
        <v>273</v>
      </c>
      <c r="AH587" s="48" t="s">
        <v>273</v>
      </c>
      <c r="AI587" s="48" t="s">
        <v>273</v>
      </c>
      <c r="AJ587" s="48" t="s">
        <v>273</v>
      </c>
      <c r="AK587" s="48" t="s">
        <v>273</v>
      </c>
      <c r="AL587" s="48" t="s">
        <v>273</v>
      </c>
      <c r="AM587" s="48" t="s">
        <v>273</v>
      </c>
      <c r="AN587" s="48" t="s">
        <v>273</v>
      </c>
      <c r="AO587" s="48" t="s">
        <v>273</v>
      </c>
      <c r="AP587" s="48" t="s">
        <v>273</v>
      </c>
      <c r="AQ587" s="48" t="s">
        <v>273</v>
      </c>
      <c r="AR587" s="48" t="s">
        <v>273</v>
      </c>
      <c r="AS587" s="48" t="s">
        <v>273</v>
      </c>
      <c r="AT587" s="48" t="s">
        <v>273</v>
      </c>
      <c r="AU587" s="93">
        <v>39114</v>
      </c>
      <c r="AV587" s="93" t="s">
        <v>6113</v>
      </c>
      <c r="AW587" s="93" t="s">
        <v>6114</v>
      </c>
      <c r="AX587" s="93" t="s">
        <v>273</v>
      </c>
      <c r="AY587" s="93" t="s">
        <v>6115</v>
      </c>
    </row>
    <row r="588" spans="1:52" ht="16.5" customHeight="1" x14ac:dyDescent="0.15">
      <c r="A588" s="182" t="s">
        <v>6116</v>
      </c>
      <c r="B588" s="183" t="s">
        <v>6117</v>
      </c>
      <c r="C588" s="48" t="s">
        <v>6118</v>
      </c>
      <c r="D588" s="62" t="s">
        <v>263</v>
      </c>
      <c r="E588" s="48" t="s">
        <v>264</v>
      </c>
      <c r="F588" s="61">
        <v>42607</v>
      </c>
      <c r="G588" s="61">
        <v>0</v>
      </c>
      <c r="H588" s="125">
        <v>42668</v>
      </c>
      <c r="I588" s="61">
        <v>41822</v>
      </c>
      <c r="J588" s="87"/>
      <c r="K588" s="62" t="s">
        <v>2506</v>
      </c>
      <c r="L588" s="62">
        <v>3</v>
      </c>
      <c r="M588" s="62" t="s">
        <v>471</v>
      </c>
      <c r="N588" s="62" t="s">
        <v>6119</v>
      </c>
      <c r="O588" s="48" t="s">
        <v>502</v>
      </c>
      <c r="P588" s="48" t="s">
        <v>6120</v>
      </c>
      <c r="Q588" s="48" t="s">
        <v>1226</v>
      </c>
      <c r="R588" s="48" t="s">
        <v>399</v>
      </c>
      <c r="S588" s="48" t="s">
        <v>400</v>
      </c>
      <c r="T588" s="48" t="s">
        <v>401</v>
      </c>
      <c r="U588" s="48" t="s">
        <v>6121</v>
      </c>
      <c r="V588" s="122" t="s">
        <v>263</v>
      </c>
      <c r="W588" s="122" t="s">
        <v>263</v>
      </c>
      <c r="X588" s="48" t="s">
        <v>6122</v>
      </c>
      <c r="Y588" s="48" t="s">
        <v>6123</v>
      </c>
      <c r="Z588" s="61"/>
      <c r="AA588" s="48" t="s">
        <v>508</v>
      </c>
      <c r="AB588" s="48" t="s">
        <v>273</v>
      </c>
      <c r="AC588" s="48" t="s">
        <v>273</v>
      </c>
      <c r="AD588" s="48" t="s">
        <v>273</v>
      </c>
      <c r="AE588" s="48" t="s">
        <v>273</v>
      </c>
      <c r="AF588" s="48" t="s">
        <v>273</v>
      </c>
      <c r="AG588" s="48" t="s">
        <v>273</v>
      </c>
      <c r="AH588" s="48" t="s">
        <v>273</v>
      </c>
      <c r="AI588" s="48" t="s">
        <v>273</v>
      </c>
      <c r="AJ588" s="48" t="s">
        <v>273</v>
      </c>
      <c r="AK588" s="48" t="s">
        <v>509</v>
      </c>
      <c r="AL588" s="48" t="s">
        <v>273</v>
      </c>
      <c r="AM588" s="48" t="s">
        <v>273</v>
      </c>
      <c r="AN588" s="48" t="s">
        <v>273</v>
      </c>
      <c r="AO588" s="48" t="s">
        <v>273</v>
      </c>
      <c r="AP588" s="48" t="s">
        <v>273</v>
      </c>
      <c r="AQ588" s="48" t="s">
        <v>273</v>
      </c>
      <c r="AR588" s="48" t="s">
        <v>273</v>
      </c>
      <c r="AS588" s="48" t="s">
        <v>273</v>
      </c>
      <c r="AT588" s="48" t="s">
        <v>273</v>
      </c>
      <c r="AU588" s="93">
        <v>41699</v>
      </c>
      <c r="AV588" s="93" t="s">
        <v>6124</v>
      </c>
      <c r="AW588" s="93" t="s">
        <v>6125</v>
      </c>
      <c r="AX588" s="93" t="s">
        <v>5365</v>
      </c>
      <c r="AY588" s="93" t="s">
        <v>5366</v>
      </c>
    </row>
    <row r="589" spans="1:52" ht="16.5" customHeight="1" x14ac:dyDescent="0.15">
      <c r="A589" s="182" t="s">
        <v>6126</v>
      </c>
      <c r="B589" s="183" t="s">
        <v>6127</v>
      </c>
      <c r="C589" s="48" t="s">
        <v>330</v>
      </c>
      <c r="D589" s="62" t="s">
        <v>6128</v>
      </c>
      <c r="E589" s="48" t="s">
        <v>300</v>
      </c>
      <c r="F589" s="61">
        <v>42607</v>
      </c>
      <c r="G589" s="61">
        <v>0</v>
      </c>
      <c r="H589" s="125">
        <v>42657</v>
      </c>
      <c r="I589" s="61" t="s">
        <v>279</v>
      </c>
      <c r="J589" s="87"/>
      <c r="K589" s="124" t="s">
        <v>5866</v>
      </c>
      <c r="L589" s="124" t="s">
        <v>5866</v>
      </c>
      <c r="M589" s="62" t="s">
        <v>409</v>
      </c>
      <c r="N589" s="62" t="s">
        <v>6129</v>
      </c>
      <c r="O589" s="48" t="s">
        <v>1436</v>
      </c>
      <c r="P589" s="48" t="s">
        <v>6130</v>
      </c>
      <c r="Q589" s="48" t="s">
        <v>1742</v>
      </c>
      <c r="R589" s="48" t="s">
        <v>6131</v>
      </c>
      <c r="S589" s="48" t="s">
        <v>6132</v>
      </c>
      <c r="T589" s="48" t="s">
        <v>6133</v>
      </c>
      <c r="U589" s="48" t="s">
        <v>6134</v>
      </c>
      <c r="V589" s="122" t="s">
        <v>263</v>
      </c>
      <c r="W589" s="122" t="s">
        <v>263</v>
      </c>
      <c r="X589" s="48" t="s">
        <v>6135</v>
      </c>
      <c r="Y589" s="48" t="s">
        <v>6136</v>
      </c>
      <c r="Z589" s="61"/>
      <c r="AA589" s="48" t="s">
        <v>273</v>
      </c>
      <c r="AB589" s="48" t="s">
        <v>273</v>
      </c>
      <c r="AC589" s="48" t="s">
        <v>273</v>
      </c>
      <c r="AD589" s="48" t="s">
        <v>273</v>
      </c>
      <c r="AE589" s="48" t="s">
        <v>273</v>
      </c>
      <c r="AF589" s="48" t="s">
        <v>273</v>
      </c>
      <c r="AG589" s="48" t="s">
        <v>273</v>
      </c>
      <c r="AH589" s="48" t="s">
        <v>273</v>
      </c>
      <c r="AI589" s="48" t="s">
        <v>273</v>
      </c>
      <c r="AJ589" s="48" t="s">
        <v>273</v>
      </c>
      <c r="AK589" s="48" t="s">
        <v>273</v>
      </c>
      <c r="AL589" s="48" t="s">
        <v>273</v>
      </c>
      <c r="AM589" s="48" t="s">
        <v>273</v>
      </c>
      <c r="AN589" s="48" t="s">
        <v>273</v>
      </c>
      <c r="AO589" s="48" t="s">
        <v>273</v>
      </c>
      <c r="AP589" s="48" t="s">
        <v>273</v>
      </c>
      <c r="AQ589" s="48" t="s">
        <v>273</v>
      </c>
      <c r="AR589" s="48" t="s">
        <v>273</v>
      </c>
      <c r="AS589" s="48" t="s">
        <v>273</v>
      </c>
      <c r="AT589" s="48" t="s">
        <v>273</v>
      </c>
      <c r="AU589" s="93">
        <v>39114</v>
      </c>
      <c r="AV589" s="93" t="s">
        <v>6137</v>
      </c>
      <c r="AW589" s="93" t="s">
        <v>6138</v>
      </c>
      <c r="AX589" s="93" t="s">
        <v>6139</v>
      </c>
      <c r="AY589" s="93" t="s">
        <v>6140</v>
      </c>
    </row>
    <row r="590" spans="1:52" ht="16.5" customHeight="1" x14ac:dyDescent="0.15">
      <c r="A590" s="121" t="s">
        <v>6141</v>
      </c>
      <c r="B590" s="47" t="s">
        <v>6142</v>
      </c>
      <c r="C590" s="48" t="e">
        <f ca="1">INDIRECT("'["&amp;$C$1&amp;".xls]"&amp;$B590&amp;"'!$i$7")</f>
        <v>#REF!</v>
      </c>
      <c r="D590" s="62" t="e">
        <f ca="1">INDIRECT("'["&amp;$C$1&amp;".xls]"&amp;$B590&amp;"'!$b$7")</f>
        <v>#REF!</v>
      </c>
      <c r="E590" s="48" t="e">
        <f ca="1">IF(INDIRECT("'["&amp;$C$1&amp;".xls]"&amp;$B590&amp;"'!$i$2")="","",INDIRECT("'["&amp;$C$1&amp;".xls]"&amp;$B590&amp;"'!$i$2"))</f>
        <v>#REF!</v>
      </c>
      <c r="F590" s="61" t="e">
        <f ca="1">INDIRECT("'["&amp;$C$1&amp;".xls]"&amp;$B590&amp;"'!$b$2")</f>
        <v>#REF!</v>
      </c>
      <c r="G590" s="61" t="e">
        <f ca="1">INDIRECT("'["&amp;$C$1&amp;".xls]"&amp;$B590&amp;"'!$a$20")</f>
        <v>#REF!</v>
      </c>
      <c r="H590" s="88" t="e">
        <f ca="1">INDIRECT("'["&amp;$C$1&amp;".xls]"&amp;$B590&amp;"'!$Q$22")</f>
        <v>#REF!</v>
      </c>
      <c r="I590" s="61" t="e">
        <f ca="1">INDIRECT("'["&amp;$C$1&amp;".xls]"&amp;$B590&amp;"'!$f$6")</f>
        <v>#REF!</v>
      </c>
      <c r="J590" s="87"/>
      <c r="K590" s="62" t="e">
        <f ca="1">INDIRECT("'["&amp;$C$1&amp;".xls]"&amp;$B590&amp;"'!$f$25")</f>
        <v>#REF!</v>
      </c>
      <c r="L590" s="62"/>
      <c r="M590" s="62" t="e">
        <f ca="1">INDIRECT("'["&amp;$C$1&amp;".xls]"&amp;$B590&amp;"'!$f$4")</f>
        <v>#REF!</v>
      </c>
      <c r="N590" s="62" t="e">
        <f ca="1">INDIRECT("'["&amp;$C$1&amp;".xls]"&amp;$B590&amp;"'!$i$4")</f>
        <v>#REF!</v>
      </c>
      <c r="O590" s="48" t="e">
        <f ca="1">INDIRECT("'["&amp;$C$1&amp;".xls]"&amp;$B590&amp;"'!$l$4")</f>
        <v>#REF!</v>
      </c>
      <c r="P590" s="48" t="e">
        <f ca="1">INDIRECT("'["&amp;$C$1&amp;".xls]"&amp;$B590&amp;"'!$b$5")</f>
        <v>#REF!</v>
      </c>
      <c r="Q590" s="48" t="e">
        <f ca="1">INDIRECT("'["&amp;$C$1&amp;".xls]"&amp;$B590&amp;"'!$f$5")</f>
        <v>#REF!</v>
      </c>
      <c r="R590" s="48"/>
      <c r="S590" s="48" t="e">
        <f ca="1">INDIRECT("'["&amp;$C$1&amp;".xls]"&amp;$B590&amp;"'!$i$5")</f>
        <v>#REF!</v>
      </c>
      <c r="T590" s="48" t="e">
        <f ca="1">INDIRECT("'["&amp;$C$1&amp;".xls]"&amp;$B590&amp;"'!$l$5")</f>
        <v>#REF!</v>
      </c>
      <c r="U590" s="48" t="e">
        <f ca="1">INDIRECT("'["&amp;$C$1&amp;".xls]"&amp;$B590&amp;"'!$b$4")</f>
        <v>#REF!</v>
      </c>
      <c r="V590" s="48"/>
      <c r="W590" s="48"/>
      <c r="X590" s="48"/>
      <c r="Y590" s="48"/>
      <c r="Z590" s="61"/>
      <c r="AA590" s="48" t="e">
        <f ca="1">IF(INDIRECT("'["&amp;$C$1&amp;".xls]"&amp;$B590&amp;"'!$P$25")="","",IF(INDIRECT("'["&amp;$C$1&amp;".xls]"&amp;$B590&amp;"'!$O$25")="済み",INDIRECT("'["&amp;$C$1&amp;".xls]"&amp;$B590&amp;"'!$P$25"),""))</f>
        <v>#REF!</v>
      </c>
      <c r="AB590" s="48" t="e">
        <f ca="1">IF(INDIRECT("'["&amp;$C$1&amp;".xls]"&amp;$B590&amp;"'!$P$26")="","",IF(INDIRECT("'["&amp;$C$1&amp;".xls]"&amp;$B590&amp;"'!$O$26")="済み",INDIRECT("'["&amp;$C$1&amp;".xls]"&amp;$B590&amp;"'!$P$26"),""))</f>
        <v>#REF!</v>
      </c>
      <c r="AC590" s="48" t="e">
        <f ca="1">IF(INDIRECT("'["&amp;$C$1&amp;".xls]"&amp;$B590&amp;"'!$P$27")="","",IF(INDIRECT("'["&amp;$C$1&amp;".xls]"&amp;$B590&amp;"'!$O$27")="済み",INDIRECT("'["&amp;$C$1&amp;".xls]"&amp;$B590&amp;"'!$P$27"),""))</f>
        <v>#REF!</v>
      </c>
      <c r="AD590" s="48" t="e">
        <f ca="1">IF(INDIRECT("'["&amp;$C$1&amp;".xls]"&amp;$B590&amp;"'!$P$28")="","",IF(INDIRECT("'["&amp;$C$1&amp;".xls]"&amp;$B590&amp;"'!$O$28")="済み",INDIRECT("'["&amp;$C$1&amp;".xls]"&amp;$B590&amp;"'!$P$28"),""))</f>
        <v>#REF!</v>
      </c>
      <c r="AE590" s="48" t="e">
        <f ca="1">IF(INDIRECT("'["&amp;$C$1&amp;".xls]"&amp;$B590&amp;"'!$P$29")="","",IF(INDIRECT("'["&amp;$C$1&amp;".xls]"&amp;$B590&amp;"'!$O$29")="済み",INDIRECT("'["&amp;$C$1&amp;".xls]"&amp;$B590&amp;"'!$P$29"),""))</f>
        <v>#REF!</v>
      </c>
      <c r="AF590" s="48" t="e">
        <f ca="1">IF(INDIRECT("'["&amp;$C$1&amp;".xls]"&amp;$B590&amp;"'!$P$30")="","",IF(INDIRECT("'["&amp;$C$1&amp;".xls]"&amp;$B590&amp;"'!$O$30")="済み",INDIRECT("'["&amp;$C$1&amp;".xls]"&amp;$B590&amp;"'!$P$30"),""))</f>
        <v>#REF!</v>
      </c>
      <c r="AG590" s="48" t="e">
        <f ca="1">IF(INDIRECT("'["&amp;$C$1&amp;".xls]"&amp;$B590&amp;"'!$P$31")="","",IF(INDIRECT("'["&amp;$C$1&amp;".xls]"&amp;$B590&amp;"'!$O$31")="済み",INDIRECT("'["&amp;$C$1&amp;".xls]"&amp;$B590&amp;"'!$P$31"),""))</f>
        <v>#REF!</v>
      </c>
      <c r="AH590" s="48" t="e">
        <f ca="1">IF(INDIRECT("'["&amp;$C$1&amp;".xls]"&amp;$B590&amp;"'!$P$32")="","",IF(INDIRECT("'["&amp;$C$1&amp;".xls]"&amp;$B590&amp;"'!$O$32")="済み",INDIRECT("'["&amp;$C$1&amp;".xls]"&amp;$B590&amp;"'!$P$32"),""))</f>
        <v>#REF!</v>
      </c>
      <c r="AI590" s="48" t="e">
        <f ca="1">IF(INDIRECT("'["&amp;$C$1&amp;".xls]"&amp;$B590&amp;"'!$P$33")="","",IF(INDIRECT("'["&amp;$C$1&amp;".xls]"&amp;$B590&amp;"'!$O$33")="済み",INDIRECT("'["&amp;$C$1&amp;".xls]"&amp;$B590&amp;"'!$P$33"),""))</f>
        <v>#REF!</v>
      </c>
      <c r="AJ590" s="48" t="e">
        <f ca="1">IF(INDIRECT("'["&amp;$C$1&amp;".xls]"&amp;$B590&amp;"'!$P$34")="","",IF(INDIRECT("'["&amp;$C$1&amp;".xls]"&amp;$B590&amp;"'!$O$34")="済み",INDIRECT("'["&amp;$C$1&amp;".xls]"&amp;$B590&amp;"'!$P$34"),""))</f>
        <v>#REF!</v>
      </c>
      <c r="AK590" s="48" t="e">
        <f ca="1">IF(INDIRECT("'["&amp;$C$1&amp;".xls]"&amp;$B590&amp;"'!$T25")="","",IF(INDIRECT("'["&amp;$C$1&amp;".xls]"&amp;$B590&amp;"'!$O$25")="済み",INDIRECT("'["&amp;$C$1&amp;".xls]"&amp;$B590&amp;"'!$T$25"),""))</f>
        <v>#REF!</v>
      </c>
      <c r="AL590" s="48" t="e">
        <f ca="1">IF(INDIRECT("'["&amp;$C$1&amp;".xls]"&amp;$B590&amp;"'!$T26")="","",IF(INDIRECT("'["&amp;$C$1&amp;".xls]"&amp;$B590&amp;"'!$O$26")="済み",INDIRECT("'["&amp;$C$1&amp;".xls]"&amp;$B590&amp;"'!$T$26"),""))</f>
        <v>#REF!</v>
      </c>
      <c r="AM590" s="48" t="e">
        <f ca="1">IF(INDIRECT("'["&amp;$C$1&amp;".xls]"&amp;$B590&amp;"'!$T27")="","",IF(INDIRECT("'["&amp;$C$1&amp;".xls]"&amp;$B590&amp;"'!$O$27")="済み",INDIRECT("'["&amp;$C$1&amp;".xls]"&amp;$B590&amp;"'!$T$27"),""))</f>
        <v>#REF!</v>
      </c>
      <c r="AN590" s="48" t="e">
        <f ca="1">IF(INDIRECT("'["&amp;$C$1&amp;".xls]"&amp;$B590&amp;"'!$T28")="","",IF(INDIRECT("'["&amp;$C$1&amp;".xls]"&amp;$B590&amp;"'!$O$28")="済み",INDIRECT("'["&amp;$C$1&amp;".xls]"&amp;$B590&amp;"'!$T$28"),""))</f>
        <v>#REF!</v>
      </c>
      <c r="AO590" s="48" t="e">
        <f ca="1">IF(INDIRECT("'["&amp;$C$1&amp;".xls]"&amp;$B590&amp;"'!$T29")="","",IF(INDIRECT("'["&amp;$C$1&amp;".xls]"&amp;$B590&amp;"'!$O$29")="済み",INDIRECT("'["&amp;$C$1&amp;".xls]"&amp;$B590&amp;"'!$T$29"),""))</f>
        <v>#REF!</v>
      </c>
      <c r="AP590" s="48" t="e">
        <f ca="1">IF(INDIRECT("'["&amp;$C$1&amp;".xls]"&amp;$B590&amp;"'!$T30")="","",IF(INDIRECT("'["&amp;$C$1&amp;".xls]"&amp;$B590&amp;"'!$O$30")="済み",INDIRECT("'["&amp;$C$1&amp;".xls]"&amp;$B590&amp;"'!$T$30"),""))</f>
        <v>#REF!</v>
      </c>
      <c r="AQ590" s="48" t="e">
        <f ca="1">IF(INDIRECT("'["&amp;$C$1&amp;".xls]"&amp;$B590&amp;"'!$T31")="","",IF(INDIRECT("'["&amp;$C$1&amp;".xls]"&amp;$B590&amp;"'!$O$31")="済み",INDIRECT("'["&amp;$C$1&amp;".xls]"&amp;$B590&amp;"'!$T$31"),""))</f>
        <v>#REF!</v>
      </c>
      <c r="AR590" s="48" t="e">
        <f ca="1">IF(INDIRECT("'["&amp;$C$1&amp;".xls]"&amp;$B590&amp;"'!$T32")="","",IF(INDIRECT("'["&amp;$C$1&amp;".xls]"&amp;$B590&amp;"'!$O$32")="済み",INDIRECT("'["&amp;$C$1&amp;".xls]"&amp;$B590&amp;"'!$T$32"),""))</f>
        <v>#REF!</v>
      </c>
      <c r="AS590" s="48" t="e">
        <f ca="1">IF(INDIRECT("'["&amp;$C$1&amp;".xls]"&amp;$B590&amp;"'!$T33")="","",IF(INDIRECT("'["&amp;$C$1&amp;".xls]"&amp;$B590&amp;"'!$O$33")="済み",INDIRECT("'["&amp;$C$1&amp;".xls]"&amp;$B590&amp;"'!$T$33"),""))</f>
        <v>#REF!</v>
      </c>
      <c r="AT590" s="48" t="e">
        <f ca="1">IF(INDIRECT("'["&amp;$C$1&amp;".xls]"&amp;$B590&amp;"'!$T34")="","",IF(INDIRECT("'["&amp;$C$1&amp;".xls]"&amp;$B590&amp;"'!$O$34")="済み",INDIRECT("'["&amp;$C$1&amp;".xls]"&amp;$B590&amp;"'!$T$34"),""))</f>
        <v>#REF!</v>
      </c>
      <c r="AU590" s="93" t="e">
        <f ca="1">INDIRECT("'["&amp;$C$1&amp;".xls]"&amp;$B590&amp;"'!$B$6")</f>
        <v>#REF!</v>
      </c>
      <c r="AV590" s="93" t="e">
        <f ca="1">INDIRECT("'["&amp;$C$1&amp;".xls]"&amp;$B590&amp;"'!$Y$22")</f>
        <v>#REF!</v>
      </c>
      <c r="AW590" s="93" t="e">
        <f ca="1">INDIRECT("'["&amp;$C$1&amp;".xls]"&amp;$B590&amp;"'!$Y$24")</f>
        <v>#REF!</v>
      </c>
      <c r="AX590" s="93" t="e">
        <f ca="1">INDIRECT("'["&amp;$C$1&amp;".xls]"&amp;$B590&amp;"'!$Y$26")</f>
        <v>#REF!</v>
      </c>
      <c r="AY590" s="93" t="e">
        <f ca="1">INDIRECT("'["&amp;$C$1&amp;".xls]"&amp;$B590&amp;"'!$Y$28")</f>
        <v>#REF!</v>
      </c>
    </row>
    <row r="591" spans="1:52" ht="16.5" customHeight="1" x14ac:dyDescent="0.15">
      <c r="A591" s="156" t="s">
        <v>6143</v>
      </c>
      <c r="B591" s="157" t="s">
        <v>6144</v>
      </c>
      <c r="C591" s="48" t="s">
        <v>298</v>
      </c>
      <c r="D591" s="62" t="s">
        <v>6145</v>
      </c>
      <c r="E591" s="48" t="s">
        <v>300</v>
      </c>
      <c r="F591" s="61">
        <v>42608</v>
      </c>
      <c r="G591" s="61">
        <v>0</v>
      </c>
      <c r="H591" s="125">
        <v>42618</v>
      </c>
      <c r="I591" s="61" t="s">
        <v>279</v>
      </c>
      <c r="J591" s="87"/>
      <c r="K591" s="62" t="s">
        <v>14</v>
      </c>
      <c r="L591" s="62">
        <v>3</v>
      </c>
      <c r="M591" s="62" t="s">
        <v>209</v>
      </c>
      <c r="N591" s="62" t="s">
        <v>6146</v>
      </c>
      <c r="O591" s="48" t="s">
        <v>6147</v>
      </c>
      <c r="P591" s="48" t="s">
        <v>6148</v>
      </c>
      <c r="Q591" s="48" t="s">
        <v>2782</v>
      </c>
      <c r="R591" s="48" t="s">
        <v>6149</v>
      </c>
      <c r="S591" s="48" t="s">
        <v>1019</v>
      </c>
      <c r="T591" s="48" t="s">
        <v>1020</v>
      </c>
      <c r="U591" s="48" t="s">
        <v>6150</v>
      </c>
      <c r="V591" s="122" t="s">
        <v>263</v>
      </c>
      <c r="W591" s="122" t="s">
        <v>263</v>
      </c>
      <c r="X591" s="48" t="s">
        <v>3861</v>
      </c>
      <c r="Y591" s="48" t="s">
        <v>6151</v>
      </c>
      <c r="Z591" s="61"/>
      <c r="AA591" s="48" t="s">
        <v>2886</v>
      </c>
      <c r="AB591" s="48" t="s">
        <v>291</v>
      </c>
      <c r="AC591" s="48" t="s">
        <v>273</v>
      </c>
      <c r="AD591" s="48" t="s">
        <v>273</v>
      </c>
      <c r="AE591" s="48" t="s">
        <v>273</v>
      </c>
      <c r="AF591" s="48" t="s">
        <v>273</v>
      </c>
      <c r="AG591" s="48" t="s">
        <v>273</v>
      </c>
      <c r="AH591" s="48" t="s">
        <v>273</v>
      </c>
      <c r="AI591" s="48" t="s">
        <v>273</v>
      </c>
      <c r="AJ591" s="48" t="s">
        <v>273</v>
      </c>
      <c r="AK591" s="48" t="s">
        <v>3873</v>
      </c>
      <c r="AL591" s="48" t="s">
        <v>293</v>
      </c>
      <c r="AM591" s="48" t="s">
        <v>273</v>
      </c>
      <c r="AN591" s="48" t="s">
        <v>273</v>
      </c>
      <c r="AO591" s="48" t="s">
        <v>273</v>
      </c>
      <c r="AP591" s="48" t="s">
        <v>273</v>
      </c>
      <c r="AQ591" s="48" t="s">
        <v>273</v>
      </c>
      <c r="AR591" s="48" t="s">
        <v>273</v>
      </c>
      <c r="AS591" s="48" t="s">
        <v>273</v>
      </c>
      <c r="AT591" s="48" t="s">
        <v>273</v>
      </c>
      <c r="AU591" s="93">
        <v>40057</v>
      </c>
      <c r="AV591" s="93" t="s">
        <v>6152</v>
      </c>
      <c r="AW591" s="93" t="s">
        <v>6153</v>
      </c>
      <c r="AX591" s="93" t="s">
        <v>6154</v>
      </c>
      <c r="AY591" s="93" t="s">
        <v>5312</v>
      </c>
    </row>
    <row r="592" spans="1:52" ht="16.5" customHeight="1" x14ac:dyDescent="0.15">
      <c r="A592" s="182" t="s">
        <v>6155</v>
      </c>
      <c r="B592" s="183" t="s">
        <v>6156</v>
      </c>
      <c r="C592" s="48" t="s">
        <v>6157</v>
      </c>
      <c r="D592" s="62" t="s">
        <v>6158</v>
      </c>
      <c r="E592" s="48" t="s">
        <v>264</v>
      </c>
      <c r="F592" s="61">
        <v>42608</v>
      </c>
      <c r="G592" s="61">
        <v>0</v>
      </c>
      <c r="H592" s="125">
        <v>42650</v>
      </c>
      <c r="I592" s="61" t="s">
        <v>279</v>
      </c>
      <c r="J592" s="87"/>
      <c r="K592" s="62" t="s">
        <v>16</v>
      </c>
      <c r="L592" s="62">
        <v>3</v>
      </c>
      <c r="M592" s="62" t="s">
        <v>209</v>
      </c>
      <c r="N592" s="62" t="s">
        <v>6159</v>
      </c>
      <c r="O592" s="48" t="s">
        <v>2192</v>
      </c>
      <c r="P592" s="48" t="s">
        <v>4307</v>
      </c>
      <c r="Q592" s="48" t="s">
        <v>6160</v>
      </c>
      <c r="R592" s="48" t="s">
        <v>6161</v>
      </c>
      <c r="S592" s="48" t="s">
        <v>4310</v>
      </c>
      <c r="T592" s="48" t="s">
        <v>4311</v>
      </c>
      <c r="U592" s="48" t="s">
        <v>6162</v>
      </c>
      <c r="V592" s="122" t="s">
        <v>263</v>
      </c>
      <c r="W592" s="122" t="s">
        <v>263</v>
      </c>
      <c r="X592" s="48" t="s">
        <v>6163</v>
      </c>
      <c r="Y592" s="48" t="s">
        <v>6164</v>
      </c>
      <c r="Z592" s="61"/>
      <c r="AA592" s="48" t="s">
        <v>327</v>
      </c>
      <c r="AB592" s="48" t="s">
        <v>273</v>
      </c>
      <c r="AC592" s="48" t="s">
        <v>273</v>
      </c>
      <c r="AD592" s="48" t="s">
        <v>273</v>
      </c>
      <c r="AE592" s="48" t="s">
        <v>273</v>
      </c>
      <c r="AF592" s="48" t="s">
        <v>273</v>
      </c>
      <c r="AG592" s="48" t="s">
        <v>273</v>
      </c>
      <c r="AH592" s="48" t="s">
        <v>273</v>
      </c>
      <c r="AI592" s="48" t="s">
        <v>273</v>
      </c>
      <c r="AJ592" s="48" t="s">
        <v>273</v>
      </c>
      <c r="AK592" s="48" t="s">
        <v>274</v>
      </c>
      <c r="AL592" s="48" t="s">
        <v>273</v>
      </c>
      <c r="AM592" s="48" t="s">
        <v>273</v>
      </c>
      <c r="AN592" s="48" t="s">
        <v>273</v>
      </c>
      <c r="AO592" s="48" t="s">
        <v>273</v>
      </c>
      <c r="AP592" s="48" t="s">
        <v>273</v>
      </c>
      <c r="AQ592" s="48" t="s">
        <v>273</v>
      </c>
      <c r="AR592" s="48" t="s">
        <v>273</v>
      </c>
      <c r="AS592" s="48" t="s">
        <v>273</v>
      </c>
      <c r="AT592" s="48" t="s">
        <v>273</v>
      </c>
      <c r="AU592" s="93">
        <v>41699</v>
      </c>
      <c r="AV592" s="93" t="s">
        <v>6165</v>
      </c>
      <c r="AW592" s="93" t="s">
        <v>6166</v>
      </c>
      <c r="AX592" s="93" t="s">
        <v>6167</v>
      </c>
      <c r="AY592" s="93" t="s">
        <v>5312</v>
      </c>
    </row>
    <row r="593" spans="1:52" ht="16.5" customHeight="1" x14ac:dyDescent="0.15">
      <c r="A593" s="156" t="s">
        <v>6168</v>
      </c>
      <c r="B593" s="157" t="s">
        <v>6169</v>
      </c>
      <c r="C593" s="48" t="s">
        <v>6170</v>
      </c>
      <c r="D593" s="62" t="s">
        <v>263</v>
      </c>
      <c r="E593" s="48" t="s">
        <v>264</v>
      </c>
      <c r="F593" s="61">
        <v>42608</v>
      </c>
      <c r="G593" s="61">
        <v>0</v>
      </c>
      <c r="H593" s="125">
        <v>42628</v>
      </c>
      <c r="I593" s="61" t="s">
        <v>263</v>
      </c>
      <c r="J593" s="87"/>
      <c r="K593" s="62">
        <v>0</v>
      </c>
      <c r="L593" s="62"/>
      <c r="M593" s="62" t="s">
        <v>409</v>
      </c>
      <c r="N593" s="62" t="s">
        <v>6171</v>
      </c>
      <c r="O593" s="48" t="s">
        <v>535</v>
      </c>
      <c r="P593" s="48" t="s">
        <v>267</v>
      </c>
      <c r="Q593" s="48" t="s">
        <v>892</v>
      </c>
      <c r="R593" s="48"/>
      <c r="S593" s="48">
        <v>0</v>
      </c>
      <c r="T593" s="48">
        <v>0</v>
      </c>
      <c r="U593" s="48" t="s">
        <v>6172</v>
      </c>
      <c r="V593" s="48"/>
      <c r="W593" s="48"/>
      <c r="X593" s="48"/>
      <c r="Y593" s="48"/>
      <c r="Z593" s="61"/>
      <c r="AA593" s="129" t="s">
        <v>2215</v>
      </c>
      <c r="AB593" s="48" t="s">
        <v>273</v>
      </c>
      <c r="AC593" s="48" t="s">
        <v>273</v>
      </c>
      <c r="AD593" s="48" t="s">
        <v>273</v>
      </c>
      <c r="AE593" s="48" t="s">
        <v>273</v>
      </c>
      <c r="AF593" s="48" t="s">
        <v>273</v>
      </c>
      <c r="AG593" s="48" t="s">
        <v>273</v>
      </c>
      <c r="AH593" s="48" t="s">
        <v>273</v>
      </c>
      <c r="AI593" s="48" t="s">
        <v>273</v>
      </c>
      <c r="AJ593" s="48" t="s">
        <v>273</v>
      </c>
      <c r="AK593" s="48" t="s">
        <v>2216</v>
      </c>
      <c r="AL593" s="48" t="s">
        <v>273</v>
      </c>
      <c r="AM593" s="48" t="s">
        <v>273</v>
      </c>
      <c r="AN593" s="48" t="s">
        <v>273</v>
      </c>
      <c r="AO593" s="48" t="s">
        <v>273</v>
      </c>
      <c r="AP593" s="48" t="s">
        <v>273</v>
      </c>
      <c r="AQ593" s="48" t="s">
        <v>273</v>
      </c>
      <c r="AR593" s="48" t="s">
        <v>273</v>
      </c>
      <c r="AS593" s="48" t="s">
        <v>273</v>
      </c>
      <c r="AT593" s="48" t="s">
        <v>273</v>
      </c>
      <c r="AU593" s="93">
        <v>40969</v>
      </c>
      <c r="AV593" s="93" t="s">
        <v>6173</v>
      </c>
      <c r="AW593" s="93" t="s">
        <v>6174</v>
      </c>
      <c r="AX593" s="93" t="s">
        <v>6175</v>
      </c>
      <c r="AY593" s="93" t="s">
        <v>6176</v>
      </c>
    </row>
    <row r="594" spans="1:52" ht="16.5" customHeight="1" x14ac:dyDescent="0.15">
      <c r="A594" s="182" t="s">
        <v>6177</v>
      </c>
      <c r="B594" s="183" t="s">
        <v>6178</v>
      </c>
      <c r="C594" s="48" t="s">
        <v>298</v>
      </c>
      <c r="D594" s="62" t="s">
        <v>263</v>
      </c>
      <c r="E594" s="48" t="s">
        <v>300</v>
      </c>
      <c r="F594" s="61">
        <v>42608</v>
      </c>
      <c r="G594" s="61">
        <v>0</v>
      </c>
      <c r="H594" s="125">
        <v>42655</v>
      </c>
      <c r="I594" s="61">
        <v>39169</v>
      </c>
      <c r="J594" s="87"/>
      <c r="K594" s="62" t="s">
        <v>16</v>
      </c>
      <c r="L594" s="62">
        <v>3</v>
      </c>
      <c r="M594" s="62" t="s">
        <v>394</v>
      </c>
      <c r="N594" s="62" t="s">
        <v>6179</v>
      </c>
      <c r="O594" s="48" t="s">
        <v>396</v>
      </c>
      <c r="P594" s="48" t="s">
        <v>524</v>
      </c>
      <c r="Q594" s="48" t="s">
        <v>1363</v>
      </c>
      <c r="R594" s="48" t="s">
        <v>399</v>
      </c>
      <c r="S594" s="48" t="s">
        <v>400</v>
      </c>
      <c r="T594" s="48" t="s">
        <v>401</v>
      </c>
      <c r="U594" s="48" t="s">
        <v>1364</v>
      </c>
      <c r="V594" s="122" t="s">
        <v>263</v>
      </c>
      <c r="W594" s="122" t="s">
        <v>263</v>
      </c>
      <c r="X594" s="48" t="s">
        <v>1365</v>
      </c>
      <c r="Y594" s="48" t="s">
        <v>1366</v>
      </c>
      <c r="Z594" s="61"/>
      <c r="AA594" s="48" t="s">
        <v>701</v>
      </c>
      <c r="AB594" s="48" t="s">
        <v>273</v>
      </c>
      <c r="AC594" s="48" t="s">
        <v>273</v>
      </c>
      <c r="AD594" s="48" t="s">
        <v>273</v>
      </c>
      <c r="AE594" s="48" t="s">
        <v>273</v>
      </c>
      <c r="AF594" s="48" t="s">
        <v>273</v>
      </c>
      <c r="AG594" s="48" t="s">
        <v>273</v>
      </c>
      <c r="AH594" s="48" t="s">
        <v>273</v>
      </c>
      <c r="AI594" s="48" t="s">
        <v>273</v>
      </c>
      <c r="AJ594" s="48" t="s">
        <v>273</v>
      </c>
      <c r="AK594" s="48" t="s">
        <v>702</v>
      </c>
      <c r="AL594" s="48" t="s">
        <v>273</v>
      </c>
      <c r="AM594" s="48" t="s">
        <v>273</v>
      </c>
      <c r="AN594" s="48" t="s">
        <v>273</v>
      </c>
      <c r="AO594" s="48" t="s">
        <v>273</v>
      </c>
      <c r="AP594" s="48" t="s">
        <v>273</v>
      </c>
      <c r="AQ594" s="48" t="s">
        <v>273</v>
      </c>
      <c r="AR594" s="48" t="s">
        <v>273</v>
      </c>
      <c r="AS594" s="48" t="s">
        <v>273</v>
      </c>
      <c r="AT594" s="48" t="s">
        <v>273</v>
      </c>
      <c r="AU594" s="93">
        <v>39114</v>
      </c>
      <c r="AV594" s="93" t="s">
        <v>6180</v>
      </c>
      <c r="AW594" s="93" t="s">
        <v>6181</v>
      </c>
      <c r="AX594" s="93" t="s">
        <v>6182</v>
      </c>
      <c r="AY594" s="93" t="s">
        <v>5312</v>
      </c>
    </row>
    <row r="595" spans="1:52" ht="16.5" customHeight="1" x14ac:dyDescent="0.15">
      <c r="A595" s="182" t="s">
        <v>6183</v>
      </c>
      <c r="B595" s="183" t="s">
        <v>6184</v>
      </c>
      <c r="C595" s="48" t="s">
        <v>298</v>
      </c>
      <c r="D595" s="62" t="s">
        <v>263</v>
      </c>
      <c r="E595" s="48" t="s">
        <v>300</v>
      </c>
      <c r="F595" s="61">
        <v>42608</v>
      </c>
      <c r="G595" s="61">
        <v>0</v>
      </c>
      <c r="H595" s="125">
        <v>42667</v>
      </c>
      <c r="I595" s="61">
        <v>40583</v>
      </c>
      <c r="J595" s="87"/>
      <c r="K595" s="62" t="s">
        <v>2506</v>
      </c>
      <c r="L595" s="62">
        <v>3</v>
      </c>
      <c r="M595" s="62" t="s">
        <v>471</v>
      </c>
      <c r="N595" s="62" t="s">
        <v>6185</v>
      </c>
      <c r="O595" s="48" t="s">
        <v>3525</v>
      </c>
      <c r="P595" s="48" t="s">
        <v>1191</v>
      </c>
      <c r="Q595" s="48" t="s">
        <v>2241</v>
      </c>
      <c r="R595" s="48" t="s">
        <v>399</v>
      </c>
      <c r="S595" s="48" t="s">
        <v>400</v>
      </c>
      <c r="T595" s="48" t="s">
        <v>401</v>
      </c>
      <c r="U595" s="48" t="s">
        <v>6186</v>
      </c>
      <c r="V595" s="122" t="s">
        <v>263</v>
      </c>
      <c r="W595" s="122" t="s">
        <v>263</v>
      </c>
      <c r="X595" s="48" t="s">
        <v>6187</v>
      </c>
      <c r="Y595" s="48" t="s">
        <v>6188</v>
      </c>
      <c r="Z595" s="61"/>
      <c r="AA595" s="48" t="s">
        <v>529</v>
      </c>
      <c r="AB595" s="48" t="s">
        <v>783</v>
      </c>
      <c r="AC595" s="48" t="s">
        <v>273</v>
      </c>
      <c r="AD595" s="48" t="s">
        <v>273</v>
      </c>
      <c r="AE595" s="48" t="s">
        <v>273</v>
      </c>
      <c r="AF595" s="48" t="s">
        <v>273</v>
      </c>
      <c r="AG595" s="48" t="s">
        <v>273</v>
      </c>
      <c r="AH595" s="48" t="s">
        <v>273</v>
      </c>
      <c r="AI595" s="48" t="s">
        <v>273</v>
      </c>
      <c r="AJ595" s="48" t="s">
        <v>273</v>
      </c>
      <c r="AK595" s="48" t="s">
        <v>530</v>
      </c>
      <c r="AL595" s="48" t="s">
        <v>787</v>
      </c>
      <c r="AM595" s="48" t="s">
        <v>273</v>
      </c>
      <c r="AN595" s="48" t="s">
        <v>273</v>
      </c>
      <c r="AO595" s="48" t="s">
        <v>273</v>
      </c>
      <c r="AP595" s="48" t="s">
        <v>273</v>
      </c>
      <c r="AQ595" s="48" t="s">
        <v>273</v>
      </c>
      <c r="AR595" s="48" t="s">
        <v>273</v>
      </c>
      <c r="AS595" s="48" t="s">
        <v>273</v>
      </c>
      <c r="AT595" s="48" t="s">
        <v>273</v>
      </c>
      <c r="AU595" s="93">
        <v>40483</v>
      </c>
      <c r="AV595" s="93" t="s">
        <v>6189</v>
      </c>
      <c r="AW595" s="93" t="s">
        <v>6190</v>
      </c>
      <c r="AX595" s="93" t="s">
        <v>6191</v>
      </c>
      <c r="AY595" s="93" t="s">
        <v>5312</v>
      </c>
    </row>
    <row r="596" spans="1:52" ht="16.5" customHeight="1" x14ac:dyDescent="0.15">
      <c r="A596" s="156" t="s">
        <v>6192</v>
      </c>
      <c r="B596" s="157" t="s">
        <v>6193</v>
      </c>
      <c r="C596" s="48" t="s">
        <v>330</v>
      </c>
      <c r="D596" s="62" t="s">
        <v>6194</v>
      </c>
      <c r="E596" s="48" t="s">
        <v>300</v>
      </c>
      <c r="F596" s="61">
        <v>42608</v>
      </c>
      <c r="G596" s="61">
        <v>0</v>
      </c>
      <c r="H596" s="125">
        <v>42625</v>
      </c>
      <c r="I596" s="61" t="s">
        <v>279</v>
      </c>
      <c r="J596" s="87"/>
      <c r="K596" s="124" t="s">
        <v>263</v>
      </c>
      <c r="L596" s="124" t="s">
        <v>263</v>
      </c>
      <c r="M596" s="62" t="s">
        <v>425</v>
      </c>
      <c r="N596" s="62" t="s">
        <v>6195</v>
      </c>
      <c r="O596" s="48" t="s">
        <v>6196</v>
      </c>
      <c r="P596" s="48" t="s">
        <v>1980</v>
      </c>
      <c r="Q596" s="48" t="s">
        <v>1017</v>
      </c>
      <c r="R596" s="48" t="s">
        <v>1981</v>
      </c>
      <c r="S596" s="48" t="s">
        <v>1982</v>
      </c>
      <c r="T596" s="48" t="s">
        <v>1983</v>
      </c>
      <c r="U596" s="48" t="s">
        <v>1984</v>
      </c>
      <c r="V596" s="122" t="s">
        <v>263</v>
      </c>
      <c r="W596" s="48" t="s">
        <v>3401</v>
      </c>
      <c r="X596" s="48" t="s">
        <v>1985</v>
      </c>
      <c r="Y596" s="48" t="s">
        <v>6197</v>
      </c>
      <c r="Z596" s="61"/>
      <c r="AA596" s="48" t="s">
        <v>273</v>
      </c>
      <c r="AB596" s="48" t="s">
        <v>273</v>
      </c>
      <c r="AC596" s="48" t="s">
        <v>273</v>
      </c>
      <c r="AD596" s="48" t="s">
        <v>273</v>
      </c>
      <c r="AE596" s="48" t="s">
        <v>273</v>
      </c>
      <c r="AF596" s="48" t="s">
        <v>273</v>
      </c>
      <c r="AG596" s="48" t="s">
        <v>273</v>
      </c>
      <c r="AH596" s="48" t="s">
        <v>273</v>
      </c>
      <c r="AI596" s="48" t="s">
        <v>273</v>
      </c>
      <c r="AJ596" s="48" t="s">
        <v>273</v>
      </c>
      <c r="AK596" s="48" t="s">
        <v>273</v>
      </c>
      <c r="AL596" s="48" t="s">
        <v>273</v>
      </c>
      <c r="AM596" s="48" t="s">
        <v>273</v>
      </c>
      <c r="AN596" s="48" t="s">
        <v>273</v>
      </c>
      <c r="AO596" s="48" t="s">
        <v>273</v>
      </c>
      <c r="AP596" s="48" t="s">
        <v>273</v>
      </c>
      <c r="AQ596" s="48" t="s">
        <v>273</v>
      </c>
      <c r="AR596" s="48" t="s">
        <v>273</v>
      </c>
      <c r="AS596" s="48" t="s">
        <v>273</v>
      </c>
      <c r="AT596" s="48" t="s">
        <v>273</v>
      </c>
      <c r="AU596" s="93">
        <v>40603</v>
      </c>
      <c r="AV596" s="93" t="s">
        <v>6198</v>
      </c>
      <c r="AW596" s="93" t="s">
        <v>6199</v>
      </c>
      <c r="AX596" s="93" t="s">
        <v>6200</v>
      </c>
      <c r="AY596" s="93" t="s">
        <v>6201</v>
      </c>
      <c r="AZ596" s="49" t="s">
        <v>4662</v>
      </c>
    </row>
    <row r="597" spans="1:52" ht="16.5" customHeight="1" x14ac:dyDescent="0.15">
      <c r="A597" s="121" t="s">
        <v>6202</v>
      </c>
      <c r="B597" s="47" t="s">
        <v>6203</v>
      </c>
      <c r="C597" s="48" t="e">
        <f ca="1">INDIRECT("'["&amp;$C$1&amp;".xls]"&amp;$B597&amp;"'!$i$7")</f>
        <v>#REF!</v>
      </c>
      <c r="D597" s="62" t="e">
        <f ca="1">INDIRECT("'["&amp;$C$1&amp;".xls]"&amp;$B597&amp;"'!$b$7")</f>
        <v>#REF!</v>
      </c>
      <c r="E597" s="48" t="e">
        <f ca="1">IF(INDIRECT("'["&amp;$C$1&amp;".xls]"&amp;$B597&amp;"'!$i$2")="","",INDIRECT("'["&amp;$C$1&amp;".xls]"&amp;$B597&amp;"'!$i$2"))</f>
        <v>#REF!</v>
      </c>
      <c r="F597" s="61" t="e">
        <f ca="1">INDIRECT("'["&amp;$C$1&amp;".xls]"&amp;$B597&amp;"'!$b$2")</f>
        <v>#REF!</v>
      </c>
      <c r="G597" s="61" t="e">
        <f ca="1">INDIRECT("'["&amp;$C$1&amp;".xls]"&amp;$B597&amp;"'!$a$20")</f>
        <v>#REF!</v>
      </c>
      <c r="H597" s="88" t="e">
        <f ca="1">INDIRECT("'["&amp;$C$1&amp;".xls]"&amp;$B597&amp;"'!$Q$22")</f>
        <v>#REF!</v>
      </c>
      <c r="I597" s="61" t="e">
        <f ca="1">INDIRECT("'["&amp;$C$1&amp;".xls]"&amp;$B597&amp;"'!$f$6")</f>
        <v>#REF!</v>
      </c>
      <c r="J597" s="87"/>
      <c r="K597" s="62" t="e">
        <f ca="1">INDIRECT("'["&amp;$C$1&amp;".xls]"&amp;$B597&amp;"'!$f$25")</f>
        <v>#REF!</v>
      </c>
      <c r="L597" s="62"/>
      <c r="M597" s="62" t="e">
        <f ca="1">INDIRECT("'["&amp;$C$1&amp;".xls]"&amp;$B597&amp;"'!$f$4")</f>
        <v>#REF!</v>
      </c>
      <c r="N597" s="62" t="e">
        <f ca="1">INDIRECT("'["&amp;$C$1&amp;".xls]"&amp;$B597&amp;"'!$i$4")</f>
        <v>#REF!</v>
      </c>
      <c r="O597" s="48" t="e">
        <f ca="1">INDIRECT("'["&amp;$C$1&amp;".xls]"&amp;$B597&amp;"'!$l$4")</f>
        <v>#REF!</v>
      </c>
      <c r="P597" s="48" t="e">
        <f ca="1">INDIRECT("'["&amp;$C$1&amp;".xls]"&amp;$B597&amp;"'!$b$5")</f>
        <v>#REF!</v>
      </c>
      <c r="Q597" s="48" t="e">
        <f ca="1">INDIRECT("'["&amp;$C$1&amp;".xls]"&amp;$B597&amp;"'!$f$5")</f>
        <v>#REF!</v>
      </c>
      <c r="R597" s="48"/>
      <c r="S597" s="48" t="e">
        <f ca="1">INDIRECT("'["&amp;$C$1&amp;".xls]"&amp;$B597&amp;"'!$i$5")</f>
        <v>#REF!</v>
      </c>
      <c r="T597" s="48" t="e">
        <f ca="1">INDIRECT("'["&amp;$C$1&amp;".xls]"&amp;$B597&amp;"'!$l$5")</f>
        <v>#REF!</v>
      </c>
      <c r="U597" s="48" t="e">
        <f ca="1">INDIRECT("'["&amp;$C$1&amp;".xls]"&amp;$B597&amp;"'!$b$4")</f>
        <v>#REF!</v>
      </c>
      <c r="V597" s="48"/>
      <c r="W597" s="48"/>
      <c r="X597" s="48"/>
      <c r="Y597" s="48"/>
      <c r="Z597" s="61"/>
      <c r="AA597" s="48" t="e">
        <f ca="1">IF(INDIRECT("'["&amp;$C$1&amp;".xls]"&amp;$B597&amp;"'!$P$25")="","",IF(INDIRECT("'["&amp;$C$1&amp;".xls]"&amp;$B597&amp;"'!$O$25")="済み",INDIRECT("'["&amp;$C$1&amp;".xls]"&amp;$B597&amp;"'!$P$25"),""))</f>
        <v>#REF!</v>
      </c>
      <c r="AB597" s="48" t="e">
        <f ca="1">IF(INDIRECT("'["&amp;$C$1&amp;".xls]"&amp;$B597&amp;"'!$P$26")="","",IF(INDIRECT("'["&amp;$C$1&amp;".xls]"&amp;$B597&amp;"'!$O$26")="済み",INDIRECT("'["&amp;$C$1&amp;".xls]"&amp;$B597&amp;"'!$P$26"),""))</f>
        <v>#REF!</v>
      </c>
      <c r="AC597" s="48" t="e">
        <f ca="1">IF(INDIRECT("'["&amp;$C$1&amp;".xls]"&amp;$B597&amp;"'!$P$27")="","",IF(INDIRECT("'["&amp;$C$1&amp;".xls]"&amp;$B597&amp;"'!$O$27")="済み",INDIRECT("'["&amp;$C$1&amp;".xls]"&amp;$B597&amp;"'!$P$27"),""))</f>
        <v>#REF!</v>
      </c>
      <c r="AD597" s="48" t="e">
        <f ca="1">IF(INDIRECT("'["&amp;$C$1&amp;".xls]"&amp;$B597&amp;"'!$P$28")="","",IF(INDIRECT("'["&amp;$C$1&amp;".xls]"&amp;$B597&amp;"'!$O$28")="済み",INDIRECT("'["&amp;$C$1&amp;".xls]"&amp;$B597&amp;"'!$P$28"),""))</f>
        <v>#REF!</v>
      </c>
      <c r="AE597" s="48" t="e">
        <f ca="1">IF(INDIRECT("'["&amp;$C$1&amp;".xls]"&amp;$B597&amp;"'!$P$29")="","",IF(INDIRECT("'["&amp;$C$1&amp;".xls]"&amp;$B597&amp;"'!$O$29")="済み",INDIRECT("'["&amp;$C$1&amp;".xls]"&amp;$B597&amp;"'!$P$29"),""))</f>
        <v>#REF!</v>
      </c>
      <c r="AF597" s="48" t="e">
        <f ca="1">IF(INDIRECT("'["&amp;$C$1&amp;".xls]"&amp;$B597&amp;"'!$P$30")="","",IF(INDIRECT("'["&amp;$C$1&amp;".xls]"&amp;$B597&amp;"'!$O$30")="済み",INDIRECT("'["&amp;$C$1&amp;".xls]"&amp;$B597&amp;"'!$P$30"),""))</f>
        <v>#REF!</v>
      </c>
      <c r="AG597" s="48" t="e">
        <f ca="1">IF(INDIRECT("'["&amp;$C$1&amp;".xls]"&amp;$B597&amp;"'!$P$31")="","",IF(INDIRECT("'["&amp;$C$1&amp;".xls]"&amp;$B597&amp;"'!$O$31")="済み",INDIRECT("'["&amp;$C$1&amp;".xls]"&amp;$B597&amp;"'!$P$31"),""))</f>
        <v>#REF!</v>
      </c>
      <c r="AH597" s="48" t="e">
        <f ca="1">IF(INDIRECT("'["&amp;$C$1&amp;".xls]"&amp;$B597&amp;"'!$P$32")="","",IF(INDIRECT("'["&amp;$C$1&amp;".xls]"&amp;$B597&amp;"'!$O$32")="済み",INDIRECT("'["&amp;$C$1&amp;".xls]"&amp;$B597&amp;"'!$P$32"),""))</f>
        <v>#REF!</v>
      </c>
      <c r="AI597" s="48" t="e">
        <f ca="1">IF(INDIRECT("'["&amp;$C$1&amp;".xls]"&amp;$B597&amp;"'!$P$33")="","",IF(INDIRECT("'["&amp;$C$1&amp;".xls]"&amp;$B597&amp;"'!$O$33")="済み",INDIRECT("'["&amp;$C$1&amp;".xls]"&amp;$B597&amp;"'!$P$33"),""))</f>
        <v>#REF!</v>
      </c>
      <c r="AJ597" s="48" t="e">
        <f ca="1">IF(INDIRECT("'["&amp;$C$1&amp;".xls]"&amp;$B597&amp;"'!$P$34")="","",IF(INDIRECT("'["&amp;$C$1&amp;".xls]"&amp;$B597&amp;"'!$O$34")="済み",INDIRECT("'["&amp;$C$1&amp;".xls]"&amp;$B597&amp;"'!$P$34"),""))</f>
        <v>#REF!</v>
      </c>
      <c r="AK597" s="48" t="e">
        <f ca="1">IF(INDIRECT("'["&amp;$C$1&amp;".xls]"&amp;$B597&amp;"'!$T25")="","",IF(INDIRECT("'["&amp;$C$1&amp;".xls]"&amp;$B597&amp;"'!$O$25")="済み",INDIRECT("'["&amp;$C$1&amp;".xls]"&amp;$B597&amp;"'!$T$25"),""))</f>
        <v>#REF!</v>
      </c>
      <c r="AL597" s="48" t="e">
        <f ca="1">IF(INDIRECT("'["&amp;$C$1&amp;".xls]"&amp;$B597&amp;"'!$T26")="","",IF(INDIRECT("'["&amp;$C$1&amp;".xls]"&amp;$B597&amp;"'!$O$26")="済み",INDIRECT("'["&amp;$C$1&amp;".xls]"&amp;$B597&amp;"'!$T$26"),""))</f>
        <v>#REF!</v>
      </c>
      <c r="AM597" s="48" t="e">
        <f ca="1">IF(INDIRECT("'["&amp;$C$1&amp;".xls]"&amp;$B597&amp;"'!$T27")="","",IF(INDIRECT("'["&amp;$C$1&amp;".xls]"&amp;$B597&amp;"'!$O$27")="済み",INDIRECT("'["&amp;$C$1&amp;".xls]"&amp;$B597&amp;"'!$T$27"),""))</f>
        <v>#REF!</v>
      </c>
      <c r="AN597" s="48" t="e">
        <f ca="1">IF(INDIRECT("'["&amp;$C$1&amp;".xls]"&amp;$B597&amp;"'!$T28")="","",IF(INDIRECT("'["&amp;$C$1&amp;".xls]"&amp;$B597&amp;"'!$O$28")="済み",INDIRECT("'["&amp;$C$1&amp;".xls]"&amp;$B597&amp;"'!$T$28"),""))</f>
        <v>#REF!</v>
      </c>
      <c r="AO597" s="48" t="e">
        <f ca="1">IF(INDIRECT("'["&amp;$C$1&amp;".xls]"&amp;$B597&amp;"'!$T29")="","",IF(INDIRECT("'["&amp;$C$1&amp;".xls]"&amp;$B597&amp;"'!$O$29")="済み",INDIRECT("'["&amp;$C$1&amp;".xls]"&amp;$B597&amp;"'!$T$29"),""))</f>
        <v>#REF!</v>
      </c>
      <c r="AP597" s="48" t="e">
        <f ca="1">IF(INDIRECT("'["&amp;$C$1&amp;".xls]"&amp;$B597&amp;"'!$T30")="","",IF(INDIRECT("'["&amp;$C$1&amp;".xls]"&amp;$B597&amp;"'!$O$30")="済み",INDIRECT("'["&amp;$C$1&amp;".xls]"&amp;$B597&amp;"'!$T$30"),""))</f>
        <v>#REF!</v>
      </c>
      <c r="AQ597" s="48" t="e">
        <f ca="1">IF(INDIRECT("'["&amp;$C$1&amp;".xls]"&amp;$B597&amp;"'!$T31")="","",IF(INDIRECT("'["&amp;$C$1&amp;".xls]"&amp;$B597&amp;"'!$O$31")="済み",INDIRECT("'["&amp;$C$1&amp;".xls]"&amp;$B597&amp;"'!$T$31"),""))</f>
        <v>#REF!</v>
      </c>
      <c r="AR597" s="48" t="e">
        <f ca="1">IF(INDIRECT("'["&amp;$C$1&amp;".xls]"&amp;$B597&amp;"'!$T32")="","",IF(INDIRECT("'["&amp;$C$1&amp;".xls]"&amp;$B597&amp;"'!$O$32")="済み",INDIRECT("'["&amp;$C$1&amp;".xls]"&amp;$B597&amp;"'!$T$32"),""))</f>
        <v>#REF!</v>
      </c>
      <c r="AS597" s="48" t="e">
        <f ca="1">IF(INDIRECT("'["&amp;$C$1&amp;".xls]"&amp;$B597&amp;"'!$T33")="","",IF(INDIRECT("'["&amp;$C$1&amp;".xls]"&amp;$B597&amp;"'!$O$33")="済み",INDIRECT("'["&amp;$C$1&amp;".xls]"&amp;$B597&amp;"'!$T$33"),""))</f>
        <v>#REF!</v>
      </c>
      <c r="AT597" s="48" t="e">
        <f ca="1">IF(INDIRECT("'["&amp;$C$1&amp;".xls]"&amp;$B597&amp;"'!$T34")="","",IF(INDIRECT("'["&amp;$C$1&amp;".xls]"&amp;$B597&amp;"'!$O$34")="済み",INDIRECT("'["&amp;$C$1&amp;".xls]"&amp;$B597&amp;"'!$T$34"),""))</f>
        <v>#REF!</v>
      </c>
      <c r="AU597" s="93" t="e">
        <f ca="1">INDIRECT("'["&amp;$C$1&amp;".xls]"&amp;$B597&amp;"'!$B$6")</f>
        <v>#REF!</v>
      </c>
      <c r="AV597" s="93" t="e">
        <f ca="1">INDIRECT("'["&amp;$C$1&amp;".xls]"&amp;$B597&amp;"'!$Y$22")</f>
        <v>#REF!</v>
      </c>
      <c r="AW597" s="93" t="e">
        <f ca="1">INDIRECT("'["&amp;$C$1&amp;".xls]"&amp;$B597&amp;"'!$Y$24")</f>
        <v>#REF!</v>
      </c>
      <c r="AX597" s="93" t="e">
        <f ca="1">INDIRECT("'["&amp;$C$1&amp;".xls]"&amp;$B597&amp;"'!$Y$26")</f>
        <v>#REF!</v>
      </c>
      <c r="AY597" s="93" t="e">
        <f ca="1">INDIRECT("'["&amp;$C$1&amp;".xls]"&amp;$B597&amp;"'!$Y$28")</f>
        <v>#REF!</v>
      </c>
    </row>
    <row r="598" spans="1:52" ht="16.5" customHeight="1" x14ac:dyDescent="0.15">
      <c r="A598" s="211" t="s">
        <v>6204</v>
      </c>
      <c r="B598" s="212" t="s">
        <v>6205</v>
      </c>
      <c r="C598" s="48" t="s">
        <v>330</v>
      </c>
      <c r="D598" s="62" t="s">
        <v>6206</v>
      </c>
      <c r="E598" s="48" t="s">
        <v>300</v>
      </c>
      <c r="F598" s="61">
        <v>42611</v>
      </c>
      <c r="G598" s="61">
        <v>0</v>
      </c>
      <c r="H598" s="125">
        <v>42705</v>
      </c>
      <c r="I598" s="61" t="s">
        <v>279</v>
      </c>
      <c r="J598" s="87"/>
      <c r="K598" s="124" t="s">
        <v>5866</v>
      </c>
      <c r="L598" s="124" t="s">
        <v>5866</v>
      </c>
      <c r="M598" s="62" t="s">
        <v>924</v>
      </c>
      <c r="N598" s="62" t="s">
        <v>6207</v>
      </c>
      <c r="O598" s="48" t="s">
        <v>2983</v>
      </c>
      <c r="P598" s="48" t="s">
        <v>6208</v>
      </c>
      <c r="Q598" s="48" t="s">
        <v>6209</v>
      </c>
      <c r="R598" s="48" t="s">
        <v>6210</v>
      </c>
      <c r="S598" s="48" t="s">
        <v>4004</v>
      </c>
      <c r="T598" s="48" t="s">
        <v>1325</v>
      </c>
      <c r="U598" s="48" t="s">
        <v>6211</v>
      </c>
      <c r="V598" s="48" t="s">
        <v>6212</v>
      </c>
      <c r="W598" s="48" t="s">
        <v>6213</v>
      </c>
      <c r="X598" s="48" t="s">
        <v>6214</v>
      </c>
      <c r="Y598" s="48" t="s">
        <v>6215</v>
      </c>
      <c r="Z598" s="61"/>
      <c r="AA598" s="48" t="s">
        <v>273</v>
      </c>
      <c r="AB598" s="48" t="s">
        <v>273</v>
      </c>
      <c r="AC598" s="48" t="s">
        <v>273</v>
      </c>
      <c r="AD598" s="48" t="s">
        <v>273</v>
      </c>
      <c r="AE598" s="48" t="s">
        <v>273</v>
      </c>
      <c r="AF598" s="48" t="s">
        <v>273</v>
      </c>
      <c r="AG598" s="48" t="s">
        <v>273</v>
      </c>
      <c r="AH598" s="48" t="s">
        <v>273</v>
      </c>
      <c r="AI598" s="48" t="s">
        <v>273</v>
      </c>
      <c r="AJ598" s="48" t="s">
        <v>273</v>
      </c>
      <c r="AK598" s="48" t="s">
        <v>273</v>
      </c>
      <c r="AL598" s="48" t="s">
        <v>273</v>
      </c>
      <c r="AM598" s="48" t="s">
        <v>273</v>
      </c>
      <c r="AN598" s="48" t="s">
        <v>273</v>
      </c>
      <c r="AO598" s="48" t="s">
        <v>273</v>
      </c>
      <c r="AP598" s="48" t="s">
        <v>273</v>
      </c>
      <c r="AQ598" s="48" t="s">
        <v>273</v>
      </c>
      <c r="AR598" s="48" t="s">
        <v>273</v>
      </c>
      <c r="AS598" s="48" t="s">
        <v>273</v>
      </c>
      <c r="AT598" s="48" t="s">
        <v>273</v>
      </c>
      <c r="AU598" s="93">
        <v>37226</v>
      </c>
      <c r="AV598" s="93" t="s">
        <v>6216</v>
      </c>
      <c r="AW598" s="93" t="s">
        <v>6217</v>
      </c>
      <c r="AX598" s="93" t="s">
        <v>273</v>
      </c>
      <c r="AY598" s="93" t="s">
        <v>6218</v>
      </c>
      <c r="AZ598" s="49" t="s">
        <v>6219</v>
      </c>
    </row>
    <row r="599" spans="1:52" ht="16.5" customHeight="1" x14ac:dyDescent="0.15">
      <c r="A599" s="156" t="s">
        <v>6220</v>
      </c>
      <c r="B599" s="157" t="s">
        <v>6221</v>
      </c>
      <c r="C599" s="48" t="s">
        <v>298</v>
      </c>
      <c r="D599" s="62" t="s">
        <v>6222</v>
      </c>
      <c r="E599" s="48" t="s">
        <v>300</v>
      </c>
      <c r="F599" s="61">
        <v>42611</v>
      </c>
      <c r="G599" s="61">
        <v>0</v>
      </c>
      <c r="H599" s="125">
        <v>42621</v>
      </c>
      <c r="I599" s="61" t="s">
        <v>279</v>
      </c>
      <c r="J599" s="87"/>
      <c r="K599" s="62" t="s">
        <v>16</v>
      </c>
      <c r="L599" s="62">
        <v>1</v>
      </c>
      <c r="M599" s="62" t="s">
        <v>1263</v>
      </c>
      <c r="N599" s="62" t="s">
        <v>6223</v>
      </c>
      <c r="O599" s="48" t="s">
        <v>6224</v>
      </c>
      <c r="P599" s="48" t="s">
        <v>6225</v>
      </c>
      <c r="Q599" s="48" t="s">
        <v>5</v>
      </c>
      <c r="R599" s="48" t="s">
        <v>6226</v>
      </c>
      <c r="S599" s="48" t="s">
        <v>6227</v>
      </c>
      <c r="T599" s="48" t="s">
        <v>6228</v>
      </c>
      <c r="U599" s="48" t="s">
        <v>6229</v>
      </c>
      <c r="V599" s="48" t="s">
        <v>6230</v>
      </c>
      <c r="W599" s="48" t="s">
        <v>324</v>
      </c>
      <c r="X599" s="48" t="s">
        <v>6231</v>
      </c>
      <c r="Y599" s="48" t="s">
        <v>4400</v>
      </c>
      <c r="Z599" s="61"/>
      <c r="AA599" s="48" t="s">
        <v>1274</v>
      </c>
      <c r="AB599" s="48" t="s">
        <v>273</v>
      </c>
      <c r="AC599" s="48" t="s">
        <v>273</v>
      </c>
      <c r="AD599" s="48" t="s">
        <v>273</v>
      </c>
      <c r="AE599" s="48" t="s">
        <v>273</v>
      </c>
      <c r="AF599" s="48" t="s">
        <v>273</v>
      </c>
      <c r="AG599" s="48" t="s">
        <v>273</v>
      </c>
      <c r="AH599" s="48" t="s">
        <v>273</v>
      </c>
      <c r="AI599" s="48" t="s">
        <v>273</v>
      </c>
      <c r="AJ599" s="48" t="s">
        <v>273</v>
      </c>
      <c r="AK599" s="48" t="s">
        <v>1275</v>
      </c>
      <c r="AL599" s="48" t="s">
        <v>273</v>
      </c>
      <c r="AM599" s="48" t="s">
        <v>273</v>
      </c>
      <c r="AN599" s="48" t="s">
        <v>273</v>
      </c>
      <c r="AO599" s="48" t="s">
        <v>273</v>
      </c>
      <c r="AP599" s="48" t="s">
        <v>273</v>
      </c>
      <c r="AQ599" s="48" t="s">
        <v>273</v>
      </c>
      <c r="AR599" s="48" t="s">
        <v>273</v>
      </c>
      <c r="AS599" s="48" t="s">
        <v>273</v>
      </c>
      <c r="AT599" s="48" t="s">
        <v>273</v>
      </c>
      <c r="AU599" s="93">
        <v>41061</v>
      </c>
      <c r="AV599" s="93" t="s">
        <v>6232</v>
      </c>
      <c r="AW599" s="93" t="s">
        <v>6233</v>
      </c>
      <c r="AX599" s="93" t="s">
        <v>6234</v>
      </c>
      <c r="AY599" s="93" t="s">
        <v>5312</v>
      </c>
    </row>
    <row r="600" spans="1:52" ht="16.5" customHeight="1" x14ac:dyDescent="0.15">
      <c r="A600" s="182" t="s">
        <v>6235</v>
      </c>
      <c r="B600" s="183" t="s">
        <v>6236</v>
      </c>
      <c r="C600" s="48" t="s">
        <v>6237</v>
      </c>
      <c r="D600" s="62" t="s">
        <v>6238</v>
      </c>
      <c r="E600" s="48" t="s">
        <v>264</v>
      </c>
      <c r="F600" s="61">
        <v>42612</v>
      </c>
      <c r="G600" s="61">
        <v>0</v>
      </c>
      <c r="H600" s="125">
        <v>42646</v>
      </c>
      <c r="I600" s="61" t="s">
        <v>279</v>
      </c>
      <c r="J600" s="87"/>
      <c r="K600" s="62" t="s">
        <v>16</v>
      </c>
      <c r="L600" s="62">
        <v>3</v>
      </c>
      <c r="M600" s="62" t="s">
        <v>209</v>
      </c>
      <c r="N600" s="62" t="s">
        <v>6239</v>
      </c>
      <c r="O600" s="48" t="s">
        <v>2737</v>
      </c>
      <c r="P600" s="130" t="s">
        <v>1995</v>
      </c>
      <c r="Q600" s="130" t="s">
        <v>2692</v>
      </c>
      <c r="R600" s="130" t="s">
        <v>6240</v>
      </c>
      <c r="S600" s="130" t="s">
        <v>1997</v>
      </c>
      <c r="T600" s="130" t="s">
        <v>1998</v>
      </c>
      <c r="U600" s="48" t="s">
        <v>6241</v>
      </c>
      <c r="V600" s="122" t="s">
        <v>263</v>
      </c>
      <c r="W600" s="122" t="s">
        <v>263</v>
      </c>
      <c r="X600" s="48" t="s">
        <v>2453</v>
      </c>
      <c r="Y600" s="48" t="s">
        <v>2454</v>
      </c>
      <c r="Z600" s="61"/>
      <c r="AA600" s="48" t="s">
        <v>4652</v>
      </c>
      <c r="AB600" s="48" t="s">
        <v>273</v>
      </c>
      <c r="AC600" s="48" t="s">
        <v>273</v>
      </c>
      <c r="AD600" s="48" t="s">
        <v>273</v>
      </c>
      <c r="AE600" s="48" t="s">
        <v>273</v>
      </c>
      <c r="AF600" s="48" t="s">
        <v>273</v>
      </c>
      <c r="AG600" s="48" t="s">
        <v>273</v>
      </c>
      <c r="AH600" s="48" t="s">
        <v>273</v>
      </c>
      <c r="AI600" s="48" t="s">
        <v>273</v>
      </c>
      <c r="AJ600" s="48" t="s">
        <v>273</v>
      </c>
      <c r="AK600" s="48" t="s">
        <v>4653</v>
      </c>
      <c r="AL600" s="48" t="s">
        <v>273</v>
      </c>
      <c r="AM600" s="48" t="s">
        <v>273</v>
      </c>
      <c r="AN600" s="48" t="s">
        <v>273</v>
      </c>
      <c r="AO600" s="48" t="s">
        <v>273</v>
      </c>
      <c r="AP600" s="48" t="s">
        <v>273</v>
      </c>
      <c r="AQ600" s="48" t="s">
        <v>273</v>
      </c>
      <c r="AR600" s="48" t="s">
        <v>273</v>
      </c>
      <c r="AS600" s="48" t="s">
        <v>273</v>
      </c>
      <c r="AT600" s="48" t="s">
        <v>273</v>
      </c>
      <c r="AU600" s="93">
        <v>41852</v>
      </c>
      <c r="AV600" s="93" t="s">
        <v>6242</v>
      </c>
      <c r="AW600" s="93" t="s">
        <v>6243</v>
      </c>
      <c r="AX600" s="93" t="s">
        <v>6244</v>
      </c>
      <c r="AY600" s="93" t="s">
        <v>6245</v>
      </c>
      <c r="AZ600" s="49" t="s">
        <v>5697</v>
      </c>
    </row>
    <row r="601" spans="1:52" ht="16.5" customHeight="1" x14ac:dyDescent="0.15">
      <c r="A601" s="156" t="s">
        <v>6246</v>
      </c>
      <c r="B601" s="157" t="s">
        <v>6247</v>
      </c>
      <c r="C601" s="48" t="s">
        <v>298</v>
      </c>
      <c r="D601" s="62" t="s">
        <v>6248</v>
      </c>
      <c r="E601" s="48" t="s">
        <v>300</v>
      </c>
      <c r="F601" s="61">
        <v>42612</v>
      </c>
      <c r="G601" s="61">
        <v>0</v>
      </c>
      <c r="H601" s="125">
        <v>42633</v>
      </c>
      <c r="I601" s="61" t="s">
        <v>279</v>
      </c>
      <c r="J601" s="87"/>
      <c r="K601" s="62" t="s">
        <v>16</v>
      </c>
      <c r="L601" s="62">
        <v>2</v>
      </c>
      <c r="M601" s="62" t="s">
        <v>2265</v>
      </c>
      <c r="N601" s="62" t="s">
        <v>6249</v>
      </c>
      <c r="O601" s="48" t="s">
        <v>6250</v>
      </c>
      <c r="P601" s="48" t="s">
        <v>3435</v>
      </c>
      <c r="Q601" s="48" t="s">
        <v>6251</v>
      </c>
      <c r="R601" s="48" t="s">
        <v>6252</v>
      </c>
      <c r="S601" s="48" t="s">
        <v>6253</v>
      </c>
      <c r="T601" s="48" t="s">
        <v>6254</v>
      </c>
      <c r="U601" s="48" t="s">
        <v>6255</v>
      </c>
      <c r="V601" s="48" t="s">
        <v>6256</v>
      </c>
      <c r="W601" s="122" t="s">
        <v>263</v>
      </c>
      <c r="X601" s="48" t="s">
        <v>6257</v>
      </c>
      <c r="Y601" s="48" t="s">
        <v>6258</v>
      </c>
      <c r="Z601" s="61"/>
      <c r="AA601" s="48" t="s">
        <v>273</v>
      </c>
      <c r="AB601" s="48" t="s">
        <v>273</v>
      </c>
      <c r="AC601" s="48" t="s">
        <v>273</v>
      </c>
      <c r="AD601" s="48" t="s">
        <v>273</v>
      </c>
      <c r="AE601" s="48" t="s">
        <v>273</v>
      </c>
      <c r="AF601" s="48" t="s">
        <v>273</v>
      </c>
      <c r="AG601" s="48" t="s">
        <v>273</v>
      </c>
      <c r="AH601" s="48" t="s">
        <v>273</v>
      </c>
      <c r="AI601" s="48" t="s">
        <v>273</v>
      </c>
      <c r="AJ601" s="48" t="s">
        <v>273</v>
      </c>
      <c r="AK601" s="48" t="s">
        <v>273</v>
      </c>
      <c r="AL601" s="48" t="s">
        <v>273</v>
      </c>
      <c r="AM601" s="48" t="s">
        <v>273</v>
      </c>
      <c r="AN601" s="48" t="s">
        <v>273</v>
      </c>
      <c r="AO601" s="48" t="s">
        <v>273</v>
      </c>
      <c r="AP601" s="48" t="s">
        <v>273</v>
      </c>
      <c r="AQ601" s="48" t="s">
        <v>273</v>
      </c>
      <c r="AR601" s="48" t="s">
        <v>273</v>
      </c>
      <c r="AS601" s="48" t="s">
        <v>273</v>
      </c>
      <c r="AT601" s="48" t="s">
        <v>273</v>
      </c>
      <c r="AU601" s="93">
        <v>39539</v>
      </c>
      <c r="AV601" s="93" t="s">
        <v>6259</v>
      </c>
      <c r="AW601" s="93" t="s">
        <v>6260</v>
      </c>
      <c r="AX601" s="93" t="s">
        <v>6261</v>
      </c>
      <c r="AY601" s="93" t="s">
        <v>5312</v>
      </c>
      <c r="AZ601" s="49" t="s">
        <v>6262</v>
      </c>
    </row>
    <row r="602" spans="1:52" ht="16.5" customHeight="1" x14ac:dyDescent="0.15">
      <c r="A602" s="156" t="s">
        <v>6263</v>
      </c>
      <c r="B602" s="157" t="s">
        <v>6264</v>
      </c>
      <c r="C602" s="48" t="s">
        <v>330</v>
      </c>
      <c r="D602" s="62" t="s">
        <v>6265</v>
      </c>
      <c r="E602" s="48" t="s">
        <v>300</v>
      </c>
      <c r="F602" s="61">
        <v>42612</v>
      </c>
      <c r="G602" s="61">
        <v>0</v>
      </c>
      <c r="H602" s="125">
        <v>42642</v>
      </c>
      <c r="I602" s="61" t="s">
        <v>279</v>
      </c>
      <c r="J602" s="87"/>
      <c r="K602" s="124" t="s">
        <v>263</v>
      </c>
      <c r="L602" s="124" t="s">
        <v>263</v>
      </c>
      <c r="M602" s="62" t="s">
        <v>442</v>
      </c>
      <c r="N602" s="62" t="s">
        <v>6266</v>
      </c>
      <c r="O602" s="48" t="s">
        <v>1111</v>
      </c>
      <c r="P602" s="48" t="s">
        <v>4143</v>
      </c>
      <c r="Q602" s="48" t="s">
        <v>1204</v>
      </c>
      <c r="R602" s="48" t="s">
        <v>4145</v>
      </c>
      <c r="S602" s="48" t="s">
        <v>6267</v>
      </c>
      <c r="T602" s="48" t="s">
        <v>4147</v>
      </c>
      <c r="U602" s="48" t="s">
        <v>6268</v>
      </c>
      <c r="V602" s="122" t="s">
        <v>263</v>
      </c>
      <c r="W602" s="122" t="s">
        <v>263</v>
      </c>
      <c r="X602" s="48" t="s">
        <v>6269</v>
      </c>
      <c r="Y602" s="48" t="s">
        <v>6270</v>
      </c>
      <c r="Z602" s="61"/>
      <c r="AA602" s="48" t="s">
        <v>273</v>
      </c>
      <c r="AB602" s="48" t="s">
        <v>273</v>
      </c>
      <c r="AC602" s="48" t="s">
        <v>273</v>
      </c>
      <c r="AD602" s="48" t="s">
        <v>273</v>
      </c>
      <c r="AE602" s="48" t="s">
        <v>273</v>
      </c>
      <c r="AF602" s="48" t="s">
        <v>273</v>
      </c>
      <c r="AG602" s="48" t="s">
        <v>273</v>
      </c>
      <c r="AH602" s="48" t="s">
        <v>273</v>
      </c>
      <c r="AI602" s="48" t="s">
        <v>273</v>
      </c>
      <c r="AJ602" s="48" t="s">
        <v>273</v>
      </c>
      <c r="AK602" s="48" t="s">
        <v>273</v>
      </c>
      <c r="AL602" s="48" t="s">
        <v>273</v>
      </c>
      <c r="AM602" s="48" t="s">
        <v>273</v>
      </c>
      <c r="AN602" s="48" t="s">
        <v>273</v>
      </c>
      <c r="AO602" s="48" t="s">
        <v>273</v>
      </c>
      <c r="AP602" s="48" t="s">
        <v>273</v>
      </c>
      <c r="AQ602" s="48" t="s">
        <v>273</v>
      </c>
      <c r="AR602" s="48" t="s">
        <v>273</v>
      </c>
      <c r="AS602" s="48" t="s">
        <v>273</v>
      </c>
      <c r="AT602" s="48" t="s">
        <v>273</v>
      </c>
      <c r="AU602" s="93">
        <v>37591</v>
      </c>
      <c r="AV602" s="93" t="s">
        <v>6271</v>
      </c>
      <c r="AW602" s="93" t="s">
        <v>6272</v>
      </c>
      <c r="AX602" s="93" t="s">
        <v>6273</v>
      </c>
      <c r="AY602" s="93" t="s">
        <v>6201</v>
      </c>
    </row>
    <row r="603" spans="1:52" ht="16.5" customHeight="1" x14ac:dyDescent="0.15">
      <c r="A603" s="156" t="s">
        <v>6274</v>
      </c>
      <c r="B603" s="157" t="s">
        <v>6275</v>
      </c>
      <c r="C603" s="48" t="s">
        <v>298</v>
      </c>
      <c r="D603" s="62" t="s">
        <v>6276</v>
      </c>
      <c r="E603" s="48" t="s">
        <v>300</v>
      </c>
      <c r="F603" s="61">
        <v>42613</v>
      </c>
      <c r="G603" s="61">
        <v>0</v>
      </c>
      <c r="H603" s="125">
        <v>42633</v>
      </c>
      <c r="I603" s="61" t="s">
        <v>279</v>
      </c>
      <c r="J603" s="87"/>
      <c r="K603" s="124" t="s">
        <v>263</v>
      </c>
      <c r="L603" s="124" t="s">
        <v>263</v>
      </c>
      <c r="M603" s="62" t="s">
        <v>215</v>
      </c>
      <c r="N603" s="62" t="s">
        <v>6277</v>
      </c>
      <c r="O603" s="48" t="s">
        <v>1633</v>
      </c>
      <c r="P603" s="48" t="s">
        <v>6278</v>
      </c>
      <c r="Q603" s="48" t="s">
        <v>1530</v>
      </c>
      <c r="R603" s="48" t="s">
        <v>6279</v>
      </c>
      <c r="S603" s="48" t="s">
        <v>1532</v>
      </c>
      <c r="T603" s="48" t="s">
        <v>1533</v>
      </c>
      <c r="U603" s="48" t="s">
        <v>6280</v>
      </c>
      <c r="V603" s="122" t="s">
        <v>263</v>
      </c>
      <c r="W603" s="122" t="s">
        <v>263</v>
      </c>
      <c r="X603" s="48" t="s">
        <v>1537</v>
      </c>
      <c r="Y603" s="48" t="s">
        <v>6281</v>
      </c>
      <c r="Z603" s="61"/>
      <c r="AA603" s="48" t="s">
        <v>273</v>
      </c>
      <c r="AB603" s="48" t="s">
        <v>273</v>
      </c>
      <c r="AC603" s="48" t="s">
        <v>273</v>
      </c>
      <c r="AD603" s="48" t="s">
        <v>273</v>
      </c>
      <c r="AE603" s="48" t="s">
        <v>273</v>
      </c>
      <c r="AF603" s="48" t="s">
        <v>273</v>
      </c>
      <c r="AG603" s="48" t="s">
        <v>273</v>
      </c>
      <c r="AH603" s="48" t="s">
        <v>273</v>
      </c>
      <c r="AI603" s="48" t="s">
        <v>273</v>
      </c>
      <c r="AJ603" s="48" t="s">
        <v>273</v>
      </c>
      <c r="AK603" s="48" t="s">
        <v>273</v>
      </c>
      <c r="AL603" s="48" t="s">
        <v>273</v>
      </c>
      <c r="AM603" s="48" t="s">
        <v>273</v>
      </c>
      <c r="AN603" s="48" t="s">
        <v>273</v>
      </c>
      <c r="AO603" s="48" t="s">
        <v>273</v>
      </c>
      <c r="AP603" s="48" t="s">
        <v>273</v>
      </c>
      <c r="AQ603" s="48" t="s">
        <v>273</v>
      </c>
      <c r="AR603" s="48" t="s">
        <v>273</v>
      </c>
      <c r="AS603" s="48" t="s">
        <v>273</v>
      </c>
      <c r="AT603" s="48" t="s">
        <v>273</v>
      </c>
      <c r="AU603" s="93">
        <v>36526</v>
      </c>
      <c r="AV603" s="93" t="s">
        <v>6282</v>
      </c>
      <c r="AW603" s="93" t="s">
        <v>6283</v>
      </c>
      <c r="AX603" s="93" t="s">
        <v>273</v>
      </c>
      <c r="AY603" s="93" t="s">
        <v>6284</v>
      </c>
      <c r="AZ603" s="49" t="s">
        <v>6285</v>
      </c>
    </row>
    <row r="604" spans="1:52" ht="16.5" customHeight="1" x14ac:dyDescent="0.15">
      <c r="A604" s="182" t="s">
        <v>6286</v>
      </c>
      <c r="B604" s="183" t="s">
        <v>6287</v>
      </c>
      <c r="C604" s="48" t="s">
        <v>6288</v>
      </c>
      <c r="D604" s="62" t="s">
        <v>263</v>
      </c>
      <c r="E604" s="48" t="s">
        <v>264</v>
      </c>
      <c r="F604" s="61">
        <v>42613</v>
      </c>
      <c r="G604" s="61">
        <v>0</v>
      </c>
      <c r="H604" s="125">
        <v>42646</v>
      </c>
      <c r="I604" s="61">
        <v>41534</v>
      </c>
      <c r="J604" s="87"/>
      <c r="K604" s="62" t="s">
        <v>16</v>
      </c>
      <c r="L604" s="62">
        <v>3</v>
      </c>
      <c r="M604" s="62" t="s">
        <v>471</v>
      </c>
      <c r="N604" s="62" t="s">
        <v>6289</v>
      </c>
      <c r="O604" s="48" t="s">
        <v>502</v>
      </c>
      <c r="P604" s="48" t="s">
        <v>5512</v>
      </c>
      <c r="Q604" s="48" t="s">
        <v>6290</v>
      </c>
      <c r="R604" s="48" t="s">
        <v>399</v>
      </c>
      <c r="S604" s="48" t="s">
        <v>400</v>
      </c>
      <c r="T604" s="48" t="s">
        <v>401</v>
      </c>
      <c r="U604" s="48" t="s">
        <v>6291</v>
      </c>
      <c r="V604" s="122" t="s">
        <v>263</v>
      </c>
      <c r="W604" s="122" t="s">
        <v>263</v>
      </c>
      <c r="X604" s="48" t="s">
        <v>6292</v>
      </c>
      <c r="Y604" s="48" t="s">
        <v>6293</v>
      </c>
      <c r="Z604" s="61"/>
      <c r="AA604" s="48" t="s">
        <v>529</v>
      </c>
      <c r="AB604" s="48" t="s">
        <v>273</v>
      </c>
      <c r="AC604" s="48" t="s">
        <v>273</v>
      </c>
      <c r="AD604" s="48" t="s">
        <v>273</v>
      </c>
      <c r="AE604" s="48" t="s">
        <v>273</v>
      </c>
      <c r="AF604" s="48" t="s">
        <v>273</v>
      </c>
      <c r="AG604" s="48" t="s">
        <v>273</v>
      </c>
      <c r="AH604" s="48" t="s">
        <v>273</v>
      </c>
      <c r="AI604" s="48" t="s">
        <v>273</v>
      </c>
      <c r="AJ604" s="48" t="s">
        <v>273</v>
      </c>
      <c r="AK604" s="48" t="s">
        <v>530</v>
      </c>
      <c r="AL604" s="48" t="s">
        <v>273</v>
      </c>
      <c r="AM604" s="48" t="s">
        <v>273</v>
      </c>
      <c r="AN604" s="48" t="s">
        <v>273</v>
      </c>
      <c r="AO604" s="48" t="s">
        <v>273</v>
      </c>
      <c r="AP604" s="48" t="s">
        <v>273</v>
      </c>
      <c r="AQ604" s="48" t="s">
        <v>273</v>
      </c>
      <c r="AR604" s="48" t="s">
        <v>273</v>
      </c>
      <c r="AS604" s="48" t="s">
        <v>273</v>
      </c>
      <c r="AT604" s="48" t="s">
        <v>273</v>
      </c>
      <c r="AU604" s="93">
        <v>41395</v>
      </c>
      <c r="AV604" s="93" t="s">
        <v>6294</v>
      </c>
      <c r="AW604" s="93" t="s">
        <v>6295</v>
      </c>
      <c r="AX604" s="93" t="s">
        <v>6296</v>
      </c>
      <c r="AY604" s="93" t="s">
        <v>5645</v>
      </c>
    </row>
    <row r="605" spans="1:52" ht="16.5" customHeight="1" x14ac:dyDescent="0.15">
      <c r="A605" s="121" t="s">
        <v>6297</v>
      </c>
      <c r="B605" s="47" t="s">
        <v>6298</v>
      </c>
      <c r="C605" s="48" t="e">
        <f ca="1">INDIRECT("'["&amp;$C$1&amp;".xls]"&amp;$B605&amp;"'!$i$7")</f>
        <v>#REF!</v>
      </c>
      <c r="D605" s="62" t="e">
        <f ca="1">INDIRECT("'["&amp;$C$1&amp;".xls]"&amp;$B605&amp;"'!$b$7")</f>
        <v>#REF!</v>
      </c>
      <c r="E605" s="48" t="e">
        <f ca="1">IF(INDIRECT("'["&amp;$C$1&amp;".xls]"&amp;$B605&amp;"'!$i$2")="","",INDIRECT("'["&amp;$C$1&amp;".xls]"&amp;$B605&amp;"'!$i$2"))</f>
        <v>#REF!</v>
      </c>
      <c r="F605" s="61" t="e">
        <f ca="1">INDIRECT("'["&amp;$C$1&amp;".xls]"&amp;$B605&amp;"'!$b$2")</f>
        <v>#REF!</v>
      </c>
      <c r="G605" s="61" t="e">
        <f ca="1">INDIRECT("'["&amp;$C$1&amp;".xls]"&amp;$B605&amp;"'!$a$20")</f>
        <v>#REF!</v>
      </c>
      <c r="H605" s="88" t="e">
        <f ca="1">INDIRECT("'["&amp;$C$1&amp;".xls]"&amp;$B605&amp;"'!$Q$22")</f>
        <v>#REF!</v>
      </c>
      <c r="I605" s="61" t="e">
        <f ca="1">INDIRECT("'["&amp;$C$1&amp;".xls]"&amp;$B605&amp;"'!$f$6")</f>
        <v>#REF!</v>
      </c>
      <c r="J605" s="87"/>
      <c r="K605" s="62" t="e">
        <f ca="1">INDIRECT("'["&amp;$C$1&amp;".xls]"&amp;$B605&amp;"'!$f$25")</f>
        <v>#REF!</v>
      </c>
      <c r="L605" s="62"/>
      <c r="M605" s="62" t="e">
        <f ca="1">INDIRECT("'["&amp;$C$1&amp;".xls]"&amp;$B605&amp;"'!$f$4")</f>
        <v>#REF!</v>
      </c>
      <c r="N605" s="62" t="e">
        <f ca="1">INDIRECT("'["&amp;$C$1&amp;".xls]"&amp;$B605&amp;"'!$i$4")</f>
        <v>#REF!</v>
      </c>
      <c r="O605" s="48" t="e">
        <f ca="1">INDIRECT("'["&amp;$C$1&amp;".xls]"&amp;$B605&amp;"'!$l$4")</f>
        <v>#REF!</v>
      </c>
      <c r="P605" s="48" t="e">
        <f ca="1">INDIRECT("'["&amp;$C$1&amp;".xls]"&amp;$B605&amp;"'!$b$5")</f>
        <v>#REF!</v>
      </c>
      <c r="Q605" s="48" t="e">
        <f ca="1">INDIRECT("'["&amp;$C$1&amp;".xls]"&amp;$B605&amp;"'!$f$5")</f>
        <v>#REF!</v>
      </c>
      <c r="R605" s="48"/>
      <c r="S605" s="48" t="e">
        <f ca="1">INDIRECT("'["&amp;$C$1&amp;".xls]"&amp;$B605&amp;"'!$i$5")</f>
        <v>#REF!</v>
      </c>
      <c r="T605" s="48" t="e">
        <f ca="1">INDIRECT("'["&amp;$C$1&amp;".xls]"&amp;$B605&amp;"'!$l$5")</f>
        <v>#REF!</v>
      </c>
      <c r="U605" s="48" t="e">
        <f ca="1">INDIRECT("'["&amp;$C$1&amp;".xls]"&amp;$B605&amp;"'!$b$4")</f>
        <v>#REF!</v>
      </c>
      <c r="V605" s="48"/>
      <c r="W605" s="48"/>
      <c r="X605" s="48"/>
      <c r="Y605" s="48"/>
      <c r="Z605" s="61"/>
      <c r="AA605" s="48" t="e">
        <f ca="1">IF(INDIRECT("'["&amp;$C$1&amp;".xls]"&amp;$B605&amp;"'!$P$25")="","",IF(INDIRECT("'["&amp;$C$1&amp;".xls]"&amp;$B605&amp;"'!$O$25")="済み",INDIRECT("'["&amp;$C$1&amp;".xls]"&amp;$B605&amp;"'!$P$25"),""))</f>
        <v>#REF!</v>
      </c>
      <c r="AB605" s="48" t="e">
        <f ca="1">IF(INDIRECT("'["&amp;$C$1&amp;".xls]"&amp;$B605&amp;"'!$P$26")="","",IF(INDIRECT("'["&amp;$C$1&amp;".xls]"&amp;$B605&amp;"'!$O$26")="済み",INDIRECT("'["&amp;$C$1&amp;".xls]"&amp;$B605&amp;"'!$P$26"),""))</f>
        <v>#REF!</v>
      </c>
      <c r="AC605" s="48" t="e">
        <f ca="1">IF(INDIRECT("'["&amp;$C$1&amp;".xls]"&amp;$B605&amp;"'!$P$27")="","",IF(INDIRECT("'["&amp;$C$1&amp;".xls]"&amp;$B605&amp;"'!$O$27")="済み",INDIRECT("'["&amp;$C$1&amp;".xls]"&amp;$B605&amp;"'!$P$27"),""))</f>
        <v>#REF!</v>
      </c>
      <c r="AD605" s="48" t="e">
        <f ca="1">IF(INDIRECT("'["&amp;$C$1&amp;".xls]"&amp;$B605&amp;"'!$P$28")="","",IF(INDIRECT("'["&amp;$C$1&amp;".xls]"&amp;$B605&amp;"'!$O$28")="済み",INDIRECT("'["&amp;$C$1&amp;".xls]"&amp;$B605&amp;"'!$P$28"),""))</f>
        <v>#REF!</v>
      </c>
      <c r="AE605" s="48" t="e">
        <f ca="1">IF(INDIRECT("'["&amp;$C$1&amp;".xls]"&amp;$B605&amp;"'!$P$29")="","",IF(INDIRECT("'["&amp;$C$1&amp;".xls]"&amp;$B605&amp;"'!$O$29")="済み",INDIRECT("'["&amp;$C$1&amp;".xls]"&amp;$B605&amp;"'!$P$29"),""))</f>
        <v>#REF!</v>
      </c>
      <c r="AF605" s="48" t="e">
        <f ca="1">IF(INDIRECT("'["&amp;$C$1&amp;".xls]"&amp;$B605&amp;"'!$P$30")="","",IF(INDIRECT("'["&amp;$C$1&amp;".xls]"&amp;$B605&amp;"'!$O$30")="済み",INDIRECT("'["&amp;$C$1&amp;".xls]"&amp;$B605&amp;"'!$P$30"),""))</f>
        <v>#REF!</v>
      </c>
      <c r="AG605" s="48" t="e">
        <f ca="1">IF(INDIRECT("'["&amp;$C$1&amp;".xls]"&amp;$B605&amp;"'!$P$31")="","",IF(INDIRECT("'["&amp;$C$1&amp;".xls]"&amp;$B605&amp;"'!$O$31")="済み",INDIRECT("'["&amp;$C$1&amp;".xls]"&amp;$B605&amp;"'!$P$31"),""))</f>
        <v>#REF!</v>
      </c>
      <c r="AH605" s="48" t="e">
        <f ca="1">IF(INDIRECT("'["&amp;$C$1&amp;".xls]"&amp;$B605&amp;"'!$P$32")="","",IF(INDIRECT("'["&amp;$C$1&amp;".xls]"&amp;$B605&amp;"'!$O$32")="済み",INDIRECT("'["&amp;$C$1&amp;".xls]"&amp;$B605&amp;"'!$P$32"),""))</f>
        <v>#REF!</v>
      </c>
      <c r="AI605" s="48" t="e">
        <f ca="1">IF(INDIRECT("'["&amp;$C$1&amp;".xls]"&amp;$B605&amp;"'!$P$33")="","",IF(INDIRECT("'["&amp;$C$1&amp;".xls]"&amp;$B605&amp;"'!$O$33")="済み",INDIRECT("'["&amp;$C$1&amp;".xls]"&amp;$B605&amp;"'!$P$33"),""))</f>
        <v>#REF!</v>
      </c>
      <c r="AJ605" s="48" t="e">
        <f ca="1">IF(INDIRECT("'["&amp;$C$1&amp;".xls]"&amp;$B605&amp;"'!$P$34")="","",IF(INDIRECT("'["&amp;$C$1&amp;".xls]"&amp;$B605&amp;"'!$O$34")="済み",INDIRECT("'["&amp;$C$1&amp;".xls]"&amp;$B605&amp;"'!$P$34"),""))</f>
        <v>#REF!</v>
      </c>
      <c r="AK605" s="48" t="e">
        <f ca="1">IF(INDIRECT("'["&amp;$C$1&amp;".xls]"&amp;$B605&amp;"'!$T25")="","",IF(INDIRECT("'["&amp;$C$1&amp;".xls]"&amp;$B605&amp;"'!$O$25")="済み",INDIRECT("'["&amp;$C$1&amp;".xls]"&amp;$B605&amp;"'!$T$25"),""))</f>
        <v>#REF!</v>
      </c>
      <c r="AL605" s="48" t="e">
        <f ca="1">IF(INDIRECT("'["&amp;$C$1&amp;".xls]"&amp;$B605&amp;"'!$T26")="","",IF(INDIRECT("'["&amp;$C$1&amp;".xls]"&amp;$B605&amp;"'!$O$26")="済み",INDIRECT("'["&amp;$C$1&amp;".xls]"&amp;$B605&amp;"'!$T$26"),""))</f>
        <v>#REF!</v>
      </c>
      <c r="AM605" s="48" t="e">
        <f ca="1">IF(INDIRECT("'["&amp;$C$1&amp;".xls]"&amp;$B605&amp;"'!$T27")="","",IF(INDIRECT("'["&amp;$C$1&amp;".xls]"&amp;$B605&amp;"'!$O$27")="済み",INDIRECT("'["&amp;$C$1&amp;".xls]"&amp;$B605&amp;"'!$T$27"),""))</f>
        <v>#REF!</v>
      </c>
      <c r="AN605" s="48" t="e">
        <f ca="1">IF(INDIRECT("'["&amp;$C$1&amp;".xls]"&amp;$B605&amp;"'!$T28")="","",IF(INDIRECT("'["&amp;$C$1&amp;".xls]"&amp;$B605&amp;"'!$O$28")="済み",INDIRECT("'["&amp;$C$1&amp;".xls]"&amp;$B605&amp;"'!$T$28"),""))</f>
        <v>#REF!</v>
      </c>
      <c r="AO605" s="48" t="e">
        <f ca="1">IF(INDIRECT("'["&amp;$C$1&amp;".xls]"&amp;$B605&amp;"'!$T29")="","",IF(INDIRECT("'["&amp;$C$1&amp;".xls]"&amp;$B605&amp;"'!$O$29")="済み",INDIRECT("'["&amp;$C$1&amp;".xls]"&amp;$B605&amp;"'!$T$29"),""))</f>
        <v>#REF!</v>
      </c>
      <c r="AP605" s="48" t="e">
        <f ca="1">IF(INDIRECT("'["&amp;$C$1&amp;".xls]"&amp;$B605&amp;"'!$T30")="","",IF(INDIRECT("'["&amp;$C$1&amp;".xls]"&amp;$B605&amp;"'!$O$30")="済み",INDIRECT("'["&amp;$C$1&amp;".xls]"&amp;$B605&amp;"'!$T$30"),""))</f>
        <v>#REF!</v>
      </c>
      <c r="AQ605" s="48" t="e">
        <f ca="1">IF(INDIRECT("'["&amp;$C$1&amp;".xls]"&amp;$B605&amp;"'!$T31")="","",IF(INDIRECT("'["&amp;$C$1&amp;".xls]"&amp;$B605&amp;"'!$O$31")="済み",INDIRECT("'["&amp;$C$1&amp;".xls]"&amp;$B605&amp;"'!$T$31"),""))</f>
        <v>#REF!</v>
      </c>
      <c r="AR605" s="48" t="e">
        <f ca="1">IF(INDIRECT("'["&amp;$C$1&amp;".xls]"&amp;$B605&amp;"'!$T32")="","",IF(INDIRECT("'["&amp;$C$1&amp;".xls]"&amp;$B605&amp;"'!$O$32")="済み",INDIRECT("'["&amp;$C$1&amp;".xls]"&amp;$B605&amp;"'!$T$32"),""))</f>
        <v>#REF!</v>
      </c>
      <c r="AS605" s="48" t="e">
        <f ca="1">IF(INDIRECT("'["&amp;$C$1&amp;".xls]"&amp;$B605&amp;"'!$T33")="","",IF(INDIRECT("'["&amp;$C$1&amp;".xls]"&amp;$B605&amp;"'!$O$33")="済み",INDIRECT("'["&amp;$C$1&amp;".xls]"&amp;$B605&amp;"'!$T$33"),""))</f>
        <v>#REF!</v>
      </c>
      <c r="AT605" s="48" t="e">
        <f ca="1">IF(INDIRECT("'["&amp;$C$1&amp;".xls]"&amp;$B605&amp;"'!$T34")="","",IF(INDIRECT("'["&amp;$C$1&amp;".xls]"&amp;$B605&amp;"'!$O$34")="済み",INDIRECT("'["&amp;$C$1&amp;".xls]"&amp;$B605&amp;"'!$T$34"),""))</f>
        <v>#REF!</v>
      </c>
      <c r="AU605" s="93" t="e">
        <f ca="1">INDIRECT("'["&amp;$C$1&amp;".xls]"&amp;$B605&amp;"'!$B$6")</f>
        <v>#REF!</v>
      </c>
      <c r="AV605" s="93" t="e">
        <f ca="1">INDIRECT("'["&amp;$C$1&amp;".xls]"&amp;$B605&amp;"'!$Y$22")</f>
        <v>#REF!</v>
      </c>
      <c r="AW605" s="93" t="e">
        <f ca="1">INDIRECT("'["&amp;$C$1&amp;".xls]"&amp;$B605&amp;"'!$Y$24")</f>
        <v>#REF!</v>
      </c>
      <c r="AX605" s="93" t="e">
        <f ca="1">INDIRECT("'["&amp;$C$1&amp;".xls]"&amp;$B605&amp;"'!$Y$26")</f>
        <v>#REF!</v>
      </c>
      <c r="AY605" s="93" t="e">
        <f ca="1">INDIRECT("'["&amp;$C$1&amp;".xls]"&amp;$B605&amp;"'!$Y$28")</f>
        <v>#REF!</v>
      </c>
    </row>
    <row r="606" spans="1:52" ht="16.5" customHeight="1" x14ac:dyDescent="0.15">
      <c r="A606" s="199" t="s">
        <v>6299</v>
      </c>
      <c r="B606" s="209" t="s">
        <v>6300</v>
      </c>
      <c r="C606" s="48" t="s">
        <v>298</v>
      </c>
      <c r="D606" s="62" t="s">
        <v>263</v>
      </c>
      <c r="E606" s="48" t="s">
        <v>300</v>
      </c>
      <c r="F606" s="61">
        <v>42613</v>
      </c>
      <c r="G606" s="61">
        <v>0</v>
      </c>
      <c r="H606" s="125">
        <v>42699</v>
      </c>
      <c r="I606" s="61">
        <v>40619</v>
      </c>
      <c r="J606" s="87"/>
      <c r="K606" s="62" t="s">
        <v>2506</v>
      </c>
      <c r="L606" s="62">
        <v>3</v>
      </c>
      <c r="M606" s="62" t="s">
        <v>471</v>
      </c>
      <c r="N606" s="62" t="s">
        <v>6301</v>
      </c>
      <c r="O606" s="48" t="s">
        <v>3525</v>
      </c>
      <c r="P606" s="48" t="s">
        <v>1225</v>
      </c>
      <c r="Q606" s="48" t="s">
        <v>4637</v>
      </c>
      <c r="R606" s="48" t="s">
        <v>399</v>
      </c>
      <c r="S606" s="48" t="s">
        <v>400</v>
      </c>
      <c r="T606" s="48" t="s">
        <v>401</v>
      </c>
      <c r="U606" s="48" t="s">
        <v>5946</v>
      </c>
      <c r="V606" s="122" t="s">
        <v>5866</v>
      </c>
      <c r="W606" s="122" t="s">
        <v>5866</v>
      </c>
      <c r="X606" s="48" t="s">
        <v>6302</v>
      </c>
      <c r="Y606" s="48" t="s">
        <v>6303</v>
      </c>
      <c r="Z606" s="61"/>
      <c r="AA606" s="48" t="s">
        <v>781</v>
      </c>
      <c r="AB606" s="48" t="s">
        <v>273</v>
      </c>
      <c r="AC606" s="48" t="s">
        <v>273</v>
      </c>
      <c r="AD606" s="48" t="s">
        <v>273</v>
      </c>
      <c r="AE606" s="48" t="s">
        <v>273</v>
      </c>
      <c r="AF606" s="48" t="s">
        <v>273</v>
      </c>
      <c r="AG606" s="48" t="s">
        <v>273</v>
      </c>
      <c r="AH606" s="48" t="s">
        <v>273</v>
      </c>
      <c r="AI606" s="48" t="s">
        <v>273</v>
      </c>
      <c r="AJ606" s="48" t="s">
        <v>273</v>
      </c>
      <c r="AK606" s="48" t="s">
        <v>785</v>
      </c>
      <c r="AL606" s="48" t="s">
        <v>273</v>
      </c>
      <c r="AM606" s="48" t="s">
        <v>273</v>
      </c>
      <c r="AN606" s="48" t="s">
        <v>273</v>
      </c>
      <c r="AO606" s="48" t="s">
        <v>273</v>
      </c>
      <c r="AP606" s="48" t="s">
        <v>273</v>
      </c>
      <c r="AQ606" s="48" t="s">
        <v>273</v>
      </c>
      <c r="AR606" s="48" t="s">
        <v>273</v>
      </c>
      <c r="AS606" s="48" t="s">
        <v>273</v>
      </c>
      <c r="AT606" s="48" t="s">
        <v>273</v>
      </c>
      <c r="AU606" s="93">
        <v>40483</v>
      </c>
      <c r="AV606" s="93" t="s">
        <v>6304</v>
      </c>
      <c r="AW606" s="93" t="s">
        <v>6305</v>
      </c>
      <c r="AX606" s="93" t="s">
        <v>6306</v>
      </c>
      <c r="AY606" s="93" t="s">
        <v>5312</v>
      </c>
    </row>
    <row r="607" spans="1:52" ht="16.5" customHeight="1" x14ac:dyDescent="0.15">
      <c r="A607" s="156" t="s">
        <v>6307</v>
      </c>
      <c r="B607" s="157" t="s">
        <v>6308</v>
      </c>
      <c r="C607" s="48" t="s">
        <v>298</v>
      </c>
      <c r="D607" s="62" t="s">
        <v>263</v>
      </c>
      <c r="E607" s="48" t="s">
        <v>300</v>
      </c>
      <c r="F607" s="61">
        <v>42613</v>
      </c>
      <c r="G607" s="61">
        <v>0</v>
      </c>
      <c r="H607" s="125">
        <v>42633</v>
      </c>
      <c r="I607" s="61" t="s">
        <v>279</v>
      </c>
      <c r="J607" s="87"/>
      <c r="K607" s="124" t="s">
        <v>263</v>
      </c>
      <c r="L607" s="124" t="s">
        <v>263</v>
      </c>
      <c r="M607" s="62" t="s">
        <v>1360</v>
      </c>
      <c r="N607" s="62" t="s">
        <v>6309</v>
      </c>
      <c r="O607" s="48" t="s">
        <v>2116</v>
      </c>
      <c r="P607" s="48" t="s">
        <v>1425</v>
      </c>
      <c r="Q607" s="48" t="s">
        <v>398</v>
      </c>
      <c r="R607" s="48" t="s">
        <v>399</v>
      </c>
      <c r="S607" s="48" t="s">
        <v>400</v>
      </c>
      <c r="T607" s="48" t="s">
        <v>401</v>
      </c>
      <c r="U607" s="48" t="s">
        <v>6150</v>
      </c>
      <c r="V607" s="122" t="s">
        <v>263</v>
      </c>
      <c r="W607" s="122" t="s">
        <v>263</v>
      </c>
      <c r="X607" s="48" t="s">
        <v>3861</v>
      </c>
      <c r="Y607" s="48" t="s">
        <v>6310</v>
      </c>
      <c r="Z607" s="61"/>
      <c r="AA607" s="48" t="s">
        <v>273</v>
      </c>
      <c r="AB607" s="48" t="s">
        <v>273</v>
      </c>
      <c r="AC607" s="48" t="s">
        <v>273</v>
      </c>
      <c r="AD607" s="48" t="s">
        <v>273</v>
      </c>
      <c r="AE607" s="48" t="s">
        <v>273</v>
      </c>
      <c r="AF607" s="48" t="s">
        <v>273</v>
      </c>
      <c r="AG607" s="48" t="s">
        <v>273</v>
      </c>
      <c r="AH607" s="48" t="s">
        <v>273</v>
      </c>
      <c r="AI607" s="48" t="s">
        <v>273</v>
      </c>
      <c r="AJ607" s="48" t="s">
        <v>273</v>
      </c>
      <c r="AK607" s="48" t="s">
        <v>273</v>
      </c>
      <c r="AL607" s="48" t="s">
        <v>273</v>
      </c>
      <c r="AM607" s="48" t="s">
        <v>273</v>
      </c>
      <c r="AN607" s="48" t="s">
        <v>273</v>
      </c>
      <c r="AO607" s="48" t="s">
        <v>273</v>
      </c>
      <c r="AP607" s="48" t="s">
        <v>273</v>
      </c>
      <c r="AQ607" s="48" t="s">
        <v>273</v>
      </c>
      <c r="AR607" s="48" t="s">
        <v>273</v>
      </c>
      <c r="AS607" s="48" t="s">
        <v>273</v>
      </c>
      <c r="AT607" s="48" t="s">
        <v>273</v>
      </c>
      <c r="AU607" s="93">
        <v>38473</v>
      </c>
      <c r="AV607" s="93" t="s">
        <v>6311</v>
      </c>
      <c r="AW607" s="93" t="s">
        <v>6312</v>
      </c>
      <c r="AX607" s="93" t="s">
        <v>6313</v>
      </c>
      <c r="AY607" s="93" t="s">
        <v>6314</v>
      </c>
      <c r="AZ607" s="49" t="s">
        <v>6315</v>
      </c>
    </row>
    <row r="608" spans="1:52" ht="16.5" customHeight="1" x14ac:dyDescent="0.15">
      <c r="A608" s="156" t="s">
        <v>6316</v>
      </c>
      <c r="B608" s="157" t="s">
        <v>6317</v>
      </c>
      <c r="C608" s="48" t="s">
        <v>298</v>
      </c>
      <c r="D608" s="62" t="s">
        <v>6318</v>
      </c>
      <c r="E608" s="48" t="s">
        <v>300</v>
      </c>
      <c r="F608" s="61">
        <v>42615</v>
      </c>
      <c r="G608" s="61">
        <v>0</v>
      </c>
      <c r="H608" s="125">
        <v>42633</v>
      </c>
      <c r="I608" s="61" t="s">
        <v>279</v>
      </c>
      <c r="J608" s="87"/>
      <c r="K608" s="62" t="s">
        <v>16</v>
      </c>
      <c r="L608" s="62">
        <v>1</v>
      </c>
      <c r="M608" s="62" t="s">
        <v>6319</v>
      </c>
      <c r="N608" s="62" t="s">
        <v>6320</v>
      </c>
      <c r="O608" s="48" t="s">
        <v>6321</v>
      </c>
      <c r="P608" s="48" t="s">
        <v>6322</v>
      </c>
      <c r="Q608" s="48" t="s">
        <v>6323</v>
      </c>
      <c r="R608" s="48" t="s">
        <v>6324</v>
      </c>
      <c r="S608" s="48" t="s">
        <v>6325</v>
      </c>
      <c r="T608" s="48" t="s">
        <v>6326</v>
      </c>
      <c r="U608" s="48" t="s">
        <v>6327</v>
      </c>
      <c r="V608" s="122" t="s">
        <v>263</v>
      </c>
      <c r="W608" s="122" t="s">
        <v>263</v>
      </c>
      <c r="X608" s="48" t="s">
        <v>6328</v>
      </c>
      <c r="Y608" s="48" t="s">
        <v>6329</v>
      </c>
      <c r="Z608" s="61"/>
      <c r="AA608" s="48" t="s">
        <v>1958</v>
      </c>
      <c r="AB608" s="48" t="s">
        <v>273</v>
      </c>
      <c r="AC608" s="48" t="s">
        <v>273</v>
      </c>
      <c r="AD608" s="48" t="s">
        <v>273</v>
      </c>
      <c r="AE608" s="48" t="s">
        <v>273</v>
      </c>
      <c r="AF608" s="48" t="s">
        <v>273</v>
      </c>
      <c r="AG608" s="48" t="s">
        <v>273</v>
      </c>
      <c r="AH608" s="48" t="s">
        <v>273</v>
      </c>
      <c r="AI608" s="48" t="s">
        <v>273</v>
      </c>
      <c r="AJ608" s="48" t="s">
        <v>273</v>
      </c>
      <c r="AK608" s="48" t="s">
        <v>2092</v>
      </c>
      <c r="AL608" s="48" t="s">
        <v>273</v>
      </c>
      <c r="AM608" s="48" t="s">
        <v>273</v>
      </c>
      <c r="AN608" s="48" t="s">
        <v>273</v>
      </c>
      <c r="AO608" s="48" t="s">
        <v>273</v>
      </c>
      <c r="AP608" s="48" t="s">
        <v>273</v>
      </c>
      <c r="AQ608" s="48" t="s">
        <v>273</v>
      </c>
      <c r="AR608" s="48" t="s">
        <v>273</v>
      </c>
      <c r="AS608" s="48" t="s">
        <v>273</v>
      </c>
      <c r="AT608" s="48" t="s">
        <v>273</v>
      </c>
      <c r="AU608" s="93">
        <v>39387</v>
      </c>
      <c r="AV608" s="93" t="s">
        <v>6330</v>
      </c>
      <c r="AW608" s="93" t="s">
        <v>6331</v>
      </c>
      <c r="AX608" s="93" t="s">
        <v>6332</v>
      </c>
      <c r="AY608" s="93" t="s">
        <v>5312</v>
      </c>
      <c r="AZ608" s="49" t="s">
        <v>6333</v>
      </c>
    </row>
    <row r="609" spans="1:52" ht="16.5" customHeight="1" x14ac:dyDescent="0.15">
      <c r="A609" s="156" t="s">
        <v>6334</v>
      </c>
      <c r="B609" s="157" t="s">
        <v>6335</v>
      </c>
      <c r="C609" s="48" t="s">
        <v>330</v>
      </c>
      <c r="D609" s="62" t="s">
        <v>6336</v>
      </c>
      <c r="E609" s="48" t="s">
        <v>300</v>
      </c>
      <c r="F609" s="61">
        <v>42615</v>
      </c>
      <c r="G609" s="61">
        <v>0</v>
      </c>
      <c r="H609" s="125">
        <v>42625</v>
      </c>
      <c r="I609" s="61">
        <v>39237</v>
      </c>
      <c r="J609" s="87"/>
      <c r="K609" s="124" t="s">
        <v>263</v>
      </c>
      <c r="L609" s="124" t="s">
        <v>263</v>
      </c>
      <c r="M609" s="62" t="s">
        <v>409</v>
      </c>
      <c r="N609" s="62" t="s">
        <v>6337</v>
      </c>
      <c r="O609" s="48" t="s">
        <v>6338</v>
      </c>
      <c r="P609" s="48" t="s">
        <v>6339</v>
      </c>
      <c r="Q609" s="48" t="s">
        <v>6340</v>
      </c>
      <c r="R609" s="48" t="s">
        <v>6341</v>
      </c>
      <c r="S609" s="48" t="s">
        <v>6342</v>
      </c>
      <c r="T609" s="48" t="s">
        <v>6343</v>
      </c>
      <c r="U609" s="48" t="s">
        <v>6344</v>
      </c>
      <c r="V609" s="48" t="s">
        <v>6345</v>
      </c>
      <c r="W609" s="48" t="s">
        <v>1288</v>
      </c>
      <c r="X609" s="48" t="s">
        <v>6346</v>
      </c>
      <c r="Y609" s="48" t="s">
        <v>6347</v>
      </c>
      <c r="Z609" s="61"/>
      <c r="AA609" s="48" t="s">
        <v>273</v>
      </c>
      <c r="AB609" s="48" t="s">
        <v>273</v>
      </c>
      <c r="AC609" s="48" t="s">
        <v>273</v>
      </c>
      <c r="AD609" s="48" t="s">
        <v>273</v>
      </c>
      <c r="AE609" s="48" t="s">
        <v>273</v>
      </c>
      <c r="AF609" s="48" t="s">
        <v>273</v>
      </c>
      <c r="AG609" s="48" t="s">
        <v>273</v>
      </c>
      <c r="AH609" s="48" t="s">
        <v>273</v>
      </c>
      <c r="AI609" s="48" t="s">
        <v>273</v>
      </c>
      <c r="AJ609" s="48" t="s">
        <v>273</v>
      </c>
      <c r="AK609" s="48" t="s">
        <v>273</v>
      </c>
      <c r="AL609" s="48" t="s">
        <v>273</v>
      </c>
      <c r="AM609" s="48" t="s">
        <v>273</v>
      </c>
      <c r="AN609" s="48" t="s">
        <v>273</v>
      </c>
      <c r="AO609" s="48" t="s">
        <v>273</v>
      </c>
      <c r="AP609" s="48" t="s">
        <v>273</v>
      </c>
      <c r="AQ609" s="48" t="s">
        <v>273</v>
      </c>
      <c r="AR609" s="48" t="s">
        <v>273</v>
      </c>
      <c r="AS609" s="48" t="s">
        <v>273</v>
      </c>
      <c r="AT609" s="48" t="s">
        <v>273</v>
      </c>
      <c r="AU609" s="93">
        <v>39142</v>
      </c>
      <c r="AV609" s="93" t="s">
        <v>6348</v>
      </c>
      <c r="AW609" s="93" t="s">
        <v>6349</v>
      </c>
      <c r="AX609" s="93" t="s">
        <v>6350</v>
      </c>
      <c r="AY609" s="93" t="s">
        <v>6201</v>
      </c>
      <c r="AZ609" s="49" t="s">
        <v>6351</v>
      </c>
    </row>
    <row r="610" spans="1:52" ht="16.5" customHeight="1" x14ac:dyDescent="0.15">
      <c r="A610" s="182" t="s">
        <v>6352</v>
      </c>
      <c r="B610" s="183" t="s">
        <v>6353</v>
      </c>
      <c r="C610" s="48" t="s">
        <v>6354</v>
      </c>
      <c r="D610" s="62" t="s">
        <v>6355</v>
      </c>
      <c r="E610" s="48" t="s">
        <v>264</v>
      </c>
      <c r="F610" s="61">
        <v>42615</v>
      </c>
      <c r="G610" s="61">
        <v>0</v>
      </c>
      <c r="H610" s="125">
        <v>42668</v>
      </c>
      <c r="I610" s="61" t="s">
        <v>279</v>
      </c>
      <c r="J610" s="87"/>
      <c r="K610" s="62" t="s">
        <v>16</v>
      </c>
      <c r="L610" s="62">
        <v>3</v>
      </c>
      <c r="M610" s="62" t="s">
        <v>651</v>
      </c>
      <c r="N610" s="62" t="s">
        <v>5854</v>
      </c>
      <c r="O610" s="48" t="s">
        <v>653</v>
      </c>
      <c r="P610" s="48" t="s">
        <v>5855</v>
      </c>
      <c r="Q610" s="48" t="s">
        <v>537</v>
      </c>
      <c r="R610" s="48" t="s">
        <v>6356</v>
      </c>
      <c r="S610" s="48" t="s">
        <v>5857</v>
      </c>
      <c r="T610" s="48" t="s">
        <v>5858</v>
      </c>
      <c r="U610" s="48" t="s">
        <v>6357</v>
      </c>
      <c r="V610" s="122" t="s">
        <v>263</v>
      </c>
      <c r="W610" s="122" t="s">
        <v>263</v>
      </c>
      <c r="X610" s="48" t="s">
        <v>6358</v>
      </c>
      <c r="Y610" s="48" t="s">
        <v>6359</v>
      </c>
      <c r="Z610" s="61"/>
      <c r="AA610" s="48" t="s">
        <v>962</v>
      </c>
      <c r="AB610" s="48" t="s">
        <v>273</v>
      </c>
      <c r="AC610" s="48" t="s">
        <v>273</v>
      </c>
      <c r="AD610" s="48" t="s">
        <v>273</v>
      </c>
      <c r="AE610" s="48" t="s">
        <v>273</v>
      </c>
      <c r="AF610" s="48" t="s">
        <v>273</v>
      </c>
      <c r="AG610" s="48" t="s">
        <v>273</v>
      </c>
      <c r="AH610" s="48" t="s">
        <v>273</v>
      </c>
      <c r="AI610" s="48" t="s">
        <v>273</v>
      </c>
      <c r="AJ610" s="48" t="s">
        <v>273</v>
      </c>
      <c r="AK610" s="48" t="s">
        <v>963</v>
      </c>
      <c r="AL610" s="48" t="s">
        <v>273</v>
      </c>
      <c r="AM610" s="48" t="s">
        <v>273</v>
      </c>
      <c r="AN610" s="48" t="s">
        <v>273</v>
      </c>
      <c r="AO610" s="48" t="s">
        <v>273</v>
      </c>
      <c r="AP610" s="48" t="s">
        <v>273</v>
      </c>
      <c r="AQ610" s="48" t="s">
        <v>273</v>
      </c>
      <c r="AR610" s="48" t="s">
        <v>273</v>
      </c>
      <c r="AS610" s="48" t="s">
        <v>273</v>
      </c>
      <c r="AT610" s="48" t="s">
        <v>273</v>
      </c>
      <c r="AU610" s="93">
        <v>41609</v>
      </c>
      <c r="AV610" s="93" t="s">
        <v>6360</v>
      </c>
      <c r="AW610" s="93" t="s">
        <v>6361</v>
      </c>
      <c r="AX610" s="93" t="s">
        <v>5924</v>
      </c>
      <c r="AY610" s="93" t="s">
        <v>6108</v>
      </c>
    </row>
    <row r="611" spans="1:52" ht="16.5" customHeight="1" x14ac:dyDescent="0.15">
      <c r="A611" s="199" t="s">
        <v>6362</v>
      </c>
      <c r="B611" s="209" t="s">
        <v>6363</v>
      </c>
      <c r="C611" s="48" t="s">
        <v>298</v>
      </c>
      <c r="D611" s="62" t="s">
        <v>6364</v>
      </c>
      <c r="E611" s="48" t="s">
        <v>264</v>
      </c>
      <c r="F611" s="61">
        <v>42615</v>
      </c>
      <c r="G611" s="61">
        <v>0</v>
      </c>
      <c r="H611" s="125">
        <v>42684</v>
      </c>
      <c r="I611" s="61">
        <v>41558</v>
      </c>
      <c r="J611" s="87"/>
      <c r="K611" s="62" t="s">
        <v>2506</v>
      </c>
      <c r="L611" s="62">
        <v>3</v>
      </c>
      <c r="M611" s="62" t="s">
        <v>471</v>
      </c>
      <c r="N611" s="62" t="s">
        <v>6365</v>
      </c>
      <c r="O611" s="48" t="s">
        <v>502</v>
      </c>
      <c r="P611" s="48" t="s">
        <v>588</v>
      </c>
      <c r="Q611" s="48" t="s">
        <v>1635</v>
      </c>
      <c r="R611" s="48" t="s">
        <v>6366</v>
      </c>
      <c r="S611" s="48" t="s">
        <v>747</v>
      </c>
      <c r="T611" s="48" t="s">
        <v>748</v>
      </c>
      <c r="U611" s="48" t="s">
        <v>6367</v>
      </c>
      <c r="V611" s="48" t="s">
        <v>6368</v>
      </c>
      <c r="W611" s="48" t="s">
        <v>2959</v>
      </c>
      <c r="X611" s="48" t="s">
        <v>6369</v>
      </c>
      <c r="Y611" s="48" t="s">
        <v>6370</v>
      </c>
      <c r="Z611" s="61"/>
      <c r="AA611" s="48" t="s">
        <v>783</v>
      </c>
      <c r="AB611" s="48" t="s">
        <v>903</v>
      </c>
      <c r="AC611" s="48" t="s">
        <v>273</v>
      </c>
      <c r="AD611" s="48" t="s">
        <v>273</v>
      </c>
      <c r="AE611" s="48" t="s">
        <v>273</v>
      </c>
      <c r="AF611" s="48" t="s">
        <v>273</v>
      </c>
      <c r="AG611" s="48" t="s">
        <v>273</v>
      </c>
      <c r="AH611" s="48" t="s">
        <v>273</v>
      </c>
      <c r="AI611" s="48" t="s">
        <v>273</v>
      </c>
      <c r="AJ611" s="48" t="s">
        <v>273</v>
      </c>
      <c r="AK611" s="48" t="s">
        <v>787</v>
      </c>
      <c r="AL611" s="48" t="s">
        <v>2405</v>
      </c>
      <c r="AM611" s="48" t="s">
        <v>273</v>
      </c>
      <c r="AN611" s="48" t="s">
        <v>273</v>
      </c>
      <c r="AO611" s="48" t="s">
        <v>273</v>
      </c>
      <c r="AP611" s="48" t="s">
        <v>273</v>
      </c>
      <c r="AQ611" s="48" t="s">
        <v>273</v>
      </c>
      <c r="AR611" s="48" t="s">
        <v>273</v>
      </c>
      <c r="AS611" s="48" t="s">
        <v>273</v>
      </c>
      <c r="AT611" s="48" t="s">
        <v>273</v>
      </c>
      <c r="AU611" s="93">
        <v>41395</v>
      </c>
      <c r="AV611" s="93" t="s">
        <v>6371</v>
      </c>
      <c r="AW611" s="93" t="s">
        <v>6372</v>
      </c>
      <c r="AX611" s="93" t="s">
        <v>6373</v>
      </c>
      <c r="AY611" s="93" t="s">
        <v>6374</v>
      </c>
    </row>
    <row r="612" spans="1:52" ht="16.5" customHeight="1" x14ac:dyDescent="0.15">
      <c r="A612" s="156" t="s">
        <v>6375</v>
      </c>
      <c r="B612" s="157" t="s">
        <v>6376</v>
      </c>
      <c r="C612" s="48" t="s">
        <v>330</v>
      </c>
      <c r="D612" s="62" t="s">
        <v>6377</v>
      </c>
      <c r="E612" s="48" t="s">
        <v>273</v>
      </c>
      <c r="F612" s="61">
        <v>42615</v>
      </c>
      <c r="G612" s="61">
        <v>0</v>
      </c>
      <c r="H612" s="125">
        <v>42641</v>
      </c>
      <c r="I612" s="61" t="s">
        <v>279</v>
      </c>
      <c r="J612" s="87"/>
      <c r="K612" s="62" t="s">
        <v>16</v>
      </c>
      <c r="L612" s="62">
        <v>3</v>
      </c>
      <c r="M612" s="62" t="s">
        <v>442</v>
      </c>
      <c r="N612" s="62" t="s">
        <v>6378</v>
      </c>
      <c r="O612" s="48" t="s">
        <v>1894</v>
      </c>
      <c r="P612" s="48" t="s">
        <v>6379</v>
      </c>
      <c r="Q612" s="48" t="s">
        <v>1343</v>
      </c>
      <c r="R612" s="48" t="s">
        <v>6380</v>
      </c>
      <c r="S612" s="48" t="s">
        <v>6381</v>
      </c>
      <c r="T612" s="48" t="s">
        <v>6381</v>
      </c>
      <c r="U612" s="48" t="s">
        <v>6382</v>
      </c>
      <c r="V612" s="122" t="s">
        <v>263</v>
      </c>
      <c r="W612" s="122" t="s">
        <v>263</v>
      </c>
      <c r="X612" s="48" t="s">
        <v>6383</v>
      </c>
      <c r="Y612" s="48" t="s">
        <v>6384</v>
      </c>
      <c r="Z612" s="61"/>
      <c r="AA612" s="48" t="s">
        <v>2977</v>
      </c>
      <c r="AB612" s="48" t="s">
        <v>645</v>
      </c>
      <c r="AC612" s="48" t="s">
        <v>273</v>
      </c>
      <c r="AD612" s="48" t="s">
        <v>273</v>
      </c>
      <c r="AE612" s="48" t="s">
        <v>273</v>
      </c>
      <c r="AF612" s="48" t="s">
        <v>273</v>
      </c>
      <c r="AG612" s="48" t="s">
        <v>273</v>
      </c>
      <c r="AH612" s="48" t="s">
        <v>273</v>
      </c>
      <c r="AI612" s="48" t="s">
        <v>273</v>
      </c>
      <c r="AJ612" s="48" t="s">
        <v>273</v>
      </c>
      <c r="AK612" s="48" t="s">
        <v>2978</v>
      </c>
      <c r="AL612" s="48" t="s">
        <v>646</v>
      </c>
      <c r="AM612" s="48" t="s">
        <v>273</v>
      </c>
      <c r="AN612" s="48" t="s">
        <v>273</v>
      </c>
      <c r="AO612" s="48" t="s">
        <v>273</v>
      </c>
      <c r="AP612" s="48" t="s">
        <v>273</v>
      </c>
      <c r="AQ612" s="48" t="s">
        <v>273</v>
      </c>
      <c r="AR612" s="48" t="s">
        <v>273</v>
      </c>
      <c r="AS612" s="48" t="s">
        <v>273</v>
      </c>
      <c r="AT612" s="48" t="s">
        <v>273</v>
      </c>
      <c r="AU612" s="93">
        <v>38231</v>
      </c>
      <c r="AV612" s="93" t="s">
        <v>6385</v>
      </c>
      <c r="AW612" s="93" t="s">
        <v>6386</v>
      </c>
      <c r="AX612" s="93" t="s">
        <v>6387</v>
      </c>
      <c r="AY612" s="93" t="s">
        <v>6388</v>
      </c>
    </row>
    <row r="613" spans="1:52" ht="16.5" customHeight="1" x14ac:dyDescent="0.15">
      <c r="A613" s="200" t="s">
        <v>6389</v>
      </c>
      <c r="B613" s="201" t="s">
        <v>6390</v>
      </c>
      <c r="C613" s="202" t="s">
        <v>330</v>
      </c>
      <c r="D613" s="203" t="s">
        <v>263</v>
      </c>
      <c r="E613" s="202" t="s">
        <v>273</v>
      </c>
      <c r="F613" s="204">
        <v>42615</v>
      </c>
      <c r="G613" s="204">
        <v>0</v>
      </c>
      <c r="H613" s="204">
        <v>42669</v>
      </c>
      <c r="I613" s="204" t="s">
        <v>279</v>
      </c>
      <c r="J613" s="205"/>
      <c r="K613" s="206" t="s">
        <v>5866</v>
      </c>
      <c r="L613" s="206" t="s">
        <v>5866</v>
      </c>
      <c r="M613" s="203" t="s">
        <v>209</v>
      </c>
      <c r="N613" s="203" t="s">
        <v>6391</v>
      </c>
      <c r="O613" s="202" t="s">
        <v>1736</v>
      </c>
      <c r="P613" s="202" t="s">
        <v>267</v>
      </c>
      <c r="Q613" s="202" t="s">
        <v>892</v>
      </c>
      <c r="R613" s="207" t="s">
        <v>263</v>
      </c>
      <c r="S613" s="207" t="s">
        <v>5866</v>
      </c>
      <c r="T613" s="207" t="s">
        <v>5866</v>
      </c>
      <c r="U613" s="202" t="s">
        <v>6392</v>
      </c>
      <c r="V613" s="207" t="s">
        <v>263</v>
      </c>
      <c r="W613" s="207" t="s">
        <v>263</v>
      </c>
      <c r="X613" s="207" t="s">
        <v>263</v>
      </c>
      <c r="Y613" s="207" t="s">
        <v>263</v>
      </c>
      <c r="Z613" s="204"/>
      <c r="AA613" s="202" t="s">
        <v>273</v>
      </c>
      <c r="AB613" s="202" t="s">
        <v>273</v>
      </c>
      <c r="AC613" s="202" t="s">
        <v>273</v>
      </c>
      <c r="AD613" s="202" t="s">
        <v>273</v>
      </c>
      <c r="AE613" s="202" t="s">
        <v>273</v>
      </c>
      <c r="AF613" s="202" t="s">
        <v>273</v>
      </c>
      <c r="AG613" s="202" t="s">
        <v>273</v>
      </c>
      <c r="AH613" s="202" t="s">
        <v>273</v>
      </c>
      <c r="AI613" s="202" t="s">
        <v>273</v>
      </c>
      <c r="AJ613" s="202" t="s">
        <v>273</v>
      </c>
      <c r="AK613" s="202" t="s">
        <v>273</v>
      </c>
      <c r="AL613" s="202" t="s">
        <v>273</v>
      </c>
      <c r="AM613" s="202" t="s">
        <v>273</v>
      </c>
      <c r="AN613" s="202" t="s">
        <v>273</v>
      </c>
      <c r="AO613" s="202" t="s">
        <v>273</v>
      </c>
      <c r="AP613" s="202" t="s">
        <v>273</v>
      </c>
      <c r="AQ613" s="202" t="s">
        <v>273</v>
      </c>
      <c r="AR613" s="202" t="s">
        <v>273</v>
      </c>
      <c r="AS613" s="202" t="s">
        <v>273</v>
      </c>
      <c r="AT613" s="202" t="s">
        <v>273</v>
      </c>
      <c r="AU613" s="208">
        <v>39539</v>
      </c>
      <c r="AV613" s="208" t="s">
        <v>6393</v>
      </c>
      <c r="AW613" s="208" t="s">
        <v>6394</v>
      </c>
      <c r="AX613" s="208" t="s">
        <v>273</v>
      </c>
      <c r="AY613" s="208" t="s">
        <v>273</v>
      </c>
    </row>
    <row r="614" spans="1:52" ht="16.5" customHeight="1" x14ac:dyDescent="0.15">
      <c r="A614" s="121" t="s">
        <v>6395</v>
      </c>
      <c r="B614" s="47" t="s">
        <v>6396</v>
      </c>
      <c r="C614" s="48" t="e">
        <f ca="1">INDIRECT("'["&amp;$C$1&amp;".xls]"&amp;$B614&amp;"'!$i$7")</f>
        <v>#REF!</v>
      </c>
      <c r="D614" s="62" t="e">
        <f ca="1">INDIRECT("'["&amp;$C$1&amp;".xls]"&amp;$B614&amp;"'!$b$7")</f>
        <v>#REF!</v>
      </c>
      <c r="E614" s="48" t="e">
        <f ca="1">IF(INDIRECT("'["&amp;$C$1&amp;".xls]"&amp;$B614&amp;"'!$i$2")="","",INDIRECT("'["&amp;$C$1&amp;".xls]"&amp;$B614&amp;"'!$i$2"))</f>
        <v>#REF!</v>
      </c>
      <c r="F614" s="61" t="e">
        <f ca="1">INDIRECT("'["&amp;$C$1&amp;".xls]"&amp;$B614&amp;"'!$b$2")</f>
        <v>#REF!</v>
      </c>
      <c r="G614" s="61" t="e">
        <f ca="1">INDIRECT("'["&amp;$C$1&amp;".xls]"&amp;$B614&amp;"'!$a$20")</f>
        <v>#REF!</v>
      </c>
      <c r="H614" s="88" t="e">
        <f ca="1">INDIRECT("'["&amp;$C$1&amp;".xls]"&amp;$B614&amp;"'!$Q$22")</f>
        <v>#REF!</v>
      </c>
      <c r="I614" s="61" t="e">
        <f ca="1">INDIRECT("'["&amp;$C$1&amp;".xls]"&amp;$B614&amp;"'!$f$6")</f>
        <v>#REF!</v>
      </c>
      <c r="J614" s="87"/>
      <c r="K614" s="62" t="e">
        <f ca="1">INDIRECT("'["&amp;$C$1&amp;".xls]"&amp;$B614&amp;"'!$f$25")</f>
        <v>#REF!</v>
      </c>
      <c r="L614" s="62"/>
      <c r="M614" s="62" t="e">
        <f ca="1">INDIRECT("'["&amp;$C$1&amp;".xls]"&amp;$B614&amp;"'!$f$4")</f>
        <v>#REF!</v>
      </c>
      <c r="N614" s="62" t="e">
        <f ca="1">INDIRECT("'["&amp;$C$1&amp;".xls]"&amp;$B614&amp;"'!$i$4")</f>
        <v>#REF!</v>
      </c>
      <c r="O614" s="48" t="e">
        <f ca="1">INDIRECT("'["&amp;$C$1&amp;".xls]"&amp;$B614&amp;"'!$l$4")</f>
        <v>#REF!</v>
      </c>
      <c r="P614" s="48" t="e">
        <f ca="1">INDIRECT("'["&amp;$C$1&amp;".xls]"&amp;$B614&amp;"'!$b$5")</f>
        <v>#REF!</v>
      </c>
      <c r="Q614" s="48" t="e">
        <f ca="1">INDIRECT("'["&amp;$C$1&amp;".xls]"&amp;$B614&amp;"'!$f$5")</f>
        <v>#REF!</v>
      </c>
      <c r="R614" s="48" t="s">
        <v>399</v>
      </c>
      <c r="S614" s="48" t="e">
        <f ca="1">INDIRECT("'["&amp;$C$1&amp;".xls]"&amp;$B614&amp;"'!$i$5")</f>
        <v>#REF!</v>
      </c>
      <c r="T614" s="48" t="e">
        <f ca="1">INDIRECT("'["&amp;$C$1&amp;".xls]"&amp;$B614&amp;"'!$l$5")</f>
        <v>#REF!</v>
      </c>
      <c r="U614" s="48" t="e">
        <f ca="1">INDIRECT("'["&amp;$C$1&amp;".xls]"&amp;$B614&amp;"'!$b$4")</f>
        <v>#REF!</v>
      </c>
      <c r="V614" s="48"/>
      <c r="W614" s="48"/>
      <c r="X614" s="48"/>
      <c r="Y614" s="48"/>
      <c r="Z614" s="61"/>
      <c r="AA614" s="48" t="e">
        <f ca="1">IF(INDIRECT("'["&amp;$C$1&amp;".xls]"&amp;$B614&amp;"'!$P$25")="","",IF(INDIRECT("'["&amp;$C$1&amp;".xls]"&amp;$B614&amp;"'!$O$25")="済み",INDIRECT("'["&amp;$C$1&amp;".xls]"&amp;$B614&amp;"'!$P$25"),""))</f>
        <v>#REF!</v>
      </c>
      <c r="AB614" s="48" t="e">
        <f ca="1">IF(INDIRECT("'["&amp;$C$1&amp;".xls]"&amp;$B614&amp;"'!$P$26")="","",IF(INDIRECT("'["&amp;$C$1&amp;".xls]"&amp;$B614&amp;"'!$O$26")="済み",INDIRECT("'["&amp;$C$1&amp;".xls]"&amp;$B614&amp;"'!$P$26"),""))</f>
        <v>#REF!</v>
      </c>
      <c r="AC614" s="48" t="e">
        <f ca="1">IF(INDIRECT("'["&amp;$C$1&amp;".xls]"&amp;$B614&amp;"'!$P$27")="","",IF(INDIRECT("'["&amp;$C$1&amp;".xls]"&amp;$B614&amp;"'!$O$27")="済み",INDIRECT("'["&amp;$C$1&amp;".xls]"&amp;$B614&amp;"'!$P$27"),""))</f>
        <v>#REF!</v>
      </c>
      <c r="AD614" s="48" t="e">
        <f ca="1">IF(INDIRECT("'["&amp;$C$1&amp;".xls]"&amp;$B614&amp;"'!$P$28")="","",IF(INDIRECT("'["&amp;$C$1&amp;".xls]"&amp;$B614&amp;"'!$O$28")="済み",INDIRECT("'["&amp;$C$1&amp;".xls]"&amp;$B614&amp;"'!$P$28"),""))</f>
        <v>#REF!</v>
      </c>
      <c r="AE614" s="48" t="e">
        <f ca="1">IF(INDIRECT("'["&amp;$C$1&amp;".xls]"&amp;$B614&amp;"'!$P$29")="","",IF(INDIRECT("'["&amp;$C$1&amp;".xls]"&amp;$B614&amp;"'!$O$29")="済み",INDIRECT("'["&amp;$C$1&amp;".xls]"&amp;$B614&amp;"'!$P$29"),""))</f>
        <v>#REF!</v>
      </c>
      <c r="AF614" s="48" t="e">
        <f ca="1">IF(INDIRECT("'["&amp;$C$1&amp;".xls]"&amp;$B614&amp;"'!$P$30")="","",IF(INDIRECT("'["&amp;$C$1&amp;".xls]"&amp;$B614&amp;"'!$O$30")="済み",INDIRECT("'["&amp;$C$1&amp;".xls]"&amp;$B614&amp;"'!$P$30"),""))</f>
        <v>#REF!</v>
      </c>
      <c r="AG614" s="48" t="e">
        <f ca="1">IF(INDIRECT("'["&amp;$C$1&amp;".xls]"&amp;$B614&amp;"'!$P$31")="","",IF(INDIRECT("'["&amp;$C$1&amp;".xls]"&amp;$B614&amp;"'!$O$31")="済み",INDIRECT("'["&amp;$C$1&amp;".xls]"&amp;$B614&amp;"'!$P$31"),""))</f>
        <v>#REF!</v>
      </c>
      <c r="AH614" s="48" t="e">
        <f ca="1">IF(INDIRECT("'["&amp;$C$1&amp;".xls]"&amp;$B614&amp;"'!$P$32")="","",IF(INDIRECT("'["&amp;$C$1&amp;".xls]"&amp;$B614&amp;"'!$O$32")="済み",INDIRECT("'["&amp;$C$1&amp;".xls]"&amp;$B614&amp;"'!$P$32"),""))</f>
        <v>#REF!</v>
      </c>
      <c r="AI614" s="48" t="e">
        <f ca="1">IF(INDIRECT("'["&amp;$C$1&amp;".xls]"&amp;$B614&amp;"'!$P$33")="","",IF(INDIRECT("'["&amp;$C$1&amp;".xls]"&amp;$B614&amp;"'!$O$33")="済み",INDIRECT("'["&amp;$C$1&amp;".xls]"&amp;$B614&amp;"'!$P$33"),""))</f>
        <v>#REF!</v>
      </c>
      <c r="AJ614" s="48" t="e">
        <f ca="1">IF(INDIRECT("'["&amp;$C$1&amp;".xls]"&amp;$B614&amp;"'!$P$34")="","",IF(INDIRECT("'["&amp;$C$1&amp;".xls]"&amp;$B614&amp;"'!$O$34")="済み",INDIRECT("'["&amp;$C$1&amp;".xls]"&amp;$B614&amp;"'!$P$34"),""))</f>
        <v>#REF!</v>
      </c>
      <c r="AK614" s="48" t="e">
        <f ca="1">IF(INDIRECT("'["&amp;$C$1&amp;".xls]"&amp;$B614&amp;"'!$T25")="","",IF(INDIRECT("'["&amp;$C$1&amp;".xls]"&amp;$B614&amp;"'!$O$25")="済み",INDIRECT("'["&amp;$C$1&amp;".xls]"&amp;$B614&amp;"'!$T$25"),""))</f>
        <v>#REF!</v>
      </c>
      <c r="AL614" s="48" t="e">
        <f ca="1">IF(INDIRECT("'["&amp;$C$1&amp;".xls]"&amp;$B614&amp;"'!$T26")="","",IF(INDIRECT("'["&amp;$C$1&amp;".xls]"&amp;$B614&amp;"'!$O$26")="済み",INDIRECT("'["&amp;$C$1&amp;".xls]"&amp;$B614&amp;"'!$T$26"),""))</f>
        <v>#REF!</v>
      </c>
      <c r="AM614" s="48" t="e">
        <f ca="1">IF(INDIRECT("'["&amp;$C$1&amp;".xls]"&amp;$B614&amp;"'!$T27")="","",IF(INDIRECT("'["&amp;$C$1&amp;".xls]"&amp;$B614&amp;"'!$O$27")="済み",INDIRECT("'["&amp;$C$1&amp;".xls]"&amp;$B614&amp;"'!$T$27"),""))</f>
        <v>#REF!</v>
      </c>
      <c r="AN614" s="48" t="e">
        <f ca="1">IF(INDIRECT("'["&amp;$C$1&amp;".xls]"&amp;$B614&amp;"'!$T28")="","",IF(INDIRECT("'["&amp;$C$1&amp;".xls]"&amp;$B614&amp;"'!$O$28")="済み",INDIRECT("'["&amp;$C$1&amp;".xls]"&amp;$B614&amp;"'!$T$28"),""))</f>
        <v>#REF!</v>
      </c>
      <c r="AO614" s="48" t="e">
        <f ca="1">IF(INDIRECT("'["&amp;$C$1&amp;".xls]"&amp;$B614&amp;"'!$T29")="","",IF(INDIRECT("'["&amp;$C$1&amp;".xls]"&amp;$B614&amp;"'!$O$29")="済み",INDIRECT("'["&amp;$C$1&amp;".xls]"&amp;$B614&amp;"'!$T$29"),""))</f>
        <v>#REF!</v>
      </c>
      <c r="AP614" s="48" t="e">
        <f ca="1">IF(INDIRECT("'["&amp;$C$1&amp;".xls]"&amp;$B614&amp;"'!$T30")="","",IF(INDIRECT("'["&amp;$C$1&amp;".xls]"&amp;$B614&amp;"'!$O$30")="済み",INDIRECT("'["&amp;$C$1&amp;".xls]"&amp;$B614&amp;"'!$T$30"),""))</f>
        <v>#REF!</v>
      </c>
      <c r="AQ614" s="48" t="e">
        <f ca="1">IF(INDIRECT("'["&amp;$C$1&amp;".xls]"&amp;$B614&amp;"'!$T31")="","",IF(INDIRECT("'["&amp;$C$1&amp;".xls]"&amp;$B614&amp;"'!$O$31")="済み",INDIRECT("'["&amp;$C$1&amp;".xls]"&amp;$B614&amp;"'!$T$31"),""))</f>
        <v>#REF!</v>
      </c>
      <c r="AR614" s="48" t="e">
        <f ca="1">IF(INDIRECT("'["&amp;$C$1&amp;".xls]"&amp;$B614&amp;"'!$T32")="","",IF(INDIRECT("'["&amp;$C$1&amp;".xls]"&amp;$B614&amp;"'!$O$32")="済み",INDIRECT("'["&amp;$C$1&amp;".xls]"&amp;$B614&amp;"'!$T$32"),""))</f>
        <v>#REF!</v>
      </c>
      <c r="AS614" s="48" t="e">
        <f ca="1">IF(INDIRECT("'["&amp;$C$1&amp;".xls]"&amp;$B614&amp;"'!$T33")="","",IF(INDIRECT("'["&amp;$C$1&amp;".xls]"&amp;$B614&amp;"'!$O$33")="済み",INDIRECT("'["&amp;$C$1&amp;".xls]"&amp;$B614&amp;"'!$T$33"),""))</f>
        <v>#REF!</v>
      </c>
      <c r="AT614" s="48" t="e">
        <f ca="1">IF(INDIRECT("'["&amp;$C$1&amp;".xls]"&amp;$B614&amp;"'!$T34")="","",IF(INDIRECT("'["&amp;$C$1&amp;".xls]"&amp;$B614&amp;"'!$O$34")="済み",INDIRECT("'["&amp;$C$1&amp;".xls]"&amp;$B614&amp;"'!$T$34"),""))</f>
        <v>#REF!</v>
      </c>
      <c r="AU614" s="93" t="e">
        <f ca="1">INDIRECT("'["&amp;$C$1&amp;".xls]"&amp;$B614&amp;"'!$B$6")</f>
        <v>#REF!</v>
      </c>
      <c r="AV614" s="93" t="e">
        <f ca="1">INDIRECT("'["&amp;$C$1&amp;".xls]"&amp;$B614&amp;"'!$Y$22")</f>
        <v>#REF!</v>
      </c>
      <c r="AW614" s="93" t="e">
        <f ca="1">INDIRECT("'["&amp;$C$1&amp;".xls]"&amp;$B614&amp;"'!$Y$24")</f>
        <v>#REF!</v>
      </c>
      <c r="AX614" s="93" t="e">
        <f ca="1">INDIRECT("'["&amp;$C$1&amp;".xls]"&amp;$B614&amp;"'!$Y$26")</f>
        <v>#REF!</v>
      </c>
      <c r="AY614" s="93" t="e">
        <f ca="1">INDIRECT("'["&amp;$C$1&amp;".xls]"&amp;$B614&amp;"'!$Y$28")</f>
        <v>#REF!</v>
      </c>
    </row>
    <row r="615" spans="1:52" ht="16.5" customHeight="1" x14ac:dyDescent="0.15">
      <c r="A615" s="199" t="s">
        <v>6397</v>
      </c>
      <c r="B615" s="209" t="s">
        <v>6398</v>
      </c>
      <c r="C615" s="48" t="s">
        <v>298</v>
      </c>
      <c r="D615" s="62" t="s">
        <v>6399</v>
      </c>
      <c r="E615" s="48" t="s">
        <v>300</v>
      </c>
      <c r="F615" s="61">
        <v>42618</v>
      </c>
      <c r="G615" s="61">
        <v>0</v>
      </c>
      <c r="H615" s="125">
        <v>42688</v>
      </c>
      <c r="I615" s="61" t="s">
        <v>279</v>
      </c>
      <c r="J615" s="87"/>
      <c r="K615" s="124" t="s">
        <v>5866</v>
      </c>
      <c r="L615" s="124" t="s">
        <v>5866</v>
      </c>
      <c r="M615" s="62" t="s">
        <v>2667</v>
      </c>
      <c r="N615" s="62" t="s">
        <v>6400</v>
      </c>
      <c r="O615" s="48" t="s">
        <v>263</v>
      </c>
      <c r="P615" s="48" t="s">
        <v>428</v>
      </c>
      <c r="Q615" s="48" t="s">
        <v>6401</v>
      </c>
      <c r="R615" s="48" t="s">
        <v>6402</v>
      </c>
      <c r="S615" s="48" t="s">
        <v>3908</v>
      </c>
      <c r="T615" s="48" t="s">
        <v>3909</v>
      </c>
      <c r="U615" s="48" t="s">
        <v>6403</v>
      </c>
      <c r="V615" s="122" t="s">
        <v>5866</v>
      </c>
      <c r="W615" s="122" t="s">
        <v>5866</v>
      </c>
      <c r="X615" s="48" t="s">
        <v>6404</v>
      </c>
      <c r="Y615" s="48" t="s">
        <v>6405</v>
      </c>
      <c r="Z615" s="61"/>
      <c r="AA615" s="48" t="s">
        <v>273</v>
      </c>
      <c r="AB615" s="48" t="s">
        <v>273</v>
      </c>
      <c r="AC615" s="48" t="s">
        <v>273</v>
      </c>
      <c r="AD615" s="48" t="s">
        <v>273</v>
      </c>
      <c r="AE615" s="48" t="s">
        <v>273</v>
      </c>
      <c r="AF615" s="48" t="s">
        <v>273</v>
      </c>
      <c r="AG615" s="48" t="s">
        <v>273</v>
      </c>
      <c r="AH615" s="48" t="s">
        <v>273</v>
      </c>
      <c r="AI615" s="48" t="s">
        <v>273</v>
      </c>
      <c r="AJ615" s="48" t="s">
        <v>273</v>
      </c>
      <c r="AK615" s="48" t="s">
        <v>273</v>
      </c>
      <c r="AL615" s="48" t="s">
        <v>273</v>
      </c>
      <c r="AM615" s="48" t="s">
        <v>273</v>
      </c>
      <c r="AN615" s="48" t="s">
        <v>273</v>
      </c>
      <c r="AO615" s="48" t="s">
        <v>273</v>
      </c>
      <c r="AP615" s="48" t="s">
        <v>273</v>
      </c>
      <c r="AQ615" s="48" t="s">
        <v>273</v>
      </c>
      <c r="AR615" s="48" t="s">
        <v>273</v>
      </c>
      <c r="AS615" s="48" t="s">
        <v>273</v>
      </c>
      <c r="AT615" s="48" t="s">
        <v>273</v>
      </c>
      <c r="AU615" s="93" t="s">
        <v>263</v>
      </c>
      <c r="AV615" s="93" t="s">
        <v>5505</v>
      </c>
      <c r="AW615" s="93" t="s">
        <v>6406</v>
      </c>
      <c r="AX615" s="93" t="s">
        <v>273</v>
      </c>
      <c r="AY615" s="93" t="s">
        <v>6407</v>
      </c>
    </row>
    <row r="616" spans="1:52" ht="16.5" customHeight="1" x14ac:dyDescent="0.15">
      <c r="A616" s="182" t="s">
        <v>6408</v>
      </c>
      <c r="B616" s="183" t="s">
        <v>6409</v>
      </c>
      <c r="C616" s="48" t="s">
        <v>6410</v>
      </c>
      <c r="D616" s="62" t="s">
        <v>6411</v>
      </c>
      <c r="E616" s="48" t="s">
        <v>264</v>
      </c>
      <c r="F616" s="61">
        <v>42618</v>
      </c>
      <c r="G616" s="61">
        <v>0</v>
      </c>
      <c r="H616" s="125">
        <v>42662</v>
      </c>
      <c r="I616" s="61" t="s">
        <v>279</v>
      </c>
      <c r="J616" s="87"/>
      <c r="K616" s="62" t="s">
        <v>2506</v>
      </c>
      <c r="L616" s="62">
        <v>3</v>
      </c>
      <c r="M616" s="62" t="s">
        <v>680</v>
      </c>
      <c r="N616" s="62" t="s">
        <v>6412</v>
      </c>
      <c r="O616" s="48" t="s">
        <v>827</v>
      </c>
      <c r="P616" s="48" t="s">
        <v>267</v>
      </c>
      <c r="Q616" s="48" t="s">
        <v>3742</v>
      </c>
      <c r="R616" s="48" t="s">
        <v>4864</v>
      </c>
      <c r="S616" s="48" t="s">
        <v>269</v>
      </c>
      <c r="T616" s="48" t="s">
        <v>270</v>
      </c>
      <c r="U616" s="48" t="s">
        <v>6413</v>
      </c>
      <c r="V616" s="122" t="s">
        <v>263</v>
      </c>
      <c r="W616" s="48" t="s">
        <v>3401</v>
      </c>
      <c r="X616" s="48" t="s">
        <v>6414</v>
      </c>
      <c r="Y616" s="48" t="s">
        <v>6415</v>
      </c>
      <c r="Z616" s="61"/>
      <c r="AA616" s="48" t="s">
        <v>833</v>
      </c>
      <c r="AB616" s="48" t="s">
        <v>273</v>
      </c>
      <c r="AC616" s="48" t="s">
        <v>273</v>
      </c>
      <c r="AD616" s="48" t="s">
        <v>273</v>
      </c>
      <c r="AE616" s="48" t="s">
        <v>273</v>
      </c>
      <c r="AF616" s="48" t="s">
        <v>273</v>
      </c>
      <c r="AG616" s="48" t="s">
        <v>273</v>
      </c>
      <c r="AH616" s="48" t="s">
        <v>273</v>
      </c>
      <c r="AI616" s="48" t="s">
        <v>273</v>
      </c>
      <c r="AJ616" s="48" t="s">
        <v>273</v>
      </c>
      <c r="AK616" s="48" t="s">
        <v>834</v>
      </c>
      <c r="AL616" s="48" t="s">
        <v>273</v>
      </c>
      <c r="AM616" s="48" t="s">
        <v>273</v>
      </c>
      <c r="AN616" s="48" t="s">
        <v>273</v>
      </c>
      <c r="AO616" s="48" t="s">
        <v>273</v>
      </c>
      <c r="AP616" s="48" t="s">
        <v>273</v>
      </c>
      <c r="AQ616" s="48" t="s">
        <v>273</v>
      </c>
      <c r="AR616" s="48" t="s">
        <v>273</v>
      </c>
      <c r="AS616" s="48" t="s">
        <v>273</v>
      </c>
      <c r="AT616" s="48" t="s">
        <v>273</v>
      </c>
      <c r="AU616" s="93">
        <v>41852</v>
      </c>
      <c r="AV616" s="93" t="s">
        <v>6416</v>
      </c>
      <c r="AW616" s="93" t="s">
        <v>6417</v>
      </c>
      <c r="AX616" s="93" t="s">
        <v>6167</v>
      </c>
      <c r="AY616" s="93" t="s">
        <v>6418</v>
      </c>
    </row>
    <row r="617" spans="1:52" ht="16.5" customHeight="1" x14ac:dyDescent="0.15">
      <c r="A617" s="121" t="s">
        <v>6419</v>
      </c>
      <c r="B617" s="47" t="s">
        <v>6420</v>
      </c>
      <c r="C617" s="48" t="e">
        <f ca="1">INDIRECT("'["&amp;$C$1&amp;".xls]"&amp;$B617&amp;"'!$i$7")</f>
        <v>#REF!</v>
      </c>
      <c r="D617" s="62" t="e">
        <f ca="1">INDIRECT("'["&amp;$C$1&amp;".xls]"&amp;$B617&amp;"'!$b$7")</f>
        <v>#REF!</v>
      </c>
      <c r="E617" s="48" t="e">
        <f ca="1">IF(INDIRECT("'["&amp;$C$1&amp;".xls]"&amp;$B617&amp;"'!$i$2")="","",INDIRECT("'["&amp;$C$1&amp;".xls]"&amp;$B617&amp;"'!$i$2"))</f>
        <v>#REF!</v>
      </c>
      <c r="F617" s="61" t="e">
        <f ca="1">INDIRECT("'["&amp;$C$1&amp;".xls]"&amp;$B617&amp;"'!$b$2")</f>
        <v>#REF!</v>
      </c>
      <c r="G617" s="61" t="e">
        <f ca="1">INDIRECT("'["&amp;$C$1&amp;".xls]"&amp;$B617&amp;"'!$a$20")</f>
        <v>#REF!</v>
      </c>
      <c r="H617" s="88" t="e">
        <f ca="1">INDIRECT("'["&amp;$C$1&amp;".xls]"&amp;$B617&amp;"'!$Q$22")</f>
        <v>#REF!</v>
      </c>
      <c r="I617" s="61" t="e">
        <f ca="1">INDIRECT("'["&amp;$C$1&amp;".xls]"&amp;$B617&amp;"'!$f$6")</f>
        <v>#REF!</v>
      </c>
      <c r="J617" s="87"/>
      <c r="K617" s="62" t="e">
        <f ca="1">INDIRECT("'["&amp;$C$1&amp;".xls]"&amp;$B617&amp;"'!$f$25")</f>
        <v>#REF!</v>
      </c>
      <c r="L617" s="62"/>
      <c r="M617" s="62" t="e">
        <f ca="1">INDIRECT("'["&amp;$C$1&amp;".xls]"&amp;$B617&amp;"'!$f$4")</f>
        <v>#REF!</v>
      </c>
      <c r="N617" s="62" t="e">
        <f ca="1">INDIRECT("'["&amp;$C$1&amp;".xls]"&amp;$B617&amp;"'!$i$4")</f>
        <v>#REF!</v>
      </c>
      <c r="O617" s="48" t="e">
        <f ca="1">INDIRECT("'["&amp;$C$1&amp;".xls]"&amp;$B617&amp;"'!$l$4")</f>
        <v>#REF!</v>
      </c>
      <c r="P617" s="48" t="e">
        <f ca="1">INDIRECT("'["&amp;$C$1&amp;".xls]"&amp;$B617&amp;"'!$b$5")</f>
        <v>#REF!</v>
      </c>
      <c r="Q617" s="48" t="e">
        <f ca="1">INDIRECT("'["&amp;$C$1&amp;".xls]"&amp;$B617&amp;"'!$f$5")</f>
        <v>#REF!</v>
      </c>
      <c r="R617" s="48"/>
      <c r="S617" s="48" t="e">
        <f ca="1">INDIRECT("'["&amp;$C$1&amp;".xls]"&amp;$B617&amp;"'!$i$5")</f>
        <v>#REF!</v>
      </c>
      <c r="T617" s="48" t="e">
        <f ca="1">INDIRECT("'["&amp;$C$1&amp;".xls]"&amp;$B617&amp;"'!$l$5")</f>
        <v>#REF!</v>
      </c>
      <c r="U617" s="48" t="e">
        <f ca="1">INDIRECT("'["&amp;$C$1&amp;".xls]"&amp;$B617&amp;"'!$b$4")</f>
        <v>#REF!</v>
      </c>
      <c r="V617" s="48"/>
      <c r="W617" s="48"/>
      <c r="X617" s="48"/>
      <c r="Y617" s="48"/>
      <c r="Z617" s="61"/>
      <c r="AA617" s="48" t="e">
        <f ca="1">IF(INDIRECT("'["&amp;$C$1&amp;".xls]"&amp;$B617&amp;"'!$P$25")="","",IF(INDIRECT("'["&amp;$C$1&amp;".xls]"&amp;$B617&amp;"'!$O$25")="済み",INDIRECT("'["&amp;$C$1&amp;".xls]"&amp;$B617&amp;"'!$P$25"),""))</f>
        <v>#REF!</v>
      </c>
      <c r="AB617" s="48" t="e">
        <f ca="1">IF(INDIRECT("'["&amp;$C$1&amp;".xls]"&amp;$B617&amp;"'!$P$26")="","",IF(INDIRECT("'["&amp;$C$1&amp;".xls]"&amp;$B617&amp;"'!$O$26")="済み",INDIRECT("'["&amp;$C$1&amp;".xls]"&amp;$B617&amp;"'!$P$26"),""))</f>
        <v>#REF!</v>
      </c>
      <c r="AC617" s="48" t="e">
        <f ca="1">IF(INDIRECT("'["&amp;$C$1&amp;".xls]"&amp;$B617&amp;"'!$P$27")="","",IF(INDIRECT("'["&amp;$C$1&amp;".xls]"&amp;$B617&amp;"'!$O$27")="済み",INDIRECT("'["&amp;$C$1&amp;".xls]"&amp;$B617&amp;"'!$P$27"),""))</f>
        <v>#REF!</v>
      </c>
      <c r="AD617" s="48" t="e">
        <f ca="1">IF(INDIRECT("'["&amp;$C$1&amp;".xls]"&amp;$B617&amp;"'!$P$28")="","",IF(INDIRECT("'["&amp;$C$1&amp;".xls]"&amp;$B617&amp;"'!$O$28")="済み",INDIRECT("'["&amp;$C$1&amp;".xls]"&amp;$B617&amp;"'!$P$28"),""))</f>
        <v>#REF!</v>
      </c>
      <c r="AE617" s="48" t="e">
        <f ca="1">IF(INDIRECT("'["&amp;$C$1&amp;".xls]"&amp;$B617&amp;"'!$P$29")="","",IF(INDIRECT("'["&amp;$C$1&amp;".xls]"&amp;$B617&amp;"'!$O$29")="済み",INDIRECT("'["&amp;$C$1&amp;".xls]"&amp;$B617&amp;"'!$P$29"),""))</f>
        <v>#REF!</v>
      </c>
      <c r="AF617" s="48" t="e">
        <f ca="1">IF(INDIRECT("'["&amp;$C$1&amp;".xls]"&amp;$B617&amp;"'!$P$30")="","",IF(INDIRECT("'["&amp;$C$1&amp;".xls]"&amp;$B617&amp;"'!$O$30")="済み",INDIRECT("'["&amp;$C$1&amp;".xls]"&amp;$B617&amp;"'!$P$30"),""))</f>
        <v>#REF!</v>
      </c>
      <c r="AG617" s="48" t="e">
        <f ca="1">IF(INDIRECT("'["&amp;$C$1&amp;".xls]"&amp;$B617&amp;"'!$P$31")="","",IF(INDIRECT("'["&amp;$C$1&amp;".xls]"&amp;$B617&amp;"'!$O$31")="済み",INDIRECT("'["&amp;$C$1&amp;".xls]"&amp;$B617&amp;"'!$P$31"),""))</f>
        <v>#REF!</v>
      </c>
      <c r="AH617" s="48" t="e">
        <f ca="1">IF(INDIRECT("'["&amp;$C$1&amp;".xls]"&amp;$B617&amp;"'!$P$32")="","",IF(INDIRECT("'["&amp;$C$1&amp;".xls]"&amp;$B617&amp;"'!$O$32")="済み",INDIRECT("'["&amp;$C$1&amp;".xls]"&amp;$B617&amp;"'!$P$32"),""))</f>
        <v>#REF!</v>
      </c>
      <c r="AI617" s="48" t="e">
        <f ca="1">IF(INDIRECT("'["&amp;$C$1&amp;".xls]"&amp;$B617&amp;"'!$P$33")="","",IF(INDIRECT("'["&amp;$C$1&amp;".xls]"&amp;$B617&amp;"'!$O$33")="済み",INDIRECT("'["&amp;$C$1&amp;".xls]"&amp;$B617&amp;"'!$P$33"),""))</f>
        <v>#REF!</v>
      </c>
      <c r="AJ617" s="48" t="e">
        <f ca="1">IF(INDIRECT("'["&amp;$C$1&amp;".xls]"&amp;$B617&amp;"'!$P$34")="","",IF(INDIRECT("'["&amp;$C$1&amp;".xls]"&amp;$B617&amp;"'!$O$34")="済み",INDIRECT("'["&amp;$C$1&amp;".xls]"&amp;$B617&amp;"'!$P$34"),""))</f>
        <v>#REF!</v>
      </c>
      <c r="AK617" s="48" t="e">
        <f ca="1">IF(INDIRECT("'["&amp;$C$1&amp;".xls]"&amp;$B617&amp;"'!$T25")="","",IF(INDIRECT("'["&amp;$C$1&amp;".xls]"&amp;$B617&amp;"'!$O$25")="済み",INDIRECT("'["&amp;$C$1&amp;".xls]"&amp;$B617&amp;"'!$T$25"),""))</f>
        <v>#REF!</v>
      </c>
      <c r="AL617" s="48" t="e">
        <f ca="1">IF(INDIRECT("'["&amp;$C$1&amp;".xls]"&amp;$B617&amp;"'!$T26")="","",IF(INDIRECT("'["&amp;$C$1&amp;".xls]"&amp;$B617&amp;"'!$O$26")="済み",INDIRECT("'["&amp;$C$1&amp;".xls]"&amp;$B617&amp;"'!$T$26"),""))</f>
        <v>#REF!</v>
      </c>
      <c r="AM617" s="48" t="e">
        <f ca="1">IF(INDIRECT("'["&amp;$C$1&amp;".xls]"&amp;$B617&amp;"'!$T27")="","",IF(INDIRECT("'["&amp;$C$1&amp;".xls]"&amp;$B617&amp;"'!$O$27")="済み",INDIRECT("'["&amp;$C$1&amp;".xls]"&amp;$B617&amp;"'!$T$27"),""))</f>
        <v>#REF!</v>
      </c>
      <c r="AN617" s="48" t="e">
        <f ca="1">IF(INDIRECT("'["&amp;$C$1&amp;".xls]"&amp;$B617&amp;"'!$T28")="","",IF(INDIRECT("'["&amp;$C$1&amp;".xls]"&amp;$B617&amp;"'!$O$28")="済み",INDIRECT("'["&amp;$C$1&amp;".xls]"&amp;$B617&amp;"'!$T$28"),""))</f>
        <v>#REF!</v>
      </c>
      <c r="AO617" s="48" t="e">
        <f ca="1">IF(INDIRECT("'["&amp;$C$1&amp;".xls]"&amp;$B617&amp;"'!$T29")="","",IF(INDIRECT("'["&amp;$C$1&amp;".xls]"&amp;$B617&amp;"'!$O$29")="済み",INDIRECT("'["&amp;$C$1&amp;".xls]"&amp;$B617&amp;"'!$T$29"),""))</f>
        <v>#REF!</v>
      </c>
      <c r="AP617" s="48" t="e">
        <f ca="1">IF(INDIRECT("'["&amp;$C$1&amp;".xls]"&amp;$B617&amp;"'!$T30")="","",IF(INDIRECT("'["&amp;$C$1&amp;".xls]"&amp;$B617&amp;"'!$O$30")="済み",INDIRECT("'["&amp;$C$1&amp;".xls]"&amp;$B617&amp;"'!$T$30"),""))</f>
        <v>#REF!</v>
      </c>
      <c r="AQ617" s="48" t="e">
        <f ca="1">IF(INDIRECT("'["&amp;$C$1&amp;".xls]"&amp;$B617&amp;"'!$T31")="","",IF(INDIRECT("'["&amp;$C$1&amp;".xls]"&amp;$B617&amp;"'!$O$31")="済み",INDIRECT("'["&amp;$C$1&amp;".xls]"&amp;$B617&amp;"'!$T$31"),""))</f>
        <v>#REF!</v>
      </c>
      <c r="AR617" s="48" t="e">
        <f ca="1">IF(INDIRECT("'["&amp;$C$1&amp;".xls]"&amp;$B617&amp;"'!$T32")="","",IF(INDIRECT("'["&amp;$C$1&amp;".xls]"&amp;$B617&amp;"'!$O$32")="済み",INDIRECT("'["&amp;$C$1&amp;".xls]"&amp;$B617&amp;"'!$T$32"),""))</f>
        <v>#REF!</v>
      </c>
      <c r="AS617" s="48" t="e">
        <f ca="1">IF(INDIRECT("'["&amp;$C$1&amp;".xls]"&amp;$B617&amp;"'!$T33")="","",IF(INDIRECT("'["&amp;$C$1&amp;".xls]"&amp;$B617&amp;"'!$O$33")="済み",INDIRECT("'["&amp;$C$1&amp;".xls]"&amp;$B617&amp;"'!$T$33"),""))</f>
        <v>#REF!</v>
      </c>
      <c r="AT617" s="48" t="e">
        <f ca="1">IF(INDIRECT("'["&amp;$C$1&amp;".xls]"&amp;$B617&amp;"'!$T34")="","",IF(INDIRECT("'["&amp;$C$1&amp;".xls]"&amp;$B617&amp;"'!$O$34")="済み",INDIRECT("'["&amp;$C$1&amp;".xls]"&amp;$B617&amp;"'!$T$34"),""))</f>
        <v>#REF!</v>
      </c>
      <c r="AU617" s="93" t="e">
        <f ca="1">INDIRECT("'["&amp;$C$1&amp;".xls]"&amp;$B617&amp;"'!$B$6")</f>
        <v>#REF!</v>
      </c>
      <c r="AV617" s="93" t="e">
        <f ca="1">INDIRECT("'["&amp;$C$1&amp;".xls]"&amp;$B617&amp;"'!$Y$22")</f>
        <v>#REF!</v>
      </c>
      <c r="AW617" s="93" t="e">
        <f ca="1">INDIRECT("'["&amp;$C$1&amp;".xls]"&amp;$B617&amp;"'!$Y$24")</f>
        <v>#REF!</v>
      </c>
      <c r="AX617" s="93" t="e">
        <f ca="1">INDIRECT("'["&amp;$C$1&amp;".xls]"&amp;$B617&amp;"'!$Y$26")</f>
        <v>#REF!</v>
      </c>
      <c r="AY617" s="93" t="e">
        <f ca="1">INDIRECT("'["&amp;$C$1&amp;".xls]"&amp;$B617&amp;"'!$Y$28")</f>
        <v>#REF!</v>
      </c>
    </row>
    <row r="618" spans="1:52" ht="16.5" customHeight="1" x14ac:dyDescent="0.15">
      <c r="A618" s="156" t="s">
        <v>6421</v>
      </c>
      <c r="B618" s="157" t="s">
        <v>6422</v>
      </c>
      <c r="C618" s="48" t="s">
        <v>330</v>
      </c>
      <c r="D618" s="62" t="s">
        <v>6423</v>
      </c>
      <c r="E618" s="48" t="s">
        <v>300</v>
      </c>
      <c r="F618" s="61">
        <v>42619</v>
      </c>
      <c r="G618" s="61">
        <v>0</v>
      </c>
      <c r="H618" s="125">
        <v>42642</v>
      </c>
      <c r="I618" s="61" t="s">
        <v>279</v>
      </c>
      <c r="J618" s="87"/>
      <c r="K618" s="62">
        <v>0</v>
      </c>
      <c r="L618" s="62"/>
      <c r="M618" s="62" t="s">
        <v>1263</v>
      </c>
      <c r="N618" s="62" t="s">
        <v>6424</v>
      </c>
      <c r="O618" s="48" t="s">
        <v>1265</v>
      </c>
      <c r="P618" s="48" t="s">
        <v>267</v>
      </c>
      <c r="Q618" s="48" t="s">
        <v>1801</v>
      </c>
      <c r="R618" s="48" t="s">
        <v>4158</v>
      </c>
      <c r="S618" s="130" t="s">
        <v>269</v>
      </c>
      <c r="T618" s="130" t="s">
        <v>270</v>
      </c>
      <c r="U618" s="48" t="s">
        <v>526</v>
      </c>
      <c r="V618" s="122" t="s">
        <v>263</v>
      </c>
      <c r="W618" s="122" t="s">
        <v>263</v>
      </c>
      <c r="X618" s="48" t="s">
        <v>527</v>
      </c>
      <c r="Y618" s="48" t="s">
        <v>6425</v>
      </c>
      <c r="Z618" s="61"/>
      <c r="AA618" s="48" t="s">
        <v>273</v>
      </c>
      <c r="AB618" s="48" t="s">
        <v>273</v>
      </c>
      <c r="AC618" s="48" t="s">
        <v>273</v>
      </c>
      <c r="AD618" s="48" t="s">
        <v>273</v>
      </c>
      <c r="AE618" s="48" t="s">
        <v>273</v>
      </c>
      <c r="AF618" s="48" t="s">
        <v>273</v>
      </c>
      <c r="AG618" s="48" t="s">
        <v>273</v>
      </c>
      <c r="AH618" s="48" t="s">
        <v>273</v>
      </c>
      <c r="AI618" s="48" t="s">
        <v>273</v>
      </c>
      <c r="AJ618" s="48" t="s">
        <v>273</v>
      </c>
      <c r="AK618" s="48" t="s">
        <v>273</v>
      </c>
      <c r="AL618" s="48" t="s">
        <v>273</v>
      </c>
      <c r="AM618" s="48" t="s">
        <v>273</v>
      </c>
      <c r="AN618" s="48" t="s">
        <v>273</v>
      </c>
      <c r="AO618" s="48" t="s">
        <v>273</v>
      </c>
      <c r="AP618" s="48" t="s">
        <v>273</v>
      </c>
      <c r="AQ618" s="48" t="s">
        <v>273</v>
      </c>
      <c r="AR618" s="48" t="s">
        <v>273</v>
      </c>
      <c r="AS618" s="48" t="s">
        <v>273</v>
      </c>
      <c r="AT618" s="48" t="s">
        <v>273</v>
      </c>
      <c r="AU618" s="93">
        <v>41579</v>
      </c>
      <c r="AV618" s="93" t="s">
        <v>6426</v>
      </c>
      <c r="AW618" s="93" t="s">
        <v>6427</v>
      </c>
      <c r="AX618" s="93" t="s">
        <v>6428</v>
      </c>
      <c r="AY618" s="93" t="s">
        <v>5312</v>
      </c>
    </row>
    <row r="619" spans="1:52" ht="16.5" customHeight="1" x14ac:dyDescent="0.15">
      <c r="A619" s="156" t="s">
        <v>6429</v>
      </c>
      <c r="B619" s="157" t="s">
        <v>6430</v>
      </c>
      <c r="C619" s="48" t="s">
        <v>298</v>
      </c>
      <c r="D619" s="62" t="s">
        <v>6431</v>
      </c>
      <c r="E619" s="48" t="s">
        <v>300</v>
      </c>
      <c r="F619" s="61">
        <v>42619</v>
      </c>
      <c r="G619" s="61">
        <v>0</v>
      </c>
      <c r="H619" s="125">
        <v>42634</v>
      </c>
      <c r="I619" s="61" t="s">
        <v>279</v>
      </c>
      <c r="J619" s="87"/>
      <c r="K619" s="62" t="s">
        <v>16</v>
      </c>
      <c r="L619" s="62">
        <v>3</v>
      </c>
      <c r="M619" s="62" t="s">
        <v>409</v>
      </c>
      <c r="N619" s="62" t="s">
        <v>6432</v>
      </c>
      <c r="O619" s="48" t="s">
        <v>606</v>
      </c>
      <c r="P619" s="48" t="s">
        <v>3568</v>
      </c>
      <c r="Q619" s="48" t="s">
        <v>1125</v>
      </c>
      <c r="R619" s="48" t="s">
        <v>1126</v>
      </c>
      <c r="S619" s="48" t="s">
        <v>1127</v>
      </c>
      <c r="T619" s="48" t="s">
        <v>1128</v>
      </c>
      <c r="U619" s="48" t="s">
        <v>6433</v>
      </c>
      <c r="V619" s="122" t="s">
        <v>263</v>
      </c>
      <c r="W619" s="122" t="s">
        <v>263</v>
      </c>
      <c r="X619" s="48" t="s">
        <v>6434</v>
      </c>
      <c r="Y619" s="48" t="s">
        <v>6435</v>
      </c>
      <c r="Z619" s="61"/>
      <c r="AA619" s="48" t="s">
        <v>273</v>
      </c>
      <c r="AB619" s="48" t="s">
        <v>273</v>
      </c>
      <c r="AC619" s="48" t="s">
        <v>273</v>
      </c>
      <c r="AD619" s="48" t="s">
        <v>273</v>
      </c>
      <c r="AE619" s="48" t="s">
        <v>273</v>
      </c>
      <c r="AF619" s="48" t="s">
        <v>273</v>
      </c>
      <c r="AG619" s="48" t="s">
        <v>273</v>
      </c>
      <c r="AH619" s="48" t="s">
        <v>273</v>
      </c>
      <c r="AI619" s="48" t="s">
        <v>273</v>
      </c>
      <c r="AJ619" s="48" t="s">
        <v>273</v>
      </c>
      <c r="AK619" s="48" t="s">
        <v>273</v>
      </c>
      <c r="AL619" s="48" t="s">
        <v>273</v>
      </c>
      <c r="AM619" s="48" t="s">
        <v>273</v>
      </c>
      <c r="AN619" s="48" t="s">
        <v>273</v>
      </c>
      <c r="AO619" s="48" t="s">
        <v>273</v>
      </c>
      <c r="AP619" s="48" t="s">
        <v>273</v>
      </c>
      <c r="AQ619" s="48" t="s">
        <v>273</v>
      </c>
      <c r="AR619" s="48" t="s">
        <v>273</v>
      </c>
      <c r="AS619" s="48" t="s">
        <v>273</v>
      </c>
      <c r="AT619" s="48" t="s">
        <v>273</v>
      </c>
      <c r="AU619" s="93">
        <v>40026</v>
      </c>
      <c r="AV619" s="93" t="s">
        <v>6436</v>
      </c>
      <c r="AW619" s="93" t="s">
        <v>6437</v>
      </c>
      <c r="AX619" s="93" t="s">
        <v>6438</v>
      </c>
      <c r="AY619" s="93" t="s">
        <v>6068</v>
      </c>
    </row>
    <row r="620" spans="1:52" ht="16.5" customHeight="1" x14ac:dyDescent="0.15">
      <c r="A620" s="156" t="s">
        <v>6439</v>
      </c>
      <c r="B620" s="157" t="s">
        <v>6440</v>
      </c>
      <c r="C620" s="48" t="s">
        <v>298</v>
      </c>
      <c r="D620" s="62" t="s">
        <v>263</v>
      </c>
      <c r="E620" s="48" t="s">
        <v>264</v>
      </c>
      <c r="F620" s="61">
        <v>42619</v>
      </c>
      <c r="G620" s="61">
        <v>0</v>
      </c>
      <c r="H620" s="125">
        <v>42628</v>
      </c>
      <c r="I620" s="61" t="s">
        <v>279</v>
      </c>
      <c r="J620" s="87"/>
      <c r="K620" s="62" t="s">
        <v>16</v>
      </c>
      <c r="L620" s="62">
        <v>3</v>
      </c>
      <c r="M620" s="62" t="s">
        <v>471</v>
      </c>
      <c r="N620" s="62" t="s">
        <v>6441</v>
      </c>
      <c r="O620" s="48" t="s">
        <v>502</v>
      </c>
      <c r="P620" s="48" t="s">
        <v>6442</v>
      </c>
      <c r="Q620" s="48" t="s">
        <v>6443</v>
      </c>
      <c r="R620" s="48" t="s">
        <v>399</v>
      </c>
      <c r="S620" s="48" t="s">
        <v>400</v>
      </c>
      <c r="T620" s="48" t="s">
        <v>401</v>
      </c>
      <c r="U620" s="48" t="s">
        <v>6444</v>
      </c>
      <c r="V620" s="122" t="s">
        <v>263</v>
      </c>
      <c r="W620" s="122" t="s">
        <v>263</v>
      </c>
      <c r="X620" s="122" t="s">
        <v>263</v>
      </c>
      <c r="Y620" s="48" t="s">
        <v>6445</v>
      </c>
      <c r="Z620" s="61"/>
      <c r="AA620" s="48" t="s">
        <v>2372</v>
      </c>
      <c r="AB620" s="48" t="s">
        <v>781</v>
      </c>
      <c r="AC620" s="48" t="s">
        <v>273</v>
      </c>
      <c r="AD620" s="48" t="s">
        <v>273</v>
      </c>
      <c r="AE620" s="48" t="s">
        <v>273</v>
      </c>
      <c r="AF620" s="48" t="s">
        <v>273</v>
      </c>
      <c r="AG620" s="48" t="s">
        <v>273</v>
      </c>
      <c r="AH620" s="48" t="s">
        <v>273</v>
      </c>
      <c r="AI620" s="48" t="s">
        <v>273</v>
      </c>
      <c r="AJ620" s="48" t="s">
        <v>273</v>
      </c>
      <c r="AK620" s="48" t="s">
        <v>2375</v>
      </c>
      <c r="AL620" s="48" t="s">
        <v>785</v>
      </c>
      <c r="AM620" s="48" t="s">
        <v>273</v>
      </c>
      <c r="AN620" s="48" t="s">
        <v>273</v>
      </c>
      <c r="AO620" s="48" t="s">
        <v>273</v>
      </c>
      <c r="AP620" s="48" t="s">
        <v>273</v>
      </c>
      <c r="AQ620" s="48" t="s">
        <v>273</v>
      </c>
      <c r="AR620" s="48" t="s">
        <v>273</v>
      </c>
      <c r="AS620" s="48" t="s">
        <v>273</v>
      </c>
      <c r="AT620" s="48" t="s">
        <v>273</v>
      </c>
      <c r="AU620" s="93">
        <v>41699</v>
      </c>
      <c r="AV620" s="93" t="s">
        <v>6446</v>
      </c>
      <c r="AW620" s="93" t="s">
        <v>6447</v>
      </c>
      <c r="AX620" s="93" t="s">
        <v>6448</v>
      </c>
      <c r="AY620" s="93" t="s">
        <v>5312</v>
      </c>
    </row>
    <row r="621" spans="1:52" ht="16.5" customHeight="1" x14ac:dyDescent="0.15">
      <c r="A621" s="121" t="s">
        <v>6449</v>
      </c>
      <c r="B621" s="47" t="s">
        <v>6450</v>
      </c>
      <c r="C621" s="48" t="e">
        <f ca="1">INDIRECT("'["&amp;$C$1&amp;".xls]"&amp;$B621&amp;"'!$i$7")</f>
        <v>#REF!</v>
      </c>
      <c r="D621" s="62" t="e">
        <f ca="1">INDIRECT("'["&amp;$C$1&amp;".xls]"&amp;$B621&amp;"'!$b$7")</f>
        <v>#REF!</v>
      </c>
      <c r="E621" s="48" t="e">
        <f ca="1">IF(INDIRECT("'["&amp;$C$1&amp;".xls]"&amp;$B621&amp;"'!$i$2")="","",INDIRECT("'["&amp;$C$1&amp;".xls]"&amp;$B621&amp;"'!$i$2"))</f>
        <v>#REF!</v>
      </c>
      <c r="F621" s="61" t="e">
        <f ca="1">INDIRECT("'["&amp;$C$1&amp;".xls]"&amp;$B621&amp;"'!$b$2")</f>
        <v>#REF!</v>
      </c>
      <c r="G621" s="61" t="e">
        <f ca="1">INDIRECT("'["&amp;$C$1&amp;".xls]"&amp;$B621&amp;"'!$a$20")</f>
        <v>#REF!</v>
      </c>
      <c r="H621" s="88" t="e">
        <f ca="1">INDIRECT("'["&amp;$C$1&amp;".xls]"&amp;$B621&amp;"'!$Q$22")</f>
        <v>#REF!</v>
      </c>
      <c r="I621" s="61" t="e">
        <f ca="1">INDIRECT("'["&amp;$C$1&amp;".xls]"&amp;$B621&amp;"'!$f$6")</f>
        <v>#REF!</v>
      </c>
      <c r="J621" s="87"/>
      <c r="K621" s="62" t="e">
        <f ca="1">INDIRECT("'["&amp;$C$1&amp;".xls]"&amp;$B621&amp;"'!$f$25")</f>
        <v>#REF!</v>
      </c>
      <c r="L621" s="62"/>
      <c r="M621" s="62" t="e">
        <f ca="1">INDIRECT("'["&amp;$C$1&amp;".xls]"&amp;$B621&amp;"'!$f$4")</f>
        <v>#REF!</v>
      </c>
      <c r="N621" s="62" t="e">
        <f ca="1">INDIRECT("'["&amp;$C$1&amp;".xls]"&amp;$B621&amp;"'!$i$4")</f>
        <v>#REF!</v>
      </c>
      <c r="O621" s="48" t="e">
        <f ca="1">INDIRECT("'["&amp;$C$1&amp;".xls]"&amp;$B621&amp;"'!$l$4")</f>
        <v>#REF!</v>
      </c>
      <c r="P621" s="48" t="e">
        <f ca="1">INDIRECT("'["&amp;$C$1&amp;".xls]"&amp;$B621&amp;"'!$b$5")</f>
        <v>#REF!</v>
      </c>
      <c r="Q621" s="48" t="e">
        <f ca="1">INDIRECT("'["&amp;$C$1&amp;".xls]"&amp;$B621&amp;"'!$f$5")</f>
        <v>#REF!</v>
      </c>
      <c r="R621" s="48" t="s">
        <v>4864</v>
      </c>
      <c r="S621" s="48" t="e">
        <f ca="1">INDIRECT("'["&amp;$C$1&amp;".xls]"&amp;$B621&amp;"'!$i$5")</f>
        <v>#REF!</v>
      </c>
      <c r="T621" s="48" t="e">
        <f ca="1">INDIRECT("'["&amp;$C$1&amp;".xls]"&amp;$B621&amp;"'!$l$5")</f>
        <v>#REF!</v>
      </c>
      <c r="U621" s="48" t="e">
        <f ca="1">INDIRECT("'["&amp;$C$1&amp;".xls]"&amp;$B621&amp;"'!$b$4")</f>
        <v>#REF!</v>
      </c>
      <c r="V621" s="122"/>
      <c r="W621" s="122"/>
      <c r="X621" s="48"/>
      <c r="Y621" s="48"/>
      <c r="Z621" s="61"/>
      <c r="AA621" s="48" t="e">
        <f ca="1">IF(INDIRECT("'["&amp;$C$1&amp;".xls]"&amp;$B621&amp;"'!$P$25")="","",IF(INDIRECT("'["&amp;$C$1&amp;".xls]"&amp;$B621&amp;"'!$O$25")="済み",INDIRECT("'["&amp;$C$1&amp;".xls]"&amp;$B621&amp;"'!$P$25"),""))</f>
        <v>#REF!</v>
      </c>
      <c r="AB621" s="48" t="e">
        <f ca="1">IF(INDIRECT("'["&amp;$C$1&amp;".xls]"&amp;$B621&amp;"'!$P$26")="","",IF(INDIRECT("'["&amp;$C$1&amp;".xls]"&amp;$B621&amp;"'!$O$26")="済み",INDIRECT("'["&amp;$C$1&amp;".xls]"&amp;$B621&amp;"'!$P$26"),""))</f>
        <v>#REF!</v>
      </c>
      <c r="AC621" s="48" t="e">
        <f ca="1">IF(INDIRECT("'["&amp;$C$1&amp;".xls]"&amp;$B621&amp;"'!$P$27")="","",IF(INDIRECT("'["&amp;$C$1&amp;".xls]"&amp;$B621&amp;"'!$O$27")="済み",INDIRECT("'["&amp;$C$1&amp;".xls]"&amp;$B621&amp;"'!$P$27"),""))</f>
        <v>#REF!</v>
      </c>
      <c r="AD621" s="48" t="e">
        <f ca="1">IF(INDIRECT("'["&amp;$C$1&amp;".xls]"&amp;$B621&amp;"'!$P$28")="","",IF(INDIRECT("'["&amp;$C$1&amp;".xls]"&amp;$B621&amp;"'!$O$28")="済み",INDIRECT("'["&amp;$C$1&amp;".xls]"&amp;$B621&amp;"'!$P$28"),""))</f>
        <v>#REF!</v>
      </c>
      <c r="AE621" s="48" t="e">
        <f ca="1">IF(INDIRECT("'["&amp;$C$1&amp;".xls]"&amp;$B621&amp;"'!$P$29")="","",IF(INDIRECT("'["&amp;$C$1&amp;".xls]"&amp;$B621&amp;"'!$O$29")="済み",INDIRECT("'["&amp;$C$1&amp;".xls]"&amp;$B621&amp;"'!$P$29"),""))</f>
        <v>#REF!</v>
      </c>
      <c r="AF621" s="48" t="e">
        <f ca="1">IF(INDIRECT("'["&amp;$C$1&amp;".xls]"&amp;$B621&amp;"'!$P$30")="","",IF(INDIRECT("'["&amp;$C$1&amp;".xls]"&amp;$B621&amp;"'!$O$30")="済み",INDIRECT("'["&amp;$C$1&amp;".xls]"&amp;$B621&amp;"'!$P$30"),""))</f>
        <v>#REF!</v>
      </c>
      <c r="AG621" s="48" t="e">
        <f ca="1">IF(INDIRECT("'["&amp;$C$1&amp;".xls]"&amp;$B621&amp;"'!$P$31")="","",IF(INDIRECT("'["&amp;$C$1&amp;".xls]"&amp;$B621&amp;"'!$O$31")="済み",INDIRECT("'["&amp;$C$1&amp;".xls]"&amp;$B621&amp;"'!$P$31"),""))</f>
        <v>#REF!</v>
      </c>
      <c r="AH621" s="48" t="e">
        <f ca="1">IF(INDIRECT("'["&amp;$C$1&amp;".xls]"&amp;$B621&amp;"'!$P$32")="","",IF(INDIRECT("'["&amp;$C$1&amp;".xls]"&amp;$B621&amp;"'!$O$32")="済み",INDIRECT("'["&amp;$C$1&amp;".xls]"&amp;$B621&amp;"'!$P$32"),""))</f>
        <v>#REF!</v>
      </c>
      <c r="AI621" s="48" t="e">
        <f ca="1">IF(INDIRECT("'["&amp;$C$1&amp;".xls]"&amp;$B621&amp;"'!$P$33")="","",IF(INDIRECT("'["&amp;$C$1&amp;".xls]"&amp;$B621&amp;"'!$O$33")="済み",INDIRECT("'["&amp;$C$1&amp;".xls]"&amp;$B621&amp;"'!$P$33"),""))</f>
        <v>#REF!</v>
      </c>
      <c r="AJ621" s="48" t="e">
        <f ca="1">IF(INDIRECT("'["&amp;$C$1&amp;".xls]"&amp;$B621&amp;"'!$P$34")="","",IF(INDIRECT("'["&amp;$C$1&amp;".xls]"&amp;$B621&amp;"'!$O$34")="済み",INDIRECT("'["&amp;$C$1&amp;".xls]"&amp;$B621&amp;"'!$P$34"),""))</f>
        <v>#REF!</v>
      </c>
      <c r="AK621" s="48" t="e">
        <f ca="1">IF(INDIRECT("'["&amp;$C$1&amp;".xls]"&amp;$B621&amp;"'!$T25")="","",IF(INDIRECT("'["&amp;$C$1&amp;".xls]"&amp;$B621&amp;"'!$O$25")="済み",INDIRECT("'["&amp;$C$1&amp;".xls]"&amp;$B621&amp;"'!$T$25"),""))</f>
        <v>#REF!</v>
      </c>
      <c r="AL621" s="48" t="e">
        <f ca="1">IF(INDIRECT("'["&amp;$C$1&amp;".xls]"&amp;$B621&amp;"'!$T26")="","",IF(INDIRECT("'["&amp;$C$1&amp;".xls]"&amp;$B621&amp;"'!$O$26")="済み",INDIRECT("'["&amp;$C$1&amp;".xls]"&amp;$B621&amp;"'!$T$26"),""))</f>
        <v>#REF!</v>
      </c>
      <c r="AM621" s="48" t="e">
        <f ca="1">IF(INDIRECT("'["&amp;$C$1&amp;".xls]"&amp;$B621&amp;"'!$T27")="","",IF(INDIRECT("'["&amp;$C$1&amp;".xls]"&amp;$B621&amp;"'!$O$27")="済み",INDIRECT("'["&amp;$C$1&amp;".xls]"&amp;$B621&amp;"'!$T$27"),""))</f>
        <v>#REF!</v>
      </c>
      <c r="AN621" s="48" t="e">
        <f ca="1">IF(INDIRECT("'["&amp;$C$1&amp;".xls]"&amp;$B621&amp;"'!$T28")="","",IF(INDIRECT("'["&amp;$C$1&amp;".xls]"&amp;$B621&amp;"'!$O$28")="済み",INDIRECT("'["&amp;$C$1&amp;".xls]"&amp;$B621&amp;"'!$T$28"),""))</f>
        <v>#REF!</v>
      </c>
      <c r="AO621" s="48" t="e">
        <f ca="1">IF(INDIRECT("'["&amp;$C$1&amp;".xls]"&amp;$B621&amp;"'!$T29")="","",IF(INDIRECT("'["&amp;$C$1&amp;".xls]"&amp;$B621&amp;"'!$O$29")="済み",INDIRECT("'["&amp;$C$1&amp;".xls]"&amp;$B621&amp;"'!$T$29"),""))</f>
        <v>#REF!</v>
      </c>
      <c r="AP621" s="48" t="e">
        <f ca="1">IF(INDIRECT("'["&amp;$C$1&amp;".xls]"&amp;$B621&amp;"'!$T30")="","",IF(INDIRECT("'["&amp;$C$1&amp;".xls]"&amp;$B621&amp;"'!$O$30")="済み",INDIRECT("'["&amp;$C$1&amp;".xls]"&amp;$B621&amp;"'!$T$30"),""))</f>
        <v>#REF!</v>
      </c>
      <c r="AQ621" s="48" t="e">
        <f ca="1">IF(INDIRECT("'["&amp;$C$1&amp;".xls]"&amp;$B621&amp;"'!$T31")="","",IF(INDIRECT("'["&amp;$C$1&amp;".xls]"&amp;$B621&amp;"'!$O$31")="済み",INDIRECT("'["&amp;$C$1&amp;".xls]"&amp;$B621&amp;"'!$T$31"),""))</f>
        <v>#REF!</v>
      </c>
      <c r="AR621" s="48" t="e">
        <f ca="1">IF(INDIRECT("'["&amp;$C$1&amp;".xls]"&amp;$B621&amp;"'!$T32")="","",IF(INDIRECT("'["&amp;$C$1&amp;".xls]"&amp;$B621&amp;"'!$O$32")="済み",INDIRECT("'["&amp;$C$1&amp;".xls]"&amp;$B621&amp;"'!$T$32"),""))</f>
        <v>#REF!</v>
      </c>
      <c r="AS621" s="48" t="e">
        <f ca="1">IF(INDIRECT("'["&amp;$C$1&amp;".xls]"&amp;$B621&amp;"'!$T33")="","",IF(INDIRECT("'["&amp;$C$1&amp;".xls]"&amp;$B621&amp;"'!$O$33")="済み",INDIRECT("'["&amp;$C$1&amp;".xls]"&amp;$B621&amp;"'!$T$33"),""))</f>
        <v>#REF!</v>
      </c>
      <c r="AT621" s="48" t="e">
        <f ca="1">IF(INDIRECT("'["&amp;$C$1&amp;".xls]"&amp;$B621&amp;"'!$T34")="","",IF(INDIRECT("'["&amp;$C$1&amp;".xls]"&amp;$B621&amp;"'!$O$34")="済み",INDIRECT("'["&amp;$C$1&amp;".xls]"&amp;$B621&amp;"'!$T$34"),""))</f>
        <v>#REF!</v>
      </c>
      <c r="AU621" s="93" t="e">
        <f ca="1">INDIRECT("'["&amp;$C$1&amp;".xls]"&amp;$B621&amp;"'!$B$6")</f>
        <v>#REF!</v>
      </c>
      <c r="AV621" s="93" t="e">
        <f ca="1">INDIRECT("'["&amp;$C$1&amp;".xls]"&amp;$B621&amp;"'!$Y$22")</f>
        <v>#REF!</v>
      </c>
      <c r="AW621" s="93" t="e">
        <f ca="1">INDIRECT("'["&amp;$C$1&amp;".xls]"&amp;$B621&amp;"'!$Y$24")</f>
        <v>#REF!</v>
      </c>
      <c r="AX621" s="93" t="e">
        <f ca="1">INDIRECT("'["&amp;$C$1&amp;".xls]"&amp;$B621&amp;"'!$Y$26")</f>
        <v>#REF!</v>
      </c>
      <c r="AY621" s="93" t="e">
        <f ca="1">INDIRECT("'["&amp;$C$1&amp;".xls]"&amp;$B621&amp;"'!$Y$28")</f>
        <v>#REF!</v>
      </c>
    </row>
    <row r="622" spans="1:52" ht="16.5" customHeight="1" x14ac:dyDescent="0.15">
      <c r="A622" s="121" t="s">
        <v>6451</v>
      </c>
      <c r="B622" s="47" t="s">
        <v>6452</v>
      </c>
      <c r="C622" s="48" t="e">
        <f ca="1">INDIRECT("'["&amp;$C$1&amp;".xls]"&amp;$B622&amp;"'!$i$7")</f>
        <v>#REF!</v>
      </c>
      <c r="D622" s="62" t="e">
        <f ca="1">INDIRECT("'["&amp;$C$1&amp;".xls]"&amp;$B622&amp;"'!$b$7")</f>
        <v>#REF!</v>
      </c>
      <c r="E622" s="48" t="e">
        <f ca="1">IF(INDIRECT("'["&amp;$C$1&amp;".xls]"&amp;$B622&amp;"'!$i$2")="","",INDIRECT("'["&amp;$C$1&amp;".xls]"&amp;$B622&amp;"'!$i$2"))</f>
        <v>#REF!</v>
      </c>
      <c r="F622" s="61" t="e">
        <f ca="1">INDIRECT("'["&amp;$C$1&amp;".xls]"&amp;$B622&amp;"'!$b$2")</f>
        <v>#REF!</v>
      </c>
      <c r="G622" s="61" t="e">
        <f ca="1">INDIRECT("'["&amp;$C$1&amp;".xls]"&amp;$B622&amp;"'!$a$20")</f>
        <v>#REF!</v>
      </c>
      <c r="H622" s="88" t="e">
        <f ca="1">INDIRECT("'["&amp;$C$1&amp;".xls]"&amp;$B622&amp;"'!$Q$22")</f>
        <v>#REF!</v>
      </c>
      <c r="I622" s="61" t="e">
        <f ca="1">INDIRECT("'["&amp;$C$1&amp;".xls]"&amp;$B622&amp;"'!$f$6")</f>
        <v>#REF!</v>
      </c>
      <c r="J622" s="87"/>
      <c r="K622" s="62" t="e">
        <f ca="1">INDIRECT("'["&amp;$C$1&amp;".xls]"&amp;$B622&amp;"'!$f$25")</f>
        <v>#REF!</v>
      </c>
      <c r="L622" s="62"/>
      <c r="M622" s="62" t="e">
        <f ca="1">INDIRECT("'["&amp;$C$1&amp;".xls]"&amp;$B622&amp;"'!$f$4")</f>
        <v>#REF!</v>
      </c>
      <c r="N622" s="62" t="e">
        <f ca="1">INDIRECT("'["&amp;$C$1&amp;".xls]"&amp;$B622&amp;"'!$i$4")</f>
        <v>#REF!</v>
      </c>
      <c r="O622" s="48" t="e">
        <f ca="1">INDIRECT("'["&amp;$C$1&amp;".xls]"&amp;$B622&amp;"'!$l$4")</f>
        <v>#REF!</v>
      </c>
      <c r="P622" s="48" t="e">
        <f ca="1">INDIRECT("'["&amp;$C$1&amp;".xls]"&amp;$B622&amp;"'!$b$5")</f>
        <v>#REF!</v>
      </c>
      <c r="Q622" s="48" t="e">
        <f ca="1">INDIRECT("'["&amp;$C$1&amp;".xls]"&amp;$B622&amp;"'!$f$5")</f>
        <v>#REF!</v>
      </c>
      <c r="R622" s="48"/>
      <c r="S622" s="48" t="e">
        <f ca="1">INDIRECT("'["&amp;$C$1&amp;".xls]"&amp;$B622&amp;"'!$i$5")</f>
        <v>#REF!</v>
      </c>
      <c r="T622" s="48" t="e">
        <f ca="1">INDIRECT("'["&amp;$C$1&amp;".xls]"&amp;$B622&amp;"'!$l$5")</f>
        <v>#REF!</v>
      </c>
      <c r="U622" s="48" t="e">
        <f ca="1">INDIRECT("'["&amp;$C$1&amp;".xls]"&amp;$B622&amp;"'!$b$4")</f>
        <v>#REF!</v>
      </c>
      <c r="V622" s="48"/>
      <c r="W622" s="48"/>
      <c r="X622" s="48"/>
      <c r="Y622" s="48"/>
      <c r="Z622" s="61"/>
      <c r="AA622" s="48" t="e">
        <f ca="1">IF(INDIRECT("'["&amp;$C$1&amp;".xls]"&amp;$B622&amp;"'!$P$25")="","",IF(INDIRECT("'["&amp;$C$1&amp;".xls]"&amp;$B622&amp;"'!$O$25")="済み",INDIRECT("'["&amp;$C$1&amp;".xls]"&amp;$B622&amp;"'!$P$25"),""))</f>
        <v>#REF!</v>
      </c>
      <c r="AB622" s="48" t="e">
        <f ca="1">IF(INDIRECT("'["&amp;$C$1&amp;".xls]"&amp;$B622&amp;"'!$P$26")="","",IF(INDIRECT("'["&amp;$C$1&amp;".xls]"&amp;$B622&amp;"'!$O$26")="済み",INDIRECT("'["&amp;$C$1&amp;".xls]"&amp;$B622&amp;"'!$P$26"),""))</f>
        <v>#REF!</v>
      </c>
      <c r="AC622" s="48" t="e">
        <f ca="1">IF(INDIRECT("'["&amp;$C$1&amp;".xls]"&amp;$B622&amp;"'!$P$27")="","",IF(INDIRECT("'["&amp;$C$1&amp;".xls]"&amp;$B622&amp;"'!$O$27")="済み",INDIRECT("'["&amp;$C$1&amp;".xls]"&amp;$B622&amp;"'!$P$27"),""))</f>
        <v>#REF!</v>
      </c>
      <c r="AD622" s="48" t="e">
        <f ca="1">IF(INDIRECT("'["&amp;$C$1&amp;".xls]"&amp;$B622&amp;"'!$P$28")="","",IF(INDIRECT("'["&amp;$C$1&amp;".xls]"&amp;$B622&amp;"'!$O$28")="済み",INDIRECT("'["&amp;$C$1&amp;".xls]"&amp;$B622&amp;"'!$P$28"),""))</f>
        <v>#REF!</v>
      </c>
      <c r="AE622" s="48" t="e">
        <f ca="1">IF(INDIRECT("'["&amp;$C$1&amp;".xls]"&amp;$B622&amp;"'!$P$29")="","",IF(INDIRECT("'["&amp;$C$1&amp;".xls]"&amp;$B622&amp;"'!$O$29")="済み",INDIRECT("'["&amp;$C$1&amp;".xls]"&amp;$B622&amp;"'!$P$29"),""))</f>
        <v>#REF!</v>
      </c>
      <c r="AF622" s="48" t="e">
        <f ca="1">IF(INDIRECT("'["&amp;$C$1&amp;".xls]"&amp;$B622&amp;"'!$P$30")="","",IF(INDIRECT("'["&amp;$C$1&amp;".xls]"&amp;$B622&amp;"'!$O$30")="済み",INDIRECT("'["&amp;$C$1&amp;".xls]"&amp;$B622&amp;"'!$P$30"),""))</f>
        <v>#REF!</v>
      </c>
      <c r="AG622" s="48" t="e">
        <f ca="1">IF(INDIRECT("'["&amp;$C$1&amp;".xls]"&amp;$B622&amp;"'!$P$31")="","",IF(INDIRECT("'["&amp;$C$1&amp;".xls]"&amp;$B622&amp;"'!$O$31")="済み",INDIRECT("'["&amp;$C$1&amp;".xls]"&amp;$B622&amp;"'!$P$31"),""))</f>
        <v>#REF!</v>
      </c>
      <c r="AH622" s="48" t="e">
        <f ca="1">IF(INDIRECT("'["&amp;$C$1&amp;".xls]"&amp;$B622&amp;"'!$P$32")="","",IF(INDIRECT("'["&amp;$C$1&amp;".xls]"&amp;$B622&amp;"'!$O$32")="済み",INDIRECT("'["&amp;$C$1&amp;".xls]"&amp;$B622&amp;"'!$P$32"),""))</f>
        <v>#REF!</v>
      </c>
      <c r="AI622" s="48" t="e">
        <f ca="1">IF(INDIRECT("'["&amp;$C$1&amp;".xls]"&amp;$B622&amp;"'!$P$33")="","",IF(INDIRECT("'["&amp;$C$1&amp;".xls]"&amp;$B622&amp;"'!$O$33")="済み",INDIRECT("'["&amp;$C$1&amp;".xls]"&amp;$B622&amp;"'!$P$33"),""))</f>
        <v>#REF!</v>
      </c>
      <c r="AJ622" s="48" t="e">
        <f ca="1">IF(INDIRECT("'["&amp;$C$1&amp;".xls]"&amp;$B622&amp;"'!$P$34")="","",IF(INDIRECT("'["&amp;$C$1&amp;".xls]"&amp;$B622&amp;"'!$O$34")="済み",INDIRECT("'["&amp;$C$1&amp;".xls]"&amp;$B622&amp;"'!$P$34"),""))</f>
        <v>#REF!</v>
      </c>
      <c r="AK622" s="48" t="e">
        <f ca="1">IF(INDIRECT("'["&amp;$C$1&amp;".xls]"&amp;$B622&amp;"'!$T25")="","",IF(INDIRECT("'["&amp;$C$1&amp;".xls]"&amp;$B622&amp;"'!$O$25")="済み",INDIRECT("'["&amp;$C$1&amp;".xls]"&amp;$B622&amp;"'!$T$25"),""))</f>
        <v>#REF!</v>
      </c>
      <c r="AL622" s="48" t="e">
        <f ca="1">IF(INDIRECT("'["&amp;$C$1&amp;".xls]"&amp;$B622&amp;"'!$T26")="","",IF(INDIRECT("'["&amp;$C$1&amp;".xls]"&amp;$B622&amp;"'!$O$26")="済み",INDIRECT("'["&amp;$C$1&amp;".xls]"&amp;$B622&amp;"'!$T$26"),""))</f>
        <v>#REF!</v>
      </c>
      <c r="AM622" s="48" t="e">
        <f ca="1">IF(INDIRECT("'["&amp;$C$1&amp;".xls]"&amp;$B622&amp;"'!$T27")="","",IF(INDIRECT("'["&amp;$C$1&amp;".xls]"&amp;$B622&amp;"'!$O$27")="済み",INDIRECT("'["&amp;$C$1&amp;".xls]"&amp;$B622&amp;"'!$T$27"),""))</f>
        <v>#REF!</v>
      </c>
      <c r="AN622" s="48" t="e">
        <f ca="1">IF(INDIRECT("'["&amp;$C$1&amp;".xls]"&amp;$B622&amp;"'!$T28")="","",IF(INDIRECT("'["&amp;$C$1&amp;".xls]"&amp;$B622&amp;"'!$O$28")="済み",INDIRECT("'["&amp;$C$1&amp;".xls]"&amp;$B622&amp;"'!$T$28"),""))</f>
        <v>#REF!</v>
      </c>
      <c r="AO622" s="48" t="e">
        <f ca="1">IF(INDIRECT("'["&amp;$C$1&amp;".xls]"&amp;$B622&amp;"'!$T29")="","",IF(INDIRECT("'["&amp;$C$1&amp;".xls]"&amp;$B622&amp;"'!$O$29")="済み",INDIRECT("'["&amp;$C$1&amp;".xls]"&amp;$B622&amp;"'!$T$29"),""))</f>
        <v>#REF!</v>
      </c>
      <c r="AP622" s="48" t="e">
        <f ca="1">IF(INDIRECT("'["&amp;$C$1&amp;".xls]"&amp;$B622&amp;"'!$T30")="","",IF(INDIRECT("'["&amp;$C$1&amp;".xls]"&amp;$B622&amp;"'!$O$30")="済み",INDIRECT("'["&amp;$C$1&amp;".xls]"&amp;$B622&amp;"'!$T$30"),""))</f>
        <v>#REF!</v>
      </c>
      <c r="AQ622" s="48" t="e">
        <f ca="1">IF(INDIRECT("'["&amp;$C$1&amp;".xls]"&amp;$B622&amp;"'!$T31")="","",IF(INDIRECT("'["&amp;$C$1&amp;".xls]"&amp;$B622&amp;"'!$O$31")="済み",INDIRECT("'["&amp;$C$1&amp;".xls]"&amp;$B622&amp;"'!$T$31"),""))</f>
        <v>#REF!</v>
      </c>
      <c r="AR622" s="48" t="e">
        <f ca="1">IF(INDIRECT("'["&amp;$C$1&amp;".xls]"&amp;$B622&amp;"'!$T32")="","",IF(INDIRECT("'["&amp;$C$1&amp;".xls]"&amp;$B622&amp;"'!$O$32")="済み",INDIRECT("'["&amp;$C$1&amp;".xls]"&amp;$B622&amp;"'!$T$32"),""))</f>
        <v>#REF!</v>
      </c>
      <c r="AS622" s="48" t="e">
        <f ca="1">IF(INDIRECT("'["&amp;$C$1&amp;".xls]"&amp;$B622&amp;"'!$T33")="","",IF(INDIRECT("'["&amp;$C$1&amp;".xls]"&amp;$B622&amp;"'!$O$33")="済み",INDIRECT("'["&amp;$C$1&amp;".xls]"&amp;$B622&amp;"'!$T$33"),""))</f>
        <v>#REF!</v>
      </c>
      <c r="AT622" s="48" t="e">
        <f ca="1">IF(INDIRECT("'["&amp;$C$1&amp;".xls]"&amp;$B622&amp;"'!$T34")="","",IF(INDIRECT("'["&amp;$C$1&amp;".xls]"&amp;$B622&amp;"'!$O$34")="済み",INDIRECT("'["&amp;$C$1&amp;".xls]"&amp;$B622&amp;"'!$T$34"),""))</f>
        <v>#REF!</v>
      </c>
      <c r="AU622" s="93" t="e">
        <f ca="1">INDIRECT("'["&amp;$C$1&amp;".xls]"&amp;$B622&amp;"'!$B$6")</f>
        <v>#REF!</v>
      </c>
      <c r="AV622" s="93" t="e">
        <f ca="1">INDIRECT("'["&amp;$C$1&amp;".xls]"&amp;$B622&amp;"'!$Y$22")</f>
        <v>#REF!</v>
      </c>
      <c r="AW622" s="93" t="e">
        <f ca="1">INDIRECT("'["&amp;$C$1&amp;".xls]"&amp;$B622&amp;"'!$Y$24")</f>
        <v>#REF!</v>
      </c>
      <c r="AX622" s="93" t="e">
        <f ca="1">INDIRECT("'["&amp;$C$1&amp;".xls]"&amp;$B622&amp;"'!$Y$26")</f>
        <v>#REF!</v>
      </c>
      <c r="AY622" s="93" t="e">
        <f ca="1">INDIRECT("'["&amp;$C$1&amp;".xls]"&amp;$B622&amp;"'!$Y$28")</f>
        <v>#REF!</v>
      </c>
    </row>
    <row r="623" spans="1:52" ht="16.5" customHeight="1" x14ac:dyDescent="0.15">
      <c r="A623" s="182" t="s">
        <v>6453</v>
      </c>
      <c r="B623" s="183" t="s">
        <v>6454</v>
      </c>
      <c r="C623" s="48" t="s">
        <v>6455</v>
      </c>
      <c r="D623" s="62" t="s">
        <v>6456</v>
      </c>
      <c r="E623" s="48" t="s">
        <v>264</v>
      </c>
      <c r="F623" s="61">
        <v>42620</v>
      </c>
      <c r="G623" s="61">
        <v>0</v>
      </c>
      <c r="H623" s="125">
        <v>42646</v>
      </c>
      <c r="I623" s="61">
        <v>42036</v>
      </c>
      <c r="J623" s="87"/>
      <c r="K623" s="62" t="s">
        <v>2506</v>
      </c>
      <c r="L623" s="62">
        <v>3</v>
      </c>
      <c r="M623" s="62" t="s">
        <v>2437</v>
      </c>
      <c r="N623" s="62" t="s">
        <v>6457</v>
      </c>
      <c r="O623" s="48" t="s">
        <v>2439</v>
      </c>
      <c r="P623" s="48" t="s">
        <v>267</v>
      </c>
      <c r="Q623" s="48" t="s">
        <v>3742</v>
      </c>
      <c r="R623" s="48" t="s">
        <v>4864</v>
      </c>
      <c r="S623" s="48" t="s">
        <v>269</v>
      </c>
      <c r="T623" s="48" t="s">
        <v>270</v>
      </c>
      <c r="U623" s="48" t="s">
        <v>6458</v>
      </c>
      <c r="V623" s="122" t="s">
        <v>263</v>
      </c>
      <c r="W623" s="122" t="s">
        <v>263</v>
      </c>
      <c r="X623" s="48" t="s">
        <v>6459</v>
      </c>
      <c r="Y623" s="48" t="s">
        <v>6460</v>
      </c>
      <c r="Z623" s="61"/>
      <c r="AA623" s="48" t="s">
        <v>5057</v>
      </c>
      <c r="AB623" s="48" t="s">
        <v>273</v>
      </c>
      <c r="AC623" s="48" t="s">
        <v>273</v>
      </c>
      <c r="AD623" s="48" t="s">
        <v>273</v>
      </c>
      <c r="AE623" s="48" t="s">
        <v>273</v>
      </c>
      <c r="AF623" s="48" t="s">
        <v>273</v>
      </c>
      <c r="AG623" s="48" t="s">
        <v>273</v>
      </c>
      <c r="AH623" s="48" t="s">
        <v>273</v>
      </c>
      <c r="AI623" s="48" t="s">
        <v>273</v>
      </c>
      <c r="AJ623" s="48" t="s">
        <v>273</v>
      </c>
      <c r="AK623" s="48" t="s">
        <v>2449</v>
      </c>
      <c r="AL623" s="48" t="s">
        <v>273</v>
      </c>
      <c r="AM623" s="48" t="s">
        <v>273</v>
      </c>
      <c r="AN623" s="48" t="s">
        <v>273</v>
      </c>
      <c r="AO623" s="48" t="s">
        <v>273</v>
      </c>
      <c r="AP623" s="48" t="s">
        <v>273</v>
      </c>
      <c r="AQ623" s="48" t="s">
        <v>273</v>
      </c>
      <c r="AR623" s="48" t="s">
        <v>273</v>
      </c>
      <c r="AS623" s="48" t="s">
        <v>273</v>
      </c>
      <c r="AT623" s="48" t="s">
        <v>273</v>
      </c>
      <c r="AU623" s="93">
        <v>42309</v>
      </c>
      <c r="AV623" s="93" t="s">
        <v>6461</v>
      </c>
      <c r="AW623" s="93" t="s">
        <v>6462</v>
      </c>
      <c r="AX623" s="93" t="s">
        <v>6463</v>
      </c>
      <c r="AY623" s="93" t="s">
        <v>5971</v>
      </c>
    </row>
    <row r="624" spans="1:52" ht="16.5" customHeight="1" x14ac:dyDescent="0.15">
      <c r="A624" s="156" t="s">
        <v>6464</v>
      </c>
      <c r="B624" s="157" t="s">
        <v>6465</v>
      </c>
      <c r="C624" s="48" t="s">
        <v>330</v>
      </c>
      <c r="D624" s="62" t="s">
        <v>6336</v>
      </c>
      <c r="E624" s="48" t="s">
        <v>300</v>
      </c>
      <c r="F624" s="61">
        <v>42620</v>
      </c>
      <c r="G624" s="61">
        <v>0</v>
      </c>
      <c r="H624" s="125">
        <v>42639</v>
      </c>
      <c r="I624" s="61">
        <v>41698</v>
      </c>
      <c r="J624" s="87"/>
      <c r="K624" s="62" t="s">
        <v>16</v>
      </c>
      <c r="L624" s="62"/>
      <c r="M624" s="62" t="s">
        <v>3452</v>
      </c>
      <c r="N624" s="62" t="s">
        <v>6466</v>
      </c>
      <c r="O624" s="48" t="s">
        <v>4243</v>
      </c>
      <c r="P624" s="130" t="s">
        <v>6467</v>
      </c>
      <c r="Q624" s="48" t="s">
        <v>1576</v>
      </c>
      <c r="R624" s="48" t="s">
        <v>4133</v>
      </c>
      <c r="S624" s="48" t="s">
        <v>4134</v>
      </c>
      <c r="T624" s="48" t="s">
        <v>4135</v>
      </c>
      <c r="U624" s="48" t="s">
        <v>6468</v>
      </c>
      <c r="V624" s="48" t="s">
        <v>6469</v>
      </c>
      <c r="W624" s="48" t="s">
        <v>3401</v>
      </c>
      <c r="X624" s="48" t="s">
        <v>6470</v>
      </c>
      <c r="Y624" s="48" t="s">
        <v>6471</v>
      </c>
      <c r="Z624" s="61"/>
      <c r="AA624" s="48" t="s">
        <v>273</v>
      </c>
      <c r="AB624" s="48" t="s">
        <v>273</v>
      </c>
      <c r="AC624" s="48" t="s">
        <v>273</v>
      </c>
      <c r="AD624" s="48" t="s">
        <v>273</v>
      </c>
      <c r="AE624" s="48" t="s">
        <v>273</v>
      </c>
      <c r="AF624" s="48" t="s">
        <v>273</v>
      </c>
      <c r="AG624" s="48" t="s">
        <v>273</v>
      </c>
      <c r="AH624" s="48" t="s">
        <v>273</v>
      </c>
      <c r="AI624" s="48" t="s">
        <v>273</v>
      </c>
      <c r="AJ624" s="48" t="s">
        <v>273</v>
      </c>
      <c r="AK624" s="48" t="s">
        <v>273</v>
      </c>
      <c r="AL624" s="48" t="s">
        <v>273</v>
      </c>
      <c r="AM624" s="48" t="s">
        <v>273</v>
      </c>
      <c r="AN624" s="48" t="s">
        <v>273</v>
      </c>
      <c r="AO624" s="48" t="s">
        <v>273</v>
      </c>
      <c r="AP624" s="48" t="s">
        <v>273</v>
      </c>
      <c r="AQ624" s="48" t="s">
        <v>273</v>
      </c>
      <c r="AR624" s="48" t="s">
        <v>273</v>
      </c>
      <c r="AS624" s="48" t="s">
        <v>273</v>
      </c>
      <c r="AT624" s="48" t="s">
        <v>273</v>
      </c>
      <c r="AU624" s="93">
        <v>41548</v>
      </c>
      <c r="AV624" s="93" t="s">
        <v>6472</v>
      </c>
      <c r="AW624" s="93" t="s">
        <v>6473</v>
      </c>
      <c r="AX624" s="93" t="s">
        <v>6474</v>
      </c>
      <c r="AY624" s="93" t="s">
        <v>6475</v>
      </c>
      <c r="AZ624" s="49" t="s">
        <v>6476</v>
      </c>
    </row>
    <row r="625" spans="1:51" ht="16.5" customHeight="1" x14ac:dyDescent="0.15">
      <c r="A625" s="182" t="s">
        <v>6477</v>
      </c>
      <c r="B625" s="183" t="s">
        <v>6478</v>
      </c>
      <c r="C625" s="48" t="s">
        <v>6479</v>
      </c>
      <c r="D625" s="62" t="s">
        <v>263</v>
      </c>
      <c r="E625" s="48" t="s">
        <v>264</v>
      </c>
      <c r="F625" s="61">
        <v>42620</v>
      </c>
      <c r="G625" s="61">
        <v>0</v>
      </c>
      <c r="H625" s="125">
        <v>42671</v>
      </c>
      <c r="I625" s="61">
        <v>41879</v>
      </c>
      <c r="J625" s="87"/>
      <c r="K625" s="62" t="s">
        <v>2506</v>
      </c>
      <c r="L625" s="62">
        <v>3</v>
      </c>
      <c r="M625" s="62" t="s">
        <v>471</v>
      </c>
      <c r="N625" s="62" t="s">
        <v>6480</v>
      </c>
      <c r="O625" s="48" t="s">
        <v>502</v>
      </c>
      <c r="P625" s="48" t="s">
        <v>5033</v>
      </c>
      <c r="Q625" s="48" t="s">
        <v>1168</v>
      </c>
      <c r="R625" s="48" t="s">
        <v>399</v>
      </c>
      <c r="S625" s="48" t="s">
        <v>400</v>
      </c>
      <c r="T625" s="48" t="s">
        <v>401</v>
      </c>
      <c r="U625" s="48" t="s">
        <v>402</v>
      </c>
      <c r="V625" s="122" t="s">
        <v>263</v>
      </c>
      <c r="W625" s="122" t="s">
        <v>263</v>
      </c>
      <c r="X625" s="48" t="s">
        <v>6481</v>
      </c>
      <c r="Y625" s="48" t="s">
        <v>404</v>
      </c>
      <c r="Z625" s="61"/>
      <c r="AA625" s="48" t="s">
        <v>508</v>
      </c>
      <c r="AB625" s="48" t="s">
        <v>273</v>
      </c>
      <c r="AC625" s="48" t="s">
        <v>273</v>
      </c>
      <c r="AD625" s="48" t="s">
        <v>273</v>
      </c>
      <c r="AE625" s="48" t="s">
        <v>273</v>
      </c>
      <c r="AF625" s="48" t="s">
        <v>273</v>
      </c>
      <c r="AG625" s="48" t="s">
        <v>273</v>
      </c>
      <c r="AH625" s="48" t="s">
        <v>273</v>
      </c>
      <c r="AI625" s="48" t="s">
        <v>273</v>
      </c>
      <c r="AJ625" s="48" t="s">
        <v>273</v>
      </c>
      <c r="AK625" s="48" t="s">
        <v>509</v>
      </c>
      <c r="AL625" s="48" t="s">
        <v>273</v>
      </c>
      <c r="AM625" s="48" t="s">
        <v>273</v>
      </c>
      <c r="AN625" s="48" t="s">
        <v>273</v>
      </c>
      <c r="AO625" s="48" t="s">
        <v>273</v>
      </c>
      <c r="AP625" s="48" t="s">
        <v>273</v>
      </c>
      <c r="AQ625" s="48" t="s">
        <v>273</v>
      </c>
      <c r="AR625" s="48" t="s">
        <v>273</v>
      </c>
      <c r="AS625" s="48" t="s">
        <v>273</v>
      </c>
      <c r="AT625" s="48" t="s">
        <v>273</v>
      </c>
      <c r="AU625" s="93">
        <v>41699</v>
      </c>
      <c r="AV625" s="93" t="s">
        <v>6482</v>
      </c>
      <c r="AW625" s="93" t="s">
        <v>6483</v>
      </c>
      <c r="AX625" s="93" t="s">
        <v>6484</v>
      </c>
      <c r="AY625" s="93" t="s">
        <v>5312</v>
      </c>
    </row>
    <row r="626" spans="1:51" ht="16.5" customHeight="1" x14ac:dyDescent="0.15">
      <c r="A626" s="182" t="s">
        <v>6485</v>
      </c>
      <c r="B626" s="183" t="s">
        <v>6486</v>
      </c>
      <c r="C626" s="48" t="s">
        <v>6487</v>
      </c>
      <c r="D626" s="62" t="s">
        <v>263</v>
      </c>
      <c r="E626" s="48" t="s">
        <v>264</v>
      </c>
      <c r="F626" s="61">
        <v>42620</v>
      </c>
      <c r="G626" s="61">
        <v>0</v>
      </c>
      <c r="H626" s="125">
        <v>42668</v>
      </c>
      <c r="I626" s="61">
        <v>41760</v>
      </c>
      <c r="J626" s="87"/>
      <c r="K626" s="62" t="s">
        <v>16</v>
      </c>
      <c r="L626" s="62">
        <v>3</v>
      </c>
      <c r="M626" s="62" t="s">
        <v>471</v>
      </c>
      <c r="N626" s="62" t="s">
        <v>6488</v>
      </c>
      <c r="O626" s="48" t="s">
        <v>502</v>
      </c>
      <c r="P626" s="48" t="s">
        <v>4106</v>
      </c>
      <c r="Q626" s="48" t="s">
        <v>3029</v>
      </c>
      <c r="R626" s="48" t="s">
        <v>399</v>
      </c>
      <c r="S626" s="48" t="s">
        <v>400</v>
      </c>
      <c r="T626" s="48" t="s">
        <v>401</v>
      </c>
      <c r="U626" s="48" t="s">
        <v>6489</v>
      </c>
      <c r="V626" s="122" t="s">
        <v>263</v>
      </c>
      <c r="W626" s="122" t="s">
        <v>263</v>
      </c>
      <c r="X626" s="48" t="s">
        <v>6490</v>
      </c>
      <c r="Y626" s="48" t="s">
        <v>6491</v>
      </c>
      <c r="Z626" s="61"/>
      <c r="AA626" s="48" t="s">
        <v>529</v>
      </c>
      <c r="AB626" s="48" t="s">
        <v>508</v>
      </c>
      <c r="AC626" s="48" t="s">
        <v>273</v>
      </c>
      <c r="AD626" s="48" t="s">
        <v>273</v>
      </c>
      <c r="AE626" s="48" t="s">
        <v>273</v>
      </c>
      <c r="AF626" s="48" t="s">
        <v>273</v>
      </c>
      <c r="AG626" s="48" t="s">
        <v>273</v>
      </c>
      <c r="AH626" s="48" t="s">
        <v>273</v>
      </c>
      <c r="AI626" s="48" t="s">
        <v>273</v>
      </c>
      <c r="AJ626" s="48" t="s">
        <v>273</v>
      </c>
      <c r="AK626" s="48" t="s">
        <v>530</v>
      </c>
      <c r="AL626" s="48" t="s">
        <v>509</v>
      </c>
      <c r="AM626" s="48" t="s">
        <v>273</v>
      </c>
      <c r="AN626" s="48" t="s">
        <v>273</v>
      </c>
      <c r="AO626" s="48" t="s">
        <v>273</v>
      </c>
      <c r="AP626" s="48" t="s">
        <v>273</v>
      </c>
      <c r="AQ626" s="48" t="s">
        <v>273</v>
      </c>
      <c r="AR626" s="48" t="s">
        <v>273</v>
      </c>
      <c r="AS626" s="48" t="s">
        <v>273</v>
      </c>
      <c r="AT626" s="48" t="s">
        <v>273</v>
      </c>
      <c r="AU626" s="93">
        <v>41791</v>
      </c>
      <c r="AV626" s="93" t="s">
        <v>6492</v>
      </c>
      <c r="AW626" s="93" t="s">
        <v>6493</v>
      </c>
      <c r="AX626" s="93" t="s">
        <v>6494</v>
      </c>
      <c r="AY626" s="93" t="s">
        <v>5366</v>
      </c>
    </row>
    <row r="627" spans="1:51" ht="16.5" customHeight="1" x14ac:dyDescent="0.15">
      <c r="A627" s="182" t="s">
        <v>6495</v>
      </c>
      <c r="B627" s="183" t="s">
        <v>6496</v>
      </c>
      <c r="C627" s="48" t="s">
        <v>6497</v>
      </c>
      <c r="D627" s="62" t="s">
        <v>263</v>
      </c>
      <c r="E627" s="48" t="s">
        <v>264</v>
      </c>
      <c r="F627" s="61">
        <v>42620</v>
      </c>
      <c r="G627" s="61">
        <v>0</v>
      </c>
      <c r="H627" s="125">
        <v>42696</v>
      </c>
      <c r="I627" s="61">
        <v>40981</v>
      </c>
      <c r="J627" s="87"/>
      <c r="K627" s="62">
        <v>0</v>
      </c>
      <c r="L627" s="62"/>
      <c r="M627" s="62" t="s">
        <v>471</v>
      </c>
      <c r="N627" s="62" t="s">
        <v>6498</v>
      </c>
      <c r="O627" s="48" t="s">
        <v>473</v>
      </c>
      <c r="P627" s="48" t="s">
        <v>474</v>
      </c>
      <c r="Q627" s="48" t="s">
        <v>880</v>
      </c>
      <c r="R627" s="48" t="s">
        <v>399</v>
      </c>
      <c r="S627" s="48" t="s">
        <v>400</v>
      </c>
      <c r="T627" s="48" t="s">
        <v>401</v>
      </c>
      <c r="U627" s="48" t="s">
        <v>6499</v>
      </c>
      <c r="V627" s="122" t="s">
        <v>263</v>
      </c>
      <c r="W627" s="122" t="s">
        <v>263</v>
      </c>
      <c r="X627" s="48" t="s">
        <v>6500</v>
      </c>
      <c r="Y627" s="48" t="s">
        <v>6501</v>
      </c>
      <c r="Z627" s="61"/>
      <c r="AA627" s="48" t="s">
        <v>508</v>
      </c>
      <c r="AB627" s="48" t="s">
        <v>1159</v>
      </c>
      <c r="AC627" s="48" t="s">
        <v>273</v>
      </c>
      <c r="AD627" s="48" t="s">
        <v>273</v>
      </c>
      <c r="AE627" s="48" t="s">
        <v>273</v>
      </c>
      <c r="AF627" s="48" t="s">
        <v>273</v>
      </c>
      <c r="AG627" s="48" t="s">
        <v>273</v>
      </c>
      <c r="AH627" s="48" t="s">
        <v>273</v>
      </c>
      <c r="AI627" s="48" t="s">
        <v>273</v>
      </c>
      <c r="AJ627" s="48" t="s">
        <v>273</v>
      </c>
      <c r="AK627" s="48" t="s">
        <v>509</v>
      </c>
      <c r="AL627" s="48" t="s">
        <v>1161</v>
      </c>
      <c r="AM627" s="48" t="s">
        <v>273</v>
      </c>
      <c r="AN627" s="48" t="s">
        <v>273</v>
      </c>
      <c r="AO627" s="48" t="s">
        <v>273</v>
      </c>
      <c r="AP627" s="48" t="s">
        <v>273</v>
      </c>
      <c r="AQ627" s="48" t="s">
        <v>273</v>
      </c>
      <c r="AR627" s="48" t="s">
        <v>273</v>
      </c>
      <c r="AS627" s="48" t="s">
        <v>273</v>
      </c>
      <c r="AT627" s="48" t="s">
        <v>273</v>
      </c>
      <c r="AU627" s="93">
        <v>40848</v>
      </c>
      <c r="AV627" s="93" t="s">
        <v>6502</v>
      </c>
      <c r="AW627" s="93" t="s">
        <v>6503</v>
      </c>
      <c r="AX627" s="93" t="s">
        <v>6504</v>
      </c>
      <c r="AY627" s="93" t="s">
        <v>6505</v>
      </c>
    </row>
    <row r="628" spans="1:51" ht="16.5" customHeight="1" x14ac:dyDescent="0.15">
      <c r="A628" s="182" t="s">
        <v>6506</v>
      </c>
      <c r="B628" s="183" t="s">
        <v>6507</v>
      </c>
      <c r="C628" s="48" t="s">
        <v>6508</v>
      </c>
      <c r="D628" s="62" t="s">
        <v>6509</v>
      </c>
      <c r="E628" s="48" t="s">
        <v>264</v>
      </c>
      <c r="F628" s="61">
        <v>42621</v>
      </c>
      <c r="G628" s="61">
        <v>0</v>
      </c>
      <c r="H628" s="125">
        <v>42654</v>
      </c>
      <c r="I628" s="61">
        <v>41791</v>
      </c>
      <c r="J628" s="87"/>
      <c r="K628" s="62" t="s">
        <v>16</v>
      </c>
      <c r="L628" s="62">
        <v>3</v>
      </c>
      <c r="M628" s="62" t="s">
        <v>209</v>
      </c>
      <c r="N628" s="62" t="s">
        <v>6510</v>
      </c>
      <c r="O628" s="48" t="s">
        <v>4222</v>
      </c>
      <c r="P628" s="48" t="s">
        <v>6511</v>
      </c>
      <c r="Q628" s="48" t="s">
        <v>6512</v>
      </c>
      <c r="R628" s="48" t="s">
        <v>4864</v>
      </c>
      <c r="S628" s="48" t="s">
        <v>6513</v>
      </c>
      <c r="T628" s="48" t="s">
        <v>424</v>
      </c>
      <c r="U628" s="48" t="s">
        <v>6511</v>
      </c>
      <c r="V628" s="122" t="s">
        <v>263</v>
      </c>
      <c r="W628" s="122" t="s">
        <v>263</v>
      </c>
      <c r="X628" s="48" t="s">
        <v>6513</v>
      </c>
      <c r="Y628" s="48" t="s">
        <v>6514</v>
      </c>
      <c r="Z628" s="61"/>
      <c r="AA628" s="48" t="s">
        <v>327</v>
      </c>
      <c r="AB628" s="48" t="s">
        <v>273</v>
      </c>
      <c r="AC628" s="48" t="s">
        <v>273</v>
      </c>
      <c r="AD628" s="48" t="s">
        <v>273</v>
      </c>
      <c r="AE628" s="48" t="s">
        <v>273</v>
      </c>
      <c r="AF628" s="48" t="s">
        <v>273</v>
      </c>
      <c r="AG628" s="48" t="s">
        <v>273</v>
      </c>
      <c r="AH628" s="48" t="s">
        <v>273</v>
      </c>
      <c r="AI628" s="48" t="s">
        <v>273</v>
      </c>
      <c r="AJ628" s="48" t="s">
        <v>273</v>
      </c>
      <c r="AK628" s="48" t="s">
        <v>274</v>
      </c>
      <c r="AL628" s="48" t="s">
        <v>273</v>
      </c>
      <c r="AM628" s="48" t="s">
        <v>273</v>
      </c>
      <c r="AN628" s="48" t="s">
        <v>273</v>
      </c>
      <c r="AO628" s="48" t="s">
        <v>273</v>
      </c>
      <c r="AP628" s="48" t="s">
        <v>273</v>
      </c>
      <c r="AQ628" s="48" t="s">
        <v>273</v>
      </c>
      <c r="AR628" s="48" t="s">
        <v>273</v>
      </c>
      <c r="AS628" s="48" t="s">
        <v>273</v>
      </c>
      <c r="AT628" s="48" t="s">
        <v>273</v>
      </c>
      <c r="AU628" s="93">
        <v>41699</v>
      </c>
      <c r="AV628" s="93" t="s">
        <v>6515</v>
      </c>
      <c r="AW628" s="93" t="s">
        <v>6516</v>
      </c>
      <c r="AX628" s="93" t="s">
        <v>6167</v>
      </c>
      <c r="AY628" s="93" t="s">
        <v>5312</v>
      </c>
    </row>
    <row r="629" spans="1:51" ht="16.5" customHeight="1" x14ac:dyDescent="0.15">
      <c r="A629" s="182" t="s">
        <v>6517</v>
      </c>
      <c r="B629" s="183" t="s">
        <v>6518</v>
      </c>
      <c r="C629" s="48" t="s">
        <v>6519</v>
      </c>
      <c r="D629" s="62" t="s">
        <v>6520</v>
      </c>
      <c r="E629" s="48" t="s">
        <v>264</v>
      </c>
      <c r="F629" s="61">
        <v>42621</v>
      </c>
      <c r="G629" s="61">
        <v>0</v>
      </c>
      <c r="H629" s="125">
        <v>42696</v>
      </c>
      <c r="I629" s="61" t="s">
        <v>279</v>
      </c>
      <c r="J629" s="87"/>
      <c r="K629" s="62" t="s">
        <v>16</v>
      </c>
      <c r="L629" s="62">
        <v>3</v>
      </c>
      <c r="M629" s="62" t="s">
        <v>471</v>
      </c>
      <c r="N629" s="62" t="s">
        <v>6521</v>
      </c>
      <c r="O629" s="48" t="s">
        <v>486</v>
      </c>
      <c r="P629" s="48" t="s">
        <v>267</v>
      </c>
      <c r="Q629" s="48" t="s">
        <v>3931</v>
      </c>
      <c r="R629" s="48" t="s">
        <v>3932</v>
      </c>
      <c r="S629" s="129" t="s">
        <v>269</v>
      </c>
      <c r="T629" s="129" t="s">
        <v>270</v>
      </c>
      <c r="U629" s="48" t="s">
        <v>6522</v>
      </c>
      <c r="V629" s="122" t="s">
        <v>263</v>
      </c>
      <c r="W629" s="122" t="s">
        <v>263</v>
      </c>
      <c r="X629" s="48" t="s">
        <v>1210</v>
      </c>
      <c r="Y629" s="48" t="s">
        <v>4189</v>
      </c>
      <c r="Z629" s="61"/>
      <c r="AA629" s="48" t="s">
        <v>1356</v>
      </c>
      <c r="AB629" s="48" t="s">
        <v>273</v>
      </c>
      <c r="AC629" s="48" t="s">
        <v>273</v>
      </c>
      <c r="AD629" s="48" t="s">
        <v>273</v>
      </c>
      <c r="AE629" s="48" t="s">
        <v>273</v>
      </c>
      <c r="AF629" s="48" t="s">
        <v>273</v>
      </c>
      <c r="AG629" s="48" t="s">
        <v>273</v>
      </c>
      <c r="AH629" s="48" t="s">
        <v>273</v>
      </c>
      <c r="AI629" s="48" t="s">
        <v>273</v>
      </c>
      <c r="AJ629" s="48" t="s">
        <v>273</v>
      </c>
      <c r="AK629" s="48" t="s">
        <v>1357</v>
      </c>
      <c r="AL629" s="48" t="s">
        <v>273</v>
      </c>
      <c r="AM629" s="48" t="s">
        <v>273</v>
      </c>
      <c r="AN629" s="48" t="s">
        <v>273</v>
      </c>
      <c r="AO629" s="48" t="s">
        <v>273</v>
      </c>
      <c r="AP629" s="48" t="s">
        <v>273</v>
      </c>
      <c r="AQ629" s="48" t="s">
        <v>273</v>
      </c>
      <c r="AR629" s="48" t="s">
        <v>273</v>
      </c>
      <c r="AS629" s="48" t="s">
        <v>273</v>
      </c>
      <c r="AT629" s="48" t="s">
        <v>273</v>
      </c>
      <c r="AU629" s="93">
        <v>42156</v>
      </c>
      <c r="AV629" s="93" t="s">
        <v>6523</v>
      </c>
      <c r="AW629" s="93" t="s">
        <v>6524</v>
      </c>
      <c r="AX629" s="93" t="s">
        <v>6525</v>
      </c>
      <c r="AY629" s="93" t="s">
        <v>6526</v>
      </c>
    </row>
    <row r="630" spans="1:51" ht="16.5" customHeight="1" x14ac:dyDescent="0.15">
      <c r="A630" s="182" t="s">
        <v>6527</v>
      </c>
      <c r="B630" s="183" t="s">
        <v>6528</v>
      </c>
      <c r="C630" s="48" t="s">
        <v>6529</v>
      </c>
      <c r="D630" s="62" t="s">
        <v>263</v>
      </c>
      <c r="E630" s="48" t="s">
        <v>264</v>
      </c>
      <c r="F630" s="61">
        <v>42621</v>
      </c>
      <c r="G630" s="61">
        <v>0</v>
      </c>
      <c r="H630" s="125">
        <v>42663</v>
      </c>
      <c r="I630" s="61">
        <v>41835</v>
      </c>
      <c r="J630" s="87"/>
      <c r="K630" s="62" t="s">
        <v>16</v>
      </c>
      <c r="L630" s="62">
        <v>3</v>
      </c>
      <c r="M630" s="62" t="s">
        <v>471</v>
      </c>
      <c r="N630" s="62" t="s">
        <v>6530</v>
      </c>
      <c r="O630" s="48" t="s">
        <v>502</v>
      </c>
      <c r="P630" s="48" t="s">
        <v>1256</v>
      </c>
      <c r="Q630" s="48" t="s">
        <v>1125</v>
      </c>
      <c r="R630" s="48" t="s">
        <v>399</v>
      </c>
      <c r="S630" s="48" t="s">
        <v>400</v>
      </c>
      <c r="T630" s="48" t="s">
        <v>401</v>
      </c>
      <c r="U630" s="48" t="s">
        <v>6531</v>
      </c>
      <c r="V630" s="122" t="s">
        <v>263</v>
      </c>
      <c r="W630" s="122" t="s">
        <v>263</v>
      </c>
      <c r="X630" s="48" t="s">
        <v>6532</v>
      </c>
      <c r="Y630" s="48" t="s">
        <v>6533</v>
      </c>
      <c r="Z630" s="61"/>
      <c r="AA630" s="48" t="s">
        <v>529</v>
      </c>
      <c r="AB630" s="48" t="s">
        <v>1356</v>
      </c>
      <c r="AC630" s="48" t="s">
        <v>6534</v>
      </c>
      <c r="AD630" s="48" t="s">
        <v>273</v>
      </c>
      <c r="AE630" s="48" t="s">
        <v>273</v>
      </c>
      <c r="AF630" s="48" t="s">
        <v>273</v>
      </c>
      <c r="AG630" s="48" t="s">
        <v>273</v>
      </c>
      <c r="AH630" s="48" t="s">
        <v>273</v>
      </c>
      <c r="AI630" s="48" t="s">
        <v>273</v>
      </c>
      <c r="AJ630" s="48" t="s">
        <v>273</v>
      </c>
      <c r="AK630" s="48" t="s">
        <v>530</v>
      </c>
      <c r="AL630" s="48" t="s">
        <v>1357</v>
      </c>
      <c r="AM630" s="48" t="s">
        <v>6535</v>
      </c>
      <c r="AN630" s="48" t="s">
        <v>273</v>
      </c>
      <c r="AO630" s="48" t="s">
        <v>273</v>
      </c>
      <c r="AP630" s="48" t="s">
        <v>273</v>
      </c>
      <c r="AQ630" s="48" t="s">
        <v>273</v>
      </c>
      <c r="AR630" s="48" t="s">
        <v>273</v>
      </c>
      <c r="AS630" s="48" t="s">
        <v>273</v>
      </c>
      <c r="AT630" s="48" t="s">
        <v>273</v>
      </c>
      <c r="AU630" s="93">
        <v>41699</v>
      </c>
      <c r="AV630" s="93" t="s">
        <v>6536</v>
      </c>
      <c r="AW630" s="93" t="s">
        <v>6537</v>
      </c>
      <c r="AX630" s="93" t="s">
        <v>6538</v>
      </c>
      <c r="AY630" s="93" t="s">
        <v>5312</v>
      </c>
    </row>
    <row r="631" spans="1:51" ht="16.5" customHeight="1" x14ac:dyDescent="0.15">
      <c r="A631" s="211" t="s">
        <v>6539</v>
      </c>
      <c r="B631" s="47" t="s">
        <v>6540</v>
      </c>
      <c r="C631" s="48" t="e">
        <f ca="1">INDIRECT("'["&amp;$C$1&amp;".xls]"&amp;$B631&amp;"'!$i$7")</f>
        <v>#REF!</v>
      </c>
      <c r="D631" s="62" t="e">
        <f ca="1">INDIRECT("'["&amp;$C$1&amp;".xls]"&amp;$B631&amp;"'!$b$7")</f>
        <v>#REF!</v>
      </c>
      <c r="E631" s="48" t="e">
        <f ca="1">IF(INDIRECT("'["&amp;$C$1&amp;".xls]"&amp;$B631&amp;"'!$i$2")="","",INDIRECT("'["&amp;$C$1&amp;".xls]"&amp;$B631&amp;"'!$i$2"))</f>
        <v>#REF!</v>
      </c>
      <c r="F631" s="61" t="e">
        <f ca="1">INDIRECT("'["&amp;$C$1&amp;".xls]"&amp;$B631&amp;"'!$b$2")</f>
        <v>#REF!</v>
      </c>
      <c r="G631" s="61" t="e">
        <f ca="1">INDIRECT("'["&amp;$C$1&amp;".xls]"&amp;$B631&amp;"'!$a$20")</f>
        <v>#REF!</v>
      </c>
      <c r="H631" s="88" t="e">
        <f ca="1">INDIRECT("'["&amp;$C$1&amp;".xls]"&amp;$B631&amp;"'!$Q$22")</f>
        <v>#REF!</v>
      </c>
      <c r="I631" s="61" t="e">
        <f ca="1">INDIRECT("'["&amp;$C$1&amp;".xls]"&amp;$B631&amp;"'!$f$6")</f>
        <v>#REF!</v>
      </c>
      <c r="J631" s="87"/>
      <c r="K631" s="62" t="e">
        <f ca="1">INDIRECT("'["&amp;$C$1&amp;".xls]"&amp;$B631&amp;"'!$f$25")</f>
        <v>#REF!</v>
      </c>
      <c r="L631" s="62"/>
      <c r="M631" s="62" t="e">
        <f ca="1">INDIRECT("'["&amp;$C$1&amp;".xls]"&amp;$B631&amp;"'!$f$4")</f>
        <v>#REF!</v>
      </c>
      <c r="N631" s="62" t="e">
        <f ca="1">INDIRECT("'["&amp;$C$1&amp;".xls]"&amp;$B631&amp;"'!$i$4")</f>
        <v>#REF!</v>
      </c>
      <c r="O631" s="48" t="e">
        <f ca="1">INDIRECT("'["&amp;$C$1&amp;".xls]"&amp;$B631&amp;"'!$l$4")</f>
        <v>#REF!</v>
      </c>
      <c r="P631" s="48" t="e">
        <f ca="1">INDIRECT("'["&amp;$C$1&amp;".xls]"&amp;$B631&amp;"'!$b$5")</f>
        <v>#REF!</v>
      </c>
      <c r="Q631" s="48" t="e">
        <f ca="1">INDIRECT("'["&amp;$C$1&amp;".xls]"&amp;$B631&amp;"'!$f$5")</f>
        <v>#REF!</v>
      </c>
      <c r="R631" s="48" t="s">
        <v>6541</v>
      </c>
      <c r="S631" s="48" t="e">
        <f ca="1">INDIRECT("'["&amp;$C$1&amp;".xls]"&amp;$B631&amp;"'!$i$5")</f>
        <v>#REF!</v>
      </c>
      <c r="T631" s="48" t="e">
        <f ca="1">INDIRECT("'["&amp;$C$1&amp;".xls]"&amp;$B631&amp;"'!$l$5")</f>
        <v>#REF!</v>
      </c>
      <c r="U631" s="48" t="e">
        <f ca="1">INDIRECT("'["&amp;$C$1&amp;".xls]"&amp;$B631&amp;"'!$b$4")</f>
        <v>#REF!</v>
      </c>
      <c r="V631" s="122" t="s">
        <v>5866</v>
      </c>
      <c r="W631" s="122" t="s">
        <v>5866</v>
      </c>
      <c r="X631" s="48" t="s">
        <v>6542</v>
      </c>
      <c r="Y631" s="48" t="s">
        <v>6543</v>
      </c>
      <c r="Z631" s="61"/>
      <c r="AA631" s="48" t="e">
        <f ca="1">IF(INDIRECT("'["&amp;$C$1&amp;".xls]"&amp;$B631&amp;"'!$P$25")="","",IF(INDIRECT("'["&amp;$C$1&amp;".xls]"&amp;$B631&amp;"'!$O$25")="済み",INDIRECT("'["&amp;$C$1&amp;".xls]"&amp;$B631&amp;"'!$P$25"),""))</f>
        <v>#REF!</v>
      </c>
      <c r="AB631" s="48" t="e">
        <f ca="1">IF(INDIRECT("'["&amp;$C$1&amp;".xls]"&amp;$B631&amp;"'!$P$26")="","",IF(INDIRECT("'["&amp;$C$1&amp;".xls]"&amp;$B631&amp;"'!$O$26")="済み",INDIRECT("'["&amp;$C$1&amp;".xls]"&amp;$B631&amp;"'!$P$26"),""))</f>
        <v>#REF!</v>
      </c>
      <c r="AC631" s="48" t="e">
        <f ca="1">IF(INDIRECT("'["&amp;$C$1&amp;".xls]"&amp;$B631&amp;"'!$P$27")="","",IF(INDIRECT("'["&amp;$C$1&amp;".xls]"&amp;$B631&amp;"'!$O$27")="済み",INDIRECT("'["&amp;$C$1&amp;".xls]"&amp;$B631&amp;"'!$P$27"),""))</f>
        <v>#REF!</v>
      </c>
      <c r="AD631" s="48" t="e">
        <f ca="1">IF(INDIRECT("'["&amp;$C$1&amp;".xls]"&amp;$B631&amp;"'!$P$28")="","",IF(INDIRECT("'["&amp;$C$1&amp;".xls]"&amp;$B631&amp;"'!$O$28")="済み",INDIRECT("'["&amp;$C$1&amp;".xls]"&amp;$B631&amp;"'!$P$28"),""))</f>
        <v>#REF!</v>
      </c>
      <c r="AE631" s="48" t="e">
        <f ca="1">IF(INDIRECT("'["&amp;$C$1&amp;".xls]"&amp;$B631&amp;"'!$P$29")="","",IF(INDIRECT("'["&amp;$C$1&amp;".xls]"&amp;$B631&amp;"'!$O$29")="済み",INDIRECT("'["&amp;$C$1&amp;".xls]"&amp;$B631&amp;"'!$P$29"),""))</f>
        <v>#REF!</v>
      </c>
      <c r="AF631" s="48" t="e">
        <f ca="1">IF(INDIRECT("'["&amp;$C$1&amp;".xls]"&amp;$B631&amp;"'!$P$30")="","",IF(INDIRECT("'["&amp;$C$1&amp;".xls]"&amp;$B631&amp;"'!$O$30")="済み",INDIRECT("'["&amp;$C$1&amp;".xls]"&amp;$B631&amp;"'!$P$30"),""))</f>
        <v>#REF!</v>
      </c>
      <c r="AG631" s="48" t="e">
        <f ca="1">IF(INDIRECT("'["&amp;$C$1&amp;".xls]"&amp;$B631&amp;"'!$P$31")="","",IF(INDIRECT("'["&amp;$C$1&amp;".xls]"&amp;$B631&amp;"'!$O$31")="済み",INDIRECT("'["&amp;$C$1&amp;".xls]"&amp;$B631&amp;"'!$P$31"),""))</f>
        <v>#REF!</v>
      </c>
      <c r="AH631" s="48" t="e">
        <f ca="1">IF(INDIRECT("'["&amp;$C$1&amp;".xls]"&amp;$B631&amp;"'!$P$32")="","",IF(INDIRECT("'["&amp;$C$1&amp;".xls]"&amp;$B631&amp;"'!$O$32")="済み",INDIRECT("'["&amp;$C$1&amp;".xls]"&amp;$B631&amp;"'!$P$32"),""))</f>
        <v>#REF!</v>
      </c>
      <c r="AI631" s="48" t="e">
        <f ca="1">IF(INDIRECT("'["&amp;$C$1&amp;".xls]"&amp;$B631&amp;"'!$P$33")="","",IF(INDIRECT("'["&amp;$C$1&amp;".xls]"&amp;$B631&amp;"'!$O$33")="済み",INDIRECT("'["&amp;$C$1&amp;".xls]"&amp;$B631&amp;"'!$P$33"),""))</f>
        <v>#REF!</v>
      </c>
      <c r="AJ631" s="48" t="e">
        <f ca="1">IF(INDIRECT("'["&amp;$C$1&amp;".xls]"&amp;$B631&amp;"'!$P$34")="","",IF(INDIRECT("'["&amp;$C$1&amp;".xls]"&amp;$B631&amp;"'!$O$34")="済み",INDIRECT("'["&amp;$C$1&amp;".xls]"&amp;$B631&amp;"'!$P$34"),""))</f>
        <v>#REF!</v>
      </c>
      <c r="AK631" s="48" t="e">
        <f ca="1">IF(INDIRECT("'["&amp;$C$1&amp;".xls]"&amp;$B631&amp;"'!$T25")="","",IF(INDIRECT("'["&amp;$C$1&amp;".xls]"&amp;$B631&amp;"'!$O$25")="済み",INDIRECT("'["&amp;$C$1&amp;".xls]"&amp;$B631&amp;"'!$T$25"),""))</f>
        <v>#REF!</v>
      </c>
      <c r="AL631" s="48" t="e">
        <f ca="1">IF(INDIRECT("'["&amp;$C$1&amp;".xls]"&amp;$B631&amp;"'!$T26")="","",IF(INDIRECT("'["&amp;$C$1&amp;".xls]"&amp;$B631&amp;"'!$O$26")="済み",INDIRECT("'["&amp;$C$1&amp;".xls]"&amp;$B631&amp;"'!$T$26"),""))</f>
        <v>#REF!</v>
      </c>
      <c r="AM631" s="48" t="e">
        <f ca="1">IF(INDIRECT("'["&amp;$C$1&amp;".xls]"&amp;$B631&amp;"'!$T27")="","",IF(INDIRECT("'["&amp;$C$1&amp;".xls]"&amp;$B631&amp;"'!$O$27")="済み",INDIRECT("'["&amp;$C$1&amp;".xls]"&amp;$B631&amp;"'!$T$27"),""))</f>
        <v>#REF!</v>
      </c>
      <c r="AN631" s="48" t="e">
        <f ca="1">IF(INDIRECT("'["&amp;$C$1&amp;".xls]"&amp;$B631&amp;"'!$T28")="","",IF(INDIRECT("'["&amp;$C$1&amp;".xls]"&amp;$B631&amp;"'!$O$28")="済み",INDIRECT("'["&amp;$C$1&amp;".xls]"&amp;$B631&amp;"'!$T$28"),""))</f>
        <v>#REF!</v>
      </c>
      <c r="AO631" s="48" t="e">
        <f ca="1">IF(INDIRECT("'["&amp;$C$1&amp;".xls]"&amp;$B631&amp;"'!$T29")="","",IF(INDIRECT("'["&amp;$C$1&amp;".xls]"&amp;$B631&amp;"'!$O$29")="済み",INDIRECT("'["&amp;$C$1&amp;".xls]"&amp;$B631&amp;"'!$T$29"),""))</f>
        <v>#REF!</v>
      </c>
      <c r="AP631" s="48" t="e">
        <f ca="1">IF(INDIRECT("'["&amp;$C$1&amp;".xls]"&amp;$B631&amp;"'!$T30")="","",IF(INDIRECT("'["&amp;$C$1&amp;".xls]"&amp;$B631&amp;"'!$O$30")="済み",INDIRECT("'["&amp;$C$1&amp;".xls]"&amp;$B631&amp;"'!$T$30"),""))</f>
        <v>#REF!</v>
      </c>
      <c r="AQ631" s="48" t="e">
        <f ca="1">IF(INDIRECT("'["&amp;$C$1&amp;".xls]"&amp;$B631&amp;"'!$T31")="","",IF(INDIRECT("'["&amp;$C$1&amp;".xls]"&amp;$B631&amp;"'!$O$31")="済み",INDIRECT("'["&amp;$C$1&amp;".xls]"&amp;$B631&amp;"'!$T$31"),""))</f>
        <v>#REF!</v>
      </c>
      <c r="AR631" s="48" t="e">
        <f ca="1">IF(INDIRECT("'["&amp;$C$1&amp;".xls]"&amp;$B631&amp;"'!$T32")="","",IF(INDIRECT("'["&amp;$C$1&amp;".xls]"&amp;$B631&amp;"'!$O$32")="済み",INDIRECT("'["&amp;$C$1&amp;".xls]"&amp;$B631&amp;"'!$T$32"),""))</f>
        <v>#REF!</v>
      </c>
      <c r="AS631" s="48" t="e">
        <f ca="1">IF(INDIRECT("'["&amp;$C$1&amp;".xls]"&amp;$B631&amp;"'!$T33")="","",IF(INDIRECT("'["&amp;$C$1&amp;".xls]"&amp;$B631&amp;"'!$O$33")="済み",INDIRECT("'["&amp;$C$1&amp;".xls]"&amp;$B631&amp;"'!$T$33"),""))</f>
        <v>#REF!</v>
      </c>
      <c r="AT631" s="48" t="e">
        <f ca="1">IF(INDIRECT("'["&amp;$C$1&amp;".xls]"&amp;$B631&amp;"'!$T34")="","",IF(INDIRECT("'["&amp;$C$1&amp;".xls]"&amp;$B631&amp;"'!$O$34")="済み",INDIRECT("'["&amp;$C$1&amp;".xls]"&amp;$B631&amp;"'!$T$34"),""))</f>
        <v>#REF!</v>
      </c>
      <c r="AU631" s="93" t="e">
        <f ca="1">INDIRECT("'["&amp;$C$1&amp;".xls]"&amp;$B631&amp;"'!$B$6")</f>
        <v>#REF!</v>
      </c>
      <c r="AV631" s="93" t="e">
        <f ca="1">INDIRECT("'["&amp;$C$1&amp;".xls]"&amp;$B631&amp;"'!$Y$22")</f>
        <v>#REF!</v>
      </c>
      <c r="AW631" s="93" t="e">
        <f ca="1">INDIRECT("'["&amp;$C$1&amp;".xls]"&amp;$B631&amp;"'!$Y$24")</f>
        <v>#REF!</v>
      </c>
      <c r="AX631" s="93" t="e">
        <f ca="1">INDIRECT("'["&amp;$C$1&amp;".xls]"&amp;$B631&amp;"'!$Y$26")</f>
        <v>#REF!</v>
      </c>
      <c r="AY631" s="93" t="e">
        <f ca="1">INDIRECT("'["&amp;$C$1&amp;".xls]"&amp;$B631&amp;"'!$Y$28")</f>
        <v>#REF!</v>
      </c>
    </row>
    <row r="632" spans="1:51" ht="16.5" customHeight="1" x14ac:dyDescent="0.15">
      <c r="A632" s="156" t="s">
        <v>6544</v>
      </c>
      <c r="B632" s="157" t="s">
        <v>6545</v>
      </c>
      <c r="C632" s="48" t="s">
        <v>298</v>
      </c>
      <c r="D632" s="62" t="s">
        <v>6546</v>
      </c>
      <c r="E632" s="48" t="s">
        <v>300</v>
      </c>
      <c r="F632" s="61">
        <v>42621</v>
      </c>
      <c r="G632" s="61">
        <v>0</v>
      </c>
      <c r="H632" s="125">
        <v>42629</v>
      </c>
      <c r="I632" s="61" t="s">
        <v>279</v>
      </c>
      <c r="J632" s="87"/>
      <c r="K632" s="124" t="s">
        <v>263</v>
      </c>
      <c r="L632" s="124" t="s">
        <v>263</v>
      </c>
      <c r="M632" s="62">
        <v>180</v>
      </c>
      <c r="N632" s="62" t="s">
        <v>6547</v>
      </c>
      <c r="O632" s="48" t="s">
        <v>1528</v>
      </c>
      <c r="P632" s="48" t="s">
        <v>3824</v>
      </c>
      <c r="Q632" s="48" t="s">
        <v>3825</v>
      </c>
      <c r="R632" s="48" t="s">
        <v>3826</v>
      </c>
      <c r="S632" s="48" t="s">
        <v>6548</v>
      </c>
      <c r="T632" s="48" t="s">
        <v>6549</v>
      </c>
      <c r="U632" s="48" t="s">
        <v>6550</v>
      </c>
      <c r="V632" s="122" t="s">
        <v>263</v>
      </c>
      <c r="W632" s="122" t="s">
        <v>263</v>
      </c>
      <c r="X632" s="48" t="s">
        <v>6551</v>
      </c>
      <c r="Y632" s="48" t="s">
        <v>6552</v>
      </c>
      <c r="Z632" s="61"/>
      <c r="AA632" s="48" t="s">
        <v>273</v>
      </c>
      <c r="AB632" s="48" t="s">
        <v>273</v>
      </c>
      <c r="AC632" s="48" t="s">
        <v>273</v>
      </c>
      <c r="AD632" s="48" t="s">
        <v>273</v>
      </c>
      <c r="AE632" s="48" t="s">
        <v>273</v>
      </c>
      <c r="AF632" s="48" t="s">
        <v>273</v>
      </c>
      <c r="AG632" s="48" t="s">
        <v>273</v>
      </c>
      <c r="AH632" s="48" t="s">
        <v>273</v>
      </c>
      <c r="AI632" s="48" t="s">
        <v>273</v>
      </c>
      <c r="AJ632" s="48" t="s">
        <v>273</v>
      </c>
      <c r="AK632" s="48" t="s">
        <v>273</v>
      </c>
      <c r="AL632" s="48" t="s">
        <v>273</v>
      </c>
      <c r="AM632" s="48" t="s">
        <v>273</v>
      </c>
      <c r="AN632" s="48" t="s">
        <v>273</v>
      </c>
      <c r="AO632" s="48" t="s">
        <v>273</v>
      </c>
      <c r="AP632" s="48" t="s">
        <v>273</v>
      </c>
      <c r="AQ632" s="48" t="s">
        <v>273</v>
      </c>
      <c r="AR632" s="48" t="s">
        <v>273</v>
      </c>
      <c r="AS632" s="48" t="s">
        <v>273</v>
      </c>
      <c r="AT632" s="48" t="s">
        <v>273</v>
      </c>
      <c r="AU632" s="93">
        <v>36557</v>
      </c>
      <c r="AV632" s="93" t="s">
        <v>6553</v>
      </c>
      <c r="AW632" s="93" t="s">
        <v>6554</v>
      </c>
      <c r="AX632" s="93" t="s">
        <v>273</v>
      </c>
      <c r="AY632" s="93" t="s">
        <v>6555</v>
      </c>
    </row>
    <row r="633" spans="1:51" ht="16.5" customHeight="1" x14ac:dyDescent="0.15">
      <c r="A633" s="211" t="s">
        <v>6556</v>
      </c>
      <c r="B633" s="47" t="s">
        <v>6557</v>
      </c>
      <c r="C633" s="48" t="e">
        <f ca="1">INDIRECT("'["&amp;$C$1&amp;".xls]"&amp;$B633&amp;"'!$i$7")</f>
        <v>#REF!</v>
      </c>
      <c r="D633" s="62" t="e">
        <f ca="1">INDIRECT("'["&amp;$C$1&amp;".xls]"&amp;$B633&amp;"'!$b$7")</f>
        <v>#REF!</v>
      </c>
      <c r="E633" s="48" t="e">
        <f ca="1">IF(INDIRECT("'["&amp;$C$1&amp;".xls]"&amp;$B633&amp;"'!$i$2")="","",INDIRECT("'["&amp;$C$1&amp;".xls]"&amp;$B633&amp;"'!$i$2"))</f>
        <v>#REF!</v>
      </c>
      <c r="F633" s="61" t="e">
        <f ca="1">INDIRECT("'["&amp;$C$1&amp;".xls]"&amp;$B633&amp;"'!$b$2")</f>
        <v>#REF!</v>
      </c>
      <c r="G633" s="61" t="e">
        <f ca="1">INDIRECT("'["&amp;$C$1&amp;".xls]"&amp;$B633&amp;"'!$a$20")</f>
        <v>#REF!</v>
      </c>
      <c r="H633" s="88" t="e">
        <f ca="1">INDIRECT("'["&amp;$C$1&amp;".xls]"&amp;$B633&amp;"'!$Q$22")</f>
        <v>#REF!</v>
      </c>
      <c r="I633" s="61" t="e">
        <f ca="1">INDIRECT("'["&amp;$C$1&amp;".xls]"&amp;$B633&amp;"'!$f$6")</f>
        <v>#REF!</v>
      </c>
      <c r="J633" s="87"/>
      <c r="K633" s="62" t="e">
        <f ca="1">INDIRECT("'["&amp;$C$1&amp;".xls]"&amp;$B633&amp;"'!$f$25")</f>
        <v>#REF!</v>
      </c>
      <c r="L633" s="62"/>
      <c r="M633" s="62" t="e">
        <f ca="1">INDIRECT("'["&amp;$C$1&amp;".xls]"&amp;$B633&amp;"'!$f$4")</f>
        <v>#REF!</v>
      </c>
      <c r="N633" s="62" t="e">
        <f ca="1">INDIRECT("'["&amp;$C$1&amp;".xls]"&amp;$B633&amp;"'!$i$4")</f>
        <v>#REF!</v>
      </c>
      <c r="O633" s="48" t="e">
        <f ca="1">INDIRECT("'["&amp;$C$1&amp;".xls]"&amp;$B633&amp;"'!$l$4")</f>
        <v>#REF!</v>
      </c>
      <c r="P633" s="48" t="e">
        <f ca="1">INDIRECT("'["&amp;$C$1&amp;".xls]"&amp;$B633&amp;"'!$b$5")</f>
        <v>#REF!</v>
      </c>
      <c r="Q633" s="48" t="e">
        <f ca="1">INDIRECT("'["&amp;$C$1&amp;".xls]"&amp;$B633&amp;"'!$f$5")</f>
        <v>#REF!</v>
      </c>
      <c r="R633" s="48" t="s">
        <v>5588</v>
      </c>
      <c r="S633" s="48" t="e">
        <f ca="1">INDIRECT("'["&amp;$C$1&amp;".xls]"&amp;$B633&amp;"'!$i$5")</f>
        <v>#REF!</v>
      </c>
      <c r="T633" s="48" t="e">
        <f ca="1">INDIRECT("'["&amp;$C$1&amp;".xls]"&amp;$B633&amp;"'!$l$5")</f>
        <v>#REF!</v>
      </c>
      <c r="U633" s="48" t="e">
        <f ca="1">INDIRECT("'["&amp;$C$1&amp;".xls]"&amp;$B633&amp;"'!$b$4")</f>
        <v>#REF!</v>
      </c>
      <c r="V633" s="122" t="s">
        <v>263</v>
      </c>
      <c r="W633" s="122" t="s">
        <v>263</v>
      </c>
      <c r="X633" s="48" t="s">
        <v>5592</v>
      </c>
      <c r="Y633" s="48" t="s">
        <v>6558</v>
      </c>
      <c r="Z633" s="61"/>
      <c r="AA633" s="48" t="e">
        <f ca="1">IF(INDIRECT("'["&amp;$C$1&amp;".xls]"&amp;$B633&amp;"'!$P$25")="","",IF(INDIRECT("'["&amp;$C$1&amp;".xls]"&amp;$B633&amp;"'!$O$25")="済み",INDIRECT("'["&amp;$C$1&amp;".xls]"&amp;$B633&amp;"'!$P$25"),""))</f>
        <v>#REF!</v>
      </c>
      <c r="AB633" s="48" t="e">
        <f ca="1">IF(INDIRECT("'["&amp;$C$1&amp;".xls]"&amp;$B633&amp;"'!$P$26")="","",IF(INDIRECT("'["&amp;$C$1&amp;".xls]"&amp;$B633&amp;"'!$O$26")="済み",INDIRECT("'["&amp;$C$1&amp;".xls]"&amp;$B633&amp;"'!$P$26"),""))</f>
        <v>#REF!</v>
      </c>
      <c r="AC633" s="48" t="e">
        <f ca="1">IF(INDIRECT("'["&amp;$C$1&amp;".xls]"&amp;$B633&amp;"'!$P$27")="","",IF(INDIRECT("'["&amp;$C$1&amp;".xls]"&amp;$B633&amp;"'!$O$27")="済み",INDIRECT("'["&amp;$C$1&amp;".xls]"&amp;$B633&amp;"'!$P$27"),""))</f>
        <v>#REF!</v>
      </c>
      <c r="AD633" s="48" t="e">
        <f ca="1">IF(INDIRECT("'["&amp;$C$1&amp;".xls]"&amp;$B633&amp;"'!$P$28")="","",IF(INDIRECT("'["&amp;$C$1&amp;".xls]"&amp;$B633&amp;"'!$O$28")="済み",INDIRECT("'["&amp;$C$1&amp;".xls]"&amp;$B633&amp;"'!$P$28"),""))</f>
        <v>#REF!</v>
      </c>
      <c r="AE633" s="48" t="e">
        <f ca="1">IF(INDIRECT("'["&amp;$C$1&amp;".xls]"&amp;$B633&amp;"'!$P$29")="","",IF(INDIRECT("'["&amp;$C$1&amp;".xls]"&amp;$B633&amp;"'!$O$29")="済み",INDIRECT("'["&amp;$C$1&amp;".xls]"&amp;$B633&amp;"'!$P$29"),""))</f>
        <v>#REF!</v>
      </c>
      <c r="AF633" s="48" t="e">
        <f ca="1">IF(INDIRECT("'["&amp;$C$1&amp;".xls]"&amp;$B633&amp;"'!$P$30")="","",IF(INDIRECT("'["&amp;$C$1&amp;".xls]"&amp;$B633&amp;"'!$O$30")="済み",INDIRECT("'["&amp;$C$1&amp;".xls]"&amp;$B633&amp;"'!$P$30"),""))</f>
        <v>#REF!</v>
      </c>
      <c r="AG633" s="48" t="e">
        <f ca="1">IF(INDIRECT("'["&amp;$C$1&amp;".xls]"&amp;$B633&amp;"'!$P$31")="","",IF(INDIRECT("'["&amp;$C$1&amp;".xls]"&amp;$B633&amp;"'!$O$31")="済み",INDIRECT("'["&amp;$C$1&amp;".xls]"&amp;$B633&amp;"'!$P$31"),""))</f>
        <v>#REF!</v>
      </c>
      <c r="AH633" s="48" t="e">
        <f ca="1">IF(INDIRECT("'["&amp;$C$1&amp;".xls]"&amp;$B633&amp;"'!$P$32")="","",IF(INDIRECT("'["&amp;$C$1&amp;".xls]"&amp;$B633&amp;"'!$O$32")="済み",INDIRECT("'["&amp;$C$1&amp;".xls]"&amp;$B633&amp;"'!$P$32"),""))</f>
        <v>#REF!</v>
      </c>
      <c r="AI633" s="48" t="e">
        <f ca="1">IF(INDIRECT("'["&amp;$C$1&amp;".xls]"&amp;$B633&amp;"'!$P$33")="","",IF(INDIRECT("'["&amp;$C$1&amp;".xls]"&amp;$B633&amp;"'!$O$33")="済み",INDIRECT("'["&amp;$C$1&amp;".xls]"&amp;$B633&amp;"'!$P$33"),""))</f>
        <v>#REF!</v>
      </c>
      <c r="AJ633" s="48" t="e">
        <f ca="1">IF(INDIRECT("'["&amp;$C$1&amp;".xls]"&amp;$B633&amp;"'!$P$34")="","",IF(INDIRECT("'["&amp;$C$1&amp;".xls]"&amp;$B633&amp;"'!$O$34")="済み",INDIRECT("'["&amp;$C$1&amp;".xls]"&amp;$B633&amp;"'!$P$34"),""))</f>
        <v>#REF!</v>
      </c>
      <c r="AK633" s="48" t="e">
        <f ca="1">IF(INDIRECT("'["&amp;$C$1&amp;".xls]"&amp;$B633&amp;"'!$T25")="","",IF(INDIRECT("'["&amp;$C$1&amp;".xls]"&amp;$B633&amp;"'!$O$25")="済み",INDIRECT("'["&amp;$C$1&amp;".xls]"&amp;$B633&amp;"'!$T$25"),""))</f>
        <v>#REF!</v>
      </c>
      <c r="AL633" s="48" t="e">
        <f ca="1">IF(INDIRECT("'["&amp;$C$1&amp;".xls]"&amp;$B633&amp;"'!$T26")="","",IF(INDIRECT("'["&amp;$C$1&amp;".xls]"&amp;$B633&amp;"'!$O$26")="済み",INDIRECT("'["&amp;$C$1&amp;".xls]"&amp;$B633&amp;"'!$T$26"),""))</f>
        <v>#REF!</v>
      </c>
      <c r="AM633" s="48" t="e">
        <f ca="1">IF(INDIRECT("'["&amp;$C$1&amp;".xls]"&amp;$B633&amp;"'!$T27")="","",IF(INDIRECT("'["&amp;$C$1&amp;".xls]"&amp;$B633&amp;"'!$O$27")="済み",INDIRECT("'["&amp;$C$1&amp;".xls]"&amp;$B633&amp;"'!$T$27"),""))</f>
        <v>#REF!</v>
      </c>
      <c r="AN633" s="48" t="e">
        <f ca="1">IF(INDIRECT("'["&amp;$C$1&amp;".xls]"&amp;$B633&amp;"'!$T28")="","",IF(INDIRECT("'["&amp;$C$1&amp;".xls]"&amp;$B633&amp;"'!$O$28")="済み",INDIRECT("'["&amp;$C$1&amp;".xls]"&amp;$B633&amp;"'!$T$28"),""))</f>
        <v>#REF!</v>
      </c>
      <c r="AO633" s="48" t="e">
        <f ca="1">IF(INDIRECT("'["&amp;$C$1&amp;".xls]"&amp;$B633&amp;"'!$T29")="","",IF(INDIRECT("'["&amp;$C$1&amp;".xls]"&amp;$B633&amp;"'!$O$29")="済み",INDIRECT("'["&amp;$C$1&amp;".xls]"&amp;$B633&amp;"'!$T$29"),""))</f>
        <v>#REF!</v>
      </c>
      <c r="AP633" s="48" t="e">
        <f ca="1">IF(INDIRECT("'["&amp;$C$1&amp;".xls]"&amp;$B633&amp;"'!$T30")="","",IF(INDIRECT("'["&amp;$C$1&amp;".xls]"&amp;$B633&amp;"'!$O$30")="済み",INDIRECT("'["&amp;$C$1&amp;".xls]"&amp;$B633&amp;"'!$T$30"),""))</f>
        <v>#REF!</v>
      </c>
      <c r="AQ633" s="48" t="e">
        <f ca="1">IF(INDIRECT("'["&amp;$C$1&amp;".xls]"&amp;$B633&amp;"'!$T31")="","",IF(INDIRECT("'["&amp;$C$1&amp;".xls]"&amp;$B633&amp;"'!$O$31")="済み",INDIRECT("'["&amp;$C$1&amp;".xls]"&amp;$B633&amp;"'!$T$31"),""))</f>
        <v>#REF!</v>
      </c>
      <c r="AR633" s="48" t="e">
        <f ca="1">IF(INDIRECT("'["&amp;$C$1&amp;".xls]"&amp;$B633&amp;"'!$T32")="","",IF(INDIRECT("'["&amp;$C$1&amp;".xls]"&amp;$B633&amp;"'!$O$32")="済み",INDIRECT("'["&amp;$C$1&amp;".xls]"&amp;$B633&amp;"'!$T$32"),""))</f>
        <v>#REF!</v>
      </c>
      <c r="AS633" s="48" t="e">
        <f ca="1">IF(INDIRECT("'["&amp;$C$1&amp;".xls]"&amp;$B633&amp;"'!$T33")="","",IF(INDIRECT("'["&amp;$C$1&amp;".xls]"&amp;$B633&amp;"'!$O$33")="済み",INDIRECT("'["&amp;$C$1&amp;".xls]"&amp;$B633&amp;"'!$T$33"),""))</f>
        <v>#REF!</v>
      </c>
      <c r="AT633" s="48" t="e">
        <f ca="1">IF(INDIRECT("'["&amp;$C$1&amp;".xls]"&amp;$B633&amp;"'!$T34")="","",IF(INDIRECT("'["&amp;$C$1&amp;".xls]"&amp;$B633&amp;"'!$O$34")="済み",INDIRECT("'["&amp;$C$1&amp;".xls]"&amp;$B633&amp;"'!$T$34"),""))</f>
        <v>#REF!</v>
      </c>
      <c r="AU633" s="93" t="e">
        <f ca="1">INDIRECT("'["&amp;$C$1&amp;".xls]"&amp;$B633&amp;"'!$B$6")</f>
        <v>#REF!</v>
      </c>
      <c r="AV633" s="93" t="e">
        <f ca="1">INDIRECT("'["&amp;$C$1&amp;".xls]"&amp;$B633&amp;"'!$Y$22")</f>
        <v>#REF!</v>
      </c>
      <c r="AW633" s="93" t="e">
        <f ca="1">INDIRECT("'["&amp;$C$1&amp;".xls]"&amp;$B633&amp;"'!$Y$24")</f>
        <v>#REF!</v>
      </c>
      <c r="AX633" s="93" t="e">
        <f ca="1">INDIRECT("'["&amp;$C$1&amp;".xls]"&amp;$B633&amp;"'!$Y$26")</f>
        <v>#REF!</v>
      </c>
      <c r="AY633" s="93" t="e">
        <f ca="1">INDIRECT("'["&amp;$C$1&amp;".xls]"&amp;$B633&amp;"'!$Y$28")</f>
        <v>#REF!</v>
      </c>
    </row>
    <row r="634" spans="1:51" ht="16.5" customHeight="1" x14ac:dyDescent="0.15">
      <c r="A634" s="182" t="s">
        <v>6559</v>
      </c>
      <c r="B634" s="183" t="s">
        <v>6560</v>
      </c>
      <c r="C634" s="48" t="s">
        <v>6561</v>
      </c>
      <c r="D634" s="62" t="s">
        <v>263</v>
      </c>
      <c r="E634" s="48" t="s">
        <v>264</v>
      </c>
      <c r="F634" s="61">
        <v>42622</v>
      </c>
      <c r="G634" s="61">
        <v>0</v>
      </c>
      <c r="H634" s="125">
        <v>42646</v>
      </c>
      <c r="I634" s="61" t="s">
        <v>279</v>
      </c>
      <c r="J634" s="87"/>
      <c r="K634" s="62" t="s">
        <v>2506</v>
      </c>
      <c r="L634" s="62">
        <v>3</v>
      </c>
      <c r="M634" s="62" t="s">
        <v>209</v>
      </c>
      <c r="N634" s="62" t="s">
        <v>2134</v>
      </c>
      <c r="O634" s="48" t="s">
        <v>2135</v>
      </c>
      <c r="P634" s="48" t="s">
        <v>3273</v>
      </c>
      <c r="Q634" s="48" t="s">
        <v>2269</v>
      </c>
      <c r="R634" s="48" t="s">
        <v>3275</v>
      </c>
      <c r="S634" s="48" t="s">
        <v>3276</v>
      </c>
      <c r="T634" s="48" t="s">
        <v>3277</v>
      </c>
      <c r="U634" s="48" t="s">
        <v>4869</v>
      </c>
      <c r="V634" s="122" t="s">
        <v>263</v>
      </c>
      <c r="W634" s="122" t="s">
        <v>263</v>
      </c>
      <c r="X634" s="48" t="s">
        <v>2141</v>
      </c>
      <c r="Y634" s="48" t="s">
        <v>2142</v>
      </c>
      <c r="Z634" s="61"/>
      <c r="AA634" s="48" t="s">
        <v>6562</v>
      </c>
      <c r="AB634" s="48" t="s">
        <v>273</v>
      </c>
      <c r="AC634" s="48" t="s">
        <v>273</v>
      </c>
      <c r="AD634" s="48" t="s">
        <v>273</v>
      </c>
      <c r="AE634" s="48" t="s">
        <v>273</v>
      </c>
      <c r="AF634" s="48" t="s">
        <v>273</v>
      </c>
      <c r="AG634" s="48" t="s">
        <v>273</v>
      </c>
      <c r="AH634" s="48" t="s">
        <v>273</v>
      </c>
      <c r="AI634" s="48" t="s">
        <v>273</v>
      </c>
      <c r="AJ634" s="48" t="s">
        <v>273</v>
      </c>
      <c r="AK634" s="48" t="s">
        <v>6563</v>
      </c>
      <c r="AL634" s="48" t="s">
        <v>273</v>
      </c>
      <c r="AM634" s="48" t="s">
        <v>273</v>
      </c>
      <c r="AN634" s="48" t="s">
        <v>273</v>
      </c>
      <c r="AO634" s="48" t="s">
        <v>273</v>
      </c>
      <c r="AP634" s="48" t="s">
        <v>273</v>
      </c>
      <c r="AQ634" s="48" t="s">
        <v>273</v>
      </c>
      <c r="AR634" s="48" t="s">
        <v>273</v>
      </c>
      <c r="AS634" s="48" t="s">
        <v>273</v>
      </c>
      <c r="AT634" s="48" t="s">
        <v>273</v>
      </c>
      <c r="AU634" s="93">
        <v>42217</v>
      </c>
      <c r="AV634" s="93" t="s">
        <v>6564</v>
      </c>
      <c r="AW634" s="93" t="s">
        <v>6565</v>
      </c>
      <c r="AX634" s="93" t="s">
        <v>6566</v>
      </c>
      <c r="AY634" s="93" t="s">
        <v>6567</v>
      </c>
    </row>
    <row r="635" spans="1:51" ht="16.5" customHeight="1" x14ac:dyDescent="0.15">
      <c r="A635" s="211" t="s">
        <v>6568</v>
      </c>
      <c r="B635" s="212" t="s">
        <v>6569</v>
      </c>
      <c r="C635" s="48" t="s">
        <v>298</v>
      </c>
      <c r="D635" s="62" t="s">
        <v>263</v>
      </c>
      <c r="E635" s="48" t="s">
        <v>300</v>
      </c>
      <c r="F635" s="61">
        <v>42615</v>
      </c>
      <c r="G635" s="61">
        <v>0</v>
      </c>
      <c r="H635" s="125">
        <v>42709</v>
      </c>
      <c r="I635" s="61" t="s">
        <v>279</v>
      </c>
      <c r="J635" s="87"/>
      <c r="K635" s="62" t="s">
        <v>5840</v>
      </c>
      <c r="L635" s="62"/>
      <c r="M635" s="62" t="s">
        <v>2437</v>
      </c>
      <c r="N635" s="62" t="s">
        <v>6570</v>
      </c>
      <c r="O635" s="48" t="s">
        <v>5826</v>
      </c>
      <c r="P635" s="48" t="s">
        <v>6571</v>
      </c>
      <c r="Q635" s="48" t="s">
        <v>6572</v>
      </c>
      <c r="R635" s="48" t="s">
        <v>6573</v>
      </c>
      <c r="S635" s="48" t="s">
        <v>6574</v>
      </c>
      <c r="T635" s="48" t="s">
        <v>883</v>
      </c>
      <c r="U635" s="48" t="s">
        <v>884</v>
      </c>
      <c r="V635" s="122" t="s">
        <v>5866</v>
      </c>
      <c r="W635" s="122" t="s">
        <v>5866</v>
      </c>
      <c r="X635" s="48" t="s">
        <v>6575</v>
      </c>
      <c r="Y635" s="48" t="s">
        <v>6576</v>
      </c>
      <c r="Z635" s="61"/>
      <c r="AA635" s="48" t="s">
        <v>6577</v>
      </c>
      <c r="AB635" s="48" t="s">
        <v>6578</v>
      </c>
      <c r="AC635" s="48" t="s">
        <v>273</v>
      </c>
      <c r="AD635" s="48" t="s">
        <v>273</v>
      </c>
      <c r="AE635" s="48" t="s">
        <v>273</v>
      </c>
      <c r="AF635" s="48" t="s">
        <v>273</v>
      </c>
      <c r="AG635" s="48" t="s">
        <v>273</v>
      </c>
      <c r="AH635" s="48" t="s">
        <v>273</v>
      </c>
      <c r="AI635" s="48" t="s">
        <v>273</v>
      </c>
      <c r="AJ635" s="48" t="s">
        <v>273</v>
      </c>
      <c r="AK635" s="48" t="s">
        <v>6579</v>
      </c>
      <c r="AL635" s="48" t="s">
        <v>6580</v>
      </c>
      <c r="AM635" s="48" t="s">
        <v>273</v>
      </c>
      <c r="AN635" s="48" t="s">
        <v>273</v>
      </c>
      <c r="AO635" s="48" t="s">
        <v>273</v>
      </c>
      <c r="AP635" s="48" t="s">
        <v>273</v>
      </c>
      <c r="AQ635" s="48" t="s">
        <v>273</v>
      </c>
      <c r="AR635" s="48" t="s">
        <v>273</v>
      </c>
      <c r="AS635" s="48" t="s">
        <v>273</v>
      </c>
      <c r="AT635" s="48" t="s">
        <v>273</v>
      </c>
      <c r="AU635" s="93">
        <v>41579</v>
      </c>
      <c r="AV635" s="93" t="s">
        <v>6581</v>
      </c>
      <c r="AW635" s="93" t="s">
        <v>6582</v>
      </c>
      <c r="AX635" s="93" t="s">
        <v>6583</v>
      </c>
      <c r="AY635" s="93" t="s">
        <v>6584</v>
      </c>
    </row>
    <row r="636" spans="1:51" ht="16.5" customHeight="1" x14ac:dyDescent="0.15">
      <c r="A636" s="121" t="s">
        <v>6585</v>
      </c>
      <c r="B636" s="47" t="s">
        <v>6586</v>
      </c>
      <c r="C636" s="48" t="e">
        <f ca="1">INDIRECT("'["&amp;$C$1&amp;".xls]"&amp;$B636&amp;"'!$i$7")</f>
        <v>#REF!</v>
      </c>
      <c r="D636" s="62" t="e">
        <f ca="1">INDIRECT("'["&amp;$C$1&amp;".xls]"&amp;$B636&amp;"'!$b$7")</f>
        <v>#REF!</v>
      </c>
      <c r="E636" s="48" t="e">
        <f ca="1">IF(INDIRECT("'["&amp;$C$1&amp;".xls]"&amp;$B636&amp;"'!$i$2")="","",INDIRECT("'["&amp;$C$1&amp;".xls]"&amp;$B636&amp;"'!$i$2"))</f>
        <v>#REF!</v>
      </c>
      <c r="F636" s="61" t="e">
        <f ca="1">INDIRECT("'["&amp;$C$1&amp;".xls]"&amp;$B636&amp;"'!$b$2")</f>
        <v>#REF!</v>
      </c>
      <c r="G636" s="61" t="e">
        <f ca="1">INDIRECT("'["&amp;$C$1&amp;".xls]"&amp;$B636&amp;"'!$a$20")</f>
        <v>#REF!</v>
      </c>
      <c r="H636" s="88" t="e">
        <f ca="1">INDIRECT("'["&amp;$C$1&amp;".xls]"&amp;$B636&amp;"'!$Q$22")</f>
        <v>#REF!</v>
      </c>
      <c r="I636" s="61" t="e">
        <f ca="1">INDIRECT("'["&amp;$C$1&amp;".xls]"&amp;$B636&amp;"'!$f$6")</f>
        <v>#REF!</v>
      </c>
      <c r="J636" s="87"/>
      <c r="K636" s="62" t="e">
        <f ca="1">INDIRECT("'["&amp;$C$1&amp;".xls]"&amp;$B636&amp;"'!$f$25")</f>
        <v>#REF!</v>
      </c>
      <c r="L636" s="62"/>
      <c r="M636" s="62" t="e">
        <f ca="1">INDIRECT("'["&amp;$C$1&amp;".xls]"&amp;$B636&amp;"'!$f$4")</f>
        <v>#REF!</v>
      </c>
      <c r="N636" s="62" t="e">
        <f ca="1">INDIRECT("'["&amp;$C$1&amp;".xls]"&amp;$B636&amp;"'!$i$4")</f>
        <v>#REF!</v>
      </c>
      <c r="O636" s="48" t="e">
        <f ca="1">INDIRECT("'["&amp;$C$1&amp;".xls]"&amp;$B636&amp;"'!$l$4")</f>
        <v>#REF!</v>
      </c>
      <c r="P636" s="48" t="e">
        <f ca="1">INDIRECT("'["&amp;$C$1&amp;".xls]"&amp;$B636&amp;"'!$b$5")</f>
        <v>#REF!</v>
      </c>
      <c r="Q636" s="48" t="e">
        <f ca="1">INDIRECT("'["&amp;$C$1&amp;".xls]"&amp;$B636&amp;"'!$f$5")</f>
        <v>#REF!</v>
      </c>
      <c r="R636" s="48"/>
      <c r="S636" s="48" t="e">
        <f ca="1">INDIRECT("'["&amp;$C$1&amp;".xls]"&amp;$B636&amp;"'!$i$5")</f>
        <v>#REF!</v>
      </c>
      <c r="T636" s="48" t="e">
        <f ca="1">INDIRECT("'["&amp;$C$1&amp;".xls]"&amp;$B636&amp;"'!$l$5")</f>
        <v>#REF!</v>
      </c>
      <c r="U636" s="48" t="e">
        <f ca="1">INDIRECT("'["&amp;$C$1&amp;".xls]"&amp;$B636&amp;"'!$b$4")</f>
        <v>#REF!</v>
      </c>
      <c r="V636" s="48"/>
      <c r="W636" s="48"/>
      <c r="X636" s="48"/>
      <c r="Y636" s="48"/>
      <c r="Z636" s="61"/>
      <c r="AA636" s="48" t="e">
        <f ca="1">IF(INDIRECT("'["&amp;$C$1&amp;".xls]"&amp;$B636&amp;"'!$P$25")="","",IF(INDIRECT("'["&amp;$C$1&amp;".xls]"&amp;$B636&amp;"'!$O$25")="済み",INDIRECT("'["&amp;$C$1&amp;".xls]"&amp;$B636&amp;"'!$P$25"),""))</f>
        <v>#REF!</v>
      </c>
      <c r="AB636" s="48" t="e">
        <f ca="1">IF(INDIRECT("'["&amp;$C$1&amp;".xls]"&amp;$B636&amp;"'!$P$26")="","",IF(INDIRECT("'["&amp;$C$1&amp;".xls]"&amp;$B636&amp;"'!$O$26")="済み",INDIRECT("'["&amp;$C$1&amp;".xls]"&amp;$B636&amp;"'!$P$26"),""))</f>
        <v>#REF!</v>
      </c>
      <c r="AC636" s="48" t="e">
        <f ca="1">IF(INDIRECT("'["&amp;$C$1&amp;".xls]"&amp;$B636&amp;"'!$P$27")="","",IF(INDIRECT("'["&amp;$C$1&amp;".xls]"&amp;$B636&amp;"'!$O$27")="済み",INDIRECT("'["&amp;$C$1&amp;".xls]"&amp;$B636&amp;"'!$P$27"),""))</f>
        <v>#REF!</v>
      </c>
      <c r="AD636" s="48" t="e">
        <f ca="1">IF(INDIRECT("'["&amp;$C$1&amp;".xls]"&amp;$B636&amp;"'!$P$28")="","",IF(INDIRECT("'["&amp;$C$1&amp;".xls]"&amp;$B636&amp;"'!$O$28")="済み",INDIRECT("'["&amp;$C$1&amp;".xls]"&amp;$B636&amp;"'!$P$28"),""))</f>
        <v>#REF!</v>
      </c>
      <c r="AE636" s="48" t="e">
        <f ca="1">IF(INDIRECT("'["&amp;$C$1&amp;".xls]"&amp;$B636&amp;"'!$P$29")="","",IF(INDIRECT("'["&amp;$C$1&amp;".xls]"&amp;$B636&amp;"'!$O$29")="済み",INDIRECT("'["&amp;$C$1&amp;".xls]"&amp;$B636&amp;"'!$P$29"),""))</f>
        <v>#REF!</v>
      </c>
      <c r="AF636" s="48" t="e">
        <f ca="1">IF(INDIRECT("'["&amp;$C$1&amp;".xls]"&amp;$B636&amp;"'!$P$30")="","",IF(INDIRECT("'["&amp;$C$1&amp;".xls]"&amp;$B636&amp;"'!$O$30")="済み",INDIRECT("'["&amp;$C$1&amp;".xls]"&amp;$B636&amp;"'!$P$30"),""))</f>
        <v>#REF!</v>
      </c>
      <c r="AG636" s="48" t="e">
        <f ca="1">IF(INDIRECT("'["&amp;$C$1&amp;".xls]"&amp;$B636&amp;"'!$P$31")="","",IF(INDIRECT("'["&amp;$C$1&amp;".xls]"&amp;$B636&amp;"'!$O$31")="済み",INDIRECT("'["&amp;$C$1&amp;".xls]"&amp;$B636&amp;"'!$P$31"),""))</f>
        <v>#REF!</v>
      </c>
      <c r="AH636" s="48" t="e">
        <f ca="1">IF(INDIRECT("'["&amp;$C$1&amp;".xls]"&amp;$B636&amp;"'!$P$32")="","",IF(INDIRECT("'["&amp;$C$1&amp;".xls]"&amp;$B636&amp;"'!$O$32")="済み",INDIRECT("'["&amp;$C$1&amp;".xls]"&amp;$B636&amp;"'!$P$32"),""))</f>
        <v>#REF!</v>
      </c>
      <c r="AI636" s="48" t="e">
        <f ca="1">IF(INDIRECT("'["&amp;$C$1&amp;".xls]"&amp;$B636&amp;"'!$P$33")="","",IF(INDIRECT("'["&amp;$C$1&amp;".xls]"&amp;$B636&amp;"'!$O$33")="済み",INDIRECT("'["&amp;$C$1&amp;".xls]"&amp;$B636&amp;"'!$P$33"),""))</f>
        <v>#REF!</v>
      </c>
      <c r="AJ636" s="48" t="e">
        <f ca="1">IF(INDIRECT("'["&amp;$C$1&amp;".xls]"&amp;$B636&amp;"'!$P$34")="","",IF(INDIRECT("'["&amp;$C$1&amp;".xls]"&amp;$B636&amp;"'!$O$34")="済み",INDIRECT("'["&amp;$C$1&amp;".xls]"&amp;$B636&amp;"'!$P$34"),""))</f>
        <v>#REF!</v>
      </c>
      <c r="AK636" s="48" t="e">
        <f ca="1">IF(INDIRECT("'["&amp;$C$1&amp;".xls]"&amp;$B636&amp;"'!$T25")="","",IF(INDIRECT("'["&amp;$C$1&amp;".xls]"&amp;$B636&amp;"'!$O$25")="済み",INDIRECT("'["&amp;$C$1&amp;".xls]"&amp;$B636&amp;"'!$T$25"),""))</f>
        <v>#REF!</v>
      </c>
      <c r="AL636" s="48" t="e">
        <f ca="1">IF(INDIRECT("'["&amp;$C$1&amp;".xls]"&amp;$B636&amp;"'!$T26")="","",IF(INDIRECT("'["&amp;$C$1&amp;".xls]"&amp;$B636&amp;"'!$O$26")="済み",INDIRECT("'["&amp;$C$1&amp;".xls]"&amp;$B636&amp;"'!$T$26"),""))</f>
        <v>#REF!</v>
      </c>
      <c r="AM636" s="48" t="e">
        <f ca="1">IF(INDIRECT("'["&amp;$C$1&amp;".xls]"&amp;$B636&amp;"'!$T27")="","",IF(INDIRECT("'["&amp;$C$1&amp;".xls]"&amp;$B636&amp;"'!$O$27")="済み",INDIRECT("'["&amp;$C$1&amp;".xls]"&amp;$B636&amp;"'!$T$27"),""))</f>
        <v>#REF!</v>
      </c>
      <c r="AN636" s="48" t="e">
        <f ca="1">IF(INDIRECT("'["&amp;$C$1&amp;".xls]"&amp;$B636&amp;"'!$T28")="","",IF(INDIRECT("'["&amp;$C$1&amp;".xls]"&amp;$B636&amp;"'!$O$28")="済み",INDIRECT("'["&amp;$C$1&amp;".xls]"&amp;$B636&amp;"'!$T$28"),""))</f>
        <v>#REF!</v>
      </c>
      <c r="AO636" s="48" t="e">
        <f ca="1">IF(INDIRECT("'["&amp;$C$1&amp;".xls]"&amp;$B636&amp;"'!$T29")="","",IF(INDIRECT("'["&amp;$C$1&amp;".xls]"&amp;$B636&amp;"'!$O$29")="済み",INDIRECT("'["&amp;$C$1&amp;".xls]"&amp;$B636&amp;"'!$T$29"),""))</f>
        <v>#REF!</v>
      </c>
      <c r="AP636" s="48" t="e">
        <f ca="1">IF(INDIRECT("'["&amp;$C$1&amp;".xls]"&amp;$B636&amp;"'!$T30")="","",IF(INDIRECT("'["&amp;$C$1&amp;".xls]"&amp;$B636&amp;"'!$O$30")="済み",INDIRECT("'["&amp;$C$1&amp;".xls]"&amp;$B636&amp;"'!$T$30"),""))</f>
        <v>#REF!</v>
      </c>
      <c r="AQ636" s="48" t="e">
        <f ca="1">IF(INDIRECT("'["&amp;$C$1&amp;".xls]"&amp;$B636&amp;"'!$T31")="","",IF(INDIRECT("'["&amp;$C$1&amp;".xls]"&amp;$B636&amp;"'!$O$31")="済み",INDIRECT("'["&amp;$C$1&amp;".xls]"&amp;$B636&amp;"'!$T$31"),""))</f>
        <v>#REF!</v>
      </c>
      <c r="AR636" s="48" t="e">
        <f ca="1">IF(INDIRECT("'["&amp;$C$1&amp;".xls]"&amp;$B636&amp;"'!$T32")="","",IF(INDIRECT("'["&amp;$C$1&amp;".xls]"&amp;$B636&amp;"'!$O$32")="済み",INDIRECT("'["&amp;$C$1&amp;".xls]"&amp;$B636&amp;"'!$T$32"),""))</f>
        <v>#REF!</v>
      </c>
      <c r="AS636" s="48" t="e">
        <f ca="1">IF(INDIRECT("'["&amp;$C$1&amp;".xls]"&amp;$B636&amp;"'!$T33")="","",IF(INDIRECT("'["&amp;$C$1&amp;".xls]"&amp;$B636&amp;"'!$O$33")="済み",INDIRECT("'["&amp;$C$1&amp;".xls]"&amp;$B636&amp;"'!$T$33"),""))</f>
        <v>#REF!</v>
      </c>
      <c r="AT636" s="48" t="e">
        <f ca="1">IF(INDIRECT("'["&amp;$C$1&amp;".xls]"&amp;$B636&amp;"'!$T34")="","",IF(INDIRECT("'["&amp;$C$1&amp;".xls]"&amp;$B636&amp;"'!$O$34")="済み",INDIRECT("'["&amp;$C$1&amp;".xls]"&amp;$B636&amp;"'!$T$34"),""))</f>
        <v>#REF!</v>
      </c>
      <c r="AU636" s="93" t="e">
        <f ca="1">INDIRECT("'["&amp;$C$1&amp;".xls]"&amp;$B636&amp;"'!$B$6")</f>
        <v>#REF!</v>
      </c>
      <c r="AV636" s="93" t="e">
        <f ca="1">INDIRECT("'["&amp;$C$1&amp;".xls]"&amp;$B636&amp;"'!$Y$22")</f>
        <v>#REF!</v>
      </c>
      <c r="AW636" s="93" t="e">
        <f ca="1">INDIRECT("'["&amp;$C$1&amp;".xls]"&amp;$B636&amp;"'!$Y$24")</f>
        <v>#REF!</v>
      </c>
      <c r="AX636" s="93" t="e">
        <f ca="1">INDIRECT("'["&amp;$C$1&amp;".xls]"&amp;$B636&amp;"'!$Y$26")</f>
        <v>#REF!</v>
      </c>
      <c r="AY636" s="93" t="e">
        <f ca="1">INDIRECT("'["&amp;$C$1&amp;".xls]"&amp;$B636&amp;"'!$Y$28")</f>
        <v>#REF!</v>
      </c>
    </row>
    <row r="637" spans="1:51" ht="16.5" customHeight="1" x14ac:dyDescent="0.15">
      <c r="A637" s="182" t="s">
        <v>6587</v>
      </c>
      <c r="B637" s="183" t="s">
        <v>6588</v>
      </c>
      <c r="C637" s="48" t="s">
        <v>330</v>
      </c>
      <c r="D637" s="62" t="s">
        <v>6589</v>
      </c>
      <c r="E637" s="48" t="s">
        <v>264</v>
      </c>
      <c r="F637" s="61">
        <v>42625</v>
      </c>
      <c r="G637" s="61">
        <v>0</v>
      </c>
      <c r="H637" s="125">
        <v>42657</v>
      </c>
      <c r="I637" s="61" t="s">
        <v>279</v>
      </c>
      <c r="J637" s="87"/>
      <c r="K637" s="62" t="s">
        <v>16</v>
      </c>
      <c r="L637" s="62">
        <v>3</v>
      </c>
      <c r="M637" s="62" t="s">
        <v>209</v>
      </c>
      <c r="N637" s="62" t="s">
        <v>6590</v>
      </c>
      <c r="O637" s="48" t="s">
        <v>3919</v>
      </c>
      <c r="P637" s="130" t="s">
        <v>6591</v>
      </c>
      <c r="Q637" s="130" t="s">
        <v>6592</v>
      </c>
      <c r="R637" s="130" t="s">
        <v>6593</v>
      </c>
      <c r="S637" s="130" t="s">
        <v>6594</v>
      </c>
      <c r="T637" s="130" t="s">
        <v>6595</v>
      </c>
      <c r="U637" s="48" t="s">
        <v>6596</v>
      </c>
      <c r="V637" s="48" t="s">
        <v>6597</v>
      </c>
      <c r="W637" s="122" t="s">
        <v>263</v>
      </c>
      <c r="X637" s="48" t="s">
        <v>6594</v>
      </c>
      <c r="Y637" s="48" t="s">
        <v>6598</v>
      </c>
      <c r="Z637" s="61"/>
      <c r="AA637" s="48" t="s">
        <v>273</v>
      </c>
      <c r="AB637" s="48" t="s">
        <v>273</v>
      </c>
      <c r="AC637" s="48" t="s">
        <v>273</v>
      </c>
      <c r="AD637" s="48" t="s">
        <v>273</v>
      </c>
      <c r="AE637" s="48" t="s">
        <v>273</v>
      </c>
      <c r="AF637" s="48" t="s">
        <v>273</v>
      </c>
      <c r="AG637" s="48" t="s">
        <v>273</v>
      </c>
      <c r="AH637" s="48" t="s">
        <v>273</v>
      </c>
      <c r="AI637" s="48" t="s">
        <v>273</v>
      </c>
      <c r="AJ637" s="48" t="s">
        <v>273</v>
      </c>
      <c r="AK637" s="48" t="s">
        <v>273</v>
      </c>
      <c r="AL637" s="48" t="s">
        <v>273</v>
      </c>
      <c r="AM637" s="48" t="s">
        <v>273</v>
      </c>
      <c r="AN637" s="48" t="s">
        <v>273</v>
      </c>
      <c r="AO637" s="48" t="s">
        <v>273</v>
      </c>
      <c r="AP637" s="48" t="s">
        <v>273</v>
      </c>
      <c r="AQ637" s="48" t="s">
        <v>273</v>
      </c>
      <c r="AR637" s="48" t="s">
        <v>273</v>
      </c>
      <c r="AS637" s="48" t="s">
        <v>273</v>
      </c>
      <c r="AT637" s="48" t="s">
        <v>273</v>
      </c>
      <c r="AU637" s="93">
        <v>42430</v>
      </c>
      <c r="AV637" s="93" t="s">
        <v>6599</v>
      </c>
      <c r="AW637" s="93" t="s">
        <v>6600</v>
      </c>
      <c r="AX637" s="93" t="s">
        <v>6601</v>
      </c>
      <c r="AY637" s="93" t="s">
        <v>6602</v>
      </c>
    </row>
    <row r="638" spans="1:51" ht="16.5" customHeight="1" x14ac:dyDescent="0.15">
      <c r="A638" s="121" t="s">
        <v>6603</v>
      </c>
      <c r="B638" s="47" t="s">
        <v>6604</v>
      </c>
      <c r="C638" s="48" t="e">
        <f ca="1">INDIRECT("'["&amp;$C$1&amp;".xls]"&amp;$B638&amp;"'!$i$7")</f>
        <v>#REF!</v>
      </c>
      <c r="D638" s="62" t="e">
        <f ca="1">INDIRECT("'["&amp;$C$1&amp;".xls]"&amp;$B638&amp;"'!$b$7")</f>
        <v>#REF!</v>
      </c>
      <c r="E638" s="48" t="e">
        <f ca="1">IF(INDIRECT("'["&amp;$C$1&amp;".xls]"&amp;$B638&amp;"'!$i$2")="","",INDIRECT("'["&amp;$C$1&amp;".xls]"&amp;$B638&amp;"'!$i$2"))</f>
        <v>#REF!</v>
      </c>
      <c r="F638" s="61" t="e">
        <f ca="1">INDIRECT("'["&amp;$C$1&amp;".xls]"&amp;$B638&amp;"'!$b$2")</f>
        <v>#REF!</v>
      </c>
      <c r="G638" s="61" t="e">
        <f ca="1">INDIRECT("'["&amp;$C$1&amp;".xls]"&amp;$B638&amp;"'!$a$20")</f>
        <v>#REF!</v>
      </c>
      <c r="H638" s="88" t="e">
        <f ca="1">INDIRECT("'["&amp;$C$1&amp;".xls]"&amp;$B638&amp;"'!$Q$22")</f>
        <v>#REF!</v>
      </c>
      <c r="I638" s="61" t="e">
        <f ca="1">INDIRECT("'["&amp;$C$1&amp;".xls]"&amp;$B638&amp;"'!$f$6")</f>
        <v>#REF!</v>
      </c>
      <c r="J638" s="87"/>
      <c r="K638" s="62" t="e">
        <f ca="1">INDIRECT("'["&amp;$C$1&amp;".xls]"&amp;$B638&amp;"'!$f$25")</f>
        <v>#REF!</v>
      </c>
      <c r="L638" s="62"/>
      <c r="M638" s="62" t="e">
        <f ca="1">INDIRECT("'["&amp;$C$1&amp;".xls]"&amp;$B638&amp;"'!$f$4")</f>
        <v>#REF!</v>
      </c>
      <c r="N638" s="62" t="e">
        <f ca="1">INDIRECT("'["&amp;$C$1&amp;".xls]"&amp;$B638&amp;"'!$i$4")</f>
        <v>#REF!</v>
      </c>
      <c r="O638" s="48" t="e">
        <f ca="1">INDIRECT("'["&amp;$C$1&amp;".xls]"&amp;$B638&amp;"'!$l$4")</f>
        <v>#REF!</v>
      </c>
      <c r="P638" s="48" t="e">
        <f ca="1">INDIRECT("'["&amp;$C$1&amp;".xls]"&amp;$B638&amp;"'!$b$5")</f>
        <v>#REF!</v>
      </c>
      <c r="Q638" s="48" t="e">
        <f ca="1">INDIRECT("'["&amp;$C$1&amp;".xls]"&amp;$B638&amp;"'!$f$5")</f>
        <v>#REF!</v>
      </c>
      <c r="R638" s="48"/>
      <c r="S638" s="48" t="e">
        <f ca="1">INDIRECT("'["&amp;$C$1&amp;".xls]"&amp;$B638&amp;"'!$i$5")</f>
        <v>#REF!</v>
      </c>
      <c r="T638" s="48" t="e">
        <f ca="1">INDIRECT("'["&amp;$C$1&amp;".xls]"&amp;$B638&amp;"'!$l$5")</f>
        <v>#REF!</v>
      </c>
      <c r="U638" s="48" t="e">
        <f ca="1">INDIRECT("'["&amp;$C$1&amp;".xls]"&amp;$B638&amp;"'!$b$4")</f>
        <v>#REF!</v>
      </c>
      <c r="V638" s="48"/>
      <c r="W638" s="48"/>
      <c r="X638" s="48"/>
      <c r="Y638" s="48"/>
      <c r="Z638" s="61"/>
      <c r="AA638" s="48" t="e">
        <f ca="1">IF(INDIRECT("'["&amp;$C$1&amp;".xls]"&amp;$B638&amp;"'!$P$25")="","",IF(INDIRECT("'["&amp;$C$1&amp;".xls]"&amp;$B638&amp;"'!$O$25")="済み",INDIRECT("'["&amp;$C$1&amp;".xls]"&amp;$B638&amp;"'!$P$25"),""))</f>
        <v>#REF!</v>
      </c>
      <c r="AB638" s="48" t="e">
        <f ca="1">IF(INDIRECT("'["&amp;$C$1&amp;".xls]"&amp;$B638&amp;"'!$P$26")="","",IF(INDIRECT("'["&amp;$C$1&amp;".xls]"&amp;$B638&amp;"'!$O$26")="済み",INDIRECT("'["&amp;$C$1&amp;".xls]"&amp;$B638&amp;"'!$P$26"),""))</f>
        <v>#REF!</v>
      </c>
      <c r="AC638" s="48" t="e">
        <f ca="1">IF(INDIRECT("'["&amp;$C$1&amp;".xls]"&amp;$B638&amp;"'!$P$27")="","",IF(INDIRECT("'["&amp;$C$1&amp;".xls]"&amp;$B638&amp;"'!$O$27")="済み",INDIRECT("'["&amp;$C$1&amp;".xls]"&amp;$B638&amp;"'!$P$27"),""))</f>
        <v>#REF!</v>
      </c>
      <c r="AD638" s="48" t="e">
        <f ca="1">IF(INDIRECT("'["&amp;$C$1&amp;".xls]"&amp;$B638&amp;"'!$P$28")="","",IF(INDIRECT("'["&amp;$C$1&amp;".xls]"&amp;$B638&amp;"'!$O$28")="済み",INDIRECT("'["&amp;$C$1&amp;".xls]"&amp;$B638&amp;"'!$P$28"),""))</f>
        <v>#REF!</v>
      </c>
      <c r="AE638" s="48" t="e">
        <f ca="1">IF(INDIRECT("'["&amp;$C$1&amp;".xls]"&amp;$B638&amp;"'!$P$29")="","",IF(INDIRECT("'["&amp;$C$1&amp;".xls]"&amp;$B638&amp;"'!$O$29")="済み",INDIRECT("'["&amp;$C$1&amp;".xls]"&amp;$B638&amp;"'!$P$29"),""))</f>
        <v>#REF!</v>
      </c>
      <c r="AF638" s="48" t="e">
        <f ca="1">IF(INDIRECT("'["&amp;$C$1&amp;".xls]"&amp;$B638&amp;"'!$P$30")="","",IF(INDIRECT("'["&amp;$C$1&amp;".xls]"&amp;$B638&amp;"'!$O$30")="済み",INDIRECT("'["&amp;$C$1&amp;".xls]"&amp;$B638&amp;"'!$P$30"),""))</f>
        <v>#REF!</v>
      </c>
      <c r="AG638" s="48" t="e">
        <f ca="1">IF(INDIRECT("'["&amp;$C$1&amp;".xls]"&amp;$B638&amp;"'!$P$31")="","",IF(INDIRECT("'["&amp;$C$1&amp;".xls]"&amp;$B638&amp;"'!$O$31")="済み",INDIRECT("'["&amp;$C$1&amp;".xls]"&amp;$B638&amp;"'!$P$31"),""))</f>
        <v>#REF!</v>
      </c>
      <c r="AH638" s="48" t="e">
        <f ca="1">IF(INDIRECT("'["&amp;$C$1&amp;".xls]"&amp;$B638&amp;"'!$P$32")="","",IF(INDIRECT("'["&amp;$C$1&amp;".xls]"&amp;$B638&amp;"'!$O$32")="済み",INDIRECT("'["&amp;$C$1&amp;".xls]"&amp;$B638&amp;"'!$P$32"),""))</f>
        <v>#REF!</v>
      </c>
      <c r="AI638" s="48" t="e">
        <f ca="1">IF(INDIRECT("'["&amp;$C$1&amp;".xls]"&amp;$B638&amp;"'!$P$33")="","",IF(INDIRECT("'["&amp;$C$1&amp;".xls]"&amp;$B638&amp;"'!$O$33")="済み",INDIRECT("'["&amp;$C$1&amp;".xls]"&amp;$B638&amp;"'!$P$33"),""))</f>
        <v>#REF!</v>
      </c>
      <c r="AJ638" s="48" t="e">
        <f ca="1">IF(INDIRECT("'["&amp;$C$1&amp;".xls]"&amp;$B638&amp;"'!$P$34")="","",IF(INDIRECT("'["&amp;$C$1&amp;".xls]"&amp;$B638&amp;"'!$O$34")="済み",INDIRECT("'["&amp;$C$1&amp;".xls]"&amp;$B638&amp;"'!$P$34"),""))</f>
        <v>#REF!</v>
      </c>
      <c r="AK638" s="48" t="e">
        <f ca="1">IF(INDIRECT("'["&amp;$C$1&amp;".xls]"&amp;$B638&amp;"'!$T25")="","",IF(INDIRECT("'["&amp;$C$1&amp;".xls]"&amp;$B638&amp;"'!$O$25")="済み",INDIRECT("'["&amp;$C$1&amp;".xls]"&amp;$B638&amp;"'!$T$25"),""))</f>
        <v>#REF!</v>
      </c>
      <c r="AL638" s="48" t="e">
        <f ca="1">IF(INDIRECT("'["&amp;$C$1&amp;".xls]"&amp;$B638&amp;"'!$T26")="","",IF(INDIRECT("'["&amp;$C$1&amp;".xls]"&amp;$B638&amp;"'!$O$26")="済み",INDIRECT("'["&amp;$C$1&amp;".xls]"&amp;$B638&amp;"'!$T$26"),""))</f>
        <v>#REF!</v>
      </c>
      <c r="AM638" s="48" t="e">
        <f ca="1">IF(INDIRECT("'["&amp;$C$1&amp;".xls]"&amp;$B638&amp;"'!$T27")="","",IF(INDIRECT("'["&amp;$C$1&amp;".xls]"&amp;$B638&amp;"'!$O$27")="済み",INDIRECT("'["&amp;$C$1&amp;".xls]"&amp;$B638&amp;"'!$T$27"),""))</f>
        <v>#REF!</v>
      </c>
      <c r="AN638" s="48" t="e">
        <f ca="1">IF(INDIRECT("'["&amp;$C$1&amp;".xls]"&amp;$B638&amp;"'!$T28")="","",IF(INDIRECT("'["&amp;$C$1&amp;".xls]"&amp;$B638&amp;"'!$O$28")="済み",INDIRECT("'["&amp;$C$1&amp;".xls]"&amp;$B638&amp;"'!$T$28"),""))</f>
        <v>#REF!</v>
      </c>
      <c r="AO638" s="48" t="e">
        <f ca="1">IF(INDIRECT("'["&amp;$C$1&amp;".xls]"&amp;$B638&amp;"'!$T29")="","",IF(INDIRECT("'["&amp;$C$1&amp;".xls]"&amp;$B638&amp;"'!$O$29")="済み",INDIRECT("'["&amp;$C$1&amp;".xls]"&amp;$B638&amp;"'!$T$29"),""))</f>
        <v>#REF!</v>
      </c>
      <c r="AP638" s="48" t="e">
        <f ca="1">IF(INDIRECT("'["&amp;$C$1&amp;".xls]"&amp;$B638&amp;"'!$T30")="","",IF(INDIRECT("'["&amp;$C$1&amp;".xls]"&amp;$B638&amp;"'!$O$30")="済み",INDIRECT("'["&amp;$C$1&amp;".xls]"&amp;$B638&amp;"'!$T$30"),""))</f>
        <v>#REF!</v>
      </c>
      <c r="AQ638" s="48" t="e">
        <f ca="1">IF(INDIRECT("'["&amp;$C$1&amp;".xls]"&amp;$B638&amp;"'!$T31")="","",IF(INDIRECT("'["&amp;$C$1&amp;".xls]"&amp;$B638&amp;"'!$O$31")="済み",INDIRECT("'["&amp;$C$1&amp;".xls]"&amp;$B638&amp;"'!$T$31"),""))</f>
        <v>#REF!</v>
      </c>
      <c r="AR638" s="48" t="e">
        <f ca="1">IF(INDIRECT("'["&amp;$C$1&amp;".xls]"&amp;$B638&amp;"'!$T32")="","",IF(INDIRECT("'["&amp;$C$1&amp;".xls]"&amp;$B638&amp;"'!$O$32")="済み",INDIRECT("'["&amp;$C$1&amp;".xls]"&amp;$B638&amp;"'!$T$32"),""))</f>
        <v>#REF!</v>
      </c>
      <c r="AS638" s="48" t="e">
        <f ca="1">IF(INDIRECT("'["&amp;$C$1&amp;".xls]"&amp;$B638&amp;"'!$T33")="","",IF(INDIRECT("'["&amp;$C$1&amp;".xls]"&amp;$B638&amp;"'!$O$33")="済み",INDIRECT("'["&amp;$C$1&amp;".xls]"&amp;$B638&amp;"'!$T$33"),""))</f>
        <v>#REF!</v>
      </c>
      <c r="AT638" s="48" t="e">
        <f ca="1">IF(INDIRECT("'["&amp;$C$1&amp;".xls]"&amp;$B638&amp;"'!$T34")="","",IF(INDIRECT("'["&amp;$C$1&amp;".xls]"&amp;$B638&amp;"'!$O$34")="済み",INDIRECT("'["&amp;$C$1&amp;".xls]"&amp;$B638&amp;"'!$T$34"),""))</f>
        <v>#REF!</v>
      </c>
      <c r="AU638" s="93" t="e">
        <f ca="1">INDIRECT("'["&amp;$C$1&amp;".xls]"&amp;$B638&amp;"'!$B$6")</f>
        <v>#REF!</v>
      </c>
      <c r="AV638" s="93" t="e">
        <f ca="1">INDIRECT("'["&amp;$C$1&amp;".xls]"&amp;$B638&amp;"'!$Y$22")</f>
        <v>#REF!</v>
      </c>
      <c r="AW638" s="93" t="e">
        <f ca="1">INDIRECT("'["&amp;$C$1&amp;".xls]"&amp;$B638&amp;"'!$Y$24")</f>
        <v>#REF!</v>
      </c>
      <c r="AX638" s="93" t="e">
        <f ca="1">INDIRECT("'["&amp;$C$1&amp;".xls]"&amp;$B638&amp;"'!$Y$26")</f>
        <v>#REF!</v>
      </c>
      <c r="AY638" s="93" t="e">
        <f ca="1">INDIRECT("'["&amp;$C$1&amp;".xls]"&amp;$B638&amp;"'!$Y$28")</f>
        <v>#REF!</v>
      </c>
    </row>
    <row r="639" spans="1:51" ht="16.5" customHeight="1" x14ac:dyDescent="0.15">
      <c r="A639" s="182" t="s">
        <v>6605</v>
      </c>
      <c r="B639" s="183" t="s">
        <v>6606</v>
      </c>
      <c r="C639" s="48" t="s">
        <v>330</v>
      </c>
      <c r="D639" s="62" t="s">
        <v>6607</v>
      </c>
      <c r="E639" s="48" t="s">
        <v>273</v>
      </c>
      <c r="F639" s="61">
        <v>42625</v>
      </c>
      <c r="G639" s="61">
        <v>0</v>
      </c>
      <c r="H639" s="125">
        <v>42655</v>
      </c>
      <c r="I639" s="61" t="s">
        <v>279</v>
      </c>
      <c r="J639" s="87"/>
      <c r="K639" s="62" t="s">
        <v>16</v>
      </c>
      <c r="L639" s="62">
        <v>3</v>
      </c>
      <c r="M639" s="62" t="s">
        <v>409</v>
      </c>
      <c r="N639" s="62" t="s">
        <v>6608</v>
      </c>
      <c r="O639" s="48" t="s">
        <v>1436</v>
      </c>
      <c r="P639" s="48" t="s">
        <v>6609</v>
      </c>
      <c r="Q639" s="48" t="s">
        <v>6610</v>
      </c>
      <c r="R639" s="48" t="s">
        <v>6611</v>
      </c>
      <c r="S639" s="48" t="s">
        <v>6612</v>
      </c>
      <c r="T639" s="48" t="s">
        <v>6613</v>
      </c>
      <c r="U639" s="48" t="s">
        <v>6614</v>
      </c>
      <c r="V639" s="122" t="s">
        <v>263</v>
      </c>
      <c r="W639" s="122" t="s">
        <v>263</v>
      </c>
      <c r="X639" s="48" t="s">
        <v>6615</v>
      </c>
      <c r="Y639" s="48" t="s">
        <v>6616</v>
      </c>
      <c r="Z639" s="61"/>
      <c r="AA639" s="48" t="s">
        <v>273</v>
      </c>
      <c r="AB639" s="48" t="s">
        <v>273</v>
      </c>
      <c r="AC639" s="48" t="s">
        <v>273</v>
      </c>
      <c r="AD639" s="48" t="s">
        <v>273</v>
      </c>
      <c r="AE639" s="48" t="s">
        <v>273</v>
      </c>
      <c r="AF639" s="48" t="s">
        <v>273</v>
      </c>
      <c r="AG639" s="48" t="s">
        <v>273</v>
      </c>
      <c r="AH639" s="48" t="s">
        <v>273</v>
      </c>
      <c r="AI639" s="48" t="s">
        <v>273</v>
      </c>
      <c r="AJ639" s="48" t="s">
        <v>273</v>
      </c>
      <c r="AK639" s="48" t="s">
        <v>273</v>
      </c>
      <c r="AL639" s="48" t="s">
        <v>273</v>
      </c>
      <c r="AM639" s="48" t="s">
        <v>273</v>
      </c>
      <c r="AN639" s="48" t="s">
        <v>273</v>
      </c>
      <c r="AO639" s="48" t="s">
        <v>273</v>
      </c>
      <c r="AP639" s="48" t="s">
        <v>273</v>
      </c>
      <c r="AQ639" s="48" t="s">
        <v>273</v>
      </c>
      <c r="AR639" s="48" t="s">
        <v>273</v>
      </c>
      <c r="AS639" s="48" t="s">
        <v>273</v>
      </c>
      <c r="AT639" s="48" t="s">
        <v>273</v>
      </c>
      <c r="AU639" s="93">
        <v>39022</v>
      </c>
      <c r="AV639" s="93" t="s">
        <v>6617</v>
      </c>
      <c r="AW639" s="93" t="s">
        <v>6618</v>
      </c>
      <c r="AX639" s="93" t="s">
        <v>6619</v>
      </c>
      <c r="AY639" s="93" t="s">
        <v>5312</v>
      </c>
    </row>
    <row r="640" spans="1:51" ht="16.5" customHeight="1" x14ac:dyDescent="0.15">
      <c r="A640" s="121" t="s">
        <v>6620</v>
      </c>
      <c r="B640" s="47" t="s">
        <v>6621</v>
      </c>
      <c r="C640" s="48" t="e">
        <f ca="1">INDIRECT("'["&amp;$C$1&amp;".xls]"&amp;$B640&amp;"'!$i$7")</f>
        <v>#REF!</v>
      </c>
      <c r="D640" s="62" t="e">
        <f ca="1">INDIRECT("'["&amp;$C$1&amp;".xls]"&amp;$B640&amp;"'!$b$7")</f>
        <v>#REF!</v>
      </c>
      <c r="E640" s="48" t="e">
        <f ca="1">IF(INDIRECT("'["&amp;$C$1&amp;".xls]"&amp;$B640&amp;"'!$i$2")="","",INDIRECT("'["&amp;$C$1&amp;".xls]"&amp;$B640&amp;"'!$i$2"))</f>
        <v>#REF!</v>
      </c>
      <c r="F640" s="61" t="e">
        <f ca="1">INDIRECT("'["&amp;$C$1&amp;".xls]"&amp;$B640&amp;"'!$b$2")</f>
        <v>#REF!</v>
      </c>
      <c r="G640" s="61" t="e">
        <f ca="1">INDIRECT("'["&amp;$C$1&amp;".xls]"&amp;$B640&amp;"'!$a$20")</f>
        <v>#REF!</v>
      </c>
      <c r="H640" s="88" t="e">
        <f ca="1">INDIRECT("'["&amp;$C$1&amp;".xls]"&amp;$B640&amp;"'!$Q$22")</f>
        <v>#REF!</v>
      </c>
      <c r="I640" s="61" t="e">
        <f ca="1">INDIRECT("'["&amp;$C$1&amp;".xls]"&amp;$B640&amp;"'!$f$6")</f>
        <v>#REF!</v>
      </c>
      <c r="J640" s="87"/>
      <c r="K640" s="62" t="e">
        <f ca="1">INDIRECT("'["&amp;$C$1&amp;".xls]"&amp;$B640&amp;"'!$f$25")</f>
        <v>#REF!</v>
      </c>
      <c r="L640" s="62"/>
      <c r="M640" s="62" t="e">
        <f ca="1">INDIRECT("'["&amp;$C$1&amp;".xls]"&amp;$B640&amp;"'!$f$4")</f>
        <v>#REF!</v>
      </c>
      <c r="N640" s="62" t="e">
        <f ca="1">INDIRECT("'["&amp;$C$1&amp;".xls]"&amp;$B640&amp;"'!$i$4")</f>
        <v>#REF!</v>
      </c>
      <c r="O640" s="48" t="e">
        <f ca="1">INDIRECT("'["&amp;$C$1&amp;".xls]"&amp;$B640&amp;"'!$l$4")</f>
        <v>#REF!</v>
      </c>
      <c r="P640" s="48" t="e">
        <f ca="1">INDIRECT("'["&amp;$C$1&amp;".xls]"&amp;$B640&amp;"'!$b$5")</f>
        <v>#REF!</v>
      </c>
      <c r="Q640" s="48" t="e">
        <f ca="1">INDIRECT("'["&amp;$C$1&amp;".xls]"&amp;$B640&amp;"'!$f$5")</f>
        <v>#REF!</v>
      </c>
      <c r="R640" s="48"/>
      <c r="S640" s="48" t="e">
        <f ca="1">INDIRECT("'["&amp;$C$1&amp;".xls]"&amp;$B640&amp;"'!$i$5")</f>
        <v>#REF!</v>
      </c>
      <c r="T640" s="48" t="e">
        <f ca="1">INDIRECT("'["&amp;$C$1&amp;".xls]"&amp;$B640&amp;"'!$l$5")</f>
        <v>#REF!</v>
      </c>
      <c r="U640" s="48" t="e">
        <f ca="1">INDIRECT("'["&amp;$C$1&amp;".xls]"&amp;$B640&amp;"'!$b$4")</f>
        <v>#REF!</v>
      </c>
      <c r="V640" s="48"/>
      <c r="W640" s="48"/>
      <c r="X640" s="48"/>
      <c r="Y640" s="48"/>
      <c r="Z640" s="61"/>
      <c r="AA640" s="48" t="e">
        <f ca="1">IF(INDIRECT("'["&amp;$C$1&amp;".xls]"&amp;$B640&amp;"'!$P$25")="","",IF(INDIRECT("'["&amp;$C$1&amp;".xls]"&amp;$B640&amp;"'!$O$25")="済み",INDIRECT("'["&amp;$C$1&amp;".xls]"&amp;$B640&amp;"'!$P$25"),""))</f>
        <v>#REF!</v>
      </c>
      <c r="AB640" s="48" t="e">
        <f ca="1">IF(INDIRECT("'["&amp;$C$1&amp;".xls]"&amp;$B640&amp;"'!$P$26")="","",IF(INDIRECT("'["&amp;$C$1&amp;".xls]"&amp;$B640&amp;"'!$O$26")="済み",INDIRECT("'["&amp;$C$1&amp;".xls]"&amp;$B640&amp;"'!$P$26"),""))</f>
        <v>#REF!</v>
      </c>
      <c r="AC640" s="48" t="e">
        <f ca="1">IF(INDIRECT("'["&amp;$C$1&amp;".xls]"&amp;$B640&amp;"'!$P$27")="","",IF(INDIRECT("'["&amp;$C$1&amp;".xls]"&amp;$B640&amp;"'!$O$27")="済み",INDIRECT("'["&amp;$C$1&amp;".xls]"&amp;$B640&amp;"'!$P$27"),""))</f>
        <v>#REF!</v>
      </c>
      <c r="AD640" s="48" t="e">
        <f ca="1">IF(INDIRECT("'["&amp;$C$1&amp;".xls]"&amp;$B640&amp;"'!$P$28")="","",IF(INDIRECT("'["&amp;$C$1&amp;".xls]"&amp;$B640&amp;"'!$O$28")="済み",INDIRECT("'["&amp;$C$1&amp;".xls]"&amp;$B640&amp;"'!$P$28"),""))</f>
        <v>#REF!</v>
      </c>
      <c r="AE640" s="48" t="e">
        <f ca="1">IF(INDIRECT("'["&amp;$C$1&amp;".xls]"&amp;$B640&amp;"'!$P$29")="","",IF(INDIRECT("'["&amp;$C$1&amp;".xls]"&amp;$B640&amp;"'!$O$29")="済み",INDIRECT("'["&amp;$C$1&amp;".xls]"&amp;$B640&amp;"'!$P$29"),""))</f>
        <v>#REF!</v>
      </c>
      <c r="AF640" s="48" t="e">
        <f ca="1">IF(INDIRECT("'["&amp;$C$1&amp;".xls]"&amp;$B640&amp;"'!$P$30")="","",IF(INDIRECT("'["&amp;$C$1&amp;".xls]"&amp;$B640&amp;"'!$O$30")="済み",INDIRECT("'["&amp;$C$1&amp;".xls]"&amp;$B640&amp;"'!$P$30"),""))</f>
        <v>#REF!</v>
      </c>
      <c r="AG640" s="48" t="e">
        <f ca="1">IF(INDIRECT("'["&amp;$C$1&amp;".xls]"&amp;$B640&amp;"'!$P$31")="","",IF(INDIRECT("'["&amp;$C$1&amp;".xls]"&amp;$B640&amp;"'!$O$31")="済み",INDIRECT("'["&amp;$C$1&amp;".xls]"&amp;$B640&amp;"'!$P$31"),""))</f>
        <v>#REF!</v>
      </c>
      <c r="AH640" s="48" t="e">
        <f ca="1">IF(INDIRECT("'["&amp;$C$1&amp;".xls]"&amp;$B640&amp;"'!$P$32")="","",IF(INDIRECT("'["&amp;$C$1&amp;".xls]"&amp;$B640&amp;"'!$O$32")="済み",INDIRECT("'["&amp;$C$1&amp;".xls]"&amp;$B640&amp;"'!$P$32"),""))</f>
        <v>#REF!</v>
      </c>
      <c r="AI640" s="48" t="e">
        <f ca="1">IF(INDIRECT("'["&amp;$C$1&amp;".xls]"&amp;$B640&amp;"'!$P$33")="","",IF(INDIRECT("'["&amp;$C$1&amp;".xls]"&amp;$B640&amp;"'!$O$33")="済み",INDIRECT("'["&amp;$C$1&amp;".xls]"&amp;$B640&amp;"'!$P$33"),""))</f>
        <v>#REF!</v>
      </c>
      <c r="AJ640" s="48" t="e">
        <f ca="1">IF(INDIRECT("'["&amp;$C$1&amp;".xls]"&amp;$B640&amp;"'!$P$34")="","",IF(INDIRECT("'["&amp;$C$1&amp;".xls]"&amp;$B640&amp;"'!$O$34")="済み",INDIRECT("'["&amp;$C$1&amp;".xls]"&amp;$B640&amp;"'!$P$34"),""))</f>
        <v>#REF!</v>
      </c>
      <c r="AK640" s="48" t="e">
        <f ca="1">IF(INDIRECT("'["&amp;$C$1&amp;".xls]"&amp;$B640&amp;"'!$T25")="","",IF(INDIRECT("'["&amp;$C$1&amp;".xls]"&amp;$B640&amp;"'!$O$25")="済み",INDIRECT("'["&amp;$C$1&amp;".xls]"&amp;$B640&amp;"'!$T$25"),""))</f>
        <v>#REF!</v>
      </c>
      <c r="AL640" s="48" t="e">
        <f ca="1">IF(INDIRECT("'["&amp;$C$1&amp;".xls]"&amp;$B640&amp;"'!$T26")="","",IF(INDIRECT("'["&amp;$C$1&amp;".xls]"&amp;$B640&amp;"'!$O$26")="済み",INDIRECT("'["&amp;$C$1&amp;".xls]"&amp;$B640&amp;"'!$T$26"),""))</f>
        <v>#REF!</v>
      </c>
      <c r="AM640" s="48" t="e">
        <f ca="1">IF(INDIRECT("'["&amp;$C$1&amp;".xls]"&amp;$B640&amp;"'!$T27")="","",IF(INDIRECT("'["&amp;$C$1&amp;".xls]"&amp;$B640&amp;"'!$O$27")="済み",INDIRECT("'["&amp;$C$1&amp;".xls]"&amp;$B640&amp;"'!$T$27"),""))</f>
        <v>#REF!</v>
      </c>
      <c r="AN640" s="48" t="e">
        <f ca="1">IF(INDIRECT("'["&amp;$C$1&amp;".xls]"&amp;$B640&amp;"'!$T28")="","",IF(INDIRECT("'["&amp;$C$1&amp;".xls]"&amp;$B640&amp;"'!$O$28")="済み",INDIRECT("'["&amp;$C$1&amp;".xls]"&amp;$B640&amp;"'!$T$28"),""))</f>
        <v>#REF!</v>
      </c>
      <c r="AO640" s="48" t="e">
        <f ca="1">IF(INDIRECT("'["&amp;$C$1&amp;".xls]"&amp;$B640&amp;"'!$T29")="","",IF(INDIRECT("'["&amp;$C$1&amp;".xls]"&amp;$B640&amp;"'!$O$29")="済み",INDIRECT("'["&amp;$C$1&amp;".xls]"&amp;$B640&amp;"'!$T$29"),""))</f>
        <v>#REF!</v>
      </c>
      <c r="AP640" s="48" t="e">
        <f ca="1">IF(INDIRECT("'["&amp;$C$1&amp;".xls]"&amp;$B640&amp;"'!$T30")="","",IF(INDIRECT("'["&amp;$C$1&amp;".xls]"&amp;$B640&amp;"'!$O$30")="済み",INDIRECT("'["&amp;$C$1&amp;".xls]"&amp;$B640&amp;"'!$T$30"),""))</f>
        <v>#REF!</v>
      </c>
      <c r="AQ640" s="48" t="e">
        <f ca="1">IF(INDIRECT("'["&amp;$C$1&amp;".xls]"&amp;$B640&amp;"'!$T31")="","",IF(INDIRECT("'["&amp;$C$1&amp;".xls]"&amp;$B640&amp;"'!$O$31")="済み",INDIRECT("'["&amp;$C$1&amp;".xls]"&amp;$B640&amp;"'!$T$31"),""))</f>
        <v>#REF!</v>
      </c>
      <c r="AR640" s="48" t="e">
        <f ca="1">IF(INDIRECT("'["&amp;$C$1&amp;".xls]"&amp;$B640&amp;"'!$T32")="","",IF(INDIRECT("'["&amp;$C$1&amp;".xls]"&amp;$B640&amp;"'!$O$32")="済み",INDIRECT("'["&amp;$C$1&amp;".xls]"&amp;$B640&amp;"'!$T$32"),""))</f>
        <v>#REF!</v>
      </c>
      <c r="AS640" s="48" t="e">
        <f ca="1">IF(INDIRECT("'["&amp;$C$1&amp;".xls]"&amp;$B640&amp;"'!$T33")="","",IF(INDIRECT("'["&amp;$C$1&amp;".xls]"&amp;$B640&amp;"'!$O$33")="済み",INDIRECT("'["&amp;$C$1&amp;".xls]"&amp;$B640&amp;"'!$T$33"),""))</f>
        <v>#REF!</v>
      </c>
      <c r="AT640" s="48" t="e">
        <f ca="1">IF(INDIRECT("'["&amp;$C$1&amp;".xls]"&amp;$B640&amp;"'!$T34")="","",IF(INDIRECT("'["&amp;$C$1&amp;".xls]"&amp;$B640&amp;"'!$O$34")="済み",INDIRECT("'["&amp;$C$1&amp;".xls]"&amp;$B640&amp;"'!$T$34"),""))</f>
        <v>#REF!</v>
      </c>
      <c r="AU640" s="93" t="e">
        <f ca="1">INDIRECT("'["&amp;$C$1&amp;".xls]"&amp;$B640&amp;"'!$B$6")</f>
        <v>#REF!</v>
      </c>
      <c r="AV640" s="93" t="e">
        <f ca="1">INDIRECT("'["&amp;$C$1&amp;".xls]"&amp;$B640&amp;"'!$Y$22")</f>
        <v>#REF!</v>
      </c>
      <c r="AW640" s="93" t="e">
        <f ca="1">INDIRECT("'["&amp;$C$1&amp;".xls]"&amp;$B640&amp;"'!$Y$24")</f>
        <v>#REF!</v>
      </c>
      <c r="AX640" s="93" t="e">
        <f ca="1">INDIRECT("'["&amp;$C$1&amp;".xls]"&amp;$B640&amp;"'!$Y$26")</f>
        <v>#REF!</v>
      </c>
      <c r="AY640" s="93" t="e">
        <f ca="1">INDIRECT("'["&amp;$C$1&amp;".xls]"&amp;$B640&amp;"'!$Y$28")</f>
        <v>#REF!</v>
      </c>
    </row>
    <row r="641" spans="1:52" ht="16.5" customHeight="1" x14ac:dyDescent="0.15">
      <c r="A641" s="182" t="s">
        <v>6622</v>
      </c>
      <c r="B641" s="183" t="s">
        <v>6623</v>
      </c>
      <c r="C641" s="48" t="s">
        <v>330</v>
      </c>
      <c r="D641" s="62" t="s">
        <v>6624</v>
      </c>
      <c r="E641" s="48" t="s">
        <v>6625</v>
      </c>
      <c r="F641" s="61">
        <v>42626</v>
      </c>
      <c r="G641" s="61">
        <v>0</v>
      </c>
      <c r="H641" s="125">
        <v>42654</v>
      </c>
      <c r="I641" s="61" t="s">
        <v>279</v>
      </c>
      <c r="J641" s="87"/>
      <c r="K641" s="62" t="s">
        <v>16</v>
      </c>
      <c r="L641" s="124" t="s">
        <v>263</v>
      </c>
      <c r="M641" s="62" t="s">
        <v>755</v>
      </c>
      <c r="N641" s="62" t="s">
        <v>6626</v>
      </c>
      <c r="O641" s="48" t="s">
        <v>1044</v>
      </c>
      <c r="P641" s="48" t="s">
        <v>4081</v>
      </c>
      <c r="Q641" s="48" t="s">
        <v>6627</v>
      </c>
      <c r="R641" s="48" t="s">
        <v>4082</v>
      </c>
      <c r="S641" s="48" t="s">
        <v>4083</v>
      </c>
      <c r="T641" s="48" t="s">
        <v>6628</v>
      </c>
      <c r="U641" s="48" t="s">
        <v>6629</v>
      </c>
      <c r="V641" s="122" t="s">
        <v>263</v>
      </c>
      <c r="W641" s="122" t="s">
        <v>263</v>
      </c>
      <c r="X641" s="48" t="s">
        <v>6630</v>
      </c>
      <c r="Y641" s="48" t="s">
        <v>6631</v>
      </c>
      <c r="Z641" s="61"/>
      <c r="AA641" s="48" t="s">
        <v>6632</v>
      </c>
      <c r="AB641" s="48" t="s">
        <v>273</v>
      </c>
      <c r="AC641" s="48" t="s">
        <v>273</v>
      </c>
      <c r="AD641" s="48" t="s">
        <v>273</v>
      </c>
      <c r="AE641" s="48" t="s">
        <v>273</v>
      </c>
      <c r="AF641" s="48" t="s">
        <v>273</v>
      </c>
      <c r="AG641" s="48" t="s">
        <v>273</v>
      </c>
      <c r="AH641" s="48" t="s">
        <v>273</v>
      </c>
      <c r="AI641" s="48" t="s">
        <v>273</v>
      </c>
      <c r="AJ641" s="48" t="s">
        <v>273</v>
      </c>
      <c r="AK641" s="48" t="s">
        <v>3175</v>
      </c>
      <c r="AL641" s="48" t="s">
        <v>273</v>
      </c>
      <c r="AM641" s="48" t="s">
        <v>273</v>
      </c>
      <c r="AN641" s="48" t="s">
        <v>273</v>
      </c>
      <c r="AO641" s="48" t="s">
        <v>273</v>
      </c>
      <c r="AP641" s="48" t="s">
        <v>273</v>
      </c>
      <c r="AQ641" s="48" t="s">
        <v>273</v>
      </c>
      <c r="AR641" s="48" t="s">
        <v>273</v>
      </c>
      <c r="AS641" s="48" t="s">
        <v>273</v>
      </c>
      <c r="AT641" s="48" t="s">
        <v>273</v>
      </c>
      <c r="AU641" s="93">
        <v>38261</v>
      </c>
      <c r="AV641" s="93" t="s">
        <v>6633</v>
      </c>
      <c r="AW641" s="93" t="s">
        <v>6634</v>
      </c>
      <c r="AX641" s="93" t="s">
        <v>6635</v>
      </c>
      <c r="AY641" s="93" t="s">
        <v>5312</v>
      </c>
    </row>
    <row r="642" spans="1:52" ht="16.5" customHeight="1" x14ac:dyDescent="0.15">
      <c r="A642" s="182" t="s">
        <v>6636</v>
      </c>
      <c r="B642" s="183" t="s">
        <v>6637</v>
      </c>
      <c r="C642" s="48" t="s">
        <v>298</v>
      </c>
      <c r="D642" s="62" t="s">
        <v>6638</v>
      </c>
      <c r="E642" s="48" t="s">
        <v>6625</v>
      </c>
      <c r="F642" s="61">
        <v>42627</v>
      </c>
      <c r="G642" s="61">
        <v>0</v>
      </c>
      <c r="H642" s="125">
        <v>42650</v>
      </c>
      <c r="I642" s="61" t="s">
        <v>279</v>
      </c>
      <c r="J642" s="87"/>
      <c r="K642" s="62" t="s">
        <v>16</v>
      </c>
      <c r="L642" s="62">
        <v>3</v>
      </c>
      <c r="M642" s="62" t="s">
        <v>409</v>
      </c>
      <c r="N642" s="62" t="s">
        <v>6639</v>
      </c>
      <c r="O642" s="48" t="s">
        <v>932</v>
      </c>
      <c r="P642" s="48" t="s">
        <v>6640</v>
      </c>
      <c r="Q642" s="48" t="s">
        <v>6641</v>
      </c>
      <c r="R642" s="48" t="s">
        <v>6642</v>
      </c>
      <c r="S642" s="48" t="s">
        <v>6643</v>
      </c>
      <c r="T642" s="48" t="s">
        <v>263</v>
      </c>
      <c r="U642" s="48" t="s">
        <v>6640</v>
      </c>
      <c r="V642" s="122" t="s">
        <v>263</v>
      </c>
      <c r="W642" s="122" t="s">
        <v>263</v>
      </c>
      <c r="X642" s="122" t="s">
        <v>263</v>
      </c>
      <c r="Y642" s="122" t="s">
        <v>263</v>
      </c>
      <c r="Z642" s="61"/>
      <c r="AA642" s="48" t="s">
        <v>887</v>
      </c>
      <c r="AB642" s="48" t="s">
        <v>273</v>
      </c>
      <c r="AC642" s="48" t="s">
        <v>273</v>
      </c>
      <c r="AD642" s="48" t="s">
        <v>273</v>
      </c>
      <c r="AE642" s="48" t="s">
        <v>273</v>
      </c>
      <c r="AF642" s="48" t="s">
        <v>273</v>
      </c>
      <c r="AG642" s="48" t="s">
        <v>273</v>
      </c>
      <c r="AH642" s="48" t="s">
        <v>273</v>
      </c>
      <c r="AI642" s="48" t="s">
        <v>273</v>
      </c>
      <c r="AJ642" s="48" t="s">
        <v>273</v>
      </c>
      <c r="AK642" s="48" t="s">
        <v>888</v>
      </c>
      <c r="AL642" s="48" t="s">
        <v>273</v>
      </c>
      <c r="AM642" s="48" t="s">
        <v>273</v>
      </c>
      <c r="AN642" s="48" t="s">
        <v>273</v>
      </c>
      <c r="AO642" s="48" t="s">
        <v>273</v>
      </c>
      <c r="AP642" s="48" t="s">
        <v>273</v>
      </c>
      <c r="AQ642" s="48" t="s">
        <v>273</v>
      </c>
      <c r="AR642" s="48" t="s">
        <v>273</v>
      </c>
      <c r="AS642" s="48" t="s">
        <v>273</v>
      </c>
      <c r="AT642" s="48" t="s">
        <v>273</v>
      </c>
      <c r="AU642" s="93">
        <v>39569</v>
      </c>
      <c r="AV642" s="93" t="s">
        <v>5505</v>
      </c>
      <c r="AW642" s="93" t="s">
        <v>6644</v>
      </c>
      <c r="AX642" s="93" t="s">
        <v>6645</v>
      </c>
      <c r="AY642" s="93" t="s">
        <v>5312</v>
      </c>
    </row>
    <row r="643" spans="1:52" ht="16.5" customHeight="1" x14ac:dyDescent="0.15">
      <c r="A643" s="182" t="s">
        <v>6646</v>
      </c>
      <c r="B643" s="183" t="s">
        <v>6647</v>
      </c>
      <c r="C643" s="48" t="s">
        <v>6648</v>
      </c>
      <c r="D643" s="62" t="s">
        <v>6649</v>
      </c>
      <c r="E643" s="48" t="s">
        <v>264</v>
      </c>
      <c r="F643" s="61">
        <v>42627</v>
      </c>
      <c r="G643" s="61">
        <v>0</v>
      </c>
      <c r="H643" s="125">
        <v>42654</v>
      </c>
      <c r="I643" s="61" t="s">
        <v>279</v>
      </c>
      <c r="J643" s="87"/>
      <c r="K643" s="62" t="s">
        <v>16</v>
      </c>
      <c r="L643" s="62">
        <v>3</v>
      </c>
      <c r="M643" s="62" t="s">
        <v>209</v>
      </c>
      <c r="N643" s="62" t="s">
        <v>6650</v>
      </c>
      <c r="O643" s="48" t="s">
        <v>1994</v>
      </c>
      <c r="P643" s="48" t="s">
        <v>267</v>
      </c>
      <c r="Q643" s="48" t="s">
        <v>2953</v>
      </c>
      <c r="R643" s="48" t="s">
        <v>1483</v>
      </c>
      <c r="S643" s="48" t="s">
        <v>269</v>
      </c>
      <c r="T643" s="48" t="s">
        <v>270</v>
      </c>
      <c r="U643" s="48" t="s">
        <v>6651</v>
      </c>
      <c r="V643" s="122" t="s">
        <v>263</v>
      </c>
      <c r="W643" s="122" t="s">
        <v>263</v>
      </c>
      <c r="X643" s="48" t="s">
        <v>6652</v>
      </c>
      <c r="Y643" s="48" t="s">
        <v>6653</v>
      </c>
      <c r="Z643" s="61"/>
      <c r="AA643" s="48" t="s">
        <v>327</v>
      </c>
      <c r="AB643" s="48" t="s">
        <v>273</v>
      </c>
      <c r="AC643" s="48" t="s">
        <v>273</v>
      </c>
      <c r="AD643" s="48" t="s">
        <v>273</v>
      </c>
      <c r="AE643" s="48" t="s">
        <v>273</v>
      </c>
      <c r="AF643" s="48" t="s">
        <v>273</v>
      </c>
      <c r="AG643" s="48" t="s">
        <v>273</v>
      </c>
      <c r="AH643" s="48" t="s">
        <v>273</v>
      </c>
      <c r="AI643" s="48" t="s">
        <v>273</v>
      </c>
      <c r="AJ643" s="48" t="s">
        <v>273</v>
      </c>
      <c r="AK643" s="48" t="s">
        <v>274</v>
      </c>
      <c r="AL643" s="48" t="s">
        <v>273</v>
      </c>
      <c r="AM643" s="48" t="s">
        <v>273</v>
      </c>
      <c r="AN643" s="48" t="s">
        <v>273</v>
      </c>
      <c r="AO643" s="48" t="s">
        <v>273</v>
      </c>
      <c r="AP643" s="48" t="s">
        <v>273</v>
      </c>
      <c r="AQ643" s="48" t="s">
        <v>273</v>
      </c>
      <c r="AR643" s="48" t="s">
        <v>273</v>
      </c>
      <c r="AS643" s="48" t="s">
        <v>273</v>
      </c>
      <c r="AT643" s="48" t="s">
        <v>273</v>
      </c>
      <c r="AU643" s="93">
        <v>41548</v>
      </c>
      <c r="AV643" s="93" t="s">
        <v>6654</v>
      </c>
      <c r="AW643" s="93" t="s">
        <v>6655</v>
      </c>
      <c r="AX643" s="93" t="s">
        <v>6167</v>
      </c>
      <c r="AY643" s="93" t="s">
        <v>5312</v>
      </c>
    </row>
    <row r="644" spans="1:52" ht="16.5" customHeight="1" x14ac:dyDescent="0.15">
      <c r="A644" s="211" t="s">
        <v>6656</v>
      </c>
      <c r="B644" s="47" t="s">
        <v>6657</v>
      </c>
      <c r="C644" s="48" t="e">
        <f ca="1">INDIRECT("'["&amp;$C$1&amp;".xls]"&amp;$B644&amp;"'!$i$7")</f>
        <v>#REF!</v>
      </c>
      <c r="D644" s="62" t="e">
        <f ca="1">INDIRECT("'["&amp;$C$1&amp;".xls]"&amp;$B644&amp;"'!$b$7")</f>
        <v>#REF!</v>
      </c>
      <c r="E644" s="48" t="e">
        <f ca="1">IF(INDIRECT("'["&amp;$C$1&amp;".xls]"&amp;$B644&amp;"'!$i$2")="","",INDIRECT("'["&amp;$C$1&amp;".xls]"&amp;$B644&amp;"'!$i$2"))</f>
        <v>#REF!</v>
      </c>
      <c r="F644" s="61" t="e">
        <f ca="1">INDIRECT("'["&amp;$C$1&amp;".xls]"&amp;$B644&amp;"'!$b$2")</f>
        <v>#REF!</v>
      </c>
      <c r="G644" s="61" t="e">
        <f ca="1">INDIRECT("'["&amp;$C$1&amp;".xls]"&amp;$B644&amp;"'!$a$20")</f>
        <v>#REF!</v>
      </c>
      <c r="H644" s="88" t="e">
        <f ca="1">INDIRECT("'["&amp;$C$1&amp;".xls]"&amp;$B644&amp;"'!$Q$22")</f>
        <v>#REF!</v>
      </c>
      <c r="I644" s="61" t="e">
        <f ca="1">INDIRECT("'["&amp;$C$1&amp;".xls]"&amp;$B644&amp;"'!$f$6")</f>
        <v>#REF!</v>
      </c>
      <c r="J644" s="87"/>
      <c r="K644" s="62" t="s">
        <v>2506</v>
      </c>
      <c r="L644" s="62">
        <v>3</v>
      </c>
      <c r="M644" s="62" t="e">
        <f ca="1">INDIRECT("'["&amp;$C$1&amp;".xls]"&amp;$B644&amp;"'!$f$4")</f>
        <v>#REF!</v>
      </c>
      <c r="N644" s="62" t="e">
        <f ca="1">INDIRECT("'["&amp;$C$1&amp;".xls]"&amp;$B644&amp;"'!$i$4")</f>
        <v>#REF!</v>
      </c>
      <c r="O644" s="48" t="e">
        <f ca="1">INDIRECT("'["&amp;$C$1&amp;".xls]"&amp;$B644&amp;"'!$l$4")</f>
        <v>#REF!</v>
      </c>
      <c r="P644" s="48" t="e">
        <f ca="1">INDIRECT("'["&amp;$C$1&amp;".xls]"&amp;$B644&amp;"'!$b$5")</f>
        <v>#REF!</v>
      </c>
      <c r="Q644" s="48" t="e">
        <f ca="1">INDIRECT("'["&amp;$C$1&amp;".xls]"&amp;$B644&amp;"'!$f$5")</f>
        <v>#REF!</v>
      </c>
      <c r="R644" s="48" t="s">
        <v>6658</v>
      </c>
      <c r="S644" s="48" t="e">
        <f ca="1">INDIRECT("'["&amp;$C$1&amp;".xls]"&amp;$B644&amp;"'!$i$5")</f>
        <v>#REF!</v>
      </c>
      <c r="T644" s="48" t="e">
        <f ca="1">INDIRECT("'["&amp;$C$1&amp;".xls]"&amp;$B644&amp;"'!$l$5")</f>
        <v>#REF!</v>
      </c>
      <c r="U644" s="48" t="e">
        <f ca="1">INDIRECT("'["&amp;$C$1&amp;".xls]"&amp;$B644&amp;"'!$b$4")</f>
        <v>#REF!</v>
      </c>
      <c r="V644" s="48" t="s">
        <v>6659</v>
      </c>
      <c r="W644" s="48" t="s">
        <v>6660</v>
      </c>
      <c r="X644" s="48" t="s">
        <v>6661</v>
      </c>
      <c r="Y644" s="48" t="s">
        <v>6662</v>
      </c>
      <c r="Z644" s="61"/>
      <c r="AA644" s="48" t="e">
        <f ca="1">IF(INDIRECT("'["&amp;$C$1&amp;".xls]"&amp;$B644&amp;"'!$P$25")="","",IF(INDIRECT("'["&amp;$C$1&amp;".xls]"&amp;$B644&amp;"'!$O$25")="済み",INDIRECT("'["&amp;$C$1&amp;".xls]"&amp;$B644&amp;"'!$P$25"),""))</f>
        <v>#REF!</v>
      </c>
      <c r="AB644" s="48" t="e">
        <f ca="1">IF(INDIRECT("'["&amp;$C$1&amp;".xls]"&amp;$B644&amp;"'!$P$26")="","",IF(INDIRECT("'["&amp;$C$1&amp;".xls]"&amp;$B644&amp;"'!$O$26")="済み",INDIRECT("'["&amp;$C$1&amp;".xls]"&amp;$B644&amp;"'!$P$26"),""))</f>
        <v>#REF!</v>
      </c>
      <c r="AC644" s="48" t="e">
        <f ca="1">IF(INDIRECT("'["&amp;$C$1&amp;".xls]"&amp;$B644&amp;"'!$P$27")="","",IF(INDIRECT("'["&amp;$C$1&amp;".xls]"&amp;$B644&amp;"'!$O$27")="済み",INDIRECT("'["&amp;$C$1&amp;".xls]"&amp;$B644&amp;"'!$P$27"),""))</f>
        <v>#REF!</v>
      </c>
      <c r="AD644" s="48" t="e">
        <f ca="1">IF(INDIRECT("'["&amp;$C$1&amp;".xls]"&amp;$B644&amp;"'!$P$28")="","",IF(INDIRECT("'["&amp;$C$1&amp;".xls]"&amp;$B644&amp;"'!$O$28")="済み",INDIRECT("'["&amp;$C$1&amp;".xls]"&amp;$B644&amp;"'!$P$28"),""))</f>
        <v>#REF!</v>
      </c>
      <c r="AE644" s="48" t="e">
        <f ca="1">IF(INDIRECT("'["&amp;$C$1&amp;".xls]"&amp;$B644&amp;"'!$P$29")="","",IF(INDIRECT("'["&amp;$C$1&amp;".xls]"&amp;$B644&amp;"'!$O$29")="済み",INDIRECT("'["&amp;$C$1&amp;".xls]"&amp;$B644&amp;"'!$P$29"),""))</f>
        <v>#REF!</v>
      </c>
      <c r="AF644" s="48" t="e">
        <f ca="1">IF(INDIRECT("'["&amp;$C$1&amp;".xls]"&amp;$B644&amp;"'!$P$30")="","",IF(INDIRECT("'["&amp;$C$1&amp;".xls]"&amp;$B644&amp;"'!$O$30")="済み",INDIRECT("'["&amp;$C$1&amp;".xls]"&amp;$B644&amp;"'!$P$30"),""))</f>
        <v>#REF!</v>
      </c>
      <c r="AG644" s="48" t="e">
        <f ca="1">IF(INDIRECT("'["&amp;$C$1&amp;".xls]"&amp;$B644&amp;"'!$P$31")="","",IF(INDIRECT("'["&amp;$C$1&amp;".xls]"&amp;$B644&amp;"'!$O$31")="済み",INDIRECT("'["&amp;$C$1&amp;".xls]"&amp;$B644&amp;"'!$P$31"),""))</f>
        <v>#REF!</v>
      </c>
      <c r="AH644" s="48" t="e">
        <f ca="1">IF(INDIRECT("'["&amp;$C$1&amp;".xls]"&amp;$B644&amp;"'!$P$32")="","",IF(INDIRECT("'["&amp;$C$1&amp;".xls]"&amp;$B644&amp;"'!$O$32")="済み",INDIRECT("'["&amp;$C$1&amp;".xls]"&amp;$B644&amp;"'!$P$32"),""))</f>
        <v>#REF!</v>
      </c>
      <c r="AI644" s="48" t="e">
        <f ca="1">IF(INDIRECT("'["&amp;$C$1&amp;".xls]"&amp;$B644&amp;"'!$P$33")="","",IF(INDIRECT("'["&amp;$C$1&amp;".xls]"&amp;$B644&amp;"'!$O$33")="済み",INDIRECT("'["&amp;$C$1&amp;".xls]"&amp;$B644&amp;"'!$P$33"),""))</f>
        <v>#REF!</v>
      </c>
      <c r="AJ644" s="48" t="e">
        <f ca="1">IF(INDIRECT("'["&amp;$C$1&amp;".xls]"&amp;$B644&amp;"'!$P$34")="","",IF(INDIRECT("'["&amp;$C$1&amp;".xls]"&amp;$B644&amp;"'!$O$34")="済み",INDIRECT("'["&amp;$C$1&amp;".xls]"&amp;$B644&amp;"'!$P$34"),""))</f>
        <v>#REF!</v>
      </c>
      <c r="AK644" s="48" t="e">
        <f ca="1">IF(INDIRECT("'["&amp;$C$1&amp;".xls]"&amp;$B644&amp;"'!$T25")="","",IF(INDIRECT("'["&amp;$C$1&amp;".xls]"&amp;$B644&amp;"'!$O$25")="済み",INDIRECT("'["&amp;$C$1&amp;".xls]"&amp;$B644&amp;"'!$T$25"),""))</f>
        <v>#REF!</v>
      </c>
      <c r="AL644" s="48" t="e">
        <f ca="1">IF(INDIRECT("'["&amp;$C$1&amp;".xls]"&amp;$B644&amp;"'!$T26")="","",IF(INDIRECT("'["&amp;$C$1&amp;".xls]"&amp;$B644&amp;"'!$O$26")="済み",INDIRECT("'["&amp;$C$1&amp;".xls]"&amp;$B644&amp;"'!$T$26"),""))</f>
        <v>#REF!</v>
      </c>
      <c r="AM644" s="48" t="e">
        <f ca="1">IF(INDIRECT("'["&amp;$C$1&amp;".xls]"&amp;$B644&amp;"'!$T27")="","",IF(INDIRECT("'["&amp;$C$1&amp;".xls]"&amp;$B644&amp;"'!$O$27")="済み",INDIRECT("'["&amp;$C$1&amp;".xls]"&amp;$B644&amp;"'!$T$27"),""))</f>
        <v>#REF!</v>
      </c>
      <c r="AN644" s="48" t="e">
        <f ca="1">IF(INDIRECT("'["&amp;$C$1&amp;".xls]"&amp;$B644&amp;"'!$T28")="","",IF(INDIRECT("'["&amp;$C$1&amp;".xls]"&amp;$B644&amp;"'!$O$28")="済み",INDIRECT("'["&amp;$C$1&amp;".xls]"&amp;$B644&amp;"'!$T$28"),""))</f>
        <v>#REF!</v>
      </c>
      <c r="AO644" s="48" t="e">
        <f ca="1">IF(INDIRECT("'["&amp;$C$1&amp;".xls]"&amp;$B644&amp;"'!$T29")="","",IF(INDIRECT("'["&amp;$C$1&amp;".xls]"&amp;$B644&amp;"'!$O$29")="済み",INDIRECT("'["&amp;$C$1&amp;".xls]"&amp;$B644&amp;"'!$T$29"),""))</f>
        <v>#REF!</v>
      </c>
      <c r="AP644" s="48" t="e">
        <f ca="1">IF(INDIRECT("'["&amp;$C$1&amp;".xls]"&amp;$B644&amp;"'!$T30")="","",IF(INDIRECT("'["&amp;$C$1&amp;".xls]"&amp;$B644&amp;"'!$O$30")="済み",INDIRECT("'["&amp;$C$1&amp;".xls]"&amp;$B644&amp;"'!$T$30"),""))</f>
        <v>#REF!</v>
      </c>
      <c r="AQ644" s="48" t="e">
        <f ca="1">IF(INDIRECT("'["&amp;$C$1&amp;".xls]"&amp;$B644&amp;"'!$T31")="","",IF(INDIRECT("'["&amp;$C$1&amp;".xls]"&amp;$B644&amp;"'!$O$31")="済み",INDIRECT("'["&amp;$C$1&amp;".xls]"&amp;$B644&amp;"'!$T$31"),""))</f>
        <v>#REF!</v>
      </c>
      <c r="AR644" s="48" t="e">
        <f ca="1">IF(INDIRECT("'["&amp;$C$1&amp;".xls]"&amp;$B644&amp;"'!$T32")="","",IF(INDIRECT("'["&amp;$C$1&amp;".xls]"&amp;$B644&amp;"'!$O$32")="済み",INDIRECT("'["&amp;$C$1&amp;".xls]"&amp;$B644&amp;"'!$T$32"),""))</f>
        <v>#REF!</v>
      </c>
      <c r="AS644" s="48" t="e">
        <f ca="1">IF(INDIRECT("'["&amp;$C$1&amp;".xls]"&amp;$B644&amp;"'!$T33")="","",IF(INDIRECT("'["&amp;$C$1&amp;".xls]"&amp;$B644&amp;"'!$O$33")="済み",INDIRECT("'["&amp;$C$1&amp;".xls]"&amp;$B644&amp;"'!$T$33"),""))</f>
        <v>#REF!</v>
      </c>
      <c r="AT644" s="48" t="e">
        <f ca="1">IF(INDIRECT("'["&amp;$C$1&amp;".xls]"&amp;$B644&amp;"'!$T34")="","",IF(INDIRECT("'["&amp;$C$1&amp;".xls]"&amp;$B644&amp;"'!$O$34")="済み",INDIRECT("'["&amp;$C$1&amp;".xls]"&amp;$B644&amp;"'!$T$34"),""))</f>
        <v>#REF!</v>
      </c>
      <c r="AU644" s="93" t="e">
        <f ca="1">INDIRECT("'["&amp;$C$1&amp;".xls]"&amp;$B644&amp;"'!$B$6")</f>
        <v>#REF!</v>
      </c>
      <c r="AV644" s="93" t="e">
        <f ca="1">INDIRECT("'["&amp;$C$1&amp;".xls]"&amp;$B644&amp;"'!$Y$22")</f>
        <v>#REF!</v>
      </c>
      <c r="AW644" s="93" t="e">
        <f ca="1">INDIRECT("'["&amp;$C$1&amp;".xls]"&amp;$B644&amp;"'!$Y$24")</f>
        <v>#REF!</v>
      </c>
      <c r="AX644" s="93" t="e">
        <f ca="1">INDIRECT("'["&amp;$C$1&amp;".xls]"&amp;$B644&amp;"'!$Y$26")</f>
        <v>#REF!</v>
      </c>
      <c r="AY644" s="93" t="e">
        <f ca="1">INDIRECT("'["&amp;$C$1&amp;".xls]"&amp;$B644&amp;"'!$Y$28")</f>
        <v>#REF!</v>
      </c>
    </row>
    <row r="645" spans="1:52" ht="16.5" customHeight="1" x14ac:dyDescent="0.15">
      <c r="A645" s="121" t="s">
        <v>6663</v>
      </c>
      <c r="B645" s="47" t="s">
        <v>6664</v>
      </c>
      <c r="C645" s="48" t="e">
        <f ca="1">INDIRECT("'["&amp;$C$1&amp;".xls]"&amp;$B645&amp;"'!$i$7")</f>
        <v>#REF!</v>
      </c>
      <c r="D645" s="62" t="e">
        <f ca="1">INDIRECT("'["&amp;$C$1&amp;".xls]"&amp;$B645&amp;"'!$b$7")</f>
        <v>#REF!</v>
      </c>
      <c r="E645" s="48" t="e">
        <f ca="1">IF(INDIRECT("'["&amp;$C$1&amp;".xls]"&amp;$B645&amp;"'!$i$2")="","",INDIRECT("'["&amp;$C$1&amp;".xls]"&amp;$B645&amp;"'!$i$2"))</f>
        <v>#REF!</v>
      </c>
      <c r="F645" s="61" t="e">
        <f ca="1">INDIRECT("'["&amp;$C$1&amp;".xls]"&amp;$B645&amp;"'!$b$2")</f>
        <v>#REF!</v>
      </c>
      <c r="G645" s="61" t="e">
        <f ca="1">INDIRECT("'["&amp;$C$1&amp;".xls]"&amp;$B645&amp;"'!$a$20")</f>
        <v>#REF!</v>
      </c>
      <c r="H645" s="88" t="e">
        <f ca="1">INDIRECT("'["&amp;$C$1&amp;".xls]"&amp;$B645&amp;"'!$Q$22")</f>
        <v>#REF!</v>
      </c>
      <c r="I645" s="61" t="e">
        <f ca="1">INDIRECT("'["&amp;$C$1&amp;".xls]"&amp;$B645&amp;"'!$f$6")</f>
        <v>#REF!</v>
      </c>
      <c r="J645" s="87"/>
      <c r="K645" s="62" t="e">
        <f ca="1">INDIRECT("'["&amp;$C$1&amp;".xls]"&amp;$B645&amp;"'!$f$25")</f>
        <v>#REF!</v>
      </c>
      <c r="L645" s="62"/>
      <c r="M645" s="62" t="e">
        <f ca="1">INDIRECT("'["&amp;$C$1&amp;".xls]"&amp;$B645&amp;"'!$f$4")</f>
        <v>#REF!</v>
      </c>
      <c r="N645" s="62" t="e">
        <f ca="1">INDIRECT("'["&amp;$C$1&amp;".xls]"&amp;$B645&amp;"'!$i$4")</f>
        <v>#REF!</v>
      </c>
      <c r="O645" s="48" t="e">
        <f ca="1">INDIRECT("'["&amp;$C$1&amp;".xls]"&amp;$B645&amp;"'!$l$4")</f>
        <v>#REF!</v>
      </c>
      <c r="P645" s="48" t="e">
        <f ca="1">INDIRECT("'["&amp;$C$1&amp;".xls]"&amp;$B645&amp;"'!$b$5")</f>
        <v>#REF!</v>
      </c>
      <c r="Q645" s="48" t="e">
        <f ca="1">INDIRECT("'["&amp;$C$1&amp;".xls]"&amp;$B645&amp;"'!$f$5")</f>
        <v>#REF!</v>
      </c>
      <c r="R645" s="48"/>
      <c r="S645" s="48" t="e">
        <f ca="1">INDIRECT("'["&amp;$C$1&amp;".xls]"&amp;$B645&amp;"'!$i$5")</f>
        <v>#REF!</v>
      </c>
      <c r="T645" s="48" t="e">
        <f ca="1">INDIRECT("'["&amp;$C$1&amp;".xls]"&amp;$B645&amp;"'!$l$5")</f>
        <v>#REF!</v>
      </c>
      <c r="U645" s="48" t="e">
        <f ca="1">INDIRECT("'["&amp;$C$1&amp;".xls]"&amp;$B645&amp;"'!$b$4")</f>
        <v>#REF!</v>
      </c>
      <c r="V645" s="48"/>
      <c r="W645" s="48"/>
      <c r="X645" s="48"/>
      <c r="Y645" s="48"/>
      <c r="Z645" s="61"/>
      <c r="AA645" s="48" t="e">
        <f ca="1">IF(INDIRECT("'["&amp;$C$1&amp;".xls]"&amp;$B645&amp;"'!$P$25")="","",IF(INDIRECT("'["&amp;$C$1&amp;".xls]"&amp;$B645&amp;"'!$O$25")="済み",INDIRECT("'["&amp;$C$1&amp;".xls]"&amp;$B645&amp;"'!$P$25"),""))</f>
        <v>#REF!</v>
      </c>
      <c r="AB645" s="48" t="e">
        <f ca="1">IF(INDIRECT("'["&amp;$C$1&amp;".xls]"&amp;$B645&amp;"'!$P$26")="","",IF(INDIRECT("'["&amp;$C$1&amp;".xls]"&amp;$B645&amp;"'!$O$26")="済み",INDIRECT("'["&amp;$C$1&amp;".xls]"&amp;$B645&amp;"'!$P$26"),""))</f>
        <v>#REF!</v>
      </c>
      <c r="AC645" s="48" t="e">
        <f ca="1">IF(INDIRECT("'["&amp;$C$1&amp;".xls]"&amp;$B645&amp;"'!$P$27")="","",IF(INDIRECT("'["&amp;$C$1&amp;".xls]"&amp;$B645&amp;"'!$O$27")="済み",INDIRECT("'["&amp;$C$1&amp;".xls]"&amp;$B645&amp;"'!$P$27"),""))</f>
        <v>#REF!</v>
      </c>
      <c r="AD645" s="48" t="e">
        <f ca="1">IF(INDIRECT("'["&amp;$C$1&amp;".xls]"&amp;$B645&amp;"'!$P$28")="","",IF(INDIRECT("'["&amp;$C$1&amp;".xls]"&amp;$B645&amp;"'!$O$28")="済み",INDIRECT("'["&amp;$C$1&amp;".xls]"&amp;$B645&amp;"'!$P$28"),""))</f>
        <v>#REF!</v>
      </c>
      <c r="AE645" s="48" t="e">
        <f ca="1">IF(INDIRECT("'["&amp;$C$1&amp;".xls]"&amp;$B645&amp;"'!$P$29")="","",IF(INDIRECT("'["&amp;$C$1&amp;".xls]"&amp;$B645&amp;"'!$O$29")="済み",INDIRECT("'["&amp;$C$1&amp;".xls]"&amp;$B645&amp;"'!$P$29"),""))</f>
        <v>#REF!</v>
      </c>
      <c r="AF645" s="48" t="e">
        <f ca="1">IF(INDIRECT("'["&amp;$C$1&amp;".xls]"&amp;$B645&amp;"'!$P$30")="","",IF(INDIRECT("'["&amp;$C$1&amp;".xls]"&amp;$B645&amp;"'!$O$30")="済み",INDIRECT("'["&amp;$C$1&amp;".xls]"&amp;$B645&amp;"'!$P$30"),""))</f>
        <v>#REF!</v>
      </c>
      <c r="AG645" s="48" t="e">
        <f ca="1">IF(INDIRECT("'["&amp;$C$1&amp;".xls]"&amp;$B645&amp;"'!$P$31")="","",IF(INDIRECT("'["&amp;$C$1&amp;".xls]"&amp;$B645&amp;"'!$O$31")="済み",INDIRECT("'["&amp;$C$1&amp;".xls]"&amp;$B645&amp;"'!$P$31"),""))</f>
        <v>#REF!</v>
      </c>
      <c r="AH645" s="48" t="e">
        <f ca="1">IF(INDIRECT("'["&amp;$C$1&amp;".xls]"&amp;$B645&amp;"'!$P$32")="","",IF(INDIRECT("'["&amp;$C$1&amp;".xls]"&amp;$B645&amp;"'!$O$32")="済み",INDIRECT("'["&amp;$C$1&amp;".xls]"&amp;$B645&amp;"'!$P$32"),""))</f>
        <v>#REF!</v>
      </c>
      <c r="AI645" s="48" t="e">
        <f ca="1">IF(INDIRECT("'["&amp;$C$1&amp;".xls]"&amp;$B645&amp;"'!$P$33")="","",IF(INDIRECT("'["&amp;$C$1&amp;".xls]"&amp;$B645&amp;"'!$O$33")="済み",INDIRECT("'["&amp;$C$1&amp;".xls]"&amp;$B645&amp;"'!$P$33"),""))</f>
        <v>#REF!</v>
      </c>
      <c r="AJ645" s="48" t="e">
        <f ca="1">IF(INDIRECT("'["&amp;$C$1&amp;".xls]"&amp;$B645&amp;"'!$P$34")="","",IF(INDIRECT("'["&amp;$C$1&amp;".xls]"&amp;$B645&amp;"'!$O$34")="済み",INDIRECT("'["&amp;$C$1&amp;".xls]"&amp;$B645&amp;"'!$P$34"),""))</f>
        <v>#REF!</v>
      </c>
      <c r="AK645" s="48" t="e">
        <f ca="1">IF(INDIRECT("'["&amp;$C$1&amp;".xls]"&amp;$B645&amp;"'!$T25")="","",IF(INDIRECT("'["&amp;$C$1&amp;".xls]"&amp;$B645&amp;"'!$O$25")="済み",INDIRECT("'["&amp;$C$1&amp;".xls]"&amp;$B645&amp;"'!$T$25"),""))</f>
        <v>#REF!</v>
      </c>
      <c r="AL645" s="48" t="e">
        <f ca="1">IF(INDIRECT("'["&amp;$C$1&amp;".xls]"&amp;$B645&amp;"'!$T26")="","",IF(INDIRECT("'["&amp;$C$1&amp;".xls]"&amp;$B645&amp;"'!$O$26")="済み",INDIRECT("'["&amp;$C$1&amp;".xls]"&amp;$B645&amp;"'!$T$26"),""))</f>
        <v>#REF!</v>
      </c>
      <c r="AM645" s="48" t="e">
        <f ca="1">IF(INDIRECT("'["&amp;$C$1&amp;".xls]"&amp;$B645&amp;"'!$T27")="","",IF(INDIRECT("'["&amp;$C$1&amp;".xls]"&amp;$B645&amp;"'!$O$27")="済み",INDIRECT("'["&amp;$C$1&amp;".xls]"&amp;$B645&amp;"'!$T$27"),""))</f>
        <v>#REF!</v>
      </c>
      <c r="AN645" s="48" t="e">
        <f ca="1">IF(INDIRECT("'["&amp;$C$1&amp;".xls]"&amp;$B645&amp;"'!$T28")="","",IF(INDIRECT("'["&amp;$C$1&amp;".xls]"&amp;$B645&amp;"'!$O$28")="済み",INDIRECT("'["&amp;$C$1&amp;".xls]"&amp;$B645&amp;"'!$T$28"),""))</f>
        <v>#REF!</v>
      </c>
      <c r="AO645" s="48" t="e">
        <f ca="1">IF(INDIRECT("'["&amp;$C$1&amp;".xls]"&amp;$B645&amp;"'!$T29")="","",IF(INDIRECT("'["&amp;$C$1&amp;".xls]"&amp;$B645&amp;"'!$O$29")="済み",INDIRECT("'["&amp;$C$1&amp;".xls]"&amp;$B645&amp;"'!$T$29"),""))</f>
        <v>#REF!</v>
      </c>
      <c r="AP645" s="48" t="e">
        <f ca="1">IF(INDIRECT("'["&amp;$C$1&amp;".xls]"&amp;$B645&amp;"'!$T30")="","",IF(INDIRECT("'["&amp;$C$1&amp;".xls]"&amp;$B645&amp;"'!$O$30")="済み",INDIRECT("'["&amp;$C$1&amp;".xls]"&amp;$B645&amp;"'!$T$30"),""))</f>
        <v>#REF!</v>
      </c>
      <c r="AQ645" s="48" t="e">
        <f ca="1">IF(INDIRECT("'["&amp;$C$1&amp;".xls]"&amp;$B645&amp;"'!$T31")="","",IF(INDIRECT("'["&amp;$C$1&amp;".xls]"&amp;$B645&amp;"'!$O$31")="済み",INDIRECT("'["&amp;$C$1&amp;".xls]"&amp;$B645&amp;"'!$T$31"),""))</f>
        <v>#REF!</v>
      </c>
      <c r="AR645" s="48" t="e">
        <f ca="1">IF(INDIRECT("'["&amp;$C$1&amp;".xls]"&amp;$B645&amp;"'!$T32")="","",IF(INDIRECT("'["&amp;$C$1&amp;".xls]"&amp;$B645&amp;"'!$O$32")="済み",INDIRECT("'["&amp;$C$1&amp;".xls]"&amp;$B645&amp;"'!$T$32"),""))</f>
        <v>#REF!</v>
      </c>
      <c r="AS645" s="48" t="e">
        <f ca="1">IF(INDIRECT("'["&amp;$C$1&amp;".xls]"&amp;$B645&amp;"'!$T33")="","",IF(INDIRECT("'["&amp;$C$1&amp;".xls]"&amp;$B645&amp;"'!$O$33")="済み",INDIRECT("'["&amp;$C$1&amp;".xls]"&amp;$B645&amp;"'!$T$33"),""))</f>
        <v>#REF!</v>
      </c>
      <c r="AT645" s="48" t="e">
        <f ca="1">IF(INDIRECT("'["&amp;$C$1&amp;".xls]"&amp;$B645&amp;"'!$T34")="","",IF(INDIRECT("'["&amp;$C$1&amp;".xls]"&amp;$B645&amp;"'!$O$34")="済み",INDIRECT("'["&amp;$C$1&amp;".xls]"&amp;$B645&amp;"'!$T$34"),""))</f>
        <v>#REF!</v>
      </c>
      <c r="AU645" s="93" t="e">
        <f ca="1">INDIRECT("'["&amp;$C$1&amp;".xls]"&amp;$B645&amp;"'!$B$6")</f>
        <v>#REF!</v>
      </c>
      <c r="AV645" s="93" t="e">
        <f ca="1">INDIRECT("'["&amp;$C$1&amp;".xls]"&amp;$B645&amp;"'!$Y$22")</f>
        <v>#REF!</v>
      </c>
      <c r="AW645" s="93" t="e">
        <f ca="1">INDIRECT("'["&amp;$C$1&amp;".xls]"&amp;$B645&amp;"'!$Y$24")</f>
        <v>#REF!</v>
      </c>
      <c r="AX645" s="93" t="e">
        <f ca="1">INDIRECT("'["&amp;$C$1&amp;".xls]"&amp;$B645&amp;"'!$Y$26")</f>
        <v>#REF!</v>
      </c>
      <c r="AY645" s="93" t="e">
        <f ca="1">INDIRECT("'["&amp;$C$1&amp;".xls]"&amp;$B645&amp;"'!$Y$28")</f>
        <v>#REF!</v>
      </c>
    </row>
    <row r="646" spans="1:52" ht="16.5" customHeight="1" x14ac:dyDescent="0.15">
      <c r="A646" s="211" t="s">
        <v>6665</v>
      </c>
      <c r="B646" s="212" t="s">
        <v>6666</v>
      </c>
      <c r="C646" s="48" t="s">
        <v>330</v>
      </c>
      <c r="D646" s="62" t="s">
        <v>6667</v>
      </c>
      <c r="E646" s="48" t="s">
        <v>6625</v>
      </c>
      <c r="F646" s="61">
        <v>42628</v>
      </c>
      <c r="G646" s="61">
        <v>0</v>
      </c>
      <c r="H646" s="125">
        <v>42709</v>
      </c>
      <c r="I646" s="61" t="s">
        <v>279</v>
      </c>
      <c r="J646" s="87"/>
      <c r="K646" s="62" t="s">
        <v>2506</v>
      </c>
      <c r="L646" s="124">
        <v>3</v>
      </c>
      <c r="M646" s="62">
        <v>180</v>
      </c>
      <c r="N646" s="62" t="s">
        <v>1095</v>
      </c>
      <c r="O646" s="48" t="s">
        <v>377</v>
      </c>
      <c r="P646" s="48" t="s">
        <v>2077</v>
      </c>
      <c r="Q646" s="48" t="s">
        <v>1097</v>
      </c>
      <c r="R646" s="48" t="s">
        <v>1098</v>
      </c>
      <c r="S646" s="48" t="s">
        <v>1099</v>
      </c>
      <c r="T646" s="48" t="s">
        <v>1100</v>
      </c>
      <c r="U646" s="48" t="s">
        <v>6668</v>
      </c>
      <c r="V646" s="122" t="s">
        <v>263</v>
      </c>
      <c r="W646" s="122" t="s">
        <v>263</v>
      </c>
      <c r="X646" s="48" t="s">
        <v>1104</v>
      </c>
      <c r="Y646" s="48" t="s">
        <v>1105</v>
      </c>
      <c r="Z646" s="61"/>
      <c r="AA646" s="48" t="s">
        <v>849</v>
      </c>
      <c r="AB646" s="48" t="s">
        <v>273</v>
      </c>
      <c r="AC646" s="48" t="s">
        <v>273</v>
      </c>
      <c r="AD646" s="48" t="s">
        <v>273</v>
      </c>
      <c r="AE646" s="48" t="s">
        <v>273</v>
      </c>
      <c r="AF646" s="48" t="s">
        <v>273</v>
      </c>
      <c r="AG646" s="48" t="s">
        <v>273</v>
      </c>
      <c r="AH646" s="48" t="s">
        <v>273</v>
      </c>
      <c r="AI646" s="48" t="s">
        <v>273</v>
      </c>
      <c r="AJ646" s="48" t="s">
        <v>273</v>
      </c>
      <c r="AK646" s="48" t="s">
        <v>850</v>
      </c>
      <c r="AL646" s="48" t="s">
        <v>273</v>
      </c>
      <c r="AM646" s="48" t="s">
        <v>273</v>
      </c>
      <c r="AN646" s="48" t="s">
        <v>273</v>
      </c>
      <c r="AO646" s="48" t="s">
        <v>273</v>
      </c>
      <c r="AP646" s="48" t="s">
        <v>273</v>
      </c>
      <c r="AQ646" s="48" t="s">
        <v>273</v>
      </c>
      <c r="AR646" s="48" t="s">
        <v>273</v>
      </c>
      <c r="AS646" s="48" t="s">
        <v>273</v>
      </c>
      <c r="AT646" s="48" t="s">
        <v>273</v>
      </c>
      <c r="AU646" s="93">
        <v>36678</v>
      </c>
      <c r="AV646" s="93" t="s">
        <v>6669</v>
      </c>
      <c r="AW646" s="93" t="s">
        <v>6670</v>
      </c>
      <c r="AX646" s="93" t="s">
        <v>6671</v>
      </c>
      <c r="AY646" s="93" t="s">
        <v>5312</v>
      </c>
      <c r="AZ646" s="49" t="s">
        <v>6672</v>
      </c>
    </row>
    <row r="647" spans="1:52" ht="16.5" customHeight="1" x14ac:dyDescent="0.15">
      <c r="A647" s="121" t="s">
        <v>6673</v>
      </c>
      <c r="B647" s="47" t="s">
        <v>6674</v>
      </c>
      <c r="C647" s="48" t="e">
        <f ca="1">INDIRECT("'["&amp;$C$1&amp;".xls]"&amp;$B647&amp;"'!$i$7")</f>
        <v>#REF!</v>
      </c>
      <c r="D647" s="62" t="e">
        <f ca="1">INDIRECT("'["&amp;$C$1&amp;".xls]"&amp;$B647&amp;"'!$b$7")</f>
        <v>#REF!</v>
      </c>
      <c r="E647" s="48" t="e">
        <f ca="1">IF(INDIRECT("'["&amp;$C$1&amp;".xls]"&amp;$B647&amp;"'!$i$2")="","",INDIRECT("'["&amp;$C$1&amp;".xls]"&amp;$B647&amp;"'!$i$2"))</f>
        <v>#REF!</v>
      </c>
      <c r="F647" s="61" t="e">
        <f ca="1">INDIRECT("'["&amp;$C$1&amp;".xls]"&amp;$B647&amp;"'!$b$2")</f>
        <v>#REF!</v>
      </c>
      <c r="G647" s="61" t="e">
        <f ca="1">INDIRECT("'["&amp;$C$1&amp;".xls]"&amp;$B647&amp;"'!$a$20")</f>
        <v>#REF!</v>
      </c>
      <c r="H647" s="88" t="e">
        <f ca="1">INDIRECT("'["&amp;$C$1&amp;".xls]"&amp;$B647&amp;"'!$Q$22")</f>
        <v>#REF!</v>
      </c>
      <c r="I647" s="61" t="e">
        <f ca="1">INDIRECT("'["&amp;$C$1&amp;".xls]"&amp;$B647&amp;"'!$f$6")</f>
        <v>#REF!</v>
      </c>
      <c r="J647" s="87"/>
      <c r="K647" s="62" t="e">
        <f ca="1">INDIRECT("'["&amp;$C$1&amp;".xls]"&amp;$B647&amp;"'!$f$25")</f>
        <v>#REF!</v>
      </c>
      <c r="L647" s="62"/>
      <c r="M647" s="62" t="e">
        <f ca="1">INDIRECT("'["&amp;$C$1&amp;".xls]"&amp;$B647&amp;"'!$f$4")</f>
        <v>#REF!</v>
      </c>
      <c r="N647" s="62" t="e">
        <f ca="1">INDIRECT("'["&amp;$C$1&amp;".xls]"&amp;$B647&amp;"'!$i$4")</f>
        <v>#REF!</v>
      </c>
      <c r="O647" s="48" t="e">
        <f ca="1">INDIRECT("'["&amp;$C$1&amp;".xls]"&amp;$B647&amp;"'!$l$4")</f>
        <v>#REF!</v>
      </c>
      <c r="P647" s="48" t="e">
        <f ca="1">INDIRECT("'["&amp;$C$1&amp;".xls]"&amp;$B647&amp;"'!$b$5")</f>
        <v>#REF!</v>
      </c>
      <c r="Q647" s="48" t="e">
        <f ca="1">INDIRECT("'["&amp;$C$1&amp;".xls]"&amp;$B647&amp;"'!$f$5")</f>
        <v>#REF!</v>
      </c>
      <c r="R647" s="48"/>
      <c r="S647" s="48" t="e">
        <f ca="1">INDIRECT("'["&amp;$C$1&amp;".xls]"&amp;$B647&amp;"'!$i$5")</f>
        <v>#REF!</v>
      </c>
      <c r="T647" s="48" t="e">
        <f ca="1">INDIRECT("'["&amp;$C$1&amp;".xls]"&amp;$B647&amp;"'!$l$5")</f>
        <v>#REF!</v>
      </c>
      <c r="U647" s="48" t="e">
        <f ca="1">INDIRECT("'["&amp;$C$1&amp;".xls]"&amp;$B647&amp;"'!$b$4")</f>
        <v>#REF!</v>
      </c>
      <c r="V647" s="48"/>
      <c r="W647" s="48"/>
      <c r="X647" s="48"/>
      <c r="Y647" s="48"/>
      <c r="Z647" s="61"/>
      <c r="AA647" s="48" t="e">
        <f ca="1">IF(INDIRECT("'["&amp;$C$1&amp;".xls]"&amp;$B647&amp;"'!$P$25")="","",IF(INDIRECT("'["&amp;$C$1&amp;".xls]"&amp;$B647&amp;"'!$O$25")="済み",INDIRECT("'["&amp;$C$1&amp;".xls]"&amp;$B647&amp;"'!$P$25"),""))</f>
        <v>#REF!</v>
      </c>
      <c r="AB647" s="48" t="e">
        <f ca="1">IF(INDIRECT("'["&amp;$C$1&amp;".xls]"&amp;$B647&amp;"'!$P$26")="","",IF(INDIRECT("'["&amp;$C$1&amp;".xls]"&amp;$B647&amp;"'!$O$26")="済み",INDIRECT("'["&amp;$C$1&amp;".xls]"&amp;$B647&amp;"'!$P$26"),""))</f>
        <v>#REF!</v>
      </c>
      <c r="AC647" s="48" t="e">
        <f ca="1">IF(INDIRECT("'["&amp;$C$1&amp;".xls]"&amp;$B647&amp;"'!$P$27")="","",IF(INDIRECT("'["&amp;$C$1&amp;".xls]"&amp;$B647&amp;"'!$O$27")="済み",INDIRECT("'["&amp;$C$1&amp;".xls]"&amp;$B647&amp;"'!$P$27"),""))</f>
        <v>#REF!</v>
      </c>
      <c r="AD647" s="48" t="e">
        <f ca="1">IF(INDIRECT("'["&amp;$C$1&amp;".xls]"&amp;$B647&amp;"'!$P$28")="","",IF(INDIRECT("'["&amp;$C$1&amp;".xls]"&amp;$B647&amp;"'!$O$28")="済み",INDIRECT("'["&amp;$C$1&amp;".xls]"&amp;$B647&amp;"'!$P$28"),""))</f>
        <v>#REF!</v>
      </c>
      <c r="AE647" s="48" t="e">
        <f ca="1">IF(INDIRECT("'["&amp;$C$1&amp;".xls]"&amp;$B647&amp;"'!$P$29")="","",IF(INDIRECT("'["&amp;$C$1&amp;".xls]"&amp;$B647&amp;"'!$O$29")="済み",INDIRECT("'["&amp;$C$1&amp;".xls]"&amp;$B647&amp;"'!$P$29"),""))</f>
        <v>#REF!</v>
      </c>
      <c r="AF647" s="48" t="e">
        <f ca="1">IF(INDIRECT("'["&amp;$C$1&amp;".xls]"&amp;$B647&amp;"'!$P$30")="","",IF(INDIRECT("'["&amp;$C$1&amp;".xls]"&amp;$B647&amp;"'!$O$30")="済み",INDIRECT("'["&amp;$C$1&amp;".xls]"&amp;$B647&amp;"'!$P$30"),""))</f>
        <v>#REF!</v>
      </c>
      <c r="AG647" s="48" t="e">
        <f ca="1">IF(INDIRECT("'["&amp;$C$1&amp;".xls]"&amp;$B647&amp;"'!$P$31")="","",IF(INDIRECT("'["&amp;$C$1&amp;".xls]"&amp;$B647&amp;"'!$O$31")="済み",INDIRECT("'["&amp;$C$1&amp;".xls]"&amp;$B647&amp;"'!$P$31"),""))</f>
        <v>#REF!</v>
      </c>
      <c r="AH647" s="48" t="e">
        <f ca="1">IF(INDIRECT("'["&amp;$C$1&amp;".xls]"&amp;$B647&amp;"'!$P$32")="","",IF(INDIRECT("'["&amp;$C$1&amp;".xls]"&amp;$B647&amp;"'!$O$32")="済み",INDIRECT("'["&amp;$C$1&amp;".xls]"&amp;$B647&amp;"'!$P$32"),""))</f>
        <v>#REF!</v>
      </c>
      <c r="AI647" s="48" t="e">
        <f ca="1">IF(INDIRECT("'["&amp;$C$1&amp;".xls]"&amp;$B647&amp;"'!$P$33")="","",IF(INDIRECT("'["&amp;$C$1&amp;".xls]"&amp;$B647&amp;"'!$O$33")="済み",INDIRECT("'["&amp;$C$1&amp;".xls]"&amp;$B647&amp;"'!$P$33"),""))</f>
        <v>#REF!</v>
      </c>
      <c r="AJ647" s="48" t="e">
        <f ca="1">IF(INDIRECT("'["&amp;$C$1&amp;".xls]"&amp;$B647&amp;"'!$P$34")="","",IF(INDIRECT("'["&amp;$C$1&amp;".xls]"&amp;$B647&amp;"'!$O$34")="済み",INDIRECT("'["&amp;$C$1&amp;".xls]"&amp;$B647&amp;"'!$P$34"),""))</f>
        <v>#REF!</v>
      </c>
      <c r="AK647" s="48" t="e">
        <f ca="1">IF(INDIRECT("'["&amp;$C$1&amp;".xls]"&amp;$B647&amp;"'!$T25")="","",IF(INDIRECT("'["&amp;$C$1&amp;".xls]"&amp;$B647&amp;"'!$O$25")="済み",INDIRECT("'["&amp;$C$1&amp;".xls]"&amp;$B647&amp;"'!$T$25"),""))</f>
        <v>#REF!</v>
      </c>
      <c r="AL647" s="48" t="e">
        <f ca="1">IF(INDIRECT("'["&amp;$C$1&amp;".xls]"&amp;$B647&amp;"'!$T26")="","",IF(INDIRECT("'["&amp;$C$1&amp;".xls]"&amp;$B647&amp;"'!$O$26")="済み",INDIRECT("'["&amp;$C$1&amp;".xls]"&amp;$B647&amp;"'!$T$26"),""))</f>
        <v>#REF!</v>
      </c>
      <c r="AM647" s="48" t="e">
        <f ca="1">IF(INDIRECT("'["&amp;$C$1&amp;".xls]"&amp;$B647&amp;"'!$T27")="","",IF(INDIRECT("'["&amp;$C$1&amp;".xls]"&amp;$B647&amp;"'!$O$27")="済み",INDIRECT("'["&amp;$C$1&amp;".xls]"&amp;$B647&amp;"'!$T$27"),""))</f>
        <v>#REF!</v>
      </c>
      <c r="AN647" s="48" t="e">
        <f ca="1">IF(INDIRECT("'["&amp;$C$1&amp;".xls]"&amp;$B647&amp;"'!$T28")="","",IF(INDIRECT("'["&amp;$C$1&amp;".xls]"&amp;$B647&amp;"'!$O$28")="済み",INDIRECT("'["&amp;$C$1&amp;".xls]"&amp;$B647&amp;"'!$T$28"),""))</f>
        <v>#REF!</v>
      </c>
      <c r="AO647" s="48" t="e">
        <f ca="1">IF(INDIRECT("'["&amp;$C$1&amp;".xls]"&amp;$B647&amp;"'!$T29")="","",IF(INDIRECT("'["&amp;$C$1&amp;".xls]"&amp;$B647&amp;"'!$O$29")="済み",INDIRECT("'["&amp;$C$1&amp;".xls]"&amp;$B647&amp;"'!$T$29"),""))</f>
        <v>#REF!</v>
      </c>
      <c r="AP647" s="48" t="e">
        <f ca="1">IF(INDIRECT("'["&amp;$C$1&amp;".xls]"&amp;$B647&amp;"'!$T30")="","",IF(INDIRECT("'["&amp;$C$1&amp;".xls]"&amp;$B647&amp;"'!$O$30")="済み",INDIRECT("'["&amp;$C$1&amp;".xls]"&amp;$B647&amp;"'!$T$30"),""))</f>
        <v>#REF!</v>
      </c>
      <c r="AQ647" s="48" t="e">
        <f ca="1">IF(INDIRECT("'["&amp;$C$1&amp;".xls]"&amp;$B647&amp;"'!$T31")="","",IF(INDIRECT("'["&amp;$C$1&amp;".xls]"&amp;$B647&amp;"'!$O$31")="済み",INDIRECT("'["&amp;$C$1&amp;".xls]"&amp;$B647&amp;"'!$T$31"),""))</f>
        <v>#REF!</v>
      </c>
      <c r="AR647" s="48" t="e">
        <f ca="1">IF(INDIRECT("'["&amp;$C$1&amp;".xls]"&amp;$B647&amp;"'!$T32")="","",IF(INDIRECT("'["&amp;$C$1&amp;".xls]"&amp;$B647&amp;"'!$O$32")="済み",INDIRECT("'["&amp;$C$1&amp;".xls]"&amp;$B647&amp;"'!$T$32"),""))</f>
        <v>#REF!</v>
      </c>
      <c r="AS647" s="48" t="e">
        <f ca="1">IF(INDIRECT("'["&amp;$C$1&amp;".xls]"&amp;$B647&amp;"'!$T33")="","",IF(INDIRECT("'["&amp;$C$1&amp;".xls]"&amp;$B647&amp;"'!$O$33")="済み",INDIRECT("'["&amp;$C$1&amp;".xls]"&amp;$B647&amp;"'!$T$33"),""))</f>
        <v>#REF!</v>
      </c>
      <c r="AT647" s="48" t="e">
        <f ca="1">IF(INDIRECT("'["&amp;$C$1&amp;".xls]"&amp;$B647&amp;"'!$T34")="","",IF(INDIRECT("'["&amp;$C$1&amp;".xls]"&amp;$B647&amp;"'!$O$34")="済み",INDIRECT("'["&amp;$C$1&amp;".xls]"&amp;$B647&amp;"'!$T$34"),""))</f>
        <v>#REF!</v>
      </c>
      <c r="AU647" s="93" t="e">
        <f ca="1">INDIRECT("'["&amp;$C$1&amp;".xls]"&amp;$B647&amp;"'!$B$6")</f>
        <v>#REF!</v>
      </c>
      <c r="AV647" s="93" t="e">
        <f ca="1">INDIRECT("'["&amp;$C$1&amp;".xls]"&amp;$B647&amp;"'!$Y$22")</f>
        <v>#REF!</v>
      </c>
      <c r="AW647" s="93" t="e">
        <f ca="1">INDIRECT("'["&amp;$C$1&amp;".xls]"&amp;$B647&amp;"'!$Y$24")</f>
        <v>#REF!</v>
      </c>
      <c r="AX647" s="93" t="e">
        <f ca="1">INDIRECT("'["&amp;$C$1&amp;".xls]"&amp;$B647&amp;"'!$Y$26")</f>
        <v>#REF!</v>
      </c>
      <c r="AY647" s="93" t="e">
        <f ca="1">INDIRECT("'["&amp;$C$1&amp;".xls]"&amp;$B647&amp;"'!$Y$28")</f>
        <v>#REF!</v>
      </c>
    </row>
    <row r="648" spans="1:52" ht="16.5" customHeight="1" x14ac:dyDescent="0.15">
      <c r="A648" s="121" t="s">
        <v>6675</v>
      </c>
      <c r="B648" s="47" t="s">
        <v>6676</v>
      </c>
      <c r="C648" s="48" t="e">
        <f ca="1">INDIRECT("'["&amp;$C$1&amp;".xls]"&amp;$B648&amp;"'!$i$7")</f>
        <v>#REF!</v>
      </c>
      <c r="D648" s="62" t="e">
        <f ca="1">INDIRECT("'["&amp;$C$1&amp;".xls]"&amp;$B648&amp;"'!$b$7")</f>
        <v>#REF!</v>
      </c>
      <c r="E648" s="48" t="e">
        <f ca="1">IF(INDIRECT("'["&amp;$C$1&amp;".xls]"&amp;$B648&amp;"'!$i$2")="","",INDIRECT("'["&amp;$C$1&amp;".xls]"&amp;$B648&amp;"'!$i$2"))</f>
        <v>#REF!</v>
      </c>
      <c r="F648" s="61" t="e">
        <f ca="1">INDIRECT("'["&amp;$C$1&amp;".xls]"&amp;$B648&amp;"'!$b$2")</f>
        <v>#REF!</v>
      </c>
      <c r="G648" s="61" t="e">
        <f ca="1">INDIRECT("'["&amp;$C$1&amp;".xls]"&amp;$B648&amp;"'!$a$20")</f>
        <v>#REF!</v>
      </c>
      <c r="H648" s="88" t="e">
        <f ca="1">INDIRECT("'["&amp;$C$1&amp;".xls]"&amp;$B648&amp;"'!$Q$22")</f>
        <v>#REF!</v>
      </c>
      <c r="I648" s="61" t="e">
        <f ca="1">INDIRECT("'["&amp;$C$1&amp;".xls]"&amp;$B648&amp;"'!$f$6")</f>
        <v>#REF!</v>
      </c>
      <c r="J648" s="87"/>
      <c r="K648" s="62" t="e">
        <f ca="1">INDIRECT("'["&amp;$C$1&amp;".xls]"&amp;$B648&amp;"'!$f$25")</f>
        <v>#REF!</v>
      </c>
      <c r="L648" s="62"/>
      <c r="M648" s="62" t="e">
        <f ca="1">INDIRECT("'["&amp;$C$1&amp;".xls]"&amp;$B648&amp;"'!$f$4")</f>
        <v>#REF!</v>
      </c>
      <c r="N648" s="62" t="e">
        <f ca="1">INDIRECT("'["&amp;$C$1&amp;".xls]"&amp;$B648&amp;"'!$i$4")</f>
        <v>#REF!</v>
      </c>
      <c r="O648" s="48" t="e">
        <f ca="1">INDIRECT("'["&amp;$C$1&amp;".xls]"&amp;$B648&amp;"'!$l$4")</f>
        <v>#REF!</v>
      </c>
      <c r="P648" s="48" t="e">
        <f ca="1">INDIRECT("'["&amp;$C$1&amp;".xls]"&amp;$B648&amp;"'!$b$5")</f>
        <v>#REF!</v>
      </c>
      <c r="Q648" s="48" t="e">
        <f ca="1">INDIRECT("'["&amp;$C$1&amp;".xls]"&amp;$B648&amp;"'!$f$5")</f>
        <v>#REF!</v>
      </c>
      <c r="R648" s="48"/>
      <c r="S648" s="48" t="e">
        <f ca="1">INDIRECT("'["&amp;$C$1&amp;".xls]"&amp;$B648&amp;"'!$i$5")</f>
        <v>#REF!</v>
      </c>
      <c r="T648" s="48" t="e">
        <f ca="1">INDIRECT("'["&amp;$C$1&amp;".xls]"&amp;$B648&amp;"'!$l$5")</f>
        <v>#REF!</v>
      </c>
      <c r="U648" s="48" t="e">
        <f ca="1">INDIRECT("'["&amp;$C$1&amp;".xls]"&amp;$B648&amp;"'!$b$4")</f>
        <v>#REF!</v>
      </c>
      <c r="V648" s="48"/>
      <c r="W648" s="48"/>
      <c r="X648" s="48"/>
      <c r="Y648" s="48"/>
      <c r="Z648" s="61"/>
      <c r="AA648" s="48" t="e">
        <f ca="1">IF(INDIRECT("'["&amp;$C$1&amp;".xls]"&amp;$B648&amp;"'!$P$25")="","",IF(INDIRECT("'["&amp;$C$1&amp;".xls]"&amp;$B648&amp;"'!$O$25")="済み",INDIRECT("'["&amp;$C$1&amp;".xls]"&amp;$B648&amp;"'!$P$25"),""))</f>
        <v>#REF!</v>
      </c>
      <c r="AB648" s="48" t="e">
        <f ca="1">IF(INDIRECT("'["&amp;$C$1&amp;".xls]"&amp;$B648&amp;"'!$P$26")="","",IF(INDIRECT("'["&amp;$C$1&amp;".xls]"&amp;$B648&amp;"'!$O$26")="済み",INDIRECT("'["&amp;$C$1&amp;".xls]"&amp;$B648&amp;"'!$P$26"),""))</f>
        <v>#REF!</v>
      </c>
      <c r="AC648" s="48" t="e">
        <f ca="1">IF(INDIRECT("'["&amp;$C$1&amp;".xls]"&amp;$B648&amp;"'!$P$27")="","",IF(INDIRECT("'["&amp;$C$1&amp;".xls]"&amp;$B648&amp;"'!$O$27")="済み",INDIRECT("'["&amp;$C$1&amp;".xls]"&amp;$B648&amp;"'!$P$27"),""))</f>
        <v>#REF!</v>
      </c>
      <c r="AD648" s="48" t="e">
        <f ca="1">IF(INDIRECT("'["&amp;$C$1&amp;".xls]"&amp;$B648&amp;"'!$P$28")="","",IF(INDIRECT("'["&amp;$C$1&amp;".xls]"&amp;$B648&amp;"'!$O$28")="済み",INDIRECT("'["&amp;$C$1&amp;".xls]"&amp;$B648&amp;"'!$P$28"),""))</f>
        <v>#REF!</v>
      </c>
      <c r="AE648" s="48" t="e">
        <f ca="1">IF(INDIRECT("'["&amp;$C$1&amp;".xls]"&amp;$B648&amp;"'!$P$29")="","",IF(INDIRECT("'["&amp;$C$1&amp;".xls]"&amp;$B648&amp;"'!$O$29")="済み",INDIRECT("'["&amp;$C$1&amp;".xls]"&amp;$B648&amp;"'!$P$29"),""))</f>
        <v>#REF!</v>
      </c>
      <c r="AF648" s="48" t="e">
        <f ca="1">IF(INDIRECT("'["&amp;$C$1&amp;".xls]"&amp;$B648&amp;"'!$P$30")="","",IF(INDIRECT("'["&amp;$C$1&amp;".xls]"&amp;$B648&amp;"'!$O$30")="済み",INDIRECT("'["&amp;$C$1&amp;".xls]"&amp;$B648&amp;"'!$P$30"),""))</f>
        <v>#REF!</v>
      </c>
      <c r="AG648" s="48" t="e">
        <f ca="1">IF(INDIRECT("'["&amp;$C$1&amp;".xls]"&amp;$B648&amp;"'!$P$31")="","",IF(INDIRECT("'["&amp;$C$1&amp;".xls]"&amp;$B648&amp;"'!$O$31")="済み",INDIRECT("'["&amp;$C$1&amp;".xls]"&amp;$B648&amp;"'!$P$31"),""))</f>
        <v>#REF!</v>
      </c>
      <c r="AH648" s="48" t="e">
        <f ca="1">IF(INDIRECT("'["&amp;$C$1&amp;".xls]"&amp;$B648&amp;"'!$P$32")="","",IF(INDIRECT("'["&amp;$C$1&amp;".xls]"&amp;$B648&amp;"'!$O$32")="済み",INDIRECT("'["&amp;$C$1&amp;".xls]"&amp;$B648&amp;"'!$P$32"),""))</f>
        <v>#REF!</v>
      </c>
      <c r="AI648" s="48" t="e">
        <f ca="1">IF(INDIRECT("'["&amp;$C$1&amp;".xls]"&amp;$B648&amp;"'!$P$33")="","",IF(INDIRECT("'["&amp;$C$1&amp;".xls]"&amp;$B648&amp;"'!$O$33")="済み",INDIRECT("'["&amp;$C$1&amp;".xls]"&amp;$B648&amp;"'!$P$33"),""))</f>
        <v>#REF!</v>
      </c>
      <c r="AJ648" s="48" t="e">
        <f ca="1">IF(INDIRECT("'["&amp;$C$1&amp;".xls]"&amp;$B648&amp;"'!$P$34")="","",IF(INDIRECT("'["&amp;$C$1&amp;".xls]"&amp;$B648&amp;"'!$O$34")="済み",INDIRECT("'["&amp;$C$1&amp;".xls]"&amp;$B648&amp;"'!$P$34"),""))</f>
        <v>#REF!</v>
      </c>
      <c r="AK648" s="48" t="e">
        <f ca="1">IF(INDIRECT("'["&amp;$C$1&amp;".xls]"&amp;$B648&amp;"'!$T25")="","",IF(INDIRECT("'["&amp;$C$1&amp;".xls]"&amp;$B648&amp;"'!$O$25")="済み",INDIRECT("'["&amp;$C$1&amp;".xls]"&amp;$B648&amp;"'!$T$25"),""))</f>
        <v>#REF!</v>
      </c>
      <c r="AL648" s="48" t="e">
        <f ca="1">IF(INDIRECT("'["&amp;$C$1&amp;".xls]"&amp;$B648&amp;"'!$T26")="","",IF(INDIRECT("'["&amp;$C$1&amp;".xls]"&amp;$B648&amp;"'!$O$26")="済み",INDIRECT("'["&amp;$C$1&amp;".xls]"&amp;$B648&amp;"'!$T$26"),""))</f>
        <v>#REF!</v>
      </c>
      <c r="AM648" s="48" t="e">
        <f ca="1">IF(INDIRECT("'["&amp;$C$1&amp;".xls]"&amp;$B648&amp;"'!$T27")="","",IF(INDIRECT("'["&amp;$C$1&amp;".xls]"&amp;$B648&amp;"'!$O$27")="済み",INDIRECT("'["&amp;$C$1&amp;".xls]"&amp;$B648&amp;"'!$T$27"),""))</f>
        <v>#REF!</v>
      </c>
      <c r="AN648" s="48" t="e">
        <f ca="1">IF(INDIRECT("'["&amp;$C$1&amp;".xls]"&amp;$B648&amp;"'!$T28")="","",IF(INDIRECT("'["&amp;$C$1&amp;".xls]"&amp;$B648&amp;"'!$O$28")="済み",INDIRECT("'["&amp;$C$1&amp;".xls]"&amp;$B648&amp;"'!$T$28"),""))</f>
        <v>#REF!</v>
      </c>
      <c r="AO648" s="48" t="e">
        <f ca="1">IF(INDIRECT("'["&amp;$C$1&amp;".xls]"&amp;$B648&amp;"'!$T29")="","",IF(INDIRECT("'["&amp;$C$1&amp;".xls]"&amp;$B648&amp;"'!$O$29")="済み",INDIRECT("'["&amp;$C$1&amp;".xls]"&amp;$B648&amp;"'!$T$29"),""))</f>
        <v>#REF!</v>
      </c>
      <c r="AP648" s="48" t="e">
        <f ca="1">IF(INDIRECT("'["&amp;$C$1&amp;".xls]"&amp;$B648&amp;"'!$T30")="","",IF(INDIRECT("'["&amp;$C$1&amp;".xls]"&amp;$B648&amp;"'!$O$30")="済み",INDIRECT("'["&amp;$C$1&amp;".xls]"&amp;$B648&amp;"'!$T$30"),""))</f>
        <v>#REF!</v>
      </c>
      <c r="AQ648" s="48" t="e">
        <f ca="1">IF(INDIRECT("'["&amp;$C$1&amp;".xls]"&amp;$B648&amp;"'!$T31")="","",IF(INDIRECT("'["&amp;$C$1&amp;".xls]"&amp;$B648&amp;"'!$O$31")="済み",INDIRECT("'["&amp;$C$1&amp;".xls]"&amp;$B648&amp;"'!$T$31"),""))</f>
        <v>#REF!</v>
      </c>
      <c r="AR648" s="48" t="e">
        <f ca="1">IF(INDIRECT("'["&amp;$C$1&amp;".xls]"&amp;$B648&amp;"'!$T32")="","",IF(INDIRECT("'["&amp;$C$1&amp;".xls]"&amp;$B648&amp;"'!$O$32")="済み",INDIRECT("'["&amp;$C$1&amp;".xls]"&amp;$B648&amp;"'!$T$32"),""))</f>
        <v>#REF!</v>
      </c>
      <c r="AS648" s="48" t="e">
        <f ca="1">IF(INDIRECT("'["&amp;$C$1&amp;".xls]"&amp;$B648&amp;"'!$T33")="","",IF(INDIRECT("'["&amp;$C$1&amp;".xls]"&amp;$B648&amp;"'!$O$33")="済み",INDIRECT("'["&amp;$C$1&amp;".xls]"&amp;$B648&amp;"'!$T$33"),""))</f>
        <v>#REF!</v>
      </c>
      <c r="AT648" s="48" t="e">
        <f ca="1">IF(INDIRECT("'["&amp;$C$1&amp;".xls]"&amp;$B648&amp;"'!$T34")="","",IF(INDIRECT("'["&amp;$C$1&amp;".xls]"&amp;$B648&amp;"'!$O$34")="済み",INDIRECT("'["&amp;$C$1&amp;".xls]"&amp;$B648&amp;"'!$T$34"),""))</f>
        <v>#REF!</v>
      </c>
      <c r="AU648" s="93" t="e">
        <f ca="1">INDIRECT("'["&amp;$C$1&amp;".xls]"&amp;$B648&amp;"'!$B$6")</f>
        <v>#REF!</v>
      </c>
      <c r="AV648" s="93" t="e">
        <f ca="1">INDIRECT("'["&amp;$C$1&amp;".xls]"&amp;$B648&amp;"'!$Y$22")</f>
        <v>#REF!</v>
      </c>
      <c r="AW648" s="93" t="e">
        <f ca="1">INDIRECT("'["&amp;$C$1&amp;".xls]"&amp;$B648&amp;"'!$Y$24")</f>
        <v>#REF!</v>
      </c>
      <c r="AX648" s="93" t="e">
        <f ca="1">INDIRECT("'["&amp;$C$1&amp;".xls]"&amp;$B648&amp;"'!$Y$26")</f>
        <v>#REF!</v>
      </c>
      <c r="AY648" s="93" t="e">
        <f ca="1">INDIRECT("'["&amp;$C$1&amp;".xls]"&amp;$B648&amp;"'!$Y$28")</f>
        <v>#REF!</v>
      </c>
    </row>
    <row r="649" spans="1:52" ht="16.5" customHeight="1" x14ac:dyDescent="0.15">
      <c r="A649" s="182" t="s">
        <v>6677</v>
      </c>
      <c r="B649" s="183" t="s">
        <v>6678</v>
      </c>
      <c r="C649" s="48" t="s">
        <v>330</v>
      </c>
      <c r="D649" s="62" t="s">
        <v>263</v>
      </c>
      <c r="E649" s="48" t="s">
        <v>6625</v>
      </c>
      <c r="F649" s="61">
        <v>42629</v>
      </c>
      <c r="G649" s="61">
        <v>0</v>
      </c>
      <c r="H649" s="125">
        <v>42674</v>
      </c>
      <c r="I649" s="61">
        <v>40074</v>
      </c>
      <c r="J649" s="87"/>
      <c r="K649" s="124" t="s">
        <v>5866</v>
      </c>
      <c r="L649" s="124" t="s">
        <v>5866</v>
      </c>
      <c r="M649" s="62" t="s">
        <v>394</v>
      </c>
      <c r="N649" s="62" t="s">
        <v>6679</v>
      </c>
      <c r="O649" s="48" t="s">
        <v>396</v>
      </c>
      <c r="P649" s="48" t="s">
        <v>1425</v>
      </c>
      <c r="Q649" s="48" t="s">
        <v>2269</v>
      </c>
      <c r="R649" s="48" t="s">
        <v>399</v>
      </c>
      <c r="S649" s="48" t="s">
        <v>400</v>
      </c>
      <c r="T649" s="48" t="s">
        <v>401</v>
      </c>
      <c r="U649" s="48" t="s">
        <v>4831</v>
      </c>
      <c r="V649" s="122" t="s">
        <v>263</v>
      </c>
      <c r="W649" s="122" t="s">
        <v>263</v>
      </c>
      <c r="X649" s="48" t="s">
        <v>6680</v>
      </c>
      <c r="Y649" s="48" t="s">
        <v>6681</v>
      </c>
      <c r="Z649" s="61"/>
      <c r="AA649" s="48" t="s">
        <v>273</v>
      </c>
      <c r="AB649" s="48" t="s">
        <v>273</v>
      </c>
      <c r="AC649" s="48" t="s">
        <v>273</v>
      </c>
      <c r="AD649" s="48" t="s">
        <v>273</v>
      </c>
      <c r="AE649" s="48" t="s">
        <v>273</v>
      </c>
      <c r="AF649" s="48" t="s">
        <v>273</v>
      </c>
      <c r="AG649" s="48" t="s">
        <v>273</v>
      </c>
      <c r="AH649" s="48" t="s">
        <v>273</v>
      </c>
      <c r="AI649" s="48" t="s">
        <v>273</v>
      </c>
      <c r="AJ649" s="48" t="s">
        <v>273</v>
      </c>
      <c r="AK649" s="48" t="s">
        <v>273</v>
      </c>
      <c r="AL649" s="48" t="s">
        <v>273</v>
      </c>
      <c r="AM649" s="48" t="s">
        <v>273</v>
      </c>
      <c r="AN649" s="48" t="s">
        <v>273</v>
      </c>
      <c r="AO649" s="48" t="s">
        <v>273</v>
      </c>
      <c r="AP649" s="48" t="s">
        <v>273</v>
      </c>
      <c r="AQ649" s="48" t="s">
        <v>273</v>
      </c>
      <c r="AR649" s="48" t="s">
        <v>273</v>
      </c>
      <c r="AS649" s="48" t="s">
        <v>273</v>
      </c>
      <c r="AT649" s="48" t="s">
        <v>273</v>
      </c>
      <c r="AU649" s="93">
        <v>39814</v>
      </c>
      <c r="AV649" s="93" t="s">
        <v>6682</v>
      </c>
      <c r="AW649" s="93" t="s">
        <v>6683</v>
      </c>
      <c r="AX649" s="93" t="s">
        <v>273</v>
      </c>
      <c r="AY649" s="93" t="s">
        <v>6684</v>
      </c>
    </row>
    <row r="650" spans="1:52" ht="16.5" customHeight="1" x14ac:dyDescent="0.15">
      <c r="A650" s="182" t="s">
        <v>6685</v>
      </c>
      <c r="B650" s="183" t="s">
        <v>6686</v>
      </c>
      <c r="C650" s="48" t="s">
        <v>6687</v>
      </c>
      <c r="D650" s="62" t="s">
        <v>263</v>
      </c>
      <c r="E650" s="48" t="s">
        <v>264</v>
      </c>
      <c r="F650" s="61">
        <v>42629</v>
      </c>
      <c r="G650" s="61">
        <v>0</v>
      </c>
      <c r="H650" s="125">
        <v>42696</v>
      </c>
      <c r="I650" s="61">
        <v>41669</v>
      </c>
      <c r="J650" s="87"/>
      <c r="K650" s="62" t="s">
        <v>2506</v>
      </c>
      <c r="L650" s="62">
        <v>3</v>
      </c>
      <c r="M650" s="62" t="s">
        <v>471</v>
      </c>
      <c r="N650" s="62" t="s">
        <v>6688</v>
      </c>
      <c r="O650" s="48" t="s">
        <v>502</v>
      </c>
      <c r="P650" s="48" t="s">
        <v>556</v>
      </c>
      <c r="Q650" s="48" t="s">
        <v>6689</v>
      </c>
      <c r="R650" s="48" t="s">
        <v>399</v>
      </c>
      <c r="S650" s="48" t="s">
        <v>400</v>
      </c>
      <c r="T650" s="48" t="s">
        <v>401</v>
      </c>
      <c r="U650" s="48" t="s">
        <v>6690</v>
      </c>
      <c r="V650" s="122" t="s">
        <v>263</v>
      </c>
      <c r="W650" s="122" t="s">
        <v>263</v>
      </c>
      <c r="X650" s="48" t="s">
        <v>6691</v>
      </c>
      <c r="Y650" s="48" t="s">
        <v>6692</v>
      </c>
      <c r="Z650" s="61"/>
      <c r="AA650" s="48" t="s">
        <v>1356</v>
      </c>
      <c r="AB650" s="48" t="s">
        <v>273</v>
      </c>
      <c r="AC650" s="48" t="s">
        <v>273</v>
      </c>
      <c r="AD650" s="48" t="s">
        <v>273</v>
      </c>
      <c r="AE650" s="48" t="s">
        <v>273</v>
      </c>
      <c r="AF650" s="48" t="s">
        <v>273</v>
      </c>
      <c r="AG650" s="48" t="s">
        <v>273</v>
      </c>
      <c r="AH650" s="48" t="s">
        <v>273</v>
      </c>
      <c r="AI650" s="48" t="s">
        <v>273</v>
      </c>
      <c r="AJ650" s="48" t="s">
        <v>273</v>
      </c>
      <c r="AK650" s="48" t="s">
        <v>1357</v>
      </c>
      <c r="AL650" s="48" t="s">
        <v>273</v>
      </c>
      <c r="AM650" s="48" t="s">
        <v>273</v>
      </c>
      <c r="AN650" s="48" t="s">
        <v>273</v>
      </c>
      <c r="AO650" s="48" t="s">
        <v>273</v>
      </c>
      <c r="AP650" s="48" t="s">
        <v>273</v>
      </c>
      <c r="AQ650" s="48" t="s">
        <v>273</v>
      </c>
      <c r="AR650" s="48" t="s">
        <v>273</v>
      </c>
      <c r="AS650" s="48" t="s">
        <v>273</v>
      </c>
      <c r="AT650" s="48" t="s">
        <v>273</v>
      </c>
      <c r="AU650" s="93">
        <v>41487</v>
      </c>
      <c r="AV650" s="93" t="s">
        <v>6693</v>
      </c>
      <c r="AW650" s="93" t="s">
        <v>6694</v>
      </c>
      <c r="AX650" s="93" t="s">
        <v>6695</v>
      </c>
      <c r="AY650" s="93" t="s">
        <v>6526</v>
      </c>
    </row>
    <row r="651" spans="1:52" ht="16.5" customHeight="1" x14ac:dyDescent="0.15">
      <c r="A651" s="182" t="s">
        <v>6696</v>
      </c>
      <c r="B651" s="183" t="s">
        <v>6697</v>
      </c>
      <c r="C651" s="48" t="s">
        <v>6698</v>
      </c>
      <c r="D651" s="62" t="s">
        <v>6699</v>
      </c>
      <c r="E651" s="48" t="s">
        <v>264</v>
      </c>
      <c r="F651" s="61">
        <v>42629</v>
      </c>
      <c r="G651" s="61">
        <v>0</v>
      </c>
      <c r="H651" s="125">
        <v>42654</v>
      </c>
      <c r="I651" s="61" t="s">
        <v>279</v>
      </c>
      <c r="J651" s="87"/>
      <c r="K651" s="62" t="s">
        <v>16</v>
      </c>
      <c r="L651" s="62">
        <v>3</v>
      </c>
      <c r="M651" s="62" t="s">
        <v>209</v>
      </c>
      <c r="N651" s="62" t="s">
        <v>6700</v>
      </c>
      <c r="O651" s="48" t="s">
        <v>4222</v>
      </c>
      <c r="P651" s="48" t="s">
        <v>1029</v>
      </c>
      <c r="Q651" s="48" t="s">
        <v>6701</v>
      </c>
      <c r="R651" s="48" t="s">
        <v>4857</v>
      </c>
      <c r="S651" s="48" t="s">
        <v>1032</v>
      </c>
      <c r="T651" s="48" t="s">
        <v>6702</v>
      </c>
      <c r="U651" s="48" t="s">
        <v>6703</v>
      </c>
      <c r="V651" s="48" t="s">
        <v>6704</v>
      </c>
      <c r="W651" s="48" t="s">
        <v>4226</v>
      </c>
      <c r="X651" s="48" t="s">
        <v>6705</v>
      </c>
      <c r="Y651" s="48" t="s">
        <v>6706</v>
      </c>
      <c r="Z651" s="61"/>
      <c r="AA651" s="48" t="s">
        <v>327</v>
      </c>
      <c r="AB651" s="48" t="s">
        <v>273</v>
      </c>
      <c r="AC651" s="48" t="s">
        <v>273</v>
      </c>
      <c r="AD651" s="48" t="s">
        <v>273</v>
      </c>
      <c r="AE651" s="48" t="s">
        <v>273</v>
      </c>
      <c r="AF651" s="48" t="s">
        <v>273</v>
      </c>
      <c r="AG651" s="48" t="s">
        <v>273</v>
      </c>
      <c r="AH651" s="48" t="s">
        <v>273</v>
      </c>
      <c r="AI651" s="48" t="s">
        <v>273</v>
      </c>
      <c r="AJ651" s="48" t="s">
        <v>273</v>
      </c>
      <c r="AK651" s="48" t="s">
        <v>274</v>
      </c>
      <c r="AL651" s="48" t="s">
        <v>273</v>
      </c>
      <c r="AM651" s="48" t="s">
        <v>273</v>
      </c>
      <c r="AN651" s="48" t="s">
        <v>273</v>
      </c>
      <c r="AO651" s="48" t="s">
        <v>273</v>
      </c>
      <c r="AP651" s="48" t="s">
        <v>273</v>
      </c>
      <c r="AQ651" s="48" t="s">
        <v>273</v>
      </c>
      <c r="AR651" s="48" t="s">
        <v>273</v>
      </c>
      <c r="AS651" s="48" t="s">
        <v>273</v>
      </c>
      <c r="AT651" s="48" t="s">
        <v>273</v>
      </c>
      <c r="AU651" s="93">
        <v>41699</v>
      </c>
      <c r="AV651" s="93" t="s">
        <v>6707</v>
      </c>
      <c r="AW651" s="93" t="s">
        <v>6708</v>
      </c>
      <c r="AX651" s="93" t="s">
        <v>6167</v>
      </c>
      <c r="AY651" s="93" t="s">
        <v>5312</v>
      </c>
    </row>
    <row r="652" spans="1:52" ht="16.5" customHeight="1" x14ac:dyDescent="0.15">
      <c r="A652" s="211" t="s">
        <v>6709</v>
      </c>
      <c r="B652" s="47" t="s">
        <v>6710</v>
      </c>
      <c r="C652" s="48" t="e">
        <f ca="1">INDIRECT("'["&amp;$C$1&amp;".xls]"&amp;$B652&amp;"'!$i$7")</f>
        <v>#REF!</v>
      </c>
      <c r="D652" s="62" t="e">
        <f ca="1">INDIRECT("'["&amp;$C$1&amp;".xls]"&amp;$B652&amp;"'!$b$7")</f>
        <v>#REF!</v>
      </c>
      <c r="E652" s="48" t="e">
        <f ca="1">IF(INDIRECT("'["&amp;$C$1&amp;".xls]"&amp;$B652&amp;"'!$i$2")="","",INDIRECT("'["&amp;$C$1&amp;".xls]"&amp;$B652&amp;"'!$i$2"))</f>
        <v>#REF!</v>
      </c>
      <c r="F652" s="61" t="e">
        <f ca="1">INDIRECT("'["&amp;$C$1&amp;".xls]"&amp;$B652&amp;"'!$b$2")</f>
        <v>#REF!</v>
      </c>
      <c r="G652" s="61" t="e">
        <f ca="1">INDIRECT("'["&amp;$C$1&amp;".xls]"&amp;$B652&amp;"'!$a$20")</f>
        <v>#REF!</v>
      </c>
      <c r="H652" s="88" t="e">
        <f ca="1">INDIRECT("'["&amp;$C$1&amp;".xls]"&amp;$B652&amp;"'!$Q$22")</f>
        <v>#REF!</v>
      </c>
      <c r="I652" s="61" t="e">
        <f ca="1">INDIRECT("'["&amp;$C$1&amp;".xls]"&amp;$B652&amp;"'!$f$6")</f>
        <v>#REF!</v>
      </c>
      <c r="J652" s="87"/>
      <c r="K652" s="124" t="s">
        <v>4232</v>
      </c>
      <c r="L652" s="124" t="s">
        <v>4232</v>
      </c>
      <c r="M652" s="62" t="e">
        <f ca="1">INDIRECT("'["&amp;$C$1&amp;".xls]"&amp;$B652&amp;"'!$f$4")</f>
        <v>#REF!</v>
      </c>
      <c r="N652" s="62" t="e">
        <f ca="1">INDIRECT("'["&amp;$C$1&amp;".xls]"&amp;$B652&amp;"'!$i$4")</f>
        <v>#REF!</v>
      </c>
      <c r="O652" s="48" t="e">
        <f ca="1">INDIRECT("'["&amp;$C$1&amp;".xls]"&amp;$B652&amp;"'!$l$4")</f>
        <v>#REF!</v>
      </c>
      <c r="P652" s="48" t="e">
        <f ca="1">INDIRECT("'["&amp;$C$1&amp;".xls]"&amp;$B652&amp;"'!$b$5")</f>
        <v>#REF!</v>
      </c>
      <c r="Q652" s="48" t="e">
        <f ca="1">INDIRECT("'["&amp;$C$1&amp;".xls]"&amp;$B652&amp;"'!$f$5")</f>
        <v>#REF!</v>
      </c>
      <c r="R652" s="48" t="s">
        <v>6711</v>
      </c>
      <c r="S652" s="48" t="e">
        <f ca="1">INDIRECT("'["&amp;$C$1&amp;".xls]"&amp;$B652&amp;"'!$i$5")</f>
        <v>#REF!</v>
      </c>
      <c r="T652" s="48" t="e">
        <f ca="1">INDIRECT("'["&amp;$C$1&amp;".xls]"&amp;$B652&amp;"'!$l$5")</f>
        <v>#REF!</v>
      </c>
      <c r="U652" s="48" t="e">
        <f ca="1">INDIRECT("'["&amp;$C$1&amp;".xls]"&amp;$B652&amp;"'!$b$4")</f>
        <v>#REF!</v>
      </c>
      <c r="V652" s="122" t="s">
        <v>4232</v>
      </c>
      <c r="W652" s="122" t="s">
        <v>4232</v>
      </c>
      <c r="X652" s="48" t="s">
        <v>6712</v>
      </c>
      <c r="Y652" s="48" t="s">
        <v>6713</v>
      </c>
      <c r="Z652" s="61"/>
      <c r="AA652" s="48" t="e">
        <f ca="1">IF(INDIRECT("'["&amp;$C$1&amp;".xls]"&amp;$B652&amp;"'!$P$25")="","",IF(INDIRECT("'["&amp;$C$1&amp;".xls]"&amp;$B652&amp;"'!$O$25")="済み",INDIRECT("'["&amp;$C$1&amp;".xls]"&amp;$B652&amp;"'!$P$25"),""))</f>
        <v>#REF!</v>
      </c>
      <c r="AB652" s="48" t="e">
        <f ca="1">IF(INDIRECT("'["&amp;$C$1&amp;".xls]"&amp;$B652&amp;"'!$P$26")="","",IF(INDIRECT("'["&amp;$C$1&amp;".xls]"&amp;$B652&amp;"'!$O$26")="済み",INDIRECT("'["&amp;$C$1&amp;".xls]"&amp;$B652&amp;"'!$P$26"),""))</f>
        <v>#REF!</v>
      </c>
      <c r="AC652" s="48" t="e">
        <f ca="1">IF(INDIRECT("'["&amp;$C$1&amp;".xls]"&amp;$B652&amp;"'!$P$27")="","",IF(INDIRECT("'["&amp;$C$1&amp;".xls]"&amp;$B652&amp;"'!$O$27")="済み",INDIRECT("'["&amp;$C$1&amp;".xls]"&amp;$B652&amp;"'!$P$27"),""))</f>
        <v>#REF!</v>
      </c>
      <c r="AD652" s="48" t="e">
        <f ca="1">IF(INDIRECT("'["&amp;$C$1&amp;".xls]"&amp;$B652&amp;"'!$P$28")="","",IF(INDIRECT("'["&amp;$C$1&amp;".xls]"&amp;$B652&amp;"'!$O$28")="済み",INDIRECT("'["&amp;$C$1&amp;".xls]"&amp;$B652&amp;"'!$P$28"),""))</f>
        <v>#REF!</v>
      </c>
      <c r="AE652" s="48" t="e">
        <f ca="1">IF(INDIRECT("'["&amp;$C$1&amp;".xls]"&amp;$B652&amp;"'!$P$29")="","",IF(INDIRECT("'["&amp;$C$1&amp;".xls]"&amp;$B652&amp;"'!$O$29")="済み",INDIRECT("'["&amp;$C$1&amp;".xls]"&amp;$B652&amp;"'!$P$29"),""))</f>
        <v>#REF!</v>
      </c>
      <c r="AF652" s="48" t="e">
        <f ca="1">IF(INDIRECT("'["&amp;$C$1&amp;".xls]"&amp;$B652&amp;"'!$P$30")="","",IF(INDIRECT("'["&amp;$C$1&amp;".xls]"&amp;$B652&amp;"'!$O$30")="済み",INDIRECT("'["&amp;$C$1&amp;".xls]"&amp;$B652&amp;"'!$P$30"),""))</f>
        <v>#REF!</v>
      </c>
      <c r="AG652" s="48" t="e">
        <f ca="1">IF(INDIRECT("'["&amp;$C$1&amp;".xls]"&amp;$B652&amp;"'!$P$31")="","",IF(INDIRECT("'["&amp;$C$1&amp;".xls]"&amp;$B652&amp;"'!$O$31")="済み",INDIRECT("'["&amp;$C$1&amp;".xls]"&amp;$B652&amp;"'!$P$31"),""))</f>
        <v>#REF!</v>
      </c>
      <c r="AH652" s="48" t="e">
        <f ca="1">IF(INDIRECT("'["&amp;$C$1&amp;".xls]"&amp;$B652&amp;"'!$P$32")="","",IF(INDIRECT("'["&amp;$C$1&amp;".xls]"&amp;$B652&amp;"'!$O$32")="済み",INDIRECT("'["&amp;$C$1&amp;".xls]"&amp;$B652&amp;"'!$P$32"),""))</f>
        <v>#REF!</v>
      </c>
      <c r="AI652" s="48" t="e">
        <f ca="1">IF(INDIRECT("'["&amp;$C$1&amp;".xls]"&amp;$B652&amp;"'!$P$33")="","",IF(INDIRECT("'["&amp;$C$1&amp;".xls]"&amp;$B652&amp;"'!$O$33")="済み",INDIRECT("'["&amp;$C$1&amp;".xls]"&amp;$B652&amp;"'!$P$33"),""))</f>
        <v>#REF!</v>
      </c>
      <c r="AJ652" s="48" t="e">
        <f ca="1">IF(INDIRECT("'["&amp;$C$1&amp;".xls]"&amp;$B652&amp;"'!$P$34")="","",IF(INDIRECT("'["&amp;$C$1&amp;".xls]"&amp;$B652&amp;"'!$O$34")="済み",INDIRECT("'["&amp;$C$1&amp;".xls]"&amp;$B652&amp;"'!$P$34"),""))</f>
        <v>#REF!</v>
      </c>
      <c r="AK652" s="48" t="e">
        <f ca="1">IF(INDIRECT("'["&amp;$C$1&amp;".xls]"&amp;$B652&amp;"'!$T25")="","",IF(INDIRECT("'["&amp;$C$1&amp;".xls]"&amp;$B652&amp;"'!$O$25")="済み",INDIRECT("'["&amp;$C$1&amp;".xls]"&amp;$B652&amp;"'!$T$25"),""))</f>
        <v>#REF!</v>
      </c>
      <c r="AL652" s="48" t="e">
        <f ca="1">IF(INDIRECT("'["&amp;$C$1&amp;".xls]"&amp;$B652&amp;"'!$T26")="","",IF(INDIRECT("'["&amp;$C$1&amp;".xls]"&amp;$B652&amp;"'!$O$26")="済み",INDIRECT("'["&amp;$C$1&amp;".xls]"&amp;$B652&amp;"'!$T$26"),""))</f>
        <v>#REF!</v>
      </c>
      <c r="AM652" s="48" t="e">
        <f ca="1">IF(INDIRECT("'["&amp;$C$1&amp;".xls]"&amp;$B652&amp;"'!$T27")="","",IF(INDIRECT("'["&amp;$C$1&amp;".xls]"&amp;$B652&amp;"'!$O$27")="済み",INDIRECT("'["&amp;$C$1&amp;".xls]"&amp;$B652&amp;"'!$T$27"),""))</f>
        <v>#REF!</v>
      </c>
      <c r="AN652" s="48" t="e">
        <f ca="1">IF(INDIRECT("'["&amp;$C$1&amp;".xls]"&amp;$B652&amp;"'!$T28")="","",IF(INDIRECT("'["&amp;$C$1&amp;".xls]"&amp;$B652&amp;"'!$O$28")="済み",INDIRECT("'["&amp;$C$1&amp;".xls]"&amp;$B652&amp;"'!$T$28"),""))</f>
        <v>#REF!</v>
      </c>
      <c r="AO652" s="48" t="e">
        <f ca="1">IF(INDIRECT("'["&amp;$C$1&amp;".xls]"&amp;$B652&amp;"'!$T29")="","",IF(INDIRECT("'["&amp;$C$1&amp;".xls]"&amp;$B652&amp;"'!$O$29")="済み",INDIRECT("'["&amp;$C$1&amp;".xls]"&amp;$B652&amp;"'!$T$29"),""))</f>
        <v>#REF!</v>
      </c>
      <c r="AP652" s="48" t="e">
        <f ca="1">IF(INDIRECT("'["&amp;$C$1&amp;".xls]"&amp;$B652&amp;"'!$T30")="","",IF(INDIRECT("'["&amp;$C$1&amp;".xls]"&amp;$B652&amp;"'!$O$30")="済み",INDIRECT("'["&amp;$C$1&amp;".xls]"&amp;$B652&amp;"'!$T$30"),""))</f>
        <v>#REF!</v>
      </c>
      <c r="AQ652" s="48" t="e">
        <f ca="1">IF(INDIRECT("'["&amp;$C$1&amp;".xls]"&amp;$B652&amp;"'!$T31")="","",IF(INDIRECT("'["&amp;$C$1&amp;".xls]"&amp;$B652&amp;"'!$O$31")="済み",INDIRECT("'["&amp;$C$1&amp;".xls]"&amp;$B652&amp;"'!$T$31"),""))</f>
        <v>#REF!</v>
      </c>
      <c r="AR652" s="48" t="e">
        <f ca="1">IF(INDIRECT("'["&amp;$C$1&amp;".xls]"&amp;$B652&amp;"'!$T32")="","",IF(INDIRECT("'["&amp;$C$1&amp;".xls]"&amp;$B652&amp;"'!$O$32")="済み",INDIRECT("'["&amp;$C$1&amp;".xls]"&amp;$B652&amp;"'!$T$32"),""))</f>
        <v>#REF!</v>
      </c>
      <c r="AS652" s="48" t="e">
        <f ca="1">IF(INDIRECT("'["&amp;$C$1&amp;".xls]"&amp;$B652&amp;"'!$T33")="","",IF(INDIRECT("'["&amp;$C$1&amp;".xls]"&amp;$B652&amp;"'!$O$33")="済み",INDIRECT("'["&amp;$C$1&amp;".xls]"&amp;$B652&amp;"'!$T$33"),""))</f>
        <v>#REF!</v>
      </c>
      <c r="AT652" s="48" t="e">
        <f ca="1">IF(INDIRECT("'["&amp;$C$1&amp;".xls]"&amp;$B652&amp;"'!$T34")="","",IF(INDIRECT("'["&amp;$C$1&amp;".xls]"&amp;$B652&amp;"'!$O$34")="済み",INDIRECT("'["&amp;$C$1&amp;".xls]"&amp;$B652&amp;"'!$T$34"),""))</f>
        <v>#REF!</v>
      </c>
      <c r="AU652" s="93" t="e">
        <f ca="1">INDIRECT("'["&amp;$C$1&amp;".xls]"&amp;$B652&amp;"'!$B$6")</f>
        <v>#REF!</v>
      </c>
      <c r="AV652" s="93" t="e">
        <f ca="1">INDIRECT("'["&amp;$C$1&amp;".xls]"&amp;$B652&amp;"'!$Y$22")</f>
        <v>#REF!</v>
      </c>
      <c r="AW652" s="93" t="e">
        <f ca="1">INDIRECT("'["&amp;$C$1&amp;".xls]"&amp;$B652&amp;"'!$Y$24")</f>
        <v>#REF!</v>
      </c>
      <c r="AX652" s="93" t="e">
        <f ca="1">INDIRECT("'["&amp;$C$1&amp;".xls]"&amp;$B652&amp;"'!$Y$26")</f>
        <v>#REF!</v>
      </c>
      <c r="AY652" s="93" t="e">
        <f ca="1">INDIRECT("'["&amp;$C$1&amp;".xls]"&amp;$B652&amp;"'!$Y$28")</f>
        <v>#REF!</v>
      </c>
      <c r="AZ652" s="49" t="s">
        <v>6714</v>
      </c>
    </row>
    <row r="653" spans="1:52" ht="16.5" customHeight="1" x14ac:dyDescent="0.15">
      <c r="A653" s="182" t="s">
        <v>6715</v>
      </c>
      <c r="B653" s="183" t="s">
        <v>6716</v>
      </c>
      <c r="C653" s="48" t="s">
        <v>6717</v>
      </c>
      <c r="D653" s="62" t="s">
        <v>263</v>
      </c>
      <c r="E653" s="48" t="s">
        <v>264</v>
      </c>
      <c r="F653" s="61">
        <v>42629</v>
      </c>
      <c r="G653" s="61">
        <v>0</v>
      </c>
      <c r="H653" s="125">
        <v>42663</v>
      </c>
      <c r="I653" s="61">
        <v>41802</v>
      </c>
      <c r="J653" s="87"/>
      <c r="K653" s="62" t="s">
        <v>2506</v>
      </c>
      <c r="L653" s="62">
        <v>3</v>
      </c>
      <c r="M653" s="62" t="s">
        <v>471</v>
      </c>
      <c r="N653" s="62" t="s">
        <v>6718</v>
      </c>
      <c r="O653" s="48" t="s">
        <v>502</v>
      </c>
      <c r="P653" s="48" t="s">
        <v>524</v>
      </c>
      <c r="Q653" s="48" t="s">
        <v>525</v>
      </c>
      <c r="R653" s="48" t="s">
        <v>399</v>
      </c>
      <c r="S653" s="48" t="s">
        <v>400</v>
      </c>
      <c r="T653" s="48" t="s">
        <v>401</v>
      </c>
      <c r="U653" s="48" t="s">
        <v>1783</v>
      </c>
      <c r="V653" s="122" t="s">
        <v>263</v>
      </c>
      <c r="W653" s="122" t="s">
        <v>263</v>
      </c>
      <c r="X653" s="48" t="s">
        <v>1784</v>
      </c>
      <c r="Y653" s="48" t="s">
        <v>1785</v>
      </c>
      <c r="Z653" s="61"/>
      <c r="AA653" s="48" t="s">
        <v>1158</v>
      </c>
      <c r="AB653" s="48" t="s">
        <v>1159</v>
      </c>
      <c r="AC653" s="48" t="s">
        <v>273</v>
      </c>
      <c r="AD653" s="48" t="s">
        <v>273</v>
      </c>
      <c r="AE653" s="48" t="s">
        <v>273</v>
      </c>
      <c r="AF653" s="48" t="s">
        <v>273</v>
      </c>
      <c r="AG653" s="48" t="s">
        <v>273</v>
      </c>
      <c r="AH653" s="48" t="s">
        <v>273</v>
      </c>
      <c r="AI653" s="48" t="s">
        <v>273</v>
      </c>
      <c r="AJ653" s="48" t="s">
        <v>273</v>
      </c>
      <c r="AK653" s="48" t="s">
        <v>1160</v>
      </c>
      <c r="AL653" s="48" t="s">
        <v>1161</v>
      </c>
      <c r="AM653" s="48" t="s">
        <v>273</v>
      </c>
      <c r="AN653" s="48" t="s">
        <v>273</v>
      </c>
      <c r="AO653" s="48" t="s">
        <v>273</v>
      </c>
      <c r="AP653" s="48" t="s">
        <v>273</v>
      </c>
      <c r="AQ653" s="48" t="s">
        <v>273</v>
      </c>
      <c r="AR653" s="48" t="s">
        <v>273</v>
      </c>
      <c r="AS653" s="48" t="s">
        <v>273</v>
      </c>
      <c r="AT653" s="48" t="s">
        <v>273</v>
      </c>
      <c r="AU653" s="93">
        <v>41671</v>
      </c>
      <c r="AV653" s="93" t="s">
        <v>6719</v>
      </c>
      <c r="AW653" s="93" t="s">
        <v>6720</v>
      </c>
      <c r="AX653" s="93" t="s">
        <v>6721</v>
      </c>
      <c r="AY653" s="93" t="s">
        <v>5312</v>
      </c>
    </row>
    <row r="654" spans="1:52" ht="16.5" customHeight="1" x14ac:dyDescent="0.15">
      <c r="A654" s="156" t="s">
        <v>6722</v>
      </c>
      <c r="B654" s="157" t="s">
        <v>6723</v>
      </c>
      <c r="C654" s="48" t="s">
        <v>330</v>
      </c>
      <c r="D654" s="62" t="s">
        <v>263</v>
      </c>
      <c r="E654" s="48" t="s">
        <v>6625</v>
      </c>
      <c r="F654" s="61">
        <v>42633</v>
      </c>
      <c r="G654" s="61">
        <v>0</v>
      </c>
      <c r="H654" s="125">
        <v>42642</v>
      </c>
      <c r="I654" s="61">
        <v>39212</v>
      </c>
      <c r="J654" s="87"/>
      <c r="K654" s="124" t="s">
        <v>263</v>
      </c>
      <c r="L654" s="124" t="s">
        <v>263</v>
      </c>
      <c r="M654" s="62" t="s">
        <v>394</v>
      </c>
      <c r="N654" s="62" t="s">
        <v>6724</v>
      </c>
      <c r="O654" s="48" t="s">
        <v>396</v>
      </c>
      <c r="P654" s="48" t="s">
        <v>696</v>
      </c>
      <c r="Q654" s="48" t="s">
        <v>1494</v>
      </c>
      <c r="R654" s="48" t="s">
        <v>399</v>
      </c>
      <c r="S654" s="48" t="s">
        <v>400</v>
      </c>
      <c r="T654" s="48" t="s">
        <v>401</v>
      </c>
      <c r="U654" s="48" t="s">
        <v>6725</v>
      </c>
      <c r="V654" s="48"/>
      <c r="W654" s="48"/>
      <c r="X654" s="48"/>
      <c r="Y654" s="48"/>
      <c r="Z654" s="61"/>
      <c r="AA654" s="48" t="s">
        <v>273</v>
      </c>
      <c r="AB654" s="48" t="s">
        <v>273</v>
      </c>
      <c r="AC654" s="48" t="s">
        <v>273</v>
      </c>
      <c r="AD654" s="48" t="s">
        <v>273</v>
      </c>
      <c r="AE654" s="48" t="s">
        <v>273</v>
      </c>
      <c r="AF654" s="48" t="s">
        <v>273</v>
      </c>
      <c r="AG654" s="48" t="s">
        <v>273</v>
      </c>
      <c r="AH654" s="48" t="s">
        <v>273</v>
      </c>
      <c r="AI654" s="48" t="s">
        <v>273</v>
      </c>
      <c r="AJ654" s="48" t="s">
        <v>273</v>
      </c>
      <c r="AK654" s="48" t="s">
        <v>273</v>
      </c>
      <c r="AL654" s="48" t="s">
        <v>273</v>
      </c>
      <c r="AM654" s="48" t="s">
        <v>273</v>
      </c>
      <c r="AN654" s="48" t="s">
        <v>273</v>
      </c>
      <c r="AO654" s="48" t="s">
        <v>273</v>
      </c>
      <c r="AP654" s="48" t="s">
        <v>273</v>
      </c>
      <c r="AQ654" s="48" t="s">
        <v>273</v>
      </c>
      <c r="AR654" s="48" t="s">
        <v>273</v>
      </c>
      <c r="AS654" s="48" t="s">
        <v>273</v>
      </c>
      <c r="AT654" s="48" t="s">
        <v>273</v>
      </c>
      <c r="AU654" s="93">
        <v>39114</v>
      </c>
      <c r="AV654" s="93" t="s">
        <v>6726</v>
      </c>
      <c r="AW654" s="93" t="s">
        <v>6727</v>
      </c>
      <c r="AX654" s="93" t="s">
        <v>6728</v>
      </c>
      <c r="AY654" s="93" t="s">
        <v>6729</v>
      </c>
    </row>
    <row r="655" spans="1:52" ht="16.5" customHeight="1" x14ac:dyDescent="0.15">
      <c r="A655" s="121" t="s">
        <v>6730</v>
      </c>
      <c r="B655" s="47" t="s">
        <v>6731</v>
      </c>
      <c r="C655" s="48" t="e">
        <f ca="1">INDIRECT("'["&amp;$C$1&amp;".xls]"&amp;$B655&amp;"'!$i$7")</f>
        <v>#REF!</v>
      </c>
      <c r="D655" s="62" t="e">
        <f ca="1">INDIRECT("'["&amp;$C$1&amp;".xls]"&amp;$B655&amp;"'!$b$7")</f>
        <v>#REF!</v>
      </c>
      <c r="E655" s="48" t="e">
        <f ca="1">IF(INDIRECT("'["&amp;$C$1&amp;".xls]"&amp;$B655&amp;"'!$i$2")="","",INDIRECT("'["&amp;$C$1&amp;".xls]"&amp;$B655&amp;"'!$i$2"))</f>
        <v>#REF!</v>
      </c>
      <c r="F655" s="61" t="e">
        <f ca="1">INDIRECT("'["&amp;$C$1&amp;".xls]"&amp;$B655&amp;"'!$b$2")</f>
        <v>#REF!</v>
      </c>
      <c r="G655" s="61" t="e">
        <f ca="1">INDIRECT("'["&amp;$C$1&amp;".xls]"&amp;$B655&amp;"'!$a$20")</f>
        <v>#REF!</v>
      </c>
      <c r="H655" s="88" t="e">
        <f ca="1">INDIRECT("'["&amp;$C$1&amp;".xls]"&amp;$B655&amp;"'!$Q$22")</f>
        <v>#REF!</v>
      </c>
      <c r="I655" s="61" t="e">
        <f ca="1">INDIRECT("'["&amp;$C$1&amp;".xls]"&amp;$B655&amp;"'!$f$6")</f>
        <v>#REF!</v>
      </c>
      <c r="J655" s="87"/>
      <c r="K655" s="62" t="e">
        <f ca="1">INDIRECT("'["&amp;$C$1&amp;".xls]"&amp;$B655&amp;"'!$f$25")</f>
        <v>#REF!</v>
      </c>
      <c r="L655" s="62"/>
      <c r="M655" s="62" t="e">
        <f ca="1">INDIRECT("'["&amp;$C$1&amp;".xls]"&amp;$B655&amp;"'!$f$4")</f>
        <v>#REF!</v>
      </c>
      <c r="N655" s="62" t="e">
        <f ca="1">INDIRECT("'["&amp;$C$1&amp;".xls]"&amp;$B655&amp;"'!$i$4")</f>
        <v>#REF!</v>
      </c>
      <c r="O655" s="48" t="e">
        <f ca="1">INDIRECT("'["&amp;$C$1&amp;".xls]"&amp;$B655&amp;"'!$l$4")</f>
        <v>#REF!</v>
      </c>
      <c r="P655" s="48" t="e">
        <f ca="1">INDIRECT("'["&amp;$C$1&amp;".xls]"&amp;$B655&amp;"'!$b$5")</f>
        <v>#REF!</v>
      </c>
      <c r="Q655" s="48" t="e">
        <f ca="1">INDIRECT("'["&amp;$C$1&amp;".xls]"&amp;$B655&amp;"'!$f$5")</f>
        <v>#REF!</v>
      </c>
      <c r="R655" s="48"/>
      <c r="S655" s="48" t="e">
        <f ca="1">INDIRECT("'["&amp;$C$1&amp;".xls]"&amp;$B655&amp;"'!$i$5")</f>
        <v>#REF!</v>
      </c>
      <c r="T655" s="48" t="e">
        <f ca="1">INDIRECT("'["&amp;$C$1&amp;".xls]"&amp;$B655&amp;"'!$l$5")</f>
        <v>#REF!</v>
      </c>
      <c r="U655" s="48" t="e">
        <f ca="1">INDIRECT("'["&amp;$C$1&amp;".xls]"&amp;$B655&amp;"'!$b$4")</f>
        <v>#REF!</v>
      </c>
      <c r="V655" s="48"/>
      <c r="W655" s="48"/>
      <c r="X655" s="48"/>
      <c r="Y655" s="48"/>
      <c r="Z655" s="61"/>
      <c r="AA655" s="48" t="e">
        <f ca="1">IF(INDIRECT("'["&amp;$C$1&amp;".xls]"&amp;$B655&amp;"'!$P$25")="","",IF(INDIRECT("'["&amp;$C$1&amp;".xls]"&amp;$B655&amp;"'!$O$25")="済み",INDIRECT("'["&amp;$C$1&amp;".xls]"&amp;$B655&amp;"'!$P$25"),""))</f>
        <v>#REF!</v>
      </c>
      <c r="AB655" s="48" t="e">
        <f ca="1">IF(INDIRECT("'["&amp;$C$1&amp;".xls]"&amp;$B655&amp;"'!$P$26")="","",IF(INDIRECT("'["&amp;$C$1&amp;".xls]"&amp;$B655&amp;"'!$O$26")="済み",INDIRECT("'["&amp;$C$1&amp;".xls]"&amp;$B655&amp;"'!$P$26"),""))</f>
        <v>#REF!</v>
      </c>
      <c r="AC655" s="48" t="e">
        <f ca="1">IF(INDIRECT("'["&amp;$C$1&amp;".xls]"&amp;$B655&amp;"'!$P$27")="","",IF(INDIRECT("'["&amp;$C$1&amp;".xls]"&amp;$B655&amp;"'!$O$27")="済み",INDIRECT("'["&amp;$C$1&amp;".xls]"&amp;$B655&amp;"'!$P$27"),""))</f>
        <v>#REF!</v>
      </c>
      <c r="AD655" s="48" t="e">
        <f ca="1">IF(INDIRECT("'["&amp;$C$1&amp;".xls]"&amp;$B655&amp;"'!$P$28")="","",IF(INDIRECT("'["&amp;$C$1&amp;".xls]"&amp;$B655&amp;"'!$O$28")="済み",INDIRECT("'["&amp;$C$1&amp;".xls]"&amp;$B655&amp;"'!$P$28"),""))</f>
        <v>#REF!</v>
      </c>
      <c r="AE655" s="48" t="e">
        <f ca="1">IF(INDIRECT("'["&amp;$C$1&amp;".xls]"&amp;$B655&amp;"'!$P$29")="","",IF(INDIRECT("'["&amp;$C$1&amp;".xls]"&amp;$B655&amp;"'!$O$29")="済み",INDIRECT("'["&amp;$C$1&amp;".xls]"&amp;$B655&amp;"'!$P$29"),""))</f>
        <v>#REF!</v>
      </c>
      <c r="AF655" s="48" t="e">
        <f ca="1">IF(INDIRECT("'["&amp;$C$1&amp;".xls]"&amp;$B655&amp;"'!$P$30")="","",IF(INDIRECT("'["&amp;$C$1&amp;".xls]"&amp;$B655&amp;"'!$O$30")="済み",INDIRECT("'["&amp;$C$1&amp;".xls]"&amp;$B655&amp;"'!$P$30"),""))</f>
        <v>#REF!</v>
      </c>
      <c r="AG655" s="48" t="e">
        <f ca="1">IF(INDIRECT("'["&amp;$C$1&amp;".xls]"&amp;$B655&amp;"'!$P$31")="","",IF(INDIRECT("'["&amp;$C$1&amp;".xls]"&amp;$B655&amp;"'!$O$31")="済み",INDIRECT("'["&amp;$C$1&amp;".xls]"&amp;$B655&amp;"'!$P$31"),""))</f>
        <v>#REF!</v>
      </c>
      <c r="AH655" s="48" t="e">
        <f ca="1">IF(INDIRECT("'["&amp;$C$1&amp;".xls]"&amp;$B655&amp;"'!$P$32")="","",IF(INDIRECT("'["&amp;$C$1&amp;".xls]"&amp;$B655&amp;"'!$O$32")="済み",INDIRECT("'["&amp;$C$1&amp;".xls]"&amp;$B655&amp;"'!$P$32"),""))</f>
        <v>#REF!</v>
      </c>
      <c r="AI655" s="48" t="e">
        <f ca="1">IF(INDIRECT("'["&amp;$C$1&amp;".xls]"&amp;$B655&amp;"'!$P$33")="","",IF(INDIRECT("'["&amp;$C$1&amp;".xls]"&amp;$B655&amp;"'!$O$33")="済み",INDIRECT("'["&amp;$C$1&amp;".xls]"&amp;$B655&amp;"'!$P$33"),""))</f>
        <v>#REF!</v>
      </c>
      <c r="AJ655" s="48" t="e">
        <f ca="1">IF(INDIRECT("'["&amp;$C$1&amp;".xls]"&amp;$B655&amp;"'!$P$34")="","",IF(INDIRECT("'["&amp;$C$1&amp;".xls]"&amp;$B655&amp;"'!$O$34")="済み",INDIRECT("'["&amp;$C$1&amp;".xls]"&amp;$B655&amp;"'!$P$34"),""))</f>
        <v>#REF!</v>
      </c>
      <c r="AK655" s="48" t="e">
        <f ca="1">IF(INDIRECT("'["&amp;$C$1&amp;".xls]"&amp;$B655&amp;"'!$T25")="","",IF(INDIRECT("'["&amp;$C$1&amp;".xls]"&amp;$B655&amp;"'!$O$25")="済み",INDIRECT("'["&amp;$C$1&amp;".xls]"&amp;$B655&amp;"'!$T$25"),""))</f>
        <v>#REF!</v>
      </c>
      <c r="AL655" s="48" t="e">
        <f ca="1">IF(INDIRECT("'["&amp;$C$1&amp;".xls]"&amp;$B655&amp;"'!$T26")="","",IF(INDIRECT("'["&amp;$C$1&amp;".xls]"&amp;$B655&amp;"'!$O$26")="済み",INDIRECT("'["&amp;$C$1&amp;".xls]"&amp;$B655&amp;"'!$T$26"),""))</f>
        <v>#REF!</v>
      </c>
      <c r="AM655" s="48" t="e">
        <f ca="1">IF(INDIRECT("'["&amp;$C$1&amp;".xls]"&amp;$B655&amp;"'!$T27")="","",IF(INDIRECT("'["&amp;$C$1&amp;".xls]"&amp;$B655&amp;"'!$O$27")="済み",INDIRECT("'["&amp;$C$1&amp;".xls]"&amp;$B655&amp;"'!$T$27"),""))</f>
        <v>#REF!</v>
      </c>
      <c r="AN655" s="48" t="e">
        <f ca="1">IF(INDIRECT("'["&amp;$C$1&amp;".xls]"&amp;$B655&amp;"'!$T28")="","",IF(INDIRECT("'["&amp;$C$1&amp;".xls]"&amp;$B655&amp;"'!$O$28")="済み",INDIRECT("'["&amp;$C$1&amp;".xls]"&amp;$B655&amp;"'!$T$28"),""))</f>
        <v>#REF!</v>
      </c>
      <c r="AO655" s="48" t="e">
        <f ca="1">IF(INDIRECT("'["&amp;$C$1&amp;".xls]"&amp;$B655&amp;"'!$T29")="","",IF(INDIRECT("'["&amp;$C$1&amp;".xls]"&amp;$B655&amp;"'!$O$29")="済み",INDIRECT("'["&amp;$C$1&amp;".xls]"&amp;$B655&amp;"'!$T$29"),""))</f>
        <v>#REF!</v>
      </c>
      <c r="AP655" s="48" t="e">
        <f ca="1">IF(INDIRECT("'["&amp;$C$1&amp;".xls]"&amp;$B655&amp;"'!$T30")="","",IF(INDIRECT("'["&amp;$C$1&amp;".xls]"&amp;$B655&amp;"'!$O$30")="済み",INDIRECT("'["&amp;$C$1&amp;".xls]"&amp;$B655&amp;"'!$T$30"),""))</f>
        <v>#REF!</v>
      </c>
      <c r="AQ655" s="48" t="e">
        <f ca="1">IF(INDIRECT("'["&amp;$C$1&amp;".xls]"&amp;$B655&amp;"'!$T31")="","",IF(INDIRECT("'["&amp;$C$1&amp;".xls]"&amp;$B655&amp;"'!$O$31")="済み",INDIRECT("'["&amp;$C$1&amp;".xls]"&amp;$B655&amp;"'!$T$31"),""))</f>
        <v>#REF!</v>
      </c>
      <c r="AR655" s="48" t="e">
        <f ca="1">IF(INDIRECT("'["&amp;$C$1&amp;".xls]"&amp;$B655&amp;"'!$T32")="","",IF(INDIRECT("'["&amp;$C$1&amp;".xls]"&amp;$B655&amp;"'!$O$32")="済み",INDIRECT("'["&amp;$C$1&amp;".xls]"&amp;$B655&amp;"'!$T$32"),""))</f>
        <v>#REF!</v>
      </c>
      <c r="AS655" s="48" t="e">
        <f ca="1">IF(INDIRECT("'["&amp;$C$1&amp;".xls]"&amp;$B655&amp;"'!$T33")="","",IF(INDIRECT("'["&amp;$C$1&amp;".xls]"&amp;$B655&amp;"'!$O$33")="済み",INDIRECT("'["&amp;$C$1&amp;".xls]"&amp;$B655&amp;"'!$T$33"),""))</f>
        <v>#REF!</v>
      </c>
      <c r="AT655" s="48" t="e">
        <f ca="1">IF(INDIRECT("'["&amp;$C$1&amp;".xls]"&amp;$B655&amp;"'!$T34")="","",IF(INDIRECT("'["&amp;$C$1&amp;".xls]"&amp;$B655&amp;"'!$O$34")="済み",INDIRECT("'["&amp;$C$1&amp;".xls]"&amp;$B655&amp;"'!$T$34"),""))</f>
        <v>#REF!</v>
      </c>
      <c r="AU655" s="93" t="e">
        <f ca="1">INDIRECT("'["&amp;$C$1&amp;".xls]"&amp;$B655&amp;"'!$B$6")</f>
        <v>#REF!</v>
      </c>
      <c r="AV655" s="93" t="e">
        <f ca="1">INDIRECT("'["&amp;$C$1&amp;".xls]"&amp;$B655&amp;"'!$Y$22")</f>
        <v>#REF!</v>
      </c>
      <c r="AW655" s="93" t="e">
        <f ca="1">INDIRECT("'["&amp;$C$1&amp;".xls]"&amp;$B655&amp;"'!$Y$24")</f>
        <v>#REF!</v>
      </c>
      <c r="AX655" s="93" t="e">
        <f ca="1">INDIRECT("'["&amp;$C$1&amp;".xls]"&amp;$B655&amp;"'!$Y$26")</f>
        <v>#REF!</v>
      </c>
      <c r="AY655" s="93" t="e">
        <f ca="1">INDIRECT("'["&amp;$C$1&amp;".xls]"&amp;$B655&amp;"'!$Y$28")</f>
        <v>#REF!</v>
      </c>
    </row>
    <row r="656" spans="1:52" ht="16.5" customHeight="1" x14ac:dyDescent="0.15">
      <c r="A656" s="182" t="s">
        <v>6732</v>
      </c>
      <c r="B656" s="183" t="s">
        <v>6733</v>
      </c>
      <c r="C656" s="48" t="s">
        <v>298</v>
      </c>
      <c r="D656" s="62" t="s">
        <v>6734</v>
      </c>
      <c r="E656" s="48" t="s">
        <v>300</v>
      </c>
      <c r="F656" s="61">
        <v>42633</v>
      </c>
      <c r="G656" s="61">
        <v>0</v>
      </c>
      <c r="H656" s="125">
        <v>42676</v>
      </c>
      <c r="I656" s="61" t="s">
        <v>279</v>
      </c>
      <c r="J656" s="87"/>
      <c r="K656" s="62" t="s">
        <v>2506</v>
      </c>
      <c r="L656" s="62">
        <v>3</v>
      </c>
      <c r="M656" s="62" t="s">
        <v>755</v>
      </c>
      <c r="N656" s="62" t="s">
        <v>6735</v>
      </c>
      <c r="O656" s="48" t="s">
        <v>1044</v>
      </c>
      <c r="P656" s="48" t="s">
        <v>6736</v>
      </c>
      <c r="Q656" s="48" t="s">
        <v>6737</v>
      </c>
      <c r="R656" s="48" t="s">
        <v>6738</v>
      </c>
      <c r="S656" s="130" t="s">
        <v>6739</v>
      </c>
      <c r="T656" s="48" t="s">
        <v>6740</v>
      </c>
      <c r="U656" s="48" t="s">
        <v>688</v>
      </c>
      <c r="V656" s="122" t="s">
        <v>263</v>
      </c>
      <c r="W656" s="48" t="s">
        <v>6741</v>
      </c>
      <c r="X656" s="48" t="s">
        <v>689</v>
      </c>
      <c r="Y656" s="48" t="s">
        <v>6742</v>
      </c>
      <c r="Z656" s="61"/>
      <c r="AA656" s="48" t="s">
        <v>1054</v>
      </c>
      <c r="AB656" s="48" t="s">
        <v>1055</v>
      </c>
      <c r="AC656" s="48" t="s">
        <v>291</v>
      </c>
      <c r="AD656" s="48" t="s">
        <v>273</v>
      </c>
      <c r="AE656" s="48" t="s">
        <v>273</v>
      </c>
      <c r="AF656" s="48" t="s">
        <v>273</v>
      </c>
      <c r="AG656" s="48" t="s">
        <v>273</v>
      </c>
      <c r="AH656" s="48" t="s">
        <v>273</v>
      </c>
      <c r="AI656" s="48" t="s">
        <v>273</v>
      </c>
      <c r="AJ656" s="48" t="s">
        <v>273</v>
      </c>
      <c r="AK656" s="48" t="s">
        <v>1057</v>
      </c>
      <c r="AL656" s="48" t="s">
        <v>1058</v>
      </c>
      <c r="AM656" s="48" t="s">
        <v>293</v>
      </c>
      <c r="AN656" s="48" t="s">
        <v>273</v>
      </c>
      <c r="AO656" s="48" t="s">
        <v>273</v>
      </c>
      <c r="AP656" s="48" t="s">
        <v>273</v>
      </c>
      <c r="AQ656" s="48" t="s">
        <v>273</v>
      </c>
      <c r="AR656" s="48" t="s">
        <v>273</v>
      </c>
      <c r="AS656" s="48" t="s">
        <v>273</v>
      </c>
      <c r="AT656" s="48" t="s">
        <v>273</v>
      </c>
      <c r="AU656" s="93">
        <v>38261</v>
      </c>
      <c r="AV656" s="93" t="s">
        <v>6743</v>
      </c>
      <c r="AW656" s="93" t="s">
        <v>6744</v>
      </c>
      <c r="AX656" s="93" t="s">
        <v>6745</v>
      </c>
      <c r="AY656" s="93" t="s">
        <v>5312</v>
      </c>
    </row>
    <row r="657" spans="1:52" ht="16.5" customHeight="1" x14ac:dyDescent="0.15">
      <c r="A657" s="182" t="s">
        <v>6746</v>
      </c>
      <c r="B657" s="183" t="s">
        <v>6747</v>
      </c>
      <c r="C657" s="48" t="s">
        <v>330</v>
      </c>
      <c r="D657" s="62" t="s">
        <v>6748</v>
      </c>
      <c r="E657" s="48" t="s">
        <v>300</v>
      </c>
      <c r="F657" s="61">
        <v>42633</v>
      </c>
      <c r="G657" s="61">
        <v>0</v>
      </c>
      <c r="H657" s="125">
        <v>42699</v>
      </c>
      <c r="I657" s="61" t="s">
        <v>279</v>
      </c>
      <c r="J657" s="87"/>
      <c r="K657" s="62">
        <v>0</v>
      </c>
      <c r="L657" s="62"/>
      <c r="M657" s="62">
        <v>180</v>
      </c>
      <c r="N657" s="62" t="s">
        <v>6749</v>
      </c>
      <c r="O657" s="48" t="s">
        <v>377</v>
      </c>
      <c r="P657" s="48" t="s">
        <v>6750</v>
      </c>
      <c r="Q657" s="48" t="s">
        <v>3197</v>
      </c>
      <c r="R657" s="48"/>
      <c r="S657" s="48" t="s">
        <v>6751</v>
      </c>
      <c r="T657" s="48" t="s">
        <v>6752</v>
      </c>
      <c r="U657" s="48" t="s">
        <v>6753</v>
      </c>
      <c r="V657" s="48"/>
      <c r="W657" s="48"/>
      <c r="X657" s="48"/>
      <c r="Y657" s="48"/>
      <c r="Z657" s="61"/>
      <c r="AA657" s="48" t="s">
        <v>273</v>
      </c>
      <c r="AB657" s="48" t="s">
        <v>273</v>
      </c>
      <c r="AC657" s="48" t="s">
        <v>273</v>
      </c>
      <c r="AD657" s="48" t="s">
        <v>273</v>
      </c>
      <c r="AE657" s="48" t="s">
        <v>273</v>
      </c>
      <c r="AF657" s="48" t="s">
        <v>273</v>
      </c>
      <c r="AG657" s="48" t="s">
        <v>273</v>
      </c>
      <c r="AH657" s="48" t="s">
        <v>273</v>
      </c>
      <c r="AI657" s="48" t="s">
        <v>273</v>
      </c>
      <c r="AJ657" s="48" t="s">
        <v>273</v>
      </c>
      <c r="AK657" s="48" t="s">
        <v>273</v>
      </c>
      <c r="AL657" s="48" t="s">
        <v>273</v>
      </c>
      <c r="AM657" s="48" t="s">
        <v>273</v>
      </c>
      <c r="AN657" s="48" t="s">
        <v>273</v>
      </c>
      <c r="AO657" s="48" t="s">
        <v>273</v>
      </c>
      <c r="AP657" s="48" t="s">
        <v>273</v>
      </c>
      <c r="AQ657" s="48" t="s">
        <v>273</v>
      </c>
      <c r="AR657" s="48" t="s">
        <v>273</v>
      </c>
      <c r="AS657" s="48" t="s">
        <v>273</v>
      </c>
      <c r="AT657" s="48" t="s">
        <v>273</v>
      </c>
      <c r="AU657" s="93">
        <v>36647</v>
      </c>
      <c r="AV657" s="93" t="s">
        <v>6743</v>
      </c>
      <c r="AW657" s="93" t="s">
        <v>6754</v>
      </c>
      <c r="AX657" s="93" t="s">
        <v>273</v>
      </c>
      <c r="AY657" s="93" t="s">
        <v>6684</v>
      </c>
    </row>
    <row r="658" spans="1:52" ht="16.5" customHeight="1" x14ac:dyDescent="0.15">
      <c r="A658" s="182" t="s">
        <v>6755</v>
      </c>
      <c r="B658" s="183" t="s">
        <v>6756</v>
      </c>
      <c r="C658" s="48" t="s">
        <v>6757</v>
      </c>
      <c r="D658" s="62" t="s">
        <v>263</v>
      </c>
      <c r="E658" s="48" t="s">
        <v>264</v>
      </c>
      <c r="F658" s="61">
        <v>42633</v>
      </c>
      <c r="G658" s="61">
        <v>0</v>
      </c>
      <c r="H658" s="125">
        <v>42647</v>
      </c>
      <c r="I658" s="61">
        <v>41711</v>
      </c>
      <c r="J658" s="87"/>
      <c r="K658" s="62" t="s">
        <v>16</v>
      </c>
      <c r="L658" s="62">
        <v>3</v>
      </c>
      <c r="M658" s="62" t="s">
        <v>471</v>
      </c>
      <c r="N658" s="62" t="s">
        <v>6758</v>
      </c>
      <c r="O658" s="48" t="s">
        <v>502</v>
      </c>
      <c r="P658" s="48" t="s">
        <v>734</v>
      </c>
      <c r="Q658" s="48" t="s">
        <v>735</v>
      </c>
      <c r="R658" s="48" t="s">
        <v>399</v>
      </c>
      <c r="S658" s="48" t="s">
        <v>400</v>
      </c>
      <c r="T658" s="48" t="s">
        <v>401</v>
      </c>
      <c r="U658" s="48" t="s">
        <v>6759</v>
      </c>
      <c r="V658" s="122" t="s">
        <v>263</v>
      </c>
      <c r="W658" s="122" t="s">
        <v>263</v>
      </c>
      <c r="X658" s="48" t="s">
        <v>6760</v>
      </c>
      <c r="Y658" s="48" t="s">
        <v>6761</v>
      </c>
      <c r="Z658" s="61"/>
      <c r="AA658" s="48" t="s">
        <v>273</v>
      </c>
      <c r="AB658" s="48" t="s">
        <v>273</v>
      </c>
      <c r="AC658" s="48" t="s">
        <v>273</v>
      </c>
      <c r="AD658" s="48" t="s">
        <v>273</v>
      </c>
      <c r="AE658" s="48" t="s">
        <v>273</v>
      </c>
      <c r="AF658" s="48" t="s">
        <v>273</v>
      </c>
      <c r="AG658" s="48" t="s">
        <v>273</v>
      </c>
      <c r="AH658" s="48" t="s">
        <v>273</v>
      </c>
      <c r="AI658" s="48" t="s">
        <v>273</v>
      </c>
      <c r="AJ658" s="48" t="s">
        <v>273</v>
      </c>
      <c r="AK658" s="48" t="s">
        <v>273</v>
      </c>
      <c r="AL658" s="48" t="s">
        <v>273</v>
      </c>
      <c r="AM658" s="48" t="s">
        <v>273</v>
      </c>
      <c r="AN658" s="48" t="s">
        <v>273</v>
      </c>
      <c r="AO658" s="48" t="s">
        <v>273</v>
      </c>
      <c r="AP658" s="48" t="s">
        <v>273</v>
      </c>
      <c r="AQ658" s="48" t="s">
        <v>273</v>
      </c>
      <c r="AR658" s="48" t="s">
        <v>273</v>
      </c>
      <c r="AS658" s="48" t="s">
        <v>273</v>
      </c>
      <c r="AT658" s="48" t="s">
        <v>273</v>
      </c>
      <c r="AU658" s="93">
        <v>41579</v>
      </c>
      <c r="AV658" s="93" t="s">
        <v>6762</v>
      </c>
      <c r="AW658" s="93" t="s">
        <v>6763</v>
      </c>
      <c r="AX658" s="93" t="s">
        <v>6764</v>
      </c>
      <c r="AY658" s="93" t="s">
        <v>5312</v>
      </c>
      <c r="AZ658" s="49" t="s">
        <v>6765</v>
      </c>
    </row>
    <row r="659" spans="1:52" ht="16.5" customHeight="1" x14ac:dyDescent="0.15">
      <c r="A659" s="156" t="s">
        <v>6766</v>
      </c>
      <c r="B659" s="157" t="s">
        <v>6767</v>
      </c>
      <c r="C659" s="48" t="s">
        <v>330</v>
      </c>
      <c r="D659" s="62" t="s">
        <v>6768</v>
      </c>
      <c r="E659" s="48" t="s">
        <v>264</v>
      </c>
      <c r="F659" s="61">
        <v>42634</v>
      </c>
      <c r="G659" s="61">
        <v>0</v>
      </c>
      <c r="H659" s="125">
        <v>42641</v>
      </c>
      <c r="I659" s="61" t="s">
        <v>279</v>
      </c>
      <c r="J659" s="87"/>
      <c r="K659" s="62" t="s">
        <v>16</v>
      </c>
      <c r="L659" s="124" t="s">
        <v>263</v>
      </c>
      <c r="M659" s="62" t="s">
        <v>409</v>
      </c>
      <c r="N659" s="62" t="s">
        <v>6769</v>
      </c>
      <c r="O659" s="48" t="s">
        <v>1770</v>
      </c>
      <c r="P659" s="48" t="s">
        <v>6770</v>
      </c>
      <c r="Q659" s="48" t="s">
        <v>6771</v>
      </c>
      <c r="R659" s="48" t="s">
        <v>6772</v>
      </c>
      <c r="S659" s="48" t="s">
        <v>6773</v>
      </c>
      <c r="T659" s="48" t="s">
        <v>6774</v>
      </c>
      <c r="U659" s="48" t="s">
        <v>6775</v>
      </c>
      <c r="V659" s="122" t="s">
        <v>263</v>
      </c>
      <c r="W659" s="122" t="s">
        <v>263</v>
      </c>
      <c r="X659" s="48" t="s">
        <v>6776</v>
      </c>
      <c r="Y659" s="48" t="s">
        <v>6777</v>
      </c>
      <c r="Z659" s="61"/>
      <c r="AA659" s="48" t="s">
        <v>273</v>
      </c>
      <c r="AB659" s="48" t="s">
        <v>273</v>
      </c>
      <c r="AC659" s="48" t="s">
        <v>273</v>
      </c>
      <c r="AD659" s="48" t="s">
        <v>273</v>
      </c>
      <c r="AE659" s="48" t="s">
        <v>273</v>
      </c>
      <c r="AF659" s="48" t="s">
        <v>273</v>
      </c>
      <c r="AG659" s="48" t="s">
        <v>273</v>
      </c>
      <c r="AH659" s="48" t="s">
        <v>273</v>
      </c>
      <c r="AI659" s="48" t="s">
        <v>273</v>
      </c>
      <c r="AJ659" s="48" t="s">
        <v>273</v>
      </c>
      <c r="AK659" s="48" t="s">
        <v>273</v>
      </c>
      <c r="AL659" s="48" t="s">
        <v>273</v>
      </c>
      <c r="AM659" s="48" t="s">
        <v>273</v>
      </c>
      <c r="AN659" s="48" t="s">
        <v>273</v>
      </c>
      <c r="AO659" s="48" t="s">
        <v>273</v>
      </c>
      <c r="AP659" s="48" t="s">
        <v>273</v>
      </c>
      <c r="AQ659" s="48" t="s">
        <v>273</v>
      </c>
      <c r="AR659" s="48" t="s">
        <v>273</v>
      </c>
      <c r="AS659" s="48" t="s">
        <v>273</v>
      </c>
      <c r="AT659" s="48" t="s">
        <v>273</v>
      </c>
      <c r="AU659" s="93">
        <v>40940</v>
      </c>
      <c r="AV659" s="93" t="s">
        <v>6778</v>
      </c>
      <c r="AW659" s="93" t="s">
        <v>6779</v>
      </c>
      <c r="AX659" s="93" t="s">
        <v>6780</v>
      </c>
      <c r="AY659" s="93" t="s">
        <v>6781</v>
      </c>
    </row>
    <row r="660" spans="1:52" ht="16.5" customHeight="1" x14ac:dyDescent="0.15">
      <c r="A660" s="121" t="s">
        <v>6782</v>
      </c>
      <c r="B660" s="47" t="s">
        <v>6783</v>
      </c>
      <c r="C660" s="48" t="e">
        <f ca="1">INDIRECT("'["&amp;$C$1&amp;".xls]"&amp;$B660&amp;"'!$i$7")</f>
        <v>#REF!</v>
      </c>
      <c r="D660" s="62" t="e">
        <f ca="1">INDIRECT("'["&amp;$C$1&amp;".xls]"&amp;$B660&amp;"'!$b$7")</f>
        <v>#REF!</v>
      </c>
      <c r="E660" s="48" t="e">
        <f ca="1">IF(INDIRECT("'["&amp;$C$1&amp;".xls]"&amp;$B660&amp;"'!$i$2")="","",INDIRECT("'["&amp;$C$1&amp;".xls]"&amp;$B660&amp;"'!$i$2"))</f>
        <v>#REF!</v>
      </c>
      <c r="F660" s="61" t="e">
        <f ca="1">INDIRECT("'["&amp;$C$1&amp;".xls]"&amp;$B660&amp;"'!$b$2")</f>
        <v>#REF!</v>
      </c>
      <c r="G660" s="61" t="e">
        <f ca="1">INDIRECT("'["&amp;$C$1&amp;".xls]"&amp;$B660&amp;"'!$a$20")</f>
        <v>#REF!</v>
      </c>
      <c r="H660" s="88" t="e">
        <f ca="1">INDIRECT("'["&amp;$C$1&amp;".xls]"&amp;$B660&amp;"'!$Q$22")</f>
        <v>#REF!</v>
      </c>
      <c r="I660" s="61" t="e">
        <f ca="1">INDIRECT("'["&amp;$C$1&amp;".xls]"&amp;$B660&amp;"'!$f$6")</f>
        <v>#REF!</v>
      </c>
      <c r="J660" s="87"/>
      <c r="K660" s="62" t="e">
        <f ca="1">INDIRECT("'["&amp;$C$1&amp;".xls]"&amp;$B660&amp;"'!$f$25")</f>
        <v>#REF!</v>
      </c>
      <c r="L660" s="62"/>
      <c r="M660" s="62" t="e">
        <f ca="1">INDIRECT("'["&amp;$C$1&amp;".xls]"&amp;$B660&amp;"'!$f$4")</f>
        <v>#REF!</v>
      </c>
      <c r="N660" s="62" t="e">
        <f ca="1">INDIRECT("'["&amp;$C$1&amp;".xls]"&amp;$B660&amp;"'!$i$4")</f>
        <v>#REF!</v>
      </c>
      <c r="O660" s="48" t="e">
        <f ca="1">INDIRECT("'["&amp;$C$1&amp;".xls]"&amp;$B660&amp;"'!$l$4")</f>
        <v>#REF!</v>
      </c>
      <c r="P660" s="48" t="e">
        <f ca="1">INDIRECT("'["&amp;$C$1&amp;".xls]"&amp;$B660&amp;"'!$b$5")</f>
        <v>#REF!</v>
      </c>
      <c r="Q660" s="48" t="e">
        <f ca="1">INDIRECT("'["&amp;$C$1&amp;".xls]"&amp;$B660&amp;"'!$f$5")</f>
        <v>#REF!</v>
      </c>
      <c r="R660" s="48"/>
      <c r="S660" s="48" t="e">
        <f ca="1">INDIRECT("'["&amp;$C$1&amp;".xls]"&amp;$B660&amp;"'!$i$5")</f>
        <v>#REF!</v>
      </c>
      <c r="T660" s="48" t="e">
        <f ca="1">INDIRECT("'["&amp;$C$1&amp;".xls]"&amp;$B660&amp;"'!$l$5")</f>
        <v>#REF!</v>
      </c>
      <c r="U660" s="48" t="e">
        <f ca="1">INDIRECT("'["&amp;$C$1&amp;".xls]"&amp;$B660&amp;"'!$b$4")</f>
        <v>#REF!</v>
      </c>
      <c r="V660" s="48"/>
      <c r="W660" s="48"/>
      <c r="X660" s="48"/>
      <c r="Y660" s="48"/>
      <c r="Z660" s="61"/>
      <c r="AA660" s="48" t="e">
        <f ca="1">IF(INDIRECT("'["&amp;$C$1&amp;".xls]"&amp;$B660&amp;"'!$P$25")="","",IF(INDIRECT("'["&amp;$C$1&amp;".xls]"&amp;$B660&amp;"'!$O$25")="済み",INDIRECT("'["&amp;$C$1&amp;".xls]"&amp;$B660&amp;"'!$P$25"),""))</f>
        <v>#REF!</v>
      </c>
      <c r="AB660" s="48" t="e">
        <f ca="1">IF(INDIRECT("'["&amp;$C$1&amp;".xls]"&amp;$B660&amp;"'!$P$26")="","",IF(INDIRECT("'["&amp;$C$1&amp;".xls]"&amp;$B660&amp;"'!$O$26")="済み",INDIRECT("'["&amp;$C$1&amp;".xls]"&amp;$B660&amp;"'!$P$26"),""))</f>
        <v>#REF!</v>
      </c>
      <c r="AC660" s="48" t="e">
        <f ca="1">IF(INDIRECT("'["&amp;$C$1&amp;".xls]"&amp;$B660&amp;"'!$P$27")="","",IF(INDIRECT("'["&amp;$C$1&amp;".xls]"&amp;$B660&amp;"'!$O$27")="済み",INDIRECT("'["&amp;$C$1&amp;".xls]"&amp;$B660&amp;"'!$P$27"),""))</f>
        <v>#REF!</v>
      </c>
      <c r="AD660" s="48" t="e">
        <f ca="1">IF(INDIRECT("'["&amp;$C$1&amp;".xls]"&amp;$B660&amp;"'!$P$28")="","",IF(INDIRECT("'["&amp;$C$1&amp;".xls]"&amp;$B660&amp;"'!$O$28")="済み",INDIRECT("'["&amp;$C$1&amp;".xls]"&amp;$B660&amp;"'!$P$28"),""))</f>
        <v>#REF!</v>
      </c>
      <c r="AE660" s="48" t="e">
        <f ca="1">IF(INDIRECT("'["&amp;$C$1&amp;".xls]"&amp;$B660&amp;"'!$P$29")="","",IF(INDIRECT("'["&amp;$C$1&amp;".xls]"&amp;$B660&amp;"'!$O$29")="済み",INDIRECT("'["&amp;$C$1&amp;".xls]"&amp;$B660&amp;"'!$P$29"),""))</f>
        <v>#REF!</v>
      </c>
      <c r="AF660" s="48" t="e">
        <f ca="1">IF(INDIRECT("'["&amp;$C$1&amp;".xls]"&amp;$B660&amp;"'!$P$30")="","",IF(INDIRECT("'["&amp;$C$1&amp;".xls]"&amp;$B660&amp;"'!$O$30")="済み",INDIRECT("'["&amp;$C$1&amp;".xls]"&amp;$B660&amp;"'!$P$30"),""))</f>
        <v>#REF!</v>
      </c>
      <c r="AG660" s="48" t="e">
        <f ca="1">IF(INDIRECT("'["&amp;$C$1&amp;".xls]"&amp;$B660&amp;"'!$P$31")="","",IF(INDIRECT("'["&amp;$C$1&amp;".xls]"&amp;$B660&amp;"'!$O$31")="済み",INDIRECT("'["&amp;$C$1&amp;".xls]"&amp;$B660&amp;"'!$P$31"),""))</f>
        <v>#REF!</v>
      </c>
      <c r="AH660" s="48" t="e">
        <f ca="1">IF(INDIRECT("'["&amp;$C$1&amp;".xls]"&amp;$B660&amp;"'!$P$32")="","",IF(INDIRECT("'["&amp;$C$1&amp;".xls]"&amp;$B660&amp;"'!$O$32")="済み",INDIRECT("'["&amp;$C$1&amp;".xls]"&amp;$B660&amp;"'!$P$32"),""))</f>
        <v>#REF!</v>
      </c>
      <c r="AI660" s="48" t="e">
        <f ca="1">IF(INDIRECT("'["&amp;$C$1&amp;".xls]"&amp;$B660&amp;"'!$P$33")="","",IF(INDIRECT("'["&amp;$C$1&amp;".xls]"&amp;$B660&amp;"'!$O$33")="済み",INDIRECT("'["&amp;$C$1&amp;".xls]"&amp;$B660&amp;"'!$P$33"),""))</f>
        <v>#REF!</v>
      </c>
      <c r="AJ660" s="48" t="e">
        <f ca="1">IF(INDIRECT("'["&amp;$C$1&amp;".xls]"&amp;$B660&amp;"'!$P$34")="","",IF(INDIRECT("'["&amp;$C$1&amp;".xls]"&amp;$B660&amp;"'!$O$34")="済み",INDIRECT("'["&amp;$C$1&amp;".xls]"&amp;$B660&amp;"'!$P$34"),""))</f>
        <v>#REF!</v>
      </c>
      <c r="AK660" s="48" t="e">
        <f ca="1">IF(INDIRECT("'["&amp;$C$1&amp;".xls]"&amp;$B660&amp;"'!$T25")="","",IF(INDIRECT("'["&amp;$C$1&amp;".xls]"&amp;$B660&amp;"'!$O$25")="済み",INDIRECT("'["&amp;$C$1&amp;".xls]"&amp;$B660&amp;"'!$T$25"),""))</f>
        <v>#REF!</v>
      </c>
      <c r="AL660" s="48" t="e">
        <f ca="1">IF(INDIRECT("'["&amp;$C$1&amp;".xls]"&amp;$B660&amp;"'!$T26")="","",IF(INDIRECT("'["&amp;$C$1&amp;".xls]"&amp;$B660&amp;"'!$O$26")="済み",INDIRECT("'["&amp;$C$1&amp;".xls]"&amp;$B660&amp;"'!$T$26"),""))</f>
        <v>#REF!</v>
      </c>
      <c r="AM660" s="48" t="e">
        <f ca="1">IF(INDIRECT("'["&amp;$C$1&amp;".xls]"&amp;$B660&amp;"'!$T27")="","",IF(INDIRECT("'["&amp;$C$1&amp;".xls]"&amp;$B660&amp;"'!$O$27")="済み",INDIRECT("'["&amp;$C$1&amp;".xls]"&amp;$B660&amp;"'!$T$27"),""))</f>
        <v>#REF!</v>
      </c>
      <c r="AN660" s="48" t="e">
        <f ca="1">IF(INDIRECT("'["&amp;$C$1&amp;".xls]"&amp;$B660&amp;"'!$T28")="","",IF(INDIRECT("'["&amp;$C$1&amp;".xls]"&amp;$B660&amp;"'!$O$28")="済み",INDIRECT("'["&amp;$C$1&amp;".xls]"&amp;$B660&amp;"'!$T$28"),""))</f>
        <v>#REF!</v>
      </c>
      <c r="AO660" s="48" t="e">
        <f ca="1">IF(INDIRECT("'["&amp;$C$1&amp;".xls]"&amp;$B660&amp;"'!$T29")="","",IF(INDIRECT("'["&amp;$C$1&amp;".xls]"&amp;$B660&amp;"'!$O$29")="済み",INDIRECT("'["&amp;$C$1&amp;".xls]"&amp;$B660&amp;"'!$T$29"),""))</f>
        <v>#REF!</v>
      </c>
      <c r="AP660" s="48" t="e">
        <f ca="1">IF(INDIRECT("'["&amp;$C$1&amp;".xls]"&amp;$B660&amp;"'!$T30")="","",IF(INDIRECT("'["&amp;$C$1&amp;".xls]"&amp;$B660&amp;"'!$O$30")="済み",INDIRECT("'["&amp;$C$1&amp;".xls]"&amp;$B660&amp;"'!$T$30"),""))</f>
        <v>#REF!</v>
      </c>
      <c r="AQ660" s="48" t="e">
        <f ca="1">IF(INDIRECT("'["&amp;$C$1&amp;".xls]"&amp;$B660&amp;"'!$T31")="","",IF(INDIRECT("'["&amp;$C$1&amp;".xls]"&amp;$B660&amp;"'!$O$31")="済み",INDIRECT("'["&amp;$C$1&amp;".xls]"&amp;$B660&amp;"'!$T$31"),""))</f>
        <v>#REF!</v>
      </c>
      <c r="AR660" s="48" t="e">
        <f ca="1">IF(INDIRECT("'["&amp;$C$1&amp;".xls]"&amp;$B660&amp;"'!$T32")="","",IF(INDIRECT("'["&amp;$C$1&amp;".xls]"&amp;$B660&amp;"'!$O$32")="済み",INDIRECT("'["&amp;$C$1&amp;".xls]"&amp;$B660&amp;"'!$T$32"),""))</f>
        <v>#REF!</v>
      </c>
      <c r="AS660" s="48" t="e">
        <f ca="1">IF(INDIRECT("'["&amp;$C$1&amp;".xls]"&amp;$B660&amp;"'!$T33")="","",IF(INDIRECT("'["&amp;$C$1&amp;".xls]"&amp;$B660&amp;"'!$O$33")="済み",INDIRECT("'["&amp;$C$1&amp;".xls]"&amp;$B660&amp;"'!$T$33"),""))</f>
        <v>#REF!</v>
      </c>
      <c r="AT660" s="48" t="e">
        <f ca="1">IF(INDIRECT("'["&amp;$C$1&amp;".xls]"&amp;$B660&amp;"'!$T34")="","",IF(INDIRECT("'["&amp;$C$1&amp;".xls]"&amp;$B660&amp;"'!$O$34")="済み",INDIRECT("'["&amp;$C$1&amp;".xls]"&amp;$B660&amp;"'!$T$34"),""))</f>
        <v>#REF!</v>
      </c>
      <c r="AU660" s="93" t="e">
        <f ca="1">INDIRECT("'["&amp;$C$1&amp;".xls]"&amp;$B660&amp;"'!$B$6")</f>
        <v>#REF!</v>
      </c>
      <c r="AV660" s="93" t="e">
        <f ca="1">INDIRECT("'["&amp;$C$1&amp;".xls]"&amp;$B660&amp;"'!$Y$22")</f>
        <v>#REF!</v>
      </c>
      <c r="AW660" s="93" t="e">
        <f ca="1">INDIRECT("'["&amp;$C$1&amp;".xls]"&amp;$B660&amp;"'!$Y$24")</f>
        <v>#REF!</v>
      </c>
      <c r="AX660" s="93" t="e">
        <f ca="1">INDIRECT("'["&amp;$C$1&amp;".xls]"&amp;$B660&amp;"'!$Y$26")</f>
        <v>#REF!</v>
      </c>
      <c r="AY660" s="93" t="e">
        <f ca="1">INDIRECT("'["&amp;$C$1&amp;".xls]"&amp;$B660&amp;"'!$Y$28")</f>
        <v>#REF!</v>
      </c>
    </row>
    <row r="661" spans="1:52" ht="16.5" customHeight="1" x14ac:dyDescent="0.15">
      <c r="A661" s="121" t="s">
        <v>6784</v>
      </c>
      <c r="B661" s="47" t="s">
        <v>6785</v>
      </c>
      <c r="C661" s="48" t="e">
        <f ca="1">INDIRECT("'["&amp;$C$1&amp;".xls]"&amp;$B661&amp;"'!$i$7")</f>
        <v>#REF!</v>
      </c>
      <c r="D661" s="62" t="e">
        <f ca="1">INDIRECT("'["&amp;$C$1&amp;".xls]"&amp;$B661&amp;"'!$b$7")</f>
        <v>#REF!</v>
      </c>
      <c r="E661" s="48" t="e">
        <f ca="1">IF(INDIRECT("'["&amp;$C$1&amp;".xls]"&amp;$B661&amp;"'!$i$2")="","",INDIRECT("'["&amp;$C$1&amp;".xls]"&amp;$B661&amp;"'!$i$2"))</f>
        <v>#REF!</v>
      </c>
      <c r="F661" s="61" t="e">
        <f ca="1">INDIRECT("'["&amp;$C$1&amp;".xls]"&amp;$B661&amp;"'!$b$2")</f>
        <v>#REF!</v>
      </c>
      <c r="G661" s="61" t="e">
        <f ca="1">INDIRECT("'["&amp;$C$1&amp;".xls]"&amp;$B661&amp;"'!$a$20")</f>
        <v>#REF!</v>
      </c>
      <c r="H661" s="88" t="e">
        <f ca="1">INDIRECT("'["&amp;$C$1&amp;".xls]"&amp;$B661&amp;"'!$Q$22")</f>
        <v>#REF!</v>
      </c>
      <c r="I661" s="61" t="e">
        <f ca="1">INDIRECT("'["&amp;$C$1&amp;".xls]"&amp;$B661&amp;"'!$f$6")</f>
        <v>#REF!</v>
      </c>
      <c r="J661" s="87"/>
      <c r="K661" s="62" t="e">
        <f ca="1">INDIRECT("'["&amp;$C$1&amp;".xls]"&amp;$B661&amp;"'!$f$25")</f>
        <v>#REF!</v>
      </c>
      <c r="L661" s="62"/>
      <c r="M661" s="62" t="e">
        <f ca="1">INDIRECT("'["&amp;$C$1&amp;".xls]"&amp;$B661&amp;"'!$f$4")</f>
        <v>#REF!</v>
      </c>
      <c r="N661" s="62" t="e">
        <f ca="1">INDIRECT("'["&amp;$C$1&amp;".xls]"&amp;$B661&amp;"'!$i$4")</f>
        <v>#REF!</v>
      </c>
      <c r="O661" s="48" t="e">
        <f ca="1">INDIRECT("'["&amp;$C$1&amp;".xls]"&amp;$B661&amp;"'!$l$4")</f>
        <v>#REF!</v>
      </c>
      <c r="P661" s="48" t="e">
        <f ca="1">INDIRECT("'["&amp;$C$1&amp;".xls]"&amp;$B661&amp;"'!$b$5")</f>
        <v>#REF!</v>
      </c>
      <c r="Q661" s="48" t="e">
        <f ca="1">INDIRECT("'["&amp;$C$1&amp;".xls]"&amp;$B661&amp;"'!$f$5")</f>
        <v>#REF!</v>
      </c>
      <c r="R661" s="48"/>
      <c r="S661" s="48" t="e">
        <f ca="1">INDIRECT("'["&amp;$C$1&amp;".xls]"&amp;$B661&amp;"'!$i$5")</f>
        <v>#REF!</v>
      </c>
      <c r="T661" s="48" t="e">
        <f ca="1">INDIRECT("'["&amp;$C$1&amp;".xls]"&amp;$B661&amp;"'!$l$5")</f>
        <v>#REF!</v>
      </c>
      <c r="U661" s="48" t="e">
        <f ca="1">INDIRECT("'["&amp;$C$1&amp;".xls]"&amp;$B661&amp;"'!$b$4")</f>
        <v>#REF!</v>
      </c>
      <c r="V661" s="48"/>
      <c r="W661" s="48"/>
      <c r="X661" s="48"/>
      <c r="Y661" s="48"/>
      <c r="Z661" s="61"/>
      <c r="AA661" s="48" t="e">
        <f ca="1">IF(INDIRECT("'["&amp;$C$1&amp;".xls]"&amp;$B661&amp;"'!$P$25")="","",IF(INDIRECT("'["&amp;$C$1&amp;".xls]"&amp;$B661&amp;"'!$O$25")="済み",INDIRECT("'["&amp;$C$1&amp;".xls]"&amp;$B661&amp;"'!$P$25"),""))</f>
        <v>#REF!</v>
      </c>
      <c r="AB661" s="48" t="e">
        <f ca="1">IF(INDIRECT("'["&amp;$C$1&amp;".xls]"&amp;$B661&amp;"'!$P$26")="","",IF(INDIRECT("'["&amp;$C$1&amp;".xls]"&amp;$B661&amp;"'!$O$26")="済み",INDIRECT("'["&amp;$C$1&amp;".xls]"&amp;$B661&amp;"'!$P$26"),""))</f>
        <v>#REF!</v>
      </c>
      <c r="AC661" s="48" t="e">
        <f ca="1">IF(INDIRECT("'["&amp;$C$1&amp;".xls]"&amp;$B661&amp;"'!$P$27")="","",IF(INDIRECT("'["&amp;$C$1&amp;".xls]"&amp;$B661&amp;"'!$O$27")="済み",INDIRECT("'["&amp;$C$1&amp;".xls]"&amp;$B661&amp;"'!$P$27"),""))</f>
        <v>#REF!</v>
      </c>
      <c r="AD661" s="48" t="e">
        <f ca="1">IF(INDIRECT("'["&amp;$C$1&amp;".xls]"&amp;$B661&amp;"'!$P$28")="","",IF(INDIRECT("'["&amp;$C$1&amp;".xls]"&amp;$B661&amp;"'!$O$28")="済み",INDIRECT("'["&amp;$C$1&amp;".xls]"&amp;$B661&amp;"'!$P$28"),""))</f>
        <v>#REF!</v>
      </c>
      <c r="AE661" s="48" t="e">
        <f ca="1">IF(INDIRECT("'["&amp;$C$1&amp;".xls]"&amp;$B661&amp;"'!$P$29")="","",IF(INDIRECT("'["&amp;$C$1&amp;".xls]"&amp;$B661&amp;"'!$O$29")="済み",INDIRECT("'["&amp;$C$1&amp;".xls]"&amp;$B661&amp;"'!$P$29"),""))</f>
        <v>#REF!</v>
      </c>
      <c r="AF661" s="48" t="e">
        <f ca="1">IF(INDIRECT("'["&amp;$C$1&amp;".xls]"&amp;$B661&amp;"'!$P$30")="","",IF(INDIRECT("'["&amp;$C$1&amp;".xls]"&amp;$B661&amp;"'!$O$30")="済み",INDIRECT("'["&amp;$C$1&amp;".xls]"&amp;$B661&amp;"'!$P$30"),""))</f>
        <v>#REF!</v>
      </c>
      <c r="AG661" s="48" t="e">
        <f ca="1">IF(INDIRECT("'["&amp;$C$1&amp;".xls]"&amp;$B661&amp;"'!$P$31")="","",IF(INDIRECT("'["&amp;$C$1&amp;".xls]"&amp;$B661&amp;"'!$O$31")="済み",INDIRECT("'["&amp;$C$1&amp;".xls]"&amp;$B661&amp;"'!$P$31"),""))</f>
        <v>#REF!</v>
      </c>
      <c r="AH661" s="48" t="e">
        <f ca="1">IF(INDIRECT("'["&amp;$C$1&amp;".xls]"&amp;$B661&amp;"'!$P$32")="","",IF(INDIRECT("'["&amp;$C$1&amp;".xls]"&amp;$B661&amp;"'!$O$32")="済み",INDIRECT("'["&amp;$C$1&amp;".xls]"&amp;$B661&amp;"'!$P$32"),""))</f>
        <v>#REF!</v>
      </c>
      <c r="AI661" s="48" t="e">
        <f ca="1">IF(INDIRECT("'["&amp;$C$1&amp;".xls]"&amp;$B661&amp;"'!$P$33")="","",IF(INDIRECT("'["&amp;$C$1&amp;".xls]"&amp;$B661&amp;"'!$O$33")="済み",INDIRECT("'["&amp;$C$1&amp;".xls]"&amp;$B661&amp;"'!$P$33"),""))</f>
        <v>#REF!</v>
      </c>
      <c r="AJ661" s="48" t="e">
        <f ca="1">IF(INDIRECT("'["&amp;$C$1&amp;".xls]"&amp;$B661&amp;"'!$P$34")="","",IF(INDIRECT("'["&amp;$C$1&amp;".xls]"&amp;$B661&amp;"'!$O$34")="済み",INDIRECT("'["&amp;$C$1&amp;".xls]"&amp;$B661&amp;"'!$P$34"),""))</f>
        <v>#REF!</v>
      </c>
      <c r="AK661" s="48" t="e">
        <f ca="1">IF(INDIRECT("'["&amp;$C$1&amp;".xls]"&amp;$B661&amp;"'!$T25")="","",IF(INDIRECT("'["&amp;$C$1&amp;".xls]"&amp;$B661&amp;"'!$O$25")="済み",INDIRECT("'["&amp;$C$1&amp;".xls]"&amp;$B661&amp;"'!$T$25"),""))</f>
        <v>#REF!</v>
      </c>
      <c r="AL661" s="48" t="e">
        <f ca="1">IF(INDIRECT("'["&amp;$C$1&amp;".xls]"&amp;$B661&amp;"'!$T26")="","",IF(INDIRECT("'["&amp;$C$1&amp;".xls]"&amp;$B661&amp;"'!$O$26")="済み",INDIRECT("'["&amp;$C$1&amp;".xls]"&amp;$B661&amp;"'!$T$26"),""))</f>
        <v>#REF!</v>
      </c>
      <c r="AM661" s="48" t="e">
        <f ca="1">IF(INDIRECT("'["&amp;$C$1&amp;".xls]"&amp;$B661&amp;"'!$T27")="","",IF(INDIRECT("'["&amp;$C$1&amp;".xls]"&amp;$B661&amp;"'!$O$27")="済み",INDIRECT("'["&amp;$C$1&amp;".xls]"&amp;$B661&amp;"'!$T$27"),""))</f>
        <v>#REF!</v>
      </c>
      <c r="AN661" s="48" t="e">
        <f ca="1">IF(INDIRECT("'["&amp;$C$1&amp;".xls]"&amp;$B661&amp;"'!$T28")="","",IF(INDIRECT("'["&amp;$C$1&amp;".xls]"&amp;$B661&amp;"'!$O$28")="済み",INDIRECT("'["&amp;$C$1&amp;".xls]"&amp;$B661&amp;"'!$T$28"),""))</f>
        <v>#REF!</v>
      </c>
      <c r="AO661" s="48" t="e">
        <f ca="1">IF(INDIRECT("'["&amp;$C$1&amp;".xls]"&amp;$B661&amp;"'!$T29")="","",IF(INDIRECT("'["&amp;$C$1&amp;".xls]"&amp;$B661&amp;"'!$O$29")="済み",INDIRECT("'["&amp;$C$1&amp;".xls]"&amp;$B661&amp;"'!$T$29"),""))</f>
        <v>#REF!</v>
      </c>
      <c r="AP661" s="48" t="e">
        <f ca="1">IF(INDIRECT("'["&amp;$C$1&amp;".xls]"&amp;$B661&amp;"'!$T30")="","",IF(INDIRECT("'["&amp;$C$1&amp;".xls]"&amp;$B661&amp;"'!$O$30")="済み",INDIRECT("'["&amp;$C$1&amp;".xls]"&amp;$B661&amp;"'!$T$30"),""))</f>
        <v>#REF!</v>
      </c>
      <c r="AQ661" s="48" t="e">
        <f ca="1">IF(INDIRECT("'["&amp;$C$1&amp;".xls]"&amp;$B661&amp;"'!$T31")="","",IF(INDIRECT("'["&amp;$C$1&amp;".xls]"&amp;$B661&amp;"'!$O$31")="済み",INDIRECT("'["&amp;$C$1&amp;".xls]"&amp;$B661&amp;"'!$T$31"),""))</f>
        <v>#REF!</v>
      </c>
      <c r="AR661" s="48" t="e">
        <f ca="1">IF(INDIRECT("'["&amp;$C$1&amp;".xls]"&amp;$B661&amp;"'!$T32")="","",IF(INDIRECT("'["&amp;$C$1&amp;".xls]"&amp;$B661&amp;"'!$O$32")="済み",INDIRECT("'["&amp;$C$1&amp;".xls]"&amp;$B661&amp;"'!$T$32"),""))</f>
        <v>#REF!</v>
      </c>
      <c r="AS661" s="48" t="e">
        <f ca="1">IF(INDIRECT("'["&amp;$C$1&amp;".xls]"&amp;$B661&amp;"'!$T33")="","",IF(INDIRECT("'["&amp;$C$1&amp;".xls]"&amp;$B661&amp;"'!$O$33")="済み",INDIRECT("'["&amp;$C$1&amp;".xls]"&amp;$B661&amp;"'!$T$33"),""))</f>
        <v>#REF!</v>
      </c>
      <c r="AT661" s="48" t="e">
        <f ca="1">IF(INDIRECT("'["&amp;$C$1&amp;".xls]"&amp;$B661&amp;"'!$T34")="","",IF(INDIRECT("'["&amp;$C$1&amp;".xls]"&amp;$B661&amp;"'!$O$34")="済み",INDIRECT("'["&amp;$C$1&amp;".xls]"&amp;$B661&amp;"'!$T$34"),""))</f>
        <v>#REF!</v>
      </c>
      <c r="AU661" s="93" t="e">
        <f ca="1">INDIRECT("'["&amp;$C$1&amp;".xls]"&amp;$B661&amp;"'!$B$6")</f>
        <v>#REF!</v>
      </c>
      <c r="AV661" s="93" t="e">
        <f ca="1">INDIRECT("'["&amp;$C$1&amp;".xls]"&amp;$B661&amp;"'!$Y$22")</f>
        <v>#REF!</v>
      </c>
      <c r="AW661" s="93" t="e">
        <f ca="1">INDIRECT("'["&amp;$C$1&amp;".xls]"&amp;$B661&amp;"'!$Y$24")</f>
        <v>#REF!</v>
      </c>
      <c r="AX661" s="93" t="e">
        <f ca="1">INDIRECT("'["&amp;$C$1&amp;".xls]"&amp;$B661&amp;"'!$Y$26")</f>
        <v>#REF!</v>
      </c>
      <c r="AY661" s="93" t="e">
        <f ca="1">INDIRECT("'["&amp;$C$1&amp;".xls]"&amp;$B661&amp;"'!$Y$28")</f>
        <v>#REF!</v>
      </c>
    </row>
    <row r="662" spans="1:52" ht="16.5" customHeight="1" x14ac:dyDescent="0.15">
      <c r="A662" s="121" t="s">
        <v>6786</v>
      </c>
      <c r="B662" s="47" t="s">
        <v>6787</v>
      </c>
      <c r="C662" s="48" t="e">
        <f ca="1">INDIRECT("'["&amp;$C$1&amp;".xls]"&amp;$B662&amp;"'!$i$7")</f>
        <v>#REF!</v>
      </c>
      <c r="D662" s="62" t="e">
        <f ca="1">INDIRECT("'["&amp;$C$1&amp;".xls]"&amp;$B662&amp;"'!$b$7")</f>
        <v>#REF!</v>
      </c>
      <c r="E662" s="48" t="e">
        <f ca="1">IF(INDIRECT("'["&amp;$C$1&amp;".xls]"&amp;$B662&amp;"'!$i$2")="","",INDIRECT("'["&amp;$C$1&amp;".xls]"&amp;$B662&amp;"'!$i$2"))</f>
        <v>#REF!</v>
      </c>
      <c r="F662" s="61" t="e">
        <f ca="1">INDIRECT("'["&amp;$C$1&amp;".xls]"&amp;$B662&amp;"'!$b$2")</f>
        <v>#REF!</v>
      </c>
      <c r="G662" s="61" t="e">
        <f ca="1">INDIRECT("'["&amp;$C$1&amp;".xls]"&amp;$B662&amp;"'!$a$20")</f>
        <v>#REF!</v>
      </c>
      <c r="H662" s="88" t="e">
        <f ca="1">INDIRECT("'["&amp;$C$1&amp;".xls]"&amp;$B662&amp;"'!$Q$22")</f>
        <v>#REF!</v>
      </c>
      <c r="I662" s="61" t="e">
        <f ca="1">INDIRECT("'["&amp;$C$1&amp;".xls]"&amp;$B662&amp;"'!$f$6")</f>
        <v>#REF!</v>
      </c>
      <c r="J662" s="87"/>
      <c r="K662" s="62" t="e">
        <f ca="1">INDIRECT("'["&amp;$C$1&amp;".xls]"&amp;$B662&amp;"'!$f$25")</f>
        <v>#REF!</v>
      </c>
      <c r="L662" s="62"/>
      <c r="M662" s="62" t="e">
        <f ca="1">INDIRECT("'["&amp;$C$1&amp;".xls]"&amp;$B662&amp;"'!$f$4")</f>
        <v>#REF!</v>
      </c>
      <c r="N662" s="62" t="e">
        <f ca="1">INDIRECT("'["&amp;$C$1&amp;".xls]"&amp;$B662&amp;"'!$i$4")</f>
        <v>#REF!</v>
      </c>
      <c r="O662" s="48" t="e">
        <f ca="1">INDIRECT("'["&amp;$C$1&amp;".xls]"&amp;$B662&amp;"'!$l$4")</f>
        <v>#REF!</v>
      </c>
      <c r="P662" s="48" t="e">
        <f ca="1">INDIRECT("'["&amp;$C$1&amp;".xls]"&amp;$B662&amp;"'!$b$5")</f>
        <v>#REF!</v>
      </c>
      <c r="Q662" s="48" t="e">
        <f ca="1">INDIRECT("'["&amp;$C$1&amp;".xls]"&amp;$B662&amp;"'!$f$5")</f>
        <v>#REF!</v>
      </c>
      <c r="R662" s="48"/>
      <c r="S662" s="48" t="e">
        <f ca="1">INDIRECT("'["&amp;$C$1&amp;".xls]"&amp;$B662&amp;"'!$i$5")</f>
        <v>#REF!</v>
      </c>
      <c r="T662" s="48" t="e">
        <f ca="1">INDIRECT("'["&amp;$C$1&amp;".xls]"&amp;$B662&amp;"'!$l$5")</f>
        <v>#REF!</v>
      </c>
      <c r="U662" s="48" t="e">
        <f ca="1">INDIRECT("'["&amp;$C$1&amp;".xls]"&amp;$B662&amp;"'!$b$4")</f>
        <v>#REF!</v>
      </c>
      <c r="V662" s="122" t="s">
        <v>263</v>
      </c>
      <c r="W662" s="48"/>
      <c r="X662" s="48" t="s">
        <v>4269</v>
      </c>
      <c r="Y662" s="48" t="s">
        <v>4270</v>
      </c>
      <c r="Z662" s="61"/>
      <c r="AA662" s="48" t="e">
        <f ca="1">IF(INDIRECT("'["&amp;$C$1&amp;".xls]"&amp;$B662&amp;"'!$P$25")="","",IF(INDIRECT("'["&amp;$C$1&amp;".xls]"&amp;$B662&amp;"'!$O$25")="済み",INDIRECT("'["&amp;$C$1&amp;".xls]"&amp;$B662&amp;"'!$P$25"),""))</f>
        <v>#REF!</v>
      </c>
      <c r="AB662" s="48" t="e">
        <f ca="1">IF(INDIRECT("'["&amp;$C$1&amp;".xls]"&amp;$B662&amp;"'!$P$26")="","",IF(INDIRECT("'["&amp;$C$1&amp;".xls]"&amp;$B662&amp;"'!$O$26")="済み",INDIRECT("'["&amp;$C$1&amp;".xls]"&amp;$B662&amp;"'!$P$26"),""))</f>
        <v>#REF!</v>
      </c>
      <c r="AC662" s="48" t="e">
        <f ca="1">IF(INDIRECT("'["&amp;$C$1&amp;".xls]"&amp;$B662&amp;"'!$P$27")="","",IF(INDIRECT("'["&amp;$C$1&amp;".xls]"&amp;$B662&amp;"'!$O$27")="済み",INDIRECT("'["&amp;$C$1&amp;".xls]"&amp;$B662&amp;"'!$P$27"),""))</f>
        <v>#REF!</v>
      </c>
      <c r="AD662" s="48" t="e">
        <f ca="1">IF(INDIRECT("'["&amp;$C$1&amp;".xls]"&amp;$B662&amp;"'!$P$28")="","",IF(INDIRECT("'["&amp;$C$1&amp;".xls]"&amp;$B662&amp;"'!$O$28")="済み",INDIRECT("'["&amp;$C$1&amp;".xls]"&amp;$B662&amp;"'!$P$28"),""))</f>
        <v>#REF!</v>
      </c>
      <c r="AE662" s="48" t="e">
        <f ca="1">IF(INDIRECT("'["&amp;$C$1&amp;".xls]"&amp;$B662&amp;"'!$P$29")="","",IF(INDIRECT("'["&amp;$C$1&amp;".xls]"&amp;$B662&amp;"'!$O$29")="済み",INDIRECT("'["&amp;$C$1&amp;".xls]"&amp;$B662&amp;"'!$P$29"),""))</f>
        <v>#REF!</v>
      </c>
      <c r="AF662" s="48" t="e">
        <f ca="1">IF(INDIRECT("'["&amp;$C$1&amp;".xls]"&amp;$B662&amp;"'!$P$30")="","",IF(INDIRECT("'["&amp;$C$1&amp;".xls]"&amp;$B662&amp;"'!$O$30")="済み",INDIRECT("'["&amp;$C$1&amp;".xls]"&amp;$B662&amp;"'!$P$30"),""))</f>
        <v>#REF!</v>
      </c>
      <c r="AG662" s="48" t="e">
        <f ca="1">IF(INDIRECT("'["&amp;$C$1&amp;".xls]"&amp;$B662&amp;"'!$P$31")="","",IF(INDIRECT("'["&amp;$C$1&amp;".xls]"&amp;$B662&amp;"'!$O$31")="済み",INDIRECT("'["&amp;$C$1&amp;".xls]"&amp;$B662&amp;"'!$P$31"),""))</f>
        <v>#REF!</v>
      </c>
      <c r="AH662" s="48" t="e">
        <f ca="1">IF(INDIRECT("'["&amp;$C$1&amp;".xls]"&amp;$B662&amp;"'!$P$32")="","",IF(INDIRECT("'["&amp;$C$1&amp;".xls]"&amp;$B662&amp;"'!$O$32")="済み",INDIRECT("'["&amp;$C$1&amp;".xls]"&amp;$B662&amp;"'!$P$32"),""))</f>
        <v>#REF!</v>
      </c>
      <c r="AI662" s="48" t="e">
        <f ca="1">IF(INDIRECT("'["&amp;$C$1&amp;".xls]"&amp;$B662&amp;"'!$P$33")="","",IF(INDIRECT("'["&amp;$C$1&amp;".xls]"&amp;$B662&amp;"'!$O$33")="済み",INDIRECT("'["&amp;$C$1&amp;".xls]"&amp;$B662&amp;"'!$P$33"),""))</f>
        <v>#REF!</v>
      </c>
      <c r="AJ662" s="48" t="e">
        <f ca="1">IF(INDIRECT("'["&amp;$C$1&amp;".xls]"&amp;$B662&amp;"'!$P$34")="","",IF(INDIRECT("'["&amp;$C$1&amp;".xls]"&amp;$B662&amp;"'!$O$34")="済み",INDIRECT("'["&amp;$C$1&amp;".xls]"&amp;$B662&amp;"'!$P$34"),""))</f>
        <v>#REF!</v>
      </c>
      <c r="AK662" s="48" t="e">
        <f ca="1">IF(INDIRECT("'["&amp;$C$1&amp;".xls]"&amp;$B662&amp;"'!$T25")="","",IF(INDIRECT("'["&amp;$C$1&amp;".xls]"&amp;$B662&amp;"'!$O$25")="済み",INDIRECT("'["&amp;$C$1&amp;".xls]"&amp;$B662&amp;"'!$T$25"),""))</f>
        <v>#REF!</v>
      </c>
      <c r="AL662" s="48" t="e">
        <f ca="1">IF(INDIRECT("'["&amp;$C$1&amp;".xls]"&amp;$B662&amp;"'!$T26")="","",IF(INDIRECT("'["&amp;$C$1&amp;".xls]"&amp;$B662&amp;"'!$O$26")="済み",INDIRECT("'["&amp;$C$1&amp;".xls]"&amp;$B662&amp;"'!$T$26"),""))</f>
        <v>#REF!</v>
      </c>
      <c r="AM662" s="48" t="e">
        <f ca="1">IF(INDIRECT("'["&amp;$C$1&amp;".xls]"&amp;$B662&amp;"'!$T27")="","",IF(INDIRECT("'["&amp;$C$1&amp;".xls]"&amp;$B662&amp;"'!$O$27")="済み",INDIRECT("'["&amp;$C$1&amp;".xls]"&amp;$B662&amp;"'!$T$27"),""))</f>
        <v>#REF!</v>
      </c>
      <c r="AN662" s="48" t="e">
        <f ca="1">IF(INDIRECT("'["&amp;$C$1&amp;".xls]"&amp;$B662&amp;"'!$T28")="","",IF(INDIRECT("'["&amp;$C$1&amp;".xls]"&amp;$B662&amp;"'!$O$28")="済み",INDIRECT("'["&amp;$C$1&amp;".xls]"&amp;$B662&amp;"'!$T$28"),""))</f>
        <v>#REF!</v>
      </c>
      <c r="AO662" s="48" t="e">
        <f ca="1">IF(INDIRECT("'["&amp;$C$1&amp;".xls]"&amp;$B662&amp;"'!$T29")="","",IF(INDIRECT("'["&amp;$C$1&amp;".xls]"&amp;$B662&amp;"'!$O$29")="済み",INDIRECT("'["&amp;$C$1&amp;".xls]"&amp;$B662&amp;"'!$T$29"),""))</f>
        <v>#REF!</v>
      </c>
      <c r="AP662" s="48" t="e">
        <f ca="1">IF(INDIRECT("'["&amp;$C$1&amp;".xls]"&amp;$B662&amp;"'!$T30")="","",IF(INDIRECT("'["&amp;$C$1&amp;".xls]"&amp;$B662&amp;"'!$O$30")="済み",INDIRECT("'["&amp;$C$1&amp;".xls]"&amp;$B662&amp;"'!$T$30"),""))</f>
        <v>#REF!</v>
      </c>
      <c r="AQ662" s="48" t="e">
        <f ca="1">IF(INDIRECT("'["&amp;$C$1&amp;".xls]"&amp;$B662&amp;"'!$T31")="","",IF(INDIRECT("'["&amp;$C$1&amp;".xls]"&amp;$B662&amp;"'!$O$31")="済み",INDIRECT("'["&amp;$C$1&amp;".xls]"&amp;$B662&amp;"'!$T$31"),""))</f>
        <v>#REF!</v>
      </c>
      <c r="AR662" s="48" t="e">
        <f ca="1">IF(INDIRECT("'["&amp;$C$1&amp;".xls]"&amp;$B662&amp;"'!$T32")="","",IF(INDIRECT("'["&amp;$C$1&amp;".xls]"&amp;$B662&amp;"'!$O$32")="済み",INDIRECT("'["&amp;$C$1&amp;".xls]"&amp;$B662&amp;"'!$T$32"),""))</f>
        <v>#REF!</v>
      </c>
      <c r="AS662" s="48" t="e">
        <f ca="1">IF(INDIRECT("'["&amp;$C$1&amp;".xls]"&amp;$B662&amp;"'!$T33")="","",IF(INDIRECT("'["&amp;$C$1&amp;".xls]"&amp;$B662&amp;"'!$O$33")="済み",INDIRECT("'["&amp;$C$1&amp;".xls]"&amp;$B662&amp;"'!$T$33"),""))</f>
        <v>#REF!</v>
      </c>
      <c r="AT662" s="48" t="e">
        <f ca="1">IF(INDIRECT("'["&amp;$C$1&amp;".xls]"&amp;$B662&amp;"'!$T34")="","",IF(INDIRECT("'["&amp;$C$1&amp;".xls]"&amp;$B662&amp;"'!$O$34")="済み",INDIRECT("'["&amp;$C$1&amp;".xls]"&amp;$B662&amp;"'!$T$34"),""))</f>
        <v>#REF!</v>
      </c>
      <c r="AU662" s="93" t="e">
        <f ca="1">INDIRECT("'["&amp;$C$1&amp;".xls]"&amp;$B662&amp;"'!$B$6")</f>
        <v>#REF!</v>
      </c>
      <c r="AV662" s="93" t="e">
        <f ca="1">INDIRECT("'["&amp;$C$1&amp;".xls]"&amp;$B662&amp;"'!$Y$22")</f>
        <v>#REF!</v>
      </c>
      <c r="AW662" s="93" t="e">
        <f ca="1">INDIRECT("'["&amp;$C$1&amp;".xls]"&amp;$B662&amp;"'!$Y$24")</f>
        <v>#REF!</v>
      </c>
      <c r="AX662" s="93" t="e">
        <f ca="1">INDIRECT("'["&amp;$C$1&amp;".xls]"&amp;$B662&amp;"'!$Y$26")</f>
        <v>#REF!</v>
      </c>
      <c r="AY662" s="93" t="e">
        <f ca="1">INDIRECT("'["&amp;$C$1&amp;".xls]"&amp;$B662&amp;"'!$Y$28")</f>
        <v>#REF!</v>
      </c>
    </row>
    <row r="663" spans="1:52" ht="16.5" customHeight="1" x14ac:dyDescent="0.15">
      <c r="A663" s="182" t="s">
        <v>6788</v>
      </c>
      <c r="B663" s="183" t="s">
        <v>6789</v>
      </c>
      <c r="C663" s="48" t="s">
        <v>330</v>
      </c>
      <c r="D663" s="62" t="s">
        <v>6194</v>
      </c>
      <c r="E663" s="48" t="s">
        <v>300</v>
      </c>
      <c r="F663" s="61">
        <v>42634</v>
      </c>
      <c r="G663" s="61">
        <v>0</v>
      </c>
      <c r="H663" s="125">
        <v>42667</v>
      </c>
      <c r="I663" s="61" t="s">
        <v>279</v>
      </c>
      <c r="J663" s="87"/>
      <c r="K663" s="62" t="s">
        <v>2506</v>
      </c>
      <c r="L663" s="62">
        <v>3</v>
      </c>
      <c r="M663" s="62" t="s">
        <v>409</v>
      </c>
      <c r="N663" s="62" t="s">
        <v>5225</v>
      </c>
      <c r="O663" s="48" t="s">
        <v>948</v>
      </c>
      <c r="P663" s="48" t="s">
        <v>6790</v>
      </c>
      <c r="Q663" s="48" t="s">
        <v>1125</v>
      </c>
      <c r="R663" s="48" t="s">
        <v>1609</v>
      </c>
      <c r="S663" s="48" t="s">
        <v>1610</v>
      </c>
      <c r="T663" s="48" t="s">
        <v>1611</v>
      </c>
      <c r="U663" s="48" t="s">
        <v>6791</v>
      </c>
      <c r="V663" s="48" t="s">
        <v>5229</v>
      </c>
      <c r="W663" s="122" t="s">
        <v>263</v>
      </c>
      <c r="X663" s="48" t="s">
        <v>5230</v>
      </c>
      <c r="Y663" s="48" t="s">
        <v>6792</v>
      </c>
      <c r="Z663" s="61"/>
      <c r="AA663" s="48" t="s">
        <v>273</v>
      </c>
      <c r="AB663" s="48" t="s">
        <v>273</v>
      </c>
      <c r="AC663" s="48" t="s">
        <v>273</v>
      </c>
      <c r="AD663" s="48" t="s">
        <v>273</v>
      </c>
      <c r="AE663" s="48" t="s">
        <v>273</v>
      </c>
      <c r="AF663" s="48" t="s">
        <v>273</v>
      </c>
      <c r="AG663" s="48" t="s">
        <v>273</v>
      </c>
      <c r="AH663" s="48" t="s">
        <v>273</v>
      </c>
      <c r="AI663" s="48" t="s">
        <v>273</v>
      </c>
      <c r="AJ663" s="48" t="s">
        <v>273</v>
      </c>
      <c r="AK663" s="48" t="s">
        <v>273</v>
      </c>
      <c r="AL663" s="48" t="s">
        <v>273</v>
      </c>
      <c r="AM663" s="48" t="s">
        <v>273</v>
      </c>
      <c r="AN663" s="48" t="s">
        <v>273</v>
      </c>
      <c r="AO663" s="48" t="s">
        <v>273</v>
      </c>
      <c r="AP663" s="48" t="s">
        <v>273</v>
      </c>
      <c r="AQ663" s="48" t="s">
        <v>273</v>
      </c>
      <c r="AR663" s="48" t="s">
        <v>273</v>
      </c>
      <c r="AS663" s="48" t="s">
        <v>273</v>
      </c>
      <c r="AT663" s="48" t="s">
        <v>273</v>
      </c>
      <c r="AU663" s="93">
        <v>40575</v>
      </c>
      <c r="AV663" s="93" t="s">
        <v>6793</v>
      </c>
      <c r="AW663" s="93" t="s">
        <v>6794</v>
      </c>
      <c r="AX663" s="93" t="s">
        <v>6795</v>
      </c>
      <c r="AY663" s="93" t="s">
        <v>5312</v>
      </c>
    </row>
    <row r="664" spans="1:52" ht="16.5" customHeight="1" x14ac:dyDescent="0.15">
      <c r="A664" s="121" t="s">
        <v>6796</v>
      </c>
      <c r="B664" s="47" t="s">
        <v>6797</v>
      </c>
      <c r="C664" s="48" t="e">
        <f ca="1">INDIRECT("'["&amp;$C$1&amp;".xls]"&amp;$B664&amp;"'!$i$7")</f>
        <v>#REF!</v>
      </c>
      <c r="D664" s="62" t="e">
        <f ca="1">INDIRECT("'["&amp;$C$1&amp;".xls]"&amp;$B664&amp;"'!$b$7")</f>
        <v>#REF!</v>
      </c>
      <c r="E664" s="48" t="e">
        <f ca="1">IF(INDIRECT("'["&amp;$C$1&amp;".xls]"&amp;$B664&amp;"'!$i$2")="","",INDIRECT("'["&amp;$C$1&amp;".xls]"&amp;$B664&amp;"'!$i$2"))</f>
        <v>#REF!</v>
      </c>
      <c r="F664" s="61" t="e">
        <f ca="1">INDIRECT("'["&amp;$C$1&amp;".xls]"&amp;$B664&amp;"'!$b$2")</f>
        <v>#REF!</v>
      </c>
      <c r="G664" s="61" t="e">
        <f ca="1">INDIRECT("'["&amp;$C$1&amp;".xls]"&amp;$B664&amp;"'!$a$20")</f>
        <v>#REF!</v>
      </c>
      <c r="H664" s="88" t="e">
        <f ca="1">INDIRECT("'["&amp;$C$1&amp;".xls]"&amp;$B664&amp;"'!$Q$22")</f>
        <v>#REF!</v>
      </c>
      <c r="I664" s="61" t="e">
        <f ca="1">INDIRECT("'["&amp;$C$1&amp;".xls]"&amp;$B664&amp;"'!$f$6")</f>
        <v>#REF!</v>
      </c>
      <c r="J664" s="87"/>
      <c r="K664" s="62" t="e">
        <f ca="1">INDIRECT("'["&amp;$C$1&amp;".xls]"&amp;$B664&amp;"'!$f$25")</f>
        <v>#REF!</v>
      </c>
      <c r="L664" s="62"/>
      <c r="M664" s="62" t="e">
        <f ca="1">INDIRECT("'["&amp;$C$1&amp;".xls]"&amp;$B664&amp;"'!$f$4")</f>
        <v>#REF!</v>
      </c>
      <c r="N664" s="62" t="e">
        <f ca="1">INDIRECT("'["&amp;$C$1&amp;".xls]"&amp;$B664&amp;"'!$i$4")</f>
        <v>#REF!</v>
      </c>
      <c r="O664" s="48" t="e">
        <f ca="1">INDIRECT("'["&amp;$C$1&amp;".xls]"&amp;$B664&amp;"'!$l$4")</f>
        <v>#REF!</v>
      </c>
      <c r="P664" s="48" t="e">
        <f ca="1">INDIRECT("'["&amp;$C$1&amp;".xls]"&amp;$B664&amp;"'!$b$5")</f>
        <v>#REF!</v>
      </c>
      <c r="Q664" s="48" t="e">
        <f ca="1">INDIRECT("'["&amp;$C$1&amp;".xls]"&amp;$B664&amp;"'!$f$5")</f>
        <v>#REF!</v>
      </c>
      <c r="R664" s="48" t="s">
        <v>399</v>
      </c>
      <c r="S664" s="48" t="e">
        <f ca="1">INDIRECT("'["&amp;$C$1&amp;".xls]"&amp;$B664&amp;"'!$i$5")</f>
        <v>#REF!</v>
      </c>
      <c r="T664" s="48" t="e">
        <f ca="1">INDIRECT("'["&amp;$C$1&amp;".xls]"&amp;$B664&amp;"'!$l$5")</f>
        <v>#REF!</v>
      </c>
      <c r="U664" s="48" t="e">
        <f ca="1">INDIRECT("'["&amp;$C$1&amp;".xls]"&amp;$B664&amp;"'!$b$4")</f>
        <v>#REF!</v>
      </c>
      <c r="V664" s="48"/>
      <c r="W664" s="48"/>
      <c r="X664" s="48"/>
      <c r="Y664" s="48"/>
      <c r="Z664" s="61"/>
      <c r="AA664" s="48" t="e">
        <f ca="1">IF(INDIRECT("'["&amp;$C$1&amp;".xls]"&amp;$B664&amp;"'!$P$25")="","",IF(INDIRECT("'["&amp;$C$1&amp;".xls]"&amp;$B664&amp;"'!$O$25")="済み",INDIRECT("'["&amp;$C$1&amp;".xls]"&amp;$B664&amp;"'!$P$25"),""))</f>
        <v>#REF!</v>
      </c>
      <c r="AB664" s="48" t="e">
        <f ca="1">IF(INDIRECT("'["&amp;$C$1&amp;".xls]"&amp;$B664&amp;"'!$P$26")="","",IF(INDIRECT("'["&amp;$C$1&amp;".xls]"&amp;$B664&amp;"'!$O$26")="済み",INDIRECT("'["&amp;$C$1&amp;".xls]"&amp;$B664&amp;"'!$P$26"),""))</f>
        <v>#REF!</v>
      </c>
      <c r="AC664" s="48" t="e">
        <f ca="1">IF(INDIRECT("'["&amp;$C$1&amp;".xls]"&amp;$B664&amp;"'!$P$27")="","",IF(INDIRECT("'["&amp;$C$1&amp;".xls]"&amp;$B664&amp;"'!$O$27")="済み",INDIRECT("'["&amp;$C$1&amp;".xls]"&amp;$B664&amp;"'!$P$27"),""))</f>
        <v>#REF!</v>
      </c>
      <c r="AD664" s="48" t="e">
        <f ca="1">IF(INDIRECT("'["&amp;$C$1&amp;".xls]"&amp;$B664&amp;"'!$P$28")="","",IF(INDIRECT("'["&amp;$C$1&amp;".xls]"&amp;$B664&amp;"'!$O$28")="済み",INDIRECT("'["&amp;$C$1&amp;".xls]"&amp;$B664&amp;"'!$P$28"),""))</f>
        <v>#REF!</v>
      </c>
      <c r="AE664" s="48" t="e">
        <f ca="1">IF(INDIRECT("'["&amp;$C$1&amp;".xls]"&amp;$B664&amp;"'!$P$29")="","",IF(INDIRECT("'["&amp;$C$1&amp;".xls]"&amp;$B664&amp;"'!$O$29")="済み",INDIRECT("'["&amp;$C$1&amp;".xls]"&amp;$B664&amp;"'!$P$29"),""))</f>
        <v>#REF!</v>
      </c>
      <c r="AF664" s="48" t="e">
        <f ca="1">IF(INDIRECT("'["&amp;$C$1&amp;".xls]"&amp;$B664&amp;"'!$P$30")="","",IF(INDIRECT("'["&amp;$C$1&amp;".xls]"&amp;$B664&amp;"'!$O$30")="済み",INDIRECT("'["&amp;$C$1&amp;".xls]"&amp;$B664&amp;"'!$P$30"),""))</f>
        <v>#REF!</v>
      </c>
      <c r="AG664" s="48" t="e">
        <f ca="1">IF(INDIRECT("'["&amp;$C$1&amp;".xls]"&amp;$B664&amp;"'!$P$31")="","",IF(INDIRECT("'["&amp;$C$1&amp;".xls]"&amp;$B664&amp;"'!$O$31")="済み",INDIRECT("'["&amp;$C$1&amp;".xls]"&amp;$B664&amp;"'!$P$31"),""))</f>
        <v>#REF!</v>
      </c>
      <c r="AH664" s="48" t="e">
        <f ca="1">IF(INDIRECT("'["&amp;$C$1&amp;".xls]"&amp;$B664&amp;"'!$P$32")="","",IF(INDIRECT("'["&amp;$C$1&amp;".xls]"&amp;$B664&amp;"'!$O$32")="済み",INDIRECT("'["&amp;$C$1&amp;".xls]"&amp;$B664&amp;"'!$P$32"),""))</f>
        <v>#REF!</v>
      </c>
      <c r="AI664" s="48" t="e">
        <f ca="1">IF(INDIRECT("'["&amp;$C$1&amp;".xls]"&amp;$B664&amp;"'!$P$33")="","",IF(INDIRECT("'["&amp;$C$1&amp;".xls]"&amp;$B664&amp;"'!$O$33")="済み",INDIRECT("'["&amp;$C$1&amp;".xls]"&amp;$B664&amp;"'!$P$33"),""))</f>
        <v>#REF!</v>
      </c>
      <c r="AJ664" s="48" t="e">
        <f ca="1">IF(INDIRECT("'["&amp;$C$1&amp;".xls]"&amp;$B664&amp;"'!$P$34")="","",IF(INDIRECT("'["&amp;$C$1&amp;".xls]"&amp;$B664&amp;"'!$O$34")="済み",INDIRECT("'["&amp;$C$1&amp;".xls]"&amp;$B664&amp;"'!$P$34"),""))</f>
        <v>#REF!</v>
      </c>
      <c r="AK664" s="48" t="e">
        <f ca="1">IF(INDIRECT("'["&amp;$C$1&amp;".xls]"&amp;$B664&amp;"'!$T25")="","",IF(INDIRECT("'["&amp;$C$1&amp;".xls]"&amp;$B664&amp;"'!$O$25")="済み",INDIRECT("'["&amp;$C$1&amp;".xls]"&amp;$B664&amp;"'!$T$25"),""))</f>
        <v>#REF!</v>
      </c>
      <c r="AL664" s="48" t="e">
        <f ca="1">IF(INDIRECT("'["&amp;$C$1&amp;".xls]"&amp;$B664&amp;"'!$T26")="","",IF(INDIRECT("'["&amp;$C$1&amp;".xls]"&amp;$B664&amp;"'!$O$26")="済み",INDIRECT("'["&amp;$C$1&amp;".xls]"&amp;$B664&amp;"'!$T$26"),""))</f>
        <v>#REF!</v>
      </c>
      <c r="AM664" s="48" t="e">
        <f ca="1">IF(INDIRECT("'["&amp;$C$1&amp;".xls]"&amp;$B664&amp;"'!$T27")="","",IF(INDIRECT("'["&amp;$C$1&amp;".xls]"&amp;$B664&amp;"'!$O$27")="済み",INDIRECT("'["&amp;$C$1&amp;".xls]"&amp;$B664&amp;"'!$T$27"),""))</f>
        <v>#REF!</v>
      </c>
      <c r="AN664" s="48" t="e">
        <f ca="1">IF(INDIRECT("'["&amp;$C$1&amp;".xls]"&amp;$B664&amp;"'!$T28")="","",IF(INDIRECT("'["&amp;$C$1&amp;".xls]"&amp;$B664&amp;"'!$O$28")="済み",INDIRECT("'["&amp;$C$1&amp;".xls]"&amp;$B664&amp;"'!$T$28"),""))</f>
        <v>#REF!</v>
      </c>
      <c r="AO664" s="48" t="e">
        <f ca="1">IF(INDIRECT("'["&amp;$C$1&amp;".xls]"&amp;$B664&amp;"'!$T29")="","",IF(INDIRECT("'["&amp;$C$1&amp;".xls]"&amp;$B664&amp;"'!$O$29")="済み",INDIRECT("'["&amp;$C$1&amp;".xls]"&amp;$B664&amp;"'!$T$29"),""))</f>
        <v>#REF!</v>
      </c>
      <c r="AP664" s="48" t="e">
        <f ca="1">IF(INDIRECT("'["&amp;$C$1&amp;".xls]"&amp;$B664&amp;"'!$T30")="","",IF(INDIRECT("'["&amp;$C$1&amp;".xls]"&amp;$B664&amp;"'!$O$30")="済み",INDIRECT("'["&amp;$C$1&amp;".xls]"&amp;$B664&amp;"'!$T$30"),""))</f>
        <v>#REF!</v>
      </c>
      <c r="AQ664" s="48" t="e">
        <f ca="1">IF(INDIRECT("'["&amp;$C$1&amp;".xls]"&amp;$B664&amp;"'!$T31")="","",IF(INDIRECT("'["&amp;$C$1&amp;".xls]"&amp;$B664&amp;"'!$O$31")="済み",INDIRECT("'["&amp;$C$1&amp;".xls]"&amp;$B664&amp;"'!$T$31"),""))</f>
        <v>#REF!</v>
      </c>
      <c r="AR664" s="48" t="e">
        <f ca="1">IF(INDIRECT("'["&amp;$C$1&amp;".xls]"&amp;$B664&amp;"'!$T32")="","",IF(INDIRECT("'["&amp;$C$1&amp;".xls]"&amp;$B664&amp;"'!$O$32")="済み",INDIRECT("'["&amp;$C$1&amp;".xls]"&amp;$B664&amp;"'!$T$32"),""))</f>
        <v>#REF!</v>
      </c>
      <c r="AS664" s="48" t="e">
        <f ca="1">IF(INDIRECT("'["&amp;$C$1&amp;".xls]"&amp;$B664&amp;"'!$T33")="","",IF(INDIRECT("'["&amp;$C$1&amp;".xls]"&amp;$B664&amp;"'!$O$33")="済み",INDIRECT("'["&amp;$C$1&amp;".xls]"&amp;$B664&amp;"'!$T$33"),""))</f>
        <v>#REF!</v>
      </c>
      <c r="AT664" s="48" t="e">
        <f ca="1">IF(INDIRECT("'["&amp;$C$1&amp;".xls]"&amp;$B664&amp;"'!$T34")="","",IF(INDIRECT("'["&amp;$C$1&amp;".xls]"&amp;$B664&amp;"'!$O$34")="済み",INDIRECT("'["&amp;$C$1&amp;".xls]"&amp;$B664&amp;"'!$T$34"),""))</f>
        <v>#REF!</v>
      </c>
      <c r="AU664" s="93" t="e">
        <f ca="1">INDIRECT("'["&amp;$C$1&amp;".xls]"&amp;$B664&amp;"'!$B$6")</f>
        <v>#REF!</v>
      </c>
      <c r="AV664" s="93" t="e">
        <f ca="1">INDIRECT("'["&amp;$C$1&amp;".xls]"&amp;$B664&amp;"'!$Y$22")</f>
        <v>#REF!</v>
      </c>
      <c r="AW664" s="93" t="e">
        <f ca="1">INDIRECT("'["&amp;$C$1&amp;".xls]"&amp;$B664&amp;"'!$Y$24")</f>
        <v>#REF!</v>
      </c>
      <c r="AX664" s="93" t="e">
        <f ca="1">INDIRECT("'["&amp;$C$1&amp;".xls]"&amp;$B664&amp;"'!$Y$26")</f>
        <v>#REF!</v>
      </c>
      <c r="AY664" s="93" t="e">
        <f ca="1">INDIRECT("'["&amp;$C$1&amp;".xls]"&amp;$B664&amp;"'!$Y$28")</f>
        <v>#REF!</v>
      </c>
    </row>
    <row r="665" spans="1:52" ht="16.5" customHeight="1" x14ac:dyDescent="0.15">
      <c r="A665" s="121" t="s">
        <v>6798</v>
      </c>
      <c r="B665" s="47" t="s">
        <v>6799</v>
      </c>
      <c r="C665" s="48" t="e">
        <f ca="1">INDIRECT("'["&amp;$C$1&amp;".xls]"&amp;$B665&amp;"'!$i$7")</f>
        <v>#REF!</v>
      </c>
      <c r="D665" s="62" t="e">
        <f ca="1">INDIRECT("'["&amp;$C$1&amp;".xls]"&amp;$B665&amp;"'!$b$7")</f>
        <v>#REF!</v>
      </c>
      <c r="E665" s="48" t="e">
        <f ca="1">IF(INDIRECT("'["&amp;$C$1&amp;".xls]"&amp;$B665&amp;"'!$i$2")="","",INDIRECT("'["&amp;$C$1&amp;".xls]"&amp;$B665&amp;"'!$i$2"))</f>
        <v>#REF!</v>
      </c>
      <c r="F665" s="61" t="e">
        <f ca="1">INDIRECT("'["&amp;$C$1&amp;".xls]"&amp;$B665&amp;"'!$b$2")</f>
        <v>#REF!</v>
      </c>
      <c r="G665" s="61" t="e">
        <f ca="1">INDIRECT("'["&amp;$C$1&amp;".xls]"&amp;$B665&amp;"'!$a$20")</f>
        <v>#REF!</v>
      </c>
      <c r="H665" s="88" t="e">
        <f ca="1">INDIRECT("'["&amp;$C$1&amp;".xls]"&amp;$B665&amp;"'!$Q$22")</f>
        <v>#REF!</v>
      </c>
      <c r="I665" s="61" t="e">
        <f ca="1">INDIRECT("'["&amp;$C$1&amp;".xls]"&amp;$B665&amp;"'!$f$6")</f>
        <v>#REF!</v>
      </c>
      <c r="J665" s="87"/>
      <c r="K665" s="62" t="e">
        <f ca="1">INDIRECT("'["&amp;$C$1&amp;".xls]"&amp;$B665&amp;"'!$f$25")</f>
        <v>#REF!</v>
      </c>
      <c r="L665" s="62"/>
      <c r="M665" s="62" t="e">
        <f ca="1">INDIRECT("'["&amp;$C$1&amp;".xls]"&amp;$B665&amp;"'!$f$4")</f>
        <v>#REF!</v>
      </c>
      <c r="N665" s="62" t="e">
        <f ca="1">INDIRECT("'["&amp;$C$1&amp;".xls]"&amp;$B665&amp;"'!$i$4")</f>
        <v>#REF!</v>
      </c>
      <c r="O665" s="48" t="e">
        <f ca="1">INDIRECT("'["&amp;$C$1&amp;".xls]"&amp;$B665&amp;"'!$l$4")</f>
        <v>#REF!</v>
      </c>
      <c r="P665" s="48" t="e">
        <f ca="1">INDIRECT("'["&amp;$C$1&amp;".xls]"&amp;$B665&amp;"'!$b$5")</f>
        <v>#REF!</v>
      </c>
      <c r="Q665" s="48" t="e">
        <f ca="1">INDIRECT("'["&amp;$C$1&amp;".xls]"&amp;$B665&amp;"'!$f$5")</f>
        <v>#REF!</v>
      </c>
      <c r="R665" s="48"/>
      <c r="S665" s="48" t="e">
        <f ca="1">INDIRECT("'["&amp;$C$1&amp;".xls]"&amp;$B665&amp;"'!$i$5")</f>
        <v>#REF!</v>
      </c>
      <c r="T665" s="48" t="e">
        <f ca="1">INDIRECT("'["&amp;$C$1&amp;".xls]"&amp;$B665&amp;"'!$l$5")</f>
        <v>#REF!</v>
      </c>
      <c r="U665" s="48" t="e">
        <f ca="1">INDIRECT("'["&amp;$C$1&amp;".xls]"&amp;$B665&amp;"'!$b$4")</f>
        <v>#REF!</v>
      </c>
      <c r="V665" s="48"/>
      <c r="W665" s="48"/>
      <c r="X665" s="48"/>
      <c r="Y665" s="48"/>
      <c r="Z665" s="61"/>
      <c r="AA665" s="48" t="e">
        <f ca="1">IF(INDIRECT("'["&amp;$C$1&amp;".xls]"&amp;$B665&amp;"'!$P$25")="","",IF(INDIRECT("'["&amp;$C$1&amp;".xls]"&amp;$B665&amp;"'!$O$25")="済み",INDIRECT("'["&amp;$C$1&amp;".xls]"&amp;$B665&amp;"'!$P$25"),""))</f>
        <v>#REF!</v>
      </c>
      <c r="AB665" s="48" t="e">
        <f ca="1">IF(INDIRECT("'["&amp;$C$1&amp;".xls]"&amp;$B665&amp;"'!$P$26")="","",IF(INDIRECT("'["&amp;$C$1&amp;".xls]"&amp;$B665&amp;"'!$O$26")="済み",INDIRECT("'["&amp;$C$1&amp;".xls]"&amp;$B665&amp;"'!$P$26"),""))</f>
        <v>#REF!</v>
      </c>
      <c r="AC665" s="48" t="e">
        <f ca="1">IF(INDIRECT("'["&amp;$C$1&amp;".xls]"&amp;$B665&amp;"'!$P$27")="","",IF(INDIRECT("'["&amp;$C$1&amp;".xls]"&amp;$B665&amp;"'!$O$27")="済み",INDIRECT("'["&amp;$C$1&amp;".xls]"&amp;$B665&amp;"'!$P$27"),""))</f>
        <v>#REF!</v>
      </c>
      <c r="AD665" s="48" t="e">
        <f ca="1">IF(INDIRECT("'["&amp;$C$1&amp;".xls]"&amp;$B665&amp;"'!$P$28")="","",IF(INDIRECT("'["&amp;$C$1&amp;".xls]"&amp;$B665&amp;"'!$O$28")="済み",INDIRECT("'["&amp;$C$1&amp;".xls]"&amp;$B665&amp;"'!$P$28"),""))</f>
        <v>#REF!</v>
      </c>
      <c r="AE665" s="48" t="e">
        <f ca="1">IF(INDIRECT("'["&amp;$C$1&amp;".xls]"&amp;$B665&amp;"'!$P$29")="","",IF(INDIRECT("'["&amp;$C$1&amp;".xls]"&amp;$B665&amp;"'!$O$29")="済み",INDIRECT("'["&amp;$C$1&amp;".xls]"&amp;$B665&amp;"'!$P$29"),""))</f>
        <v>#REF!</v>
      </c>
      <c r="AF665" s="48" t="e">
        <f ca="1">IF(INDIRECT("'["&amp;$C$1&amp;".xls]"&amp;$B665&amp;"'!$P$30")="","",IF(INDIRECT("'["&amp;$C$1&amp;".xls]"&amp;$B665&amp;"'!$O$30")="済み",INDIRECT("'["&amp;$C$1&amp;".xls]"&amp;$B665&amp;"'!$P$30"),""))</f>
        <v>#REF!</v>
      </c>
      <c r="AG665" s="48" t="e">
        <f ca="1">IF(INDIRECT("'["&amp;$C$1&amp;".xls]"&amp;$B665&amp;"'!$P$31")="","",IF(INDIRECT("'["&amp;$C$1&amp;".xls]"&amp;$B665&amp;"'!$O$31")="済み",INDIRECT("'["&amp;$C$1&amp;".xls]"&amp;$B665&amp;"'!$P$31"),""))</f>
        <v>#REF!</v>
      </c>
      <c r="AH665" s="48" t="e">
        <f ca="1">IF(INDIRECT("'["&amp;$C$1&amp;".xls]"&amp;$B665&amp;"'!$P$32")="","",IF(INDIRECT("'["&amp;$C$1&amp;".xls]"&amp;$B665&amp;"'!$O$32")="済み",INDIRECT("'["&amp;$C$1&amp;".xls]"&amp;$B665&amp;"'!$P$32"),""))</f>
        <v>#REF!</v>
      </c>
      <c r="AI665" s="48" t="e">
        <f ca="1">IF(INDIRECT("'["&amp;$C$1&amp;".xls]"&amp;$B665&amp;"'!$P$33")="","",IF(INDIRECT("'["&amp;$C$1&amp;".xls]"&amp;$B665&amp;"'!$O$33")="済み",INDIRECT("'["&amp;$C$1&amp;".xls]"&amp;$B665&amp;"'!$P$33"),""))</f>
        <v>#REF!</v>
      </c>
      <c r="AJ665" s="48" t="e">
        <f ca="1">IF(INDIRECT("'["&amp;$C$1&amp;".xls]"&amp;$B665&amp;"'!$P$34")="","",IF(INDIRECT("'["&amp;$C$1&amp;".xls]"&amp;$B665&amp;"'!$O$34")="済み",INDIRECT("'["&amp;$C$1&amp;".xls]"&amp;$B665&amp;"'!$P$34"),""))</f>
        <v>#REF!</v>
      </c>
      <c r="AK665" s="48" t="e">
        <f ca="1">IF(INDIRECT("'["&amp;$C$1&amp;".xls]"&amp;$B665&amp;"'!$T25")="","",IF(INDIRECT("'["&amp;$C$1&amp;".xls]"&amp;$B665&amp;"'!$O$25")="済み",INDIRECT("'["&amp;$C$1&amp;".xls]"&amp;$B665&amp;"'!$T$25"),""))</f>
        <v>#REF!</v>
      </c>
      <c r="AL665" s="48" t="e">
        <f ca="1">IF(INDIRECT("'["&amp;$C$1&amp;".xls]"&amp;$B665&amp;"'!$T26")="","",IF(INDIRECT("'["&amp;$C$1&amp;".xls]"&amp;$B665&amp;"'!$O$26")="済み",INDIRECT("'["&amp;$C$1&amp;".xls]"&amp;$B665&amp;"'!$T$26"),""))</f>
        <v>#REF!</v>
      </c>
      <c r="AM665" s="48" t="e">
        <f ca="1">IF(INDIRECT("'["&amp;$C$1&amp;".xls]"&amp;$B665&amp;"'!$T27")="","",IF(INDIRECT("'["&amp;$C$1&amp;".xls]"&amp;$B665&amp;"'!$O$27")="済み",INDIRECT("'["&amp;$C$1&amp;".xls]"&amp;$B665&amp;"'!$T$27"),""))</f>
        <v>#REF!</v>
      </c>
      <c r="AN665" s="48" t="e">
        <f ca="1">IF(INDIRECT("'["&amp;$C$1&amp;".xls]"&amp;$B665&amp;"'!$T28")="","",IF(INDIRECT("'["&amp;$C$1&amp;".xls]"&amp;$B665&amp;"'!$O$28")="済み",INDIRECT("'["&amp;$C$1&amp;".xls]"&amp;$B665&amp;"'!$T$28"),""))</f>
        <v>#REF!</v>
      </c>
      <c r="AO665" s="48" t="e">
        <f ca="1">IF(INDIRECT("'["&amp;$C$1&amp;".xls]"&amp;$B665&amp;"'!$T29")="","",IF(INDIRECT("'["&amp;$C$1&amp;".xls]"&amp;$B665&amp;"'!$O$29")="済み",INDIRECT("'["&amp;$C$1&amp;".xls]"&amp;$B665&amp;"'!$T$29"),""))</f>
        <v>#REF!</v>
      </c>
      <c r="AP665" s="48" t="e">
        <f ca="1">IF(INDIRECT("'["&amp;$C$1&amp;".xls]"&amp;$B665&amp;"'!$T30")="","",IF(INDIRECT("'["&amp;$C$1&amp;".xls]"&amp;$B665&amp;"'!$O$30")="済み",INDIRECT("'["&amp;$C$1&amp;".xls]"&amp;$B665&amp;"'!$T$30"),""))</f>
        <v>#REF!</v>
      </c>
      <c r="AQ665" s="48" t="e">
        <f ca="1">IF(INDIRECT("'["&amp;$C$1&amp;".xls]"&amp;$B665&amp;"'!$T31")="","",IF(INDIRECT("'["&amp;$C$1&amp;".xls]"&amp;$B665&amp;"'!$O$31")="済み",INDIRECT("'["&amp;$C$1&amp;".xls]"&amp;$B665&amp;"'!$T$31"),""))</f>
        <v>#REF!</v>
      </c>
      <c r="AR665" s="48" t="e">
        <f ca="1">IF(INDIRECT("'["&amp;$C$1&amp;".xls]"&amp;$B665&amp;"'!$T32")="","",IF(INDIRECT("'["&amp;$C$1&amp;".xls]"&amp;$B665&amp;"'!$O$32")="済み",INDIRECT("'["&amp;$C$1&amp;".xls]"&amp;$B665&amp;"'!$T$32"),""))</f>
        <v>#REF!</v>
      </c>
      <c r="AS665" s="48" t="e">
        <f ca="1">IF(INDIRECT("'["&amp;$C$1&amp;".xls]"&amp;$B665&amp;"'!$T33")="","",IF(INDIRECT("'["&amp;$C$1&amp;".xls]"&amp;$B665&amp;"'!$O$33")="済み",INDIRECT("'["&amp;$C$1&amp;".xls]"&amp;$B665&amp;"'!$T$33"),""))</f>
        <v>#REF!</v>
      </c>
      <c r="AT665" s="48" t="e">
        <f ca="1">IF(INDIRECT("'["&amp;$C$1&amp;".xls]"&amp;$B665&amp;"'!$T34")="","",IF(INDIRECT("'["&amp;$C$1&amp;".xls]"&amp;$B665&amp;"'!$O$34")="済み",INDIRECT("'["&amp;$C$1&amp;".xls]"&amp;$B665&amp;"'!$T$34"),""))</f>
        <v>#REF!</v>
      </c>
      <c r="AU665" s="93" t="e">
        <f ca="1">INDIRECT("'["&amp;$C$1&amp;".xls]"&amp;$B665&amp;"'!$B$6")</f>
        <v>#REF!</v>
      </c>
      <c r="AV665" s="93" t="e">
        <f ca="1">INDIRECT("'["&amp;$C$1&amp;".xls]"&amp;$B665&amp;"'!$Y$22")</f>
        <v>#REF!</v>
      </c>
      <c r="AW665" s="93" t="e">
        <f ca="1">INDIRECT("'["&amp;$C$1&amp;".xls]"&amp;$B665&amp;"'!$Y$24")</f>
        <v>#REF!</v>
      </c>
      <c r="AX665" s="93" t="e">
        <f ca="1">INDIRECT("'["&amp;$C$1&amp;".xls]"&amp;$B665&amp;"'!$Y$26")</f>
        <v>#REF!</v>
      </c>
      <c r="AY665" s="93" t="e">
        <f ca="1">INDIRECT("'["&amp;$C$1&amp;".xls]"&amp;$B665&amp;"'!$Y$28")</f>
        <v>#REF!</v>
      </c>
    </row>
    <row r="666" spans="1:52" ht="16.5" customHeight="1" x14ac:dyDescent="0.15">
      <c r="A666" s="199" t="s">
        <v>6800</v>
      </c>
      <c r="B666" s="209" t="s">
        <v>6801</v>
      </c>
      <c r="C666" s="48" t="s">
        <v>6802</v>
      </c>
      <c r="D666" s="62" t="s">
        <v>6803</v>
      </c>
      <c r="E666" s="48" t="s">
        <v>264</v>
      </c>
      <c r="F666" s="61">
        <v>42636</v>
      </c>
      <c r="G666" s="61">
        <v>0</v>
      </c>
      <c r="H666" s="125">
        <v>42678</v>
      </c>
      <c r="I666" s="61" t="s">
        <v>279</v>
      </c>
      <c r="J666" s="87"/>
      <c r="K666" s="62" t="s">
        <v>2506</v>
      </c>
      <c r="L666" s="62">
        <v>3</v>
      </c>
      <c r="M666" s="62" t="s">
        <v>409</v>
      </c>
      <c r="N666" s="62" t="s">
        <v>6804</v>
      </c>
      <c r="O666" s="48" t="s">
        <v>535</v>
      </c>
      <c r="P666" s="48" t="s">
        <v>6805</v>
      </c>
      <c r="Q666" s="48" t="s">
        <v>6806</v>
      </c>
      <c r="R666" s="48" t="s">
        <v>6807</v>
      </c>
      <c r="S666" s="48" t="s">
        <v>6342</v>
      </c>
      <c r="T666" s="48" t="s">
        <v>6343</v>
      </c>
      <c r="U666" s="48" t="s">
        <v>6808</v>
      </c>
      <c r="V666" s="48" t="s">
        <v>6809</v>
      </c>
      <c r="W666" s="48" t="s">
        <v>6810</v>
      </c>
      <c r="X666" s="48" t="s">
        <v>6811</v>
      </c>
      <c r="Y666" s="48" t="s">
        <v>6812</v>
      </c>
      <c r="Z666" s="61"/>
      <c r="AA666" s="48" t="s">
        <v>548</v>
      </c>
      <c r="AB666" s="48" t="s">
        <v>547</v>
      </c>
      <c r="AC666" s="48" t="s">
        <v>273</v>
      </c>
      <c r="AD666" s="48" t="s">
        <v>273</v>
      </c>
      <c r="AE666" s="48" t="s">
        <v>273</v>
      </c>
      <c r="AF666" s="48" t="s">
        <v>273</v>
      </c>
      <c r="AG666" s="48" t="s">
        <v>273</v>
      </c>
      <c r="AH666" s="48" t="s">
        <v>273</v>
      </c>
      <c r="AI666" s="48" t="s">
        <v>273</v>
      </c>
      <c r="AJ666" s="48" t="s">
        <v>273</v>
      </c>
      <c r="AK666" s="48" t="s">
        <v>2889</v>
      </c>
      <c r="AL666" s="48" t="s">
        <v>6813</v>
      </c>
      <c r="AM666" s="48" t="s">
        <v>273</v>
      </c>
      <c r="AN666" s="48" t="s">
        <v>273</v>
      </c>
      <c r="AO666" s="48" t="s">
        <v>273</v>
      </c>
      <c r="AP666" s="48" t="s">
        <v>273</v>
      </c>
      <c r="AQ666" s="48" t="s">
        <v>273</v>
      </c>
      <c r="AR666" s="48" t="s">
        <v>273</v>
      </c>
      <c r="AS666" s="48" t="s">
        <v>273</v>
      </c>
      <c r="AT666" s="48" t="s">
        <v>273</v>
      </c>
      <c r="AU666" s="93">
        <v>41426</v>
      </c>
      <c r="AV666" s="93" t="s">
        <v>6814</v>
      </c>
      <c r="AW666" s="93" t="s">
        <v>6815</v>
      </c>
      <c r="AX666" s="93" t="s">
        <v>6816</v>
      </c>
      <c r="AY666" s="93" t="s">
        <v>6817</v>
      </c>
    </row>
    <row r="667" spans="1:52" ht="16.5" customHeight="1" x14ac:dyDescent="0.15">
      <c r="A667" s="182" t="s">
        <v>6818</v>
      </c>
      <c r="B667" s="183" t="s">
        <v>6819</v>
      </c>
      <c r="C667" s="48" t="s">
        <v>298</v>
      </c>
      <c r="D667" s="62" t="s">
        <v>6820</v>
      </c>
      <c r="E667" s="48" t="s">
        <v>300</v>
      </c>
      <c r="F667" s="61">
        <v>42636</v>
      </c>
      <c r="G667" s="61">
        <v>0</v>
      </c>
      <c r="H667" s="125">
        <v>42660</v>
      </c>
      <c r="I667" s="61" t="s">
        <v>279</v>
      </c>
      <c r="J667" s="87"/>
      <c r="K667" s="62" t="s">
        <v>2506</v>
      </c>
      <c r="L667" s="62">
        <v>3</v>
      </c>
      <c r="M667" s="62" t="s">
        <v>442</v>
      </c>
      <c r="N667" s="62" t="s">
        <v>6821</v>
      </c>
      <c r="O667" s="48" t="s">
        <v>1123</v>
      </c>
      <c r="P667" s="48" t="s">
        <v>2083</v>
      </c>
      <c r="Q667" s="48" t="s">
        <v>6822</v>
      </c>
      <c r="R667" s="48" t="s">
        <v>2085</v>
      </c>
      <c r="S667" s="48" t="s">
        <v>2086</v>
      </c>
      <c r="T667" s="48" t="s">
        <v>2087</v>
      </c>
      <c r="U667" s="48" t="s">
        <v>2088</v>
      </c>
      <c r="V667" s="122" t="s">
        <v>263</v>
      </c>
      <c r="W667" s="122" t="s">
        <v>263</v>
      </c>
      <c r="X667" s="48" t="s">
        <v>6039</v>
      </c>
      <c r="Y667" s="48" t="s">
        <v>2090</v>
      </c>
      <c r="Z667" s="61"/>
      <c r="AA667" s="48" t="s">
        <v>849</v>
      </c>
      <c r="AB667" s="48" t="s">
        <v>1391</v>
      </c>
      <c r="AC667" s="48" t="s">
        <v>273</v>
      </c>
      <c r="AD667" s="48" t="s">
        <v>273</v>
      </c>
      <c r="AE667" s="48" t="s">
        <v>273</v>
      </c>
      <c r="AF667" s="48" t="s">
        <v>273</v>
      </c>
      <c r="AG667" s="48" t="s">
        <v>273</v>
      </c>
      <c r="AH667" s="48" t="s">
        <v>273</v>
      </c>
      <c r="AI667" s="48" t="s">
        <v>273</v>
      </c>
      <c r="AJ667" s="48" t="s">
        <v>273</v>
      </c>
      <c r="AK667" s="48" t="s">
        <v>850</v>
      </c>
      <c r="AL667" s="48" t="s">
        <v>1394</v>
      </c>
      <c r="AM667" s="48" t="s">
        <v>273</v>
      </c>
      <c r="AN667" s="48" t="s">
        <v>273</v>
      </c>
      <c r="AO667" s="48" t="s">
        <v>273</v>
      </c>
      <c r="AP667" s="48" t="s">
        <v>273</v>
      </c>
      <c r="AQ667" s="48" t="s">
        <v>273</v>
      </c>
      <c r="AR667" s="48" t="s">
        <v>273</v>
      </c>
      <c r="AS667" s="48" t="s">
        <v>273</v>
      </c>
      <c r="AT667" s="48" t="s">
        <v>273</v>
      </c>
      <c r="AU667" s="93">
        <v>38322</v>
      </c>
      <c r="AV667" s="93" t="s">
        <v>6823</v>
      </c>
      <c r="AW667" s="93" t="s">
        <v>6824</v>
      </c>
      <c r="AX667" s="93" t="s">
        <v>6825</v>
      </c>
      <c r="AY667" s="93" t="s">
        <v>5312</v>
      </c>
    </row>
    <row r="668" spans="1:52" ht="16.5" customHeight="1" x14ac:dyDescent="0.15">
      <c r="A668" s="211" t="s">
        <v>6826</v>
      </c>
      <c r="B668" s="47" t="s">
        <v>6827</v>
      </c>
      <c r="C668" s="48" t="e">
        <f ca="1">INDIRECT("'["&amp;$C$1&amp;".xls]"&amp;$B668&amp;"'!$i$7")</f>
        <v>#REF!</v>
      </c>
      <c r="D668" s="62" t="e">
        <f ca="1">INDIRECT("'["&amp;$C$1&amp;".xls]"&amp;$B668&amp;"'!$b$7")</f>
        <v>#REF!</v>
      </c>
      <c r="E668" s="48" t="e">
        <f ca="1">IF(INDIRECT("'["&amp;$C$1&amp;".xls]"&amp;$B668&amp;"'!$i$2")="","",INDIRECT("'["&amp;$C$1&amp;".xls]"&amp;$B668&amp;"'!$i$2"))</f>
        <v>#REF!</v>
      </c>
      <c r="F668" s="61" t="e">
        <f ca="1">INDIRECT("'["&amp;$C$1&amp;".xls]"&amp;$B668&amp;"'!$b$2")</f>
        <v>#REF!</v>
      </c>
      <c r="G668" s="61" t="e">
        <f ca="1">INDIRECT("'["&amp;$C$1&amp;".xls]"&amp;$B668&amp;"'!$a$20")</f>
        <v>#REF!</v>
      </c>
      <c r="H668" s="88" t="e">
        <f ca="1">INDIRECT("'["&amp;$C$1&amp;".xls]"&amp;$B668&amp;"'!$Q$22")</f>
        <v>#REF!</v>
      </c>
      <c r="I668" s="61" t="e">
        <f ca="1">INDIRECT("'["&amp;$C$1&amp;".xls]"&amp;$B668&amp;"'!$f$6")</f>
        <v>#REF!</v>
      </c>
      <c r="J668" s="87"/>
      <c r="K668" s="62" t="s">
        <v>2506</v>
      </c>
      <c r="L668" s="62">
        <v>3</v>
      </c>
      <c r="M668" s="62" t="e">
        <f ca="1">INDIRECT("'["&amp;$C$1&amp;".xls]"&amp;$B668&amp;"'!$f$4")</f>
        <v>#REF!</v>
      </c>
      <c r="N668" s="62" t="e">
        <f ca="1">INDIRECT("'["&amp;$C$1&amp;".xls]"&amp;$B668&amp;"'!$i$4")</f>
        <v>#REF!</v>
      </c>
      <c r="O668" s="48" t="e">
        <f ca="1">INDIRECT("'["&amp;$C$1&amp;".xls]"&amp;$B668&amp;"'!$l$4")</f>
        <v>#REF!</v>
      </c>
      <c r="P668" s="48" t="e">
        <f ca="1">INDIRECT("'["&amp;$C$1&amp;".xls]"&amp;$B668&amp;"'!$b$5")</f>
        <v>#REF!</v>
      </c>
      <c r="Q668" s="48" t="e">
        <f ca="1">INDIRECT("'["&amp;$C$1&amp;".xls]"&amp;$B668&amp;"'!$f$5")</f>
        <v>#REF!</v>
      </c>
      <c r="R668" s="48" t="s">
        <v>6828</v>
      </c>
      <c r="S668" s="48" t="e">
        <f ca="1">INDIRECT("'["&amp;$C$1&amp;".xls]"&amp;$B668&amp;"'!$i$5")</f>
        <v>#REF!</v>
      </c>
      <c r="T668" s="48" t="e">
        <f ca="1">INDIRECT("'["&amp;$C$1&amp;".xls]"&amp;$B668&amp;"'!$l$5")</f>
        <v>#REF!</v>
      </c>
      <c r="U668" s="48" t="e">
        <f ca="1">INDIRECT("'["&amp;$C$1&amp;".xls]"&amp;$B668&amp;"'!$b$4")</f>
        <v>#REF!</v>
      </c>
      <c r="V668" s="122" t="s">
        <v>4232</v>
      </c>
      <c r="W668" s="48" t="s">
        <v>6829</v>
      </c>
      <c r="X668" s="48" t="s">
        <v>6830</v>
      </c>
      <c r="Y668" s="48" t="s">
        <v>6831</v>
      </c>
      <c r="Z668" s="61"/>
      <c r="AA668" s="48" t="e">
        <f ca="1">IF(INDIRECT("'["&amp;$C$1&amp;".xls]"&amp;$B668&amp;"'!$P$25")="","",IF(INDIRECT("'["&amp;$C$1&amp;".xls]"&amp;$B668&amp;"'!$O$25")="済み",INDIRECT("'["&amp;$C$1&amp;".xls]"&amp;$B668&amp;"'!$P$25"),""))</f>
        <v>#REF!</v>
      </c>
      <c r="AB668" s="48" t="e">
        <f ca="1">IF(INDIRECT("'["&amp;$C$1&amp;".xls]"&amp;$B668&amp;"'!$P$26")="","",IF(INDIRECT("'["&amp;$C$1&amp;".xls]"&amp;$B668&amp;"'!$O$26")="済み",INDIRECT("'["&amp;$C$1&amp;".xls]"&amp;$B668&amp;"'!$P$26"),""))</f>
        <v>#REF!</v>
      </c>
      <c r="AC668" s="48" t="e">
        <f ca="1">IF(INDIRECT("'["&amp;$C$1&amp;".xls]"&amp;$B668&amp;"'!$P$27")="","",IF(INDIRECT("'["&amp;$C$1&amp;".xls]"&amp;$B668&amp;"'!$O$27")="済み",INDIRECT("'["&amp;$C$1&amp;".xls]"&amp;$B668&amp;"'!$P$27"),""))</f>
        <v>#REF!</v>
      </c>
      <c r="AD668" s="48" t="e">
        <f ca="1">IF(INDIRECT("'["&amp;$C$1&amp;".xls]"&amp;$B668&amp;"'!$P$28")="","",IF(INDIRECT("'["&amp;$C$1&amp;".xls]"&amp;$B668&amp;"'!$O$28")="済み",INDIRECT("'["&amp;$C$1&amp;".xls]"&amp;$B668&amp;"'!$P$28"),""))</f>
        <v>#REF!</v>
      </c>
      <c r="AE668" s="48" t="e">
        <f ca="1">IF(INDIRECT("'["&amp;$C$1&amp;".xls]"&amp;$B668&amp;"'!$P$29")="","",IF(INDIRECT("'["&amp;$C$1&amp;".xls]"&amp;$B668&amp;"'!$O$29")="済み",INDIRECT("'["&amp;$C$1&amp;".xls]"&amp;$B668&amp;"'!$P$29"),""))</f>
        <v>#REF!</v>
      </c>
      <c r="AF668" s="48" t="e">
        <f ca="1">IF(INDIRECT("'["&amp;$C$1&amp;".xls]"&amp;$B668&amp;"'!$P$30")="","",IF(INDIRECT("'["&amp;$C$1&amp;".xls]"&amp;$B668&amp;"'!$O$30")="済み",INDIRECT("'["&amp;$C$1&amp;".xls]"&amp;$B668&amp;"'!$P$30"),""))</f>
        <v>#REF!</v>
      </c>
      <c r="AG668" s="48" t="e">
        <f ca="1">IF(INDIRECT("'["&amp;$C$1&amp;".xls]"&amp;$B668&amp;"'!$P$31")="","",IF(INDIRECT("'["&amp;$C$1&amp;".xls]"&amp;$B668&amp;"'!$O$31")="済み",INDIRECT("'["&amp;$C$1&amp;".xls]"&amp;$B668&amp;"'!$P$31"),""))</f>
        <v>#REF!</v>
      </c>
      <c r="AH668" s="48" t="e">
        <f ca="1">IF(INDIRECT("'["&amp;$C$1&amp;".xls]"&amp;$B668&amp;"'!$P$32")="","",IF(INDIRECT("'["&amp;$C$1&amp;".xls]"&amp;$B668&amp;"'!$O$32")="済み",INDIRECT("'["&amp;$C$1&amp;".xls]"&amp;$B668&amp;"'!$P$32"),""))</f>
        <v>#REF!</v>
      </c>
      <c r="AI668" s="48" t="e">
        <f ca="1">IF(INDIRECT("'["&amp;$C$1&amp;".xls]"&amp;$B668&amp;"'!$P$33")="","",IF(INDIRECT("'["&amp;$C$1&amp;".xls]"&amp;$B668&amp;"'!$O$33")="済み",INDIRECT("'["&amp;$C$1&amp;".xls]"&amp;$B668&amp;"'!$P$33"),""))</f>
        <v>#REF!</v>
      </c>
      <c r="AJ668" s="48" t="e">
        <f ca="1">IF(INDIRECT("'["&amp;$C$1&amp;".xls]"&amp;$B668&amp;"'!$P$34")="","",IF(INDIRECT("'["&amp;$C$1&amp;".xls]"&amp;$B668&amp;"'!$O$34")="済み",INDIRECT("'["&amp;$C$1&amp;".xls]"&amp;$B668&amp;"'!$P$34"),""))</f>
        <v>#REF!</v>
      </c>
      <c r="AK668" s="48" t="e">
        <f ca="1">IF(INDIRECT("'["&amp;$C$1&amp;".xls]"&amp;$B668&amp;"'!$T25")="","",IF(INDIRECT("'["&amp;$C$1&amp;".xls]"&amp;$B668&amp;"'!$O$25")="済み",INDIRECT("'["&amp;$C$1&amp;".xls]"&amp;$B668&amp;"'!$T$25"),""))</f>
        <v>#REF!</v>
      </c>
      <c r="AL668" s="48" t="e">
        <f ca="1">IF(INDIRECT("'["&amp;$C$1&amp;".xls]"&amp;$B668&amp;"'!$T26")="","",IF(INDIRECT("'["&amp;$C$1&amp;".xls]"&amp;$B668&amp;"'!$O$26")="済み",INDIRECT("'["&amp;$C$1&amp;".xls]"&amp;$B668&amp;"'!$T$26"),""))</f>
        <v>#REF!</v>
      </c>
      <c r="AM668" s="48" t="e">
        <f ca="1">IF(INDIRECT("'["&amp;$C$1&amp;".xls]"&amp;$B668&amp;"'!$T27")="","",IF(INDIRECT("'["&amp;$C$1&amp;".xls]"&amp;$B668&amp;"'!$O$27")="済み",INDIRECT("'["&amp;$C$1&amp;".xls]"&amp;$B668&amp;"'!$T$27"),""))</f>
        <v>#REF!</v>
      </c>
      <c r="AN668" s="48" t="e">
        <f ca="1">IF(INDIRECT("'["&amp;$C$1&amp;".xls]"&amp;$B668&amp;"'!$T28")="","",IF(INDIRECT("'["&amp;$C$1&amp;".xls]"&amp;$B668&amp;"'!$O$28")="済み",INDIRECT("'["&amp;$C$1&amp;".xls]"&amp;$B668&amp;"'!$T$28"),""))</f>
        <v>#REF!</v>
      </c>
      <c r="AO668" s="48" t="e">
        <f ca="1">IF(INDIRECT("'["&amp;$C$1&amp;".xls]"&amp;$B668&amp;"'!$T29")="","",IF(INDIRECT("'["&amp;$C$1&amp;".xls]"&amp;$B668&amp;"'!$O$29")="済み",INDIRECT("'["&amp;$C$1&amp;".xls]"&amp;$B668&amp;"'!$T$29"),""))</f>
        <v>#REF!</v>
      </c>
      <c r="AP668" s="48" t="e">
        <f ca="1">IF(INDIRECT("'["&amp;$C$1&amp;".xls]"&amp;$B668&amp;"'!$T30")="","",IF(INDIRECT("'["&amp;$C$1&amp;".xls]"&amp;$B668&amp;"'!$O$30")="済み",INDIRECT("'["&amp;$C$1&amp;".xls]"&amp;$B668&amp;"'!$T$30"),""))</f>
        <v>#REF!</v>
      </c>
      <c r="AQ668" s="48" t="e">
        <f ca="1">IF(INDIRECT("'["&amp;$C$1&amp;".xls]"&amp;$B668&amp;"'!$T31")="","",IF(INDIRECT("'["&amp;$C$1&amp;".xls]"&amp;$B668&amp;"'!$O$31")="済み",INDIRECT("'["&amp;$C$1&amp;".xls]"&amp;$B668&amp;"'!$T$31"),""))</f>
        <v>#REF!</v>
      </c>
      <c r="AR668" s="48" t="e">
        <f ca="1">IF(INDIRECT("'["&amp;$C$1&amp;".xls]"&amp;$B668&amp;"'!$T32")="","",IF(INDIRECT("'["&amp;$C$1&amp;".xls]"&amp;$B668&amp;"'!$O$32")="済み",INDIRECT("'["&amp;$C$1&amp;".xls]"&amp;$B668&amp;"'!$T$32"),""))</f>
        <v>#REF!</v>
      </c>
      <c r="AS668" s="48" t="e">
        <f ca="1">IF(INDIRECT("'["&amp;$C$1&amp;".xls]"&amp;$B668&amp;"'!$T33")="","",IF(INDIRECT("'["&amp;$C$1&amp;".xls]"&amp;$B668&amp;"'!$O$33")="済み",INDIRECT("'["&amp;$C$1&amp;".xls]"&amp;$B668&amp;"'!$T$33"),""))</f>
        <v>#REF!</v>
      </c>
      <c r="AT668" s="48" t="e">
        <f ca="1">IF(INDIRECT("'["&amp;$C$1&amp;".xls]"&amp;$B668&amp;"'!$T34")="","",IF(INDIRECT("'["&amp;$C$1&amp;".xls]"&amp;$B668&amp;"'!$O$34")="済み",INDIRECT("'["&amp;$C$1&amp;".xls]"&amp;$B668&amp;"'!$T$34"),""))</f>
        <v>#REF!</v>
      </c>
      <c r="AU668" s="93" t="e">
        <f ca="1">INDIRECT("'["&amp;$C$1&amp;".xls]"&amp;$B668&amp;"'!$B$6")</f>
        <v>#REF!</v>
      </c>
      <c r="AV668" s="93" t="e">
        <f ca="1">INDIRECT("'["&amp;$C$1&amp;".xls]"&amp;$B668&amp;"'!$Y$22")</f>
        <v>#REF!</v>
      </c>
      <c r="AW668" s="93" t="e">
        <f ca="1">INDIRECT("'["&amp;$C$1&amp;".xls]"&amp;$B668&amp;"'!$Y$24")</f>
        <v>#REF!</v>
      </c>
      <c r="AX668" s="93" t="e">
        <f ca="1">INDIRECT("'["&amp;$C$1&amp;".xls]"&amp;$B668&amp;"'!$Y$26")</f>
        <v>#REF!</v>
      </c>
      <c r="AY668" s="93" t="e">
        <f ca="1">INDIRECT("'["&amp;$C$1&amp;".xls]"&amp;$B668&amp;"'!$Y$28")</f>
        <v>#REF!</v>
      </c>
      <c r="AZ668" s="49" t="s">
        <v>6832</v>
      </c>
    </row>
    <row r="669" spans="1:52" ht="16.5" customHeight="1" x14ac:dyDescent="0.15">
      <c r="A669" s="182" t="s">
        <v>6833</v>
      </c>
      <c r="B669" s="183" t="s">
        <v>6834</v>
      </c>
      <c r="C669" s="48" t="s">
        <v>298</v>
      </c>
      <c r="D669" s="62" t="s">
        <v>263</v>
      </c>
      <c r="E669" s="48" t="s">
        <v>300</v>
      </c>
      <c r="F669" s="61">
        <v>42636</v>
      </c>
      <c r="G669" s="61">
        <v>0</v>
      </c>
      <c r="H669" s="125">
        <v>42660</v>
      </c>
      <c r="I669" s="61">
        <v>40634</v>
      </c>
      <c r="J669" s="87"/>
      <c r="K669" s="62" t="s">
        <v>2506</v>
      </c>
      <c r="L669" s="62">
        <v>3</v>
      </c>
      <c r="M669" s="62" t="s">
        <v>471</v>
      </c>
      <c r="N669" s="62" t="s">
        <v>6835</v>
      </c>
      <c r="O669" s="48" t="s">
        <v>3525</v>
      </c>
      <c r="P669" s="48" t="s">
        <v>696</v>
      </c>
      <c r="Q669" s="48" t="s">
        <v>971</v>
      </c>
      <c r="R669" s="48" t="s">
        <v>399</v>
      </c>
      <c r="S669" s="48" t="s">
        <v>400</v>
      </c>
      <c r="T669" s="48" t="s">
        <v>401</v>
      </c>
      <c r="U669" s="48" t="s">
        <v>6836</v>
      </c>
      <c r="V669" s="122" t="s">
        <v>263</v>
      </c>
      <c r="W669" s="122" t="s">
        <v>263</v>
      </c>
      <c r="X669" s="48" t="s">
        <v>6837</v>
      </c>
      <c r="Y669" s="48" t="s">
        <v>6838</v>
      </c>
      <c r="Z669" s="61"/>
      <c r="AA669" s="48" t="s">
        <v>782</v>
      </c>
      <c r="AB669" s="48" t="s">
        <v>783</v>
      </c>
      <c r="AC669" s="48" t="s">
        <v>273</v>
      </c>
      <c r="AD669" s="48" t="s">
        <v>273</v>
      </c>
      <c r="AE669" s="48" t="s">
        <v>273</v>
      </c>
      <c r="AF669" s="48" t="s">
        <v>273</v>
      </c>
      <c r="AG669" s="48" t="s">
        <v>273</v>
      </c>
      <c r="AH669" s="48" t="s">
        <v>273</v>
      </c>
      <c r="AI669" s="48" t="s">
        <v>273</v>
      </c>
      <c r="AJ669" s="48" t="s">
        <v>273</v>
      </c>
      <c r="AK669" s="48" t="s">
        <v>786</v>
      </c>
      <c r="AL669" s="48" t="s">
        <v>787</v>
      </c>
      <c r="AM669" s="48" t="s">
        <v>273</v>
      </c>
      <c r="AN669" s="48" t="s">
        <v>273</v>
      </c>
      <c r="AO669" s="48" t="s">
        <v>273</v>
      </c>
      <c r="AP669" s="48" t="s">
        <v>273</v>
      </c>
      <c r="AQ669" s="48" t="s">
        <v>273</v>
      </c>
      <c r="AR669" s="48" t="s">
        <v>273</v>
      </c>
      <c r="AS669" s="48" t="s">
        <v>273</v>
      </c>
      <c r="AT669" s="48" t="s">
        <v>273</v>
      </c>
      <c r="AU669" s="93">
        <v>40544</v>
      </c>
      <c r="AV669" s="93" t="s">
        <v>6839</v>
      </c>
      <c r="AW669" s="93" t="e">
        <v>#REF!</v>
      </c>
      <c r="AX669" s="93" t="s">
        <v>6840</v>
      </c>
      <c r="AY669" s="93" t="s">
        <v>5312</v>
      </c>
    </row>
    <row r="670" spans="1:52" ht="16.5" customHeight="1" x14ac:dyDescent="0.15">
      <c r="A670" s="182" t="s">
        <v>6841</v>
      </c>
      <c r="B670" s="183" t="s">
        <v>6842</v>
      </c>
      <c r="C670" s="48" t="s">
        <v>330</v>
      </c>
      <c r="D670" s="62" t="s">
        <v>6843</v>
      </c>
      <c r="E670" s="48" t="s">
        <v>300</v>
      </c>
      <c r="F670" s="61">
        <v>42636</v>
      </c>
      <c r="G670" s="61">
        <v>0</v>
      </c>
      <c r="H670" s="125">
        <v>42650</v>
      </c>
      <c r="I670" s="61" t="s">
        <v>279</v>
      </c>
      <c r="J670" s="87"/>
      <c r="K670" s="62" t="s">
        <v>16</v>
      </c>
      <c r="L670" s="124" t="s">
        <v>263</v>
      </c>
      <c r="M670" s="62" t="s">
        <v>6844</v>
      </c>
      <c r="N670" s="62" t="s">
        <v>6845</v>
      </c>
      <c r="O670" s="48" t="s">
        <v>6846</v>
      </c>
      <c r="P670" s="48" t="s">
        <v>6847</v>
      </c>
      <c r="Q670" s="48" t="s">
        <v>2782</v>
      </c>
      <c r="R670" s="48" t="s">
        <v>6848</v>
      </c>
      <c r="S670" s="48" t="s">
        <v>1681</v>
      </c>
      <c r="T670" s="48" t="s">
        <v>1682</v>
      </c>
      <c r="U670" s="48" t="s">
        <v>6849</v>
      </c>
      <c r="V670" s="48" t="s">
        <v>6850</v>
      </c>
      <c r="W670" s="48" t="s">
        <v>6851</v>
      </c>
      <c r="X670" s="48" t="s">
        <v>3861</v>
      </c>
      <c r="Y670" s="48" t="s">
        <v>3862</v>
      </c>
      <c r="Z670" s="61"/>
      <c r="AA670" s="48" t="s">
        <v>292</v>
      </c>
      <c r="AB670" s="48" t="s">
        <v>273</v>
      </c>
      <c r="AC670" s="48" t="s">
        <v>273</v>
      </c>
      <c r="AD670" s="48" t="s">
        <v>273</v>
      </c>
      <c r="AE670" s="48" t="s">
        <v>273</v>
      </c>
      <c r="AF670" s="48" t="s">
        <v>273</v>
      </c>
      <c r="AG670" s="48" t="s">
        <v>273</v>
      </c>
      <c r="AH670" s="48" t="s">
        <v>273</v>
      </c>
      <c r="AI670" s="48" t="s">
        <v>273</v>
      </c>
      <c r="AJ670" s="48" t="s">
        <v>273</v>
      </c>
      <c r="AK670" s="48" t="s">
        <v>294</v>
      </c>
      <c r="AL670" s="48" t="s">
        <v>273</v>
      </c>
      <c r="AM670" s="48" t="s">
        <v>273</v>
      </c>
      <c r="AN670" s="48" t="s">
        <v>273</v>
      </c>
      <c r="AO670" s="48" t="s">
        <v>273</v>
      </c>
      <c r="AP670" s="48" t="s">
        <v>273</v>
      </c>
      <c r="AQ670" s="48" t="s">
        <v>273</v>
      </c>
      <c r="AR670" s="48" t="s">
        <v>273</v>
      </c>
      <c r="AS670" s="48" t="s">
        <v>273</v>
      </c>
      <c r="AT670" s="48" t="s">
        <v>273</v>
      </c>
      <c r="AU670" s="93">
        <v>39873</v>
      </c>
      <c r="AV670" s="93" t="s">
        <v>6852</v>
      </c>
      <c r="AW670" s="93" t="s">
        <v>6853</v>
      </c>
      <c r="AX670" s="93" t="s">
        <v>6854</v>
      </c>
      <c r="AY670" s="93" t="s">
        <v>6855</v>
      </c>
      <c r="AZ670" s="49" t="s">
        <v>6856</v>
      </c>
    </row>
    <row r="671" spans="1:52" ht="16.5" customHeight="1" x14ac:dyDescent="0.15">
      <c r="A671" s="199" t="s">
        <v>6857</v>
      </c>
      <c r="B671" s="209" t="s">
        <v>6858</v>
      </c>
      <c r="C671" s="48" t="s">
        <v>298</v>
      </c>
      <c r="D671" s="62" t="s">
        <v>263</v>
      </c>
      <c r="E671" s="48" t="s">
        <v>300</v>
      </c>
      <c r="F671" s="61">
        <v>42636</v>
      </c>
      <c r="G671" s="61">
        <v>0</v>
      </c>
      <c r="H671" s="125">
        <v>42689</v>
      </c>
      <c r="I671" s="61">
        <v>40603</v>
      </c>
      <c r="J671" s="87"/>
      <c r="K671" s="62" t="s">
        <v>2506</v>
      </c>
      <c r="L671" s="62">
        <v>3</v>
      </c>
      <c r="M671" s="62" t="s">
        <v>471</v>
      </c>
      <c r="N671" s="62" t="s">
        <v>6859</v>
      </c>
      <c r="O671" s="48" t="s">
        <v>3525</v>
      </c>
      <c r="P671" s="48" t="s">
        <v>696</v>
      </c>
      <c r="Q671" s="130" t="s">
        <v>1494</v>
      </c>
      <c r="R671" s="48" t="s">
        <v>399</v>
      </c>
      <c r="S671" s="48" t="s">
        <v>400</v>
      </c>
      <c r="T671" s="48" t="s">
        <v>401</v>
      </c>
      <c r="U671" s="48" t="s">
        <v>1495</v>
      </c>
      <c r="V671" s="122" t="s">
        <v>4232</v>
      </c>
      <c r="W671" s="122" t="s">
        <v>4232</v>
      </c>
      <c r="X671" s="48" t="s">
        <v>6860</v>
      </c>
      <c r="Y671" s="48" t="s">
        <v>6861</v>
      </c>
      <c r="Z671" s="61"/>
      <c r="AA671" s="48" t="s">
        <v>783</v>
      </c>
      <c r="AB671" s="48" t="s">
        <v>273</v>
      </c>
      <c r="AC671" s="48" t="s">
        <v>273</v>
      </c>
      <c r="AD671" s="48" t="s">
        <v>273</v>
      </c>
      <c r="AE671" s="48" t="s">
        <v>273</v>
      </c>
      <c r="AF671" s="48" t="s">
        <v>273</v>
      </c>
      <c r="AG671" s="48" t="s">
        <v>273</v>
      </c>
      <c r="AH671" s="48" t="s">
        <v>273</v>
      </c>
      <c r="AI671" s="48" t="s">
        <v>273</v>
      </c>
      <c r="AJ671" s="48" t="s">
        <v>273</v>
      </c>
      <c r="AK671" s="48" t="s">
        <v>787</v>
      </c>
      <c r="AL671" s="48" t="s">
        <v>273</v>
      </c>
      <c r="AM671" s="48" t="s">
        <v>273</v>
      </c>
      <c r="AN671" s="48" t="s">
        <v>273</v>
      </c>
      <c r="AO671" s="48" t="s">
        <v>273</v>
      </c>
      <c r="AP671" s="48" t="s">
        <v>273</v>
      </c>
      <c r="AQ671" s="48" t="s">
        <v>273</v>
      </c>
      <c r="AR671" s="48" t="s">
        <v>273</v>
      </c>
      <c r="AS671" s="48" t="s">
        <v>273</v>
      </c>
      <c r="AT671" s="48" t="s">
        <v>273</v>
      </c>
      <c r="AU671" s="93">
        <v>40483</v>
      </c>
      <c r="AV671" s="93" t="s">
        <v>6862</v>
      </c>
      <c r="AW671" s="93" t="s">
        <v>6863</v>
      </c>
      <c r="AX671" s="93" t="s">
        <v>6864</v>
      </c>
      <c r="AY671" s="93" t="s">
        <v>5312</v>
      </c>
    </row>
    <row r="672" spans="1:52" ht="16.5" customHeight="1" x14ac:dyDescent="0.15">
      <c r="A672" s="121" t="s">
        <v>6865</v>
      </c>
      <c r="B672" s="47" t="s">
        <v>6866</v>
      </c>
      <c r="C672" s="48" t="e">
        <f ca="1">INDIRECT("'["&amp;$C$1&amp;".xls]"&amp;$B672&amp;"'!$i$7")</f>
        <v>#REF!</v>
      </c>
      <c r="D672" s="62" t="e">
        <f ca="1">INDIRECT("'["&amp;$C$1&amp;".xls]"&amp;$B672&amp;"'!$b$7")</f>
        <v>#REF!</v>
      </c>
      <c r="E672" s="48" t="e">
        <f ca="1">IF(INDIRECT("'["&amp;$C$1&amp;".xls]"&amp;$B672&amp;"'!$i$2")="","",INDIRECT("'["&amp;$C$1&amp;".xls]"&amp;$B672&amp;"'!$i$2"))</f>
        <v>#REF!</v>
      </c>
      <c r="F672" s="61" t="e">
        <f ca="1">INDIRECT("'["&amp;$C$1&amp;".xls]"&amp;$B672&amp;"'!$b$2")</f>
        <v>#REF!</v>
      </c>
      <c r="G672" s="61" t="e">
        <f ca="1">INDIRECT("'["&amp;$C$1&amp;".xls]"&amp;$B672&amp;"'!$a$20")</f>
        <v>#REF!</v>
      </c>
      <c r="H672" s="88" t="e">
        <f ca="1">INDIRECT("'["&amp;$C$1&amp;".xls]"&amp;$B672&amp;"'!$Q$22")</f>
        <v>#REF!</v>
      </c>
      <c r="I672" s="61" t="e">
        <f ca="1">INDIRECT("'["&amp;$C$1&amp;".xls]"&amp;$B672&amp;"'!$f$6")</f>
        <v>#REF!</v>
      </c>
      <c r="J672" s="87"/>
      <c r="K672" s="62" t="e">
        <f ca="1">INDIRECT("'["&amp;$C$1&amp;".xls]"&amp;$B672&amp;"'!$f$25")</f>
        <v>#REF!</v>
      </c>
      <c r="L672" s="62"/>
      <c r="M672" s="62" t="e">
        <f ca="1">INDIRECT("'["&amp;$C$1&amp;".xls]"&amp;$B672&amp;"'!$f$4")</f>
        <v>#REF!</v>
      </c>
      <c r="N672" s="62" t="e">
        <f ca="1">INDIRECT("'["&amp;$C$1&amp;".xls]"&amp;$B672&amp;"'!$i$4")</f>
        <v>#REF!</v>
      </c>
      <c r="O672" s="48" t="e">
        <f ca="1">INDIRECT("'["&amp;$C$1&amp;".xls]"&amp;$B672&amp;"'!$l$4")</f>
        <v>#REF!</v>
      </c>
      <c r="P672" s="48" t="e">
        <f ca="1">INDIRECT("'["&amp;$C$1&amp;".xls]"&amp;$B672&amp;"'!$b$5")</f>
        <v>#REF!</v>
      </c>
      <c r="Q672" s="48" t="e">
        <f ca="1">INDIRECT("'["&amp;$C$1&amp;".xls]"&amp;$B672&amp;"'!$f$5")</f>
        <v>#REF!</v>
      </c>
      <c r="R672" s="48"/>
      <c r="S672" s="48" t="e">
        <f ca="1">INDIRECT("'["&amp;$C$1&amp;".xls]"&amp;$B672&amp;"'!$i$5")</f>
        <v>#REF!</v>
      </c>
      <c r="T672" s="48" t="e">
        <f ca="1">INDIRECT("'["&amp;$C$1&amp;".xls]"&amp;$B672&amp;"'!$l$5")</f>
        <v>#REF!</v>
      </c>
      <c r="U672" s="48" t="e">
        <f ca="1">INDIRECT("'["&amp;$C$1&amp;".xls]"&amp;$B672&amp;"'!$b$4")</f>
        <v>#REF!</v>
      </c>
      <c r="V672" s="48"/>
      <c r="W672" s="48"/>
      <c r="X672" s="48"/>
      <c r="Y672" s="48"/>
      <c r="Z672" s="61"/>
      <c r="AA672" s="48" t="e">
        <f ca="1">IF(INDIRECT("'["&amp;$C$1&amp;".xls]"&amp;$B672&amp;"'!$P$25")="","",IF(INDIRECT("'["&amp;$C$1&amp;".xls]"&amp;$B672&amp;"'!$O$25")="済み",INDIRECT("'["&amp;$C$1&amp;".xls]"&amp;$B672&amp;"'!$P$25"),""))</f>
        <v>#REF!</v>
      </c>
      <c r="AB672" s="48" t="e">
        <f ca="1">IF(INDIRECT("'["&amp;$C$1&amp;".xls]"&amp;$B672&amp;"'!$P$26")="","",IF(INDIRECT("'["&amp;$C$1&amp;".xls]"&amp;$B672&amp;"'!$O$26")="済み",INDIRECT("'["&amp;$C$1&amp;".xls]"&amp;$B672&amp;"'!$P$26"),""))</f>
        <v>#REF!</v>
      </c>
      <c r="AC672" s="48" t="e">
        <f ca="1">IF(INDIRECT("'["&amp;$C$1&amp;".xls]"&amp;$B672&amp;"'!$P$27")="","",IF(INDIRECT("'["&amp;$C$1&amp;".xls]"&amp;$B672&amp;"'!$O$27")="済み",INDIRECT("'["&amp;$C$1&amp;".xls]"&amp;$B672&amp;"'!$P$27"),""))</f>
        <v>#REF!</v>
      </c>
      <c r="AD672" s="48" t="e">
        <f ca="1">IF(INDIRECT("'["&amp;$C$1&amp;".xls]"&amp;$B672&amp;"'!$P$28")="","",IF(INDIRECT("'["&amp;$C$1&amp;".xls]"&amp;$B672&amp;"'!$O$28")="済み",INDIRECT("'["&amp;$C$1&amp;".xls]"&amp;$B672&amp;"'!$P$28"),""))</f>
        <v>#REF!</v>
      </c>
      <c r="AE672" s="48" t="e">
        <f ca="1">IF(INDIRECT("'["&amp;$C$1&amp;".xls]"&amp;$B672&amp;"'!$P$29")="","",IF(INDIRECT("'["&amp;$C$1&amp;".xls]"&amp;$B672&amp;"'!$O$29")="済み",INDIRECT("'["&amp;$C$1&amp;".xls]"&amp;$B672&amp;"'!$P$29"),""))</f>
        <v>#REF!</v>
      </c>
      <c r="AF672" s="48" t="e">
        <f ca="1">IF(INDIRECT("'["&amp;$C$1&amp;".xls]"&amp;$B672&amp;"'!$P$30")="","",IF(INDIRECT("'["&amp;$C$1&amp;".xls]"&amp;$B672&amp;"'!$O$30")="済み",INDIRECT("'["&amp;$C$1&amp;".xls]"&amp;$B672&amp;"'!$P$30"),""))</f>
        <v>#REF!</v>
      </c>
      <c r="AG672" s="48" t="e">
        <f ca="1">IF(INDIRECT("'["&amp;$C$1&amp;".xls]"&amp;$B672&amp;"'!$P$31")="","",IF(INDIRECT("'["&amp;$C$1&amp;".xls]"&amp;$B672&amp;"'!$O$31")="済み",INDIRECT("'["&amp;$C$1&amp;".xls]"&amp;$B672&amp;"'!$P$31"),""))</f>
        <v>#REF!</v>
      </c>
      <c r="AH672" s="48" t="e">
        <f ca="1">IF(INDIRECT("'["&amp;$C$1&amp;".xls]"&amp;$B672&amp;"'!$P$32")="","",IF(INDIRECT("'["&amp;$C$1&amp;".xls]"&amp;$B672&amp;"'!$O$32")="済み",INDIRECT("'["&amp;$C$1&amp;".xls]"&amp;$B672&amp;"'!$P$32"),""))</f>
        <v>#REF!</v>
      </c>
      <c r="AI672" s="48" t="e">
        <f ca="1">IF(INDIRECT("'["&amp;$C$1&amp;".xls]"&amp;$B672&amp;"'!$P$33")="","",IF(INDIRECT("'["&amp;$C$1&amp;".xls]"&amp;$B672&amp;"'!$O$33")="済み",INDIRECT("'["&amp;$C$1&amp;".xls]"&amp;$B672&amp;"'!$P$33"),""))</f>
        <v>#REF!</v>
      </c>
      <c r="AJ672" s="48" t="e">
        <f ca="1">IF(INDIRECT("'["&amp;$C$1&amp;".xls]"&amp;$B672&amp;"'!$P$34")="","",IF(INDIRECT("'["&amp;$C$1&amp;".xls]"&amp;$B672&amp;"'!$O$34")="済み",INDIRECT("'["&amp;$C$1&amp;".xls]"&amp;$B672&amp;"'!$P$34"),""))</f>
        <v>#REF!</v>
      </c>
      <c r="AK672" s="48" t="e">
        <f ca="1">IF(INDIRECT("'["&amp;$C$1&amp;".xls]"&amp;$B672&amp;"'!$T25")="","",IF(INDIRECT("'["&amp;$C$1&amp;".xls]"&amp;$B672&amp;"'!$O$25")="済み",INDIRECT("'["&amp;$C$1&amp;".xls]"&amp;$B672&amp;"'!$T$25"),""))</f>
        <v>#REF!</v>
      </c>
      <c r="AL672" s="48" t="e">
        <f ca="1">IF(INDIRECT("'["&amp;$C$1&amp;".xls]"&amp;$B672&amp;"'!$T26")="","",IF(INDIRECT("'["&amp;$C$1&amp;".xls]"&amp;$B672&amp;"'!$O$26")="済み",INDIRECT("'["&amp;$C$1&amp;".xls]"&amp;$B672&amp;"'!$T$26"),""))</f>
        <v>#REF!</v>
      </c>
      <c r="AM672" s="48" t="e">
        <f ca="1">IF(INDIRECT("'["&amp;$C$1&amp;".xls]"&amp;$B672&amp;"'!$T27")="","",IF(INDIRECT("'["&amp;$C$1&amp;".xls]"&amp;$B672&amp;"'!$O$27")="済み",INDIRECT("'["&amp;$C$1&amp;".xls]"&amp;$B672&amp;"'!$T$27"),""))</f>
        <v>#REF!</v>
      </c>
      <c r="AN672" s="48" t="e">
        <f ca="1">IF(INDIRECT("'["&amp;$C$1&amp;".xls]"&amp;$B672&amp;"'!$T28")="","",IF(INDIRECT("'["&amp;$C$1&amp;".xls]"&amp;$B672&amp;"'!$O$28")="済み",INDIRECT("'["&amp;$C$1&amp;".xls]"&amp;$B672&amp;"'!$T$28"),""))</f>
        <v>#REF!</v>
      </c>
      <c r="AO672" s="48" t="e">
        <f ca="1">IF(INDIRECT("'["&amp;$C$1&amp;".xls]"&amp;$B672&amp;"'!$T29")="","",IF(INDIRECT("'["&amp;$C$1&amp;".xls]"&amp;$B672&amp;"'!$O$29")="済み",INDIRECT("'["&amp;$C$1&amp;".xls]"&amp;$B672&amp;"'!$T$29"),""))</f>
        <v>#REF!</v>
      </c>
      <c r="AP672" s="48" t="e">
        <f ca="1">IF(INDIRECT("'["&amp;$C$1&amp;".xls]"&amp;$B672&amp;"'!$T30")="","",IF(INDIRECT("'["&amp;$C$1&amp;".xls]"&amp;$B672&amp;"'!$O$30")="済み",INDIRECT("'["&amp;$C$1&amp;".xls]"&amp;$B672&amp;"'!$T$30"),""))</f>
        <v>#REF!</v>
      </c>
      <c r="AQ672" s="48" t="e">
        <f ca="1">IF(INDIRECT("'["&amp;$C$1&amp;".xls]"&amp;$B672&amp;"'!$T31")="","",IF(INDIRECT("'["&amp;$C$1&amp;".xls]"&amp;$B672&amp;"'!$O$31")="済み",INDIRECT("'["&amp;$C$1&amp;".xls]"&amp;$B672&amp;"'!$T$31"),""))</f>
        <v>#REF!</v>
      </c>
      <c r="AR672" s="48" t="e">
        <f ca="1">IF(INDIRECT("'["&amp;$C$1&amp;".xls]"&amp;$B672&amp;"'!$T32")="","",IF(INDIRECT("'["&amp;$C$1&amp;".xls]"&amp;$B672&amp;"'!$O$32")="済み",INDIRECT("'["&amp;$C$1&amp;".xls]"&amp;$B672&amp;"'!$T$32"),""))</f>
        <v>#REF!</v>
      </c>
      <c r="AS672" s="48" t="e">
        <f ca="1">IF(INDIRECT("'["&amp;$C$1&amp;".xls]"&amp;$B672&amp;"'!$T33")="","",IF(INDIRECT("'["&amp;$C$1&amp;".xls]"&amp;$B672&amp;"'!$O$33")="済み",INDIRECT("'["&amp;$C$1&amp;".xls]"&amp;$B672&amp;"'!$T$33"),""))</f>
        <v>#REF!</v>
      </c>
      <c r="AT672" s="48" t="e">
        <f ca="1">IF(INDIRECT("'["&amp;$C$1&amp;".xls]"&amp;$B672&amp;"'!$T34")="","",IF(INDIRECT("'["&amp;$C$1&amp;".xls]"&amp;$B672&amp;"'!$O$34")="済み",INDIRECT("'["&amp;$C$1&amp;".xls]"&amp;$B672&amp;"'!$T$34"),""))</f>
        <v>#REF!</v>
      </c>
      <c r="AU672" s="93" t="e">
        <f ca="1">INDIRECT("'["&amp;$C$1&amp;".xls]"&amp;$B672&amp;"'!$B$6")</f>
        <v>#REF!</v>
      </c>
      <c r="AV672" s="93" t="e">
        <f ca="1">INDIRECT("'["&amp;$C$1&amp;".xls]"&amp;$B672&amp;"'!$Y$22")</f>
        <v>#REF!</v>
      </c>
      <c r="AW672" s="93" t="e">
        <f ca="1">INDIRECT("'["&amp;$C$1&amp;".xls]"&amp;$B672&amp;"'!$Y$24")</f>
        <v>#REF!</v>
      </c>
      <c r="AX672" s="93" t="e">
        <f ca="1">INDIRECT("'["&amp;$C$1&amp;".xls]"&amp;$B672&amp;"'!$Y$26")</f>
        <v>#REF!</v>
      </c>
      <c r="AY672" s="93" t="e">
        <f ca="1">INDIRECT("'["&amp;$C$1&amp;".xls]"&amp;$B672&amp;"'!$Y$28")</f>
        <v>#REF!</v>
      </c>
    </row>
    <row r="673" spans="1:51" ht="16.5" customHeight="1" x14ac:dyDescent="0.15">
      <c r="A673" s="211" t="s">
        <v>6867</v>
      </c>
      <c r="B673" s="212" t="s">
        <v>6868</v>
      </c>
      <c r="C673" s="48" t="s">
        <v>298</v>
      </c>
      <c r="D673" s="62" t="s">
        <v>6869</v>
      </c>
      <c r="E673" s="48" t="s">
        <v>300</v>
      </c>
      <c r="F673" s="61">
        <v>42639</v>
      </c>
      <c r="G673" s="61">
        <v>0</v>
      </c>
      <c r="H673" s="125">
        <v>42709</v>
      </c>
      <c r="I673" s="61">
        <v>40801</v>
      </c>
      <c r="J673" s="87"/>
      <c r="K673" s="62" t="s">
        <v>2506</v>
      </c>
      <c r="L673" s="62">
        <v>3</v>
      </c>
      <c r="M673" s="62" t="s">
        <v>409</v>
      </c>
      <c r="N673" s="62" t="s">
        <v>6870</v>
      </c>
      <c r="O673" s="48" t="s">
        <v>1315</v>
      </c>
      <c r="P673" s="48" t="s">
        <v>5711</v>
      </c>
      <c r="Q673" s="48" t="s">
        <v>3526</v>
      </c>
      <c r="R673" s="48" t="s">
        <v>5713</v>
      </c>
      <c r="S673" s="129" t="s">
        <v>269</v>
      </c>
      <c r="T673" s="129" t="s">
        <v>270</v>
      </c>
      <c r="U673" s="48" t="s">
        <v>6871</v>
      </c>
      <c r="V673" s="122" t="s">
        <v>4232</v>
      </c>
      <c r="W673" s="48" t="s">
        <v>6872</v>
      </c>
      <c r="X673" s="48" t="s">
        <v>6873</v>
      </c>
      <c r="Y673" s="48" t="s">
        <v>6874</v>
      </c>
      <c r="Z673" s="61"/>
      <c r="AA673" s="48" t="s">
        <v>978</v>
      </c>
      <c r="AB673" s="48" t="s">
        <v>887</v>
      </c>
      <c r="AC673" s="48" t="s">
        <v>273</v>
      </c>
      <c r="AD673" s="48" t="s">
        <v>273</v>
      </c>
      <c r="AE673" s="48" t="s">
        <v>273</v>
      </c>
      <c r="AF673" s="48" t="s">
        <v>273</v>
      </c>
      <c r="AG673" s="48" t="s">
        <v>273</v>
      </c>
      <c r="AH673" s="48" t="s">
        <v>273</v>
      </c>
      <c r="AI673" s="48" t="s">
        <v>273</v>
      </c>
      <c r="AJ673" s="48" t="s">
        <v>273</v>
      </c>
      <c r="AK673" s="48" t="s">
        <v>600</v>
      </c>
      <c r="AL673" s="48" t="s">
        <v>888</v>
      </c>
      <c r="AM673" s="48" t="s">
        <v>273</v>
      </c>
      <c r="AN673" s="48" t="s">
        <v>273</v>
      </c>
      <c r="AO673" s="48" t="s">
        <v>273</v>
      </c>
      <c r="AP673" s="48" t="s">
        <v>273</v>
      </c>
      <c r="AQ673" s="48" t="s">
        <v>273</v>
      </c>
      <c r="AR673" s="48" t="s">
        <v>273</v>
      </c>
      <c r="AS673" s="48" t="s">
        <v>273</v>
      </c>
      <c r="AT673" s="48" t="s">
        <v>273</v>
      </c>
      <c r="AU673" s="93">
        <v>40756</v>
      </c>
      <c r="AV673" s="93" t="s">
        <v>6875</v>
      </c>
      <c r="AW673" s="93" t="s">
        <v>6876</v>
      </c>
      <c r="AX673" s="93" t="s">
        <v>6877</v>
      </c>
      <c r="AY673" s="93" t="s">
        <v>5312</v>
      </c>
    </row>
    <row r="674" spans="1:51" ht="16.5" customHeight="1" x14ac:dyDescent="0.15">
      <c r="A674" s="121" t="s">
        <v>6878</v>
      </c>
      <c r="B674" s="47" t="s">
        <v>6879</v>
      </c>
      <c r="C674" s="48" t="e">
        <f ca="1">INDIRECT("'["&amp;$C$1&amp;".xls]"&amp;$B674&amp;"'!$i$7")</f>
        <v>#REF!</v>
      </c>
      <c r="D674" s="62" t="e">
        <f ca="1">INDIRECT("'["&amp;$C$1&amp;".xls]"&amp;$B674&amp;"'!$b$7")</f>
        <v>#REF!</v>
      </c>
      <c r="E674" s="48" t="e">
        <f ca="1">IF(INDIRECT("'["&amp;$C$1&amp;".xls]"&amp;$B674&amp;"'!$i$2")="","",INDIRECT("'["&amp;$C$1&amp;".xls]"&amp;$B674&amp;"'!$i$2"))</f>
        <v>#REF!</v>
      </c>
      <c r="F674" s="61" t="e">
        <f ca="1">INDIRECT("'["&amp;$C$1&amp;".xls]"&amp;$B674&amp;"'!$b$2")</f>
        <v>#REF!</v>
      </c>
      <c r="G674" s="61" t="e">
        <f ca="1">INDIRECT("'["&amp;$C$1&amp;".xls]"&amp;$B674&amp;"'!$a$20")</f>
        <v>#REF!</v>
      </c>
      <c r="H674" s="88" t="e">
        <f ca="1">INDIRECT("'["&amp;$C$1&amp;".xls]"&amp;$B674&amp;"'!$Q$22")</f>
        <v>#REF!</v>
      </c>
      <c r="I674" s="61" t="e">
        <f ca="1">INDIRECT("'["&amp;$C$1&amp;".xls]"&amp;$B674&amp;"'!$f$6")</f>
        <v>#REF!</v>
      </c>
      <c r="J674" s="87"/>
      <c r="K674" s="62" t="e">
        <f ca="1">INDIRECT("'["&amp;$C$1&amp;".xls]"&amp;$B674&amp;"'!$f$25")</f>
        <v>#REF!</v>
      </c>
      <c r="L674" s="62"/>
      <c r="M674" s="62" t="e">
        <f ca="1">INDIRECT("'["&amp;$C$1&amp;".xls]"&amp;$B674&amp;"'!$f$4")</f>
        <v>#REF!</v>
      </c>
      <c r="N674" s="62" t="e">
        <f ca="1">INDIRECT("'["&amp;$C$1&amp;".xls]"&amp;$B674&amp;"'!$i$4")</f>
        <v>#REF!</v>
      </c>
      <c r="O674" s="48" t="e">
        <f ca="1">INDIRECT("'["&amp;$C$1&amp;".xls]"&amp;$B674&amp;"'!$l$4")</f>
        <v>#REF!</v>
      </c>
      <c r="P674" s="48" t="e">
        <f ca="1">INDIRECT("'["&amp;$C$1&amp;".xls]"&amp;$B674&amp;"'!$b$5")</f>
        <v>#REF!</v>
      </c>
      <c r="Q674" s="48" t="e">
        <f ca="1">INDIRECT("'["&amp;$C$1&amp;".xls]"&amp;$B674&amp;"'!$f$5")</f>
        <v>#REF!</v>
      </c>
      <c r="R674" s="48"/>
      <c r="S674" s="48" t="e">
        <f ca="1">INDIRECT("'["&amp;$C$1&amp;".xls]"&amp;$B674&amp;"'!$i$5")</f>
        <v>#REF!</v>
      </c>
      <c r="T674" s="48" t="e">
        <f ca="1">INDIRECT("'["&amp;$C$1&amp;".xls]"&amp;$B674&amp;"'!$l$5")</f>
        <v>#REF!</v>
      </c>
      <c r="U674" s="48" t="e">
        <f ca="1">INDIRECT("'["&amp;$C$1&amp;".xls]"&amp;$B674&amp;"'!$b$4")</f>
        <v>#REF!</v>
      </c>
      <c r="V674" s="48"/>
      <c r="W674" s="48"/>
      <c r="X674" s="48"/>
      <c r="Y674" s="48"/>
      <c r="Z674" s="61"/>
      <c r="AA674" s="48" t="e">
        <f ca="1">IF(INDIRECT("'["&amp;$C$1&amp;".xls]"&amp;$B674&amp;"'!$P$25")="","",IF(INDIRECT("'["&amp;$C$1&amp;".xls]"&amp;$B674&amp;"'!$O$25")="済み",INDIRECT("'["&amp;$C$1&amp;".xls]"&amp;$B674&amp;"'!$P$25"),""))</f>
        <v>#REF!</v>
      </c>
      <c r="AB674" s="48" t="e">
        <f ca="1">IF(INDIRECT("'["&amp;$C$1&amp;".xls]"&amp;$B674&amp;"'!$P$26")="","",IF(INDIRECT("'["&amp;$C$1&amp;".xls]"&amp;$B674&amp;"'!$O$26")="済み",INDIRECT("'["&amp;$C$1&amp;".xls]"&amp;$B674&amp;"'!$P$26"),""))</f>
        <v>#REF!</v>
      </c>
      <c r="AC674" s="48" t="e">
        <f ca="1">IF(INDIRECT("'["&amp;$C$1&amp;".xls]"&amp;$B674&amp;"'!$P$27")="","",IF(INDIRECT("'["&amp;$C$1&amp;".xls]"&amp;$B674&amp;"'!$O$27")="済み",INDIRECT("'["&amp;$C$1&amp;".xls]"&amp;$B674&amp;"'!$P$27"),""))</f>
        <v>#REF!</v>
      </c>
      <c r="AD674" s="48" t="e">
        <f ca="1">IF(INDIRECT("'["&amp;$C$1&amp;".xls]"&amp;$B674&amp;"'!$P$28")="","",IF(INDIRECT("'["&amp;$C$1&amp;".xls]"&amp;$B674&amp;"'!$O$28")="済み",INDIRECT("'["&amp;$C$1&amp;".xls]"&amp;$B674&amp;"'!$P$28"),""))</f>
        <v>#REF!</v>
      </c>
      <c r="AE674" s="48" t="e">
        <f ca="1">IF(INDIRECT("'["&amp;$C$1&amp;".xls]"&amp;$B674&amp;"'!$P$29")="","",IF(INDIRECT("'["&amp;$C$1&amp;".xls]"&amp;$B674&amp;"'!$O$29")="済み",INDIRECT("'["&amp;$C$1&amp;".xls]"&amp;$B674&amp;"'!$P$29"),""))</f>
        <v>#REF!</v>
      </c>
      <c r="AF674" s="48" t="e">
        <f ca="1">IF(INDIRECT("'["&amp;$C$1&amp;".xls]"&amp;$B674&amp;"'!$P$30")="","",IF(INDIRECT("'["&amp;$C$1&amp;".xls]"&amp;$B674&amp;"'!$O$30")="済み",INDIRECT("'["&amp;$C$1&amp;".xls]"&amp;$B674&amp;"'!$P$30"),""))</f>
        <v>#REF!</v>
      </c>
      <c r="AG674" s="48" t="e">
        <f ca="1">IF(INDIRECT("'["&amp;$C$1&amp;".xls]"&amp;$B674&amp;"'!$P$31")="","",IF(INDIRECT("'["&amp;$C$1&amp;".xls]"&amp;$B674&amp;"'!$O$31")="済み",INDIRECT("'["&amp;$C$1&amp;".xls]"&amp;$B674&amp;"'!$P$31"),""))</f>
        <v>#REF!</v>
      </c>
      <c r="AH674" s="48" t="e">
        <f ca="1">IF(INDIRECT("'["&amp;$C$1&amp;".xls]"&amp;$B674&amp;"'!$P$32")="","",IF(INDIRECT("'["&amp;$C$1&amp;".xls]"&amp;$B674&amp;"'!$O$32")="済み",INDIRECT("'["&amp;$C$1&amp;".xls]"&amp;$B674&amp;"'!$P$32"),""))</f>
        <v>#REF!</v>
      </c>
      <c r="AI674" s="48" t="e">
        <f ca="1">IF(INDIRECT("'["&amp;$C$1&amp;".xls]"&amp;$B674&amp;"'!$P$33")="","",IF(INDIRECT("'["&amp;$C$1&amp;".xls]"&amp;$B674&amp;"'!$O$33")="済み",INDIRECT("'["&amp;$C$1&amp;".xls]"&amp;$B674&amp;"'!$P$33"),""))</f>
        <v>#REF!</v>
      </c>
      <c r="AJ674" s="48" t="e">
        <f ca="1">IF(INDIRECT("'["&amp;$C$1&amp;".xls]"&amp;$B674&amp;"'!$P$34")="","",IF(INDIRECT("'["&amp;$C$1&amp;".xls]"&amp;$B674&amp;"'!$O$34")="済み",INDIRECT("'["&amp;$C$1&amp;".xls]"&amp;$B674&amp;"'!$P$34"),""))</f>
        <v>#REF!</v>
      </c>
      <c r="AK674" s="48" t="e">
        <f ca="1">IF(INDIRECT("'["&amp;$C$1&amp;".xls]"&amp;$B674&amp;"'!$T25")="","",IF(INDIRECT("'["&amp;$C$1&amp;".xls]"&amp;$B674&amp;"'!$O$25")="済み",INDIRECT("'["&amp;$C$1&amp;".xls]"&amp;$B674&amp;"'!$T$25"),""))</f>
        <v>#REF!</v>
      </c>
      <c r="AL674" s="48" t="e">
        <f ca="1">IF(INDIRECT("'["&amp;$C$1&amp;".xls]"&amp;$B674&amp;"'!$T26")="","",IF(INDIRECT("'["&amp;$C$1&amp;".xls]"&amp;$B674&amp;"'!$O$26")="済み",INDIRECT("'["&amp;$C$1&amp;".xls]"&amp;$B674&amp;"'!$T$26"),""))</f>
        <v>#REF!</v>
      </c>
      <c r="AM674" s="48" t="e">
        <f ca="1">IF(INDIRECT("'["&amp;$C$1&amp;".xls]"&amp;$B674&amp;"'!$T27")="","",IF(INDIRECT("'["&amp;$C$1&amp;".xls]"&amp;$B674&amp;"'!$O$27")="済み",INDIRECT("'["&amp;$C$1&amp;".xls]"&amp;$B674&amp;"'!$T$27"),""))</f>
        <v>#REF!</v>
      </c>
      <c r="AN674" s="48" t="e">
        <f ca="1">IF(INDIRECT("'["&amp;$C$1&amp;".xls]"&amp;$B674&amp;"'!$T28")="","",IF(INDIRECT("'["&amp;$C$1&amp;".xls]"&amp;$B674&amp;"'!$O$28")="済み",INDIRECT("'["&amp;$C$1&amp;".xls]"&amp;$B674&amp;"'!$T$28"),""))</f>
        <v>#REF!</v>
      </c>
      <c r="AO674" s="48" t="e">
        <f ca="1">IF(INDIRECT("'["&amp;$C$1&amp;".xls]"&amp;$B674&amp;"'!$T29")="","",IF(INDIRECT("'["&amp;$C$1&amp;".xls]"&amp;$B674&amp;"'!$O$29")="済み",INDIRECT("'["&amp;$C$1&amp;".xls]"&amp;$B674&amp;"'!$T$29"),""))</f>
        <v>#REF!</v>
      </c>
      <c r="AP674" s="48" t="e">
        <f ca="1">IF(INDIRECT("'["&amp;$C$1&amp;".xls]"&amp;$B674&amp;"'!$T30")="","",IF(INDIRECT("'["&amp;$C$1&amp;".xls]"&amp;$B674&amp;"'!$O$30")="済み",INDIRECT("'["&amp;$C$1&amp;".xls]"&amp;$B674&amp;"'!$T$30"),""))</f>
        <v>#REF!</v>
      </c>
      <c r="AQ674" s="48" t="e">
        <f ca="1">IF(INDIRECT("'["&amp;$C$1&amp;".xls]"&amp;$B674&amp;"'!$T31")="","",IF(INDIRECT("'["&amp;$C$1&amp;".xls]"&amp;$B674&amp;"'!$O$31")="済み",INDIRECT("'["&amp;$C$1&amp;".xls]"&amp;$B674&amp;"'!$T$31"),""))</f>
        <v>#REF!</v>
      </c>
      <c r="AR674" s="48" t="e">
        <f ca="1">IF(INDIRECT("'["&amp;$C$1&amp;".xls]"&amp;$B674&amp;"'!$T32")="","",IF(INDIRECT("'["&amp;$C$1&amp;".xls]"&amp;$B674&amp;"'!$O$32")="済み",INDIRECT("'["&amp;$C$1&amp;".xls]"&amp;$B674&amp;"'!$T$32"),""))</f>
        <v>#REF!</v>
      </c>
      <c r="AS674" s="48" t="e">
        <f ca="1">IF(INDIRECT("'["&amp;$C$1&amp;".xls]"&amp;$B674&amp;"'!$T33")="","",IF(INDIRECT("'["&amp;$C$1&amp;".xls]"&amp;$B674&amp;"'!$O$33")="済み",INDIRECT("'["&amp;$C$1&amp;".xls]"&amp;$B674&amp;"'!$T$33"),""))</f>
        <v>#REF!</v>
      </c>
      <c r="AT674" s="48" t="e">
        <f ca="1">IF(INDIRECT("'["&amp;$C$1&amp;".xls]"&amp;$B674&amp;"'!$T34")="","",IF(INDIRECT("'["&amp;$C$1&amp;".xls]"&amp;$B674&amp;"'!$O$34")="済み",INDIRECT("'["&amp;$C$1&amp;".xls]"&amp;$B674&amp;"'!$T$34"),""))</f>
        <v>#REF!</v>
      </c>
      <c r="AU674" s="93" t="e">
        <f ca="1">INDIRECT("'["&amp;$C$1&amp;".xls]"&amp;$B674&amp;"'!$B$6")</f>
        <v>#REF!</v>
      </c>
      <c r="AV674" s="93" t="e">
        <f ca="1">INDIRECT("'["&amp;$C$1&amp;".xls]"&amp;$B674&amp;"'!$Y$22")</f>
        <v>#REF!</v>
      </c>
      <c r="AW674" s="93" t="e">
        <f ca="1">INDIRECT("'["&amp;$C$1&amp;".xls]"&amp;$B674&amp;"'!$Y$24")</f>
        <v>#REF!</v>
      </c>
      <c r="AX674" s="93" t="e">
        <f ca="1">INDIRECT("'["&amp;$C$1&amp;".xls]"&amp;$B674&amp;"'!$Y$26")</f>
        <v>#REF!</v>
      </c>
      <c r="AY674" s="93" t="e">
        <f ca="1">INDIRECT("'["&amp;$C$1&amp;".xls]"&amp;$B674&amp;"'!$Y$28")</f>
        <v>#REF!</v>
      </c>
    </row>
    <row r="675" spans="1:51" ht="16.5" customHeight="1" x14ac:dyDescent="0.15">
      <c r="A675" s="199" t="s">
        <v>6880</v>
      </c>
      <c r="B675" s="209" t="s">
        <v>6881</v>
      </c>
      <c r="C675" s="48" t="s">
        <v>330</v>
      </c>
      <c r="D675" s="62" t="s">
        <v>6882</v>
      </c>
      <c r="E675" s="48" t="s">
        <v>300</v>
      </c>
      <c r="F675" s="61">
        <v>42639</v>
      </c>
      <c r="G675" s="61">
        <v>0</v>
      </c>
      <c r="H675" s="125">
        <v>42684</v>
      </c>
      <c r="I675" s="61">
        <v>37680</v>
      </c>
      <c r="J675" s="87"/>
      <c r="K675" s="62" t="s">
        <v>2506</v>
      </c>
      <c r="L675" s="62">
        <v>3</v>
      </c>
      <c r="M675" s="62" t="s">
        <v>924</v>
      </c>
      <c r="N675" s="62" t="s">
        <v>6883</v>
      </c>
      <c r="O675" s="48" t="s">
        <v>2983</v>
      </c>
      <c r="P675" s="48" t="s">
        <v>6884</v>
      </c>
      <c r="Q675" s="48" t="s">
        <v>6885</v>
      </c>
      <c r="R675" s="48" t="s">
        <v>6886</v>
      </c>
      <c r="S675" s="48" t="s">
        <v>6887</v>
      </c>
      <c r="T675" s="48" t="s">
        <v>4698</v>
      </c>
      <c r="U675" s="48" t="s">
        <v>6888</v>
      </c>
      <c r="V675" s="48" t="s">
        <v>6889</v>
      </c>
      <c r="W675" s="48" t="s">
        <v>6890</v>
      </c>
      <c r="X675" s="48" t="s">
        <v>6891</v>
      </c>
      <c r="Y675" s="48" t="s">
        <v>6892</v>
      </c>
      <c r="Z675" s="61"/>
      <c r="AA675" s="48" t="s">
        <v>2944</v>
      </c>
      <c r="AB675" s="48" t="s">
        <v>273</v>
      </c>
      <c r="AC675" s="48" t="s">
        <v>273</v>
      </c>
      <c r="AD675" s="48" t="s">
        <v>273</v>
      </c>
      <c r="AE675" s="48" t="s">
        <v>273</v>
      </c>
      <c r="AF675" s="48" t="s">
        <v>273</v>
      </c>
      <c r="AG675" s="48" t="s">
        <v>273</v>
      </c>
      <c r="AH675" s="48" t="s">
        <v>273</v>
      </c>
      <c r="AI675" s="48" t="s">
        <v>273</v>
      </c>
      <c r="AJ675" s="48" t="s">
        <v>273</v>
      </c>
      <c r="AK675" s="48" t="s">
        <v>2946</v>
      </c>
      <c r="AL675" s="48" t="s">
        <v>273</v>
      </c>
      <c r="AM675" s="48" t="s">
        <v>273</v>
      </c>
      <c r="AN675" s="48" t="s">
        <v>273</v>
      </c>
      <c r="AO675" s="48" t="s">
        <v>273</v>
      </c>
      <c r="AP675" s="48" t="s">
        <v>273</v>
      </c>
      <c r="AQ675" s="48" t="s">
        <v>273</v>
      </c>
      <c r="AR675" s="48" t="s">
        <v>273</v>
      </c>
      <c r="AS675" s="48" t="s">
        <v>273</v>
      </c>
      <c r="AT675" s="48" t="s">
        <v>273</v>
      </c>
      <c r="AU675" s="93">
        <v>37316</v>
      </c>
      <c r="AV675" s="93" t="s">
        <v>5505</v>
      </c>
      <c r="AW675" s="93" t="s">
        <v>6893</v>
      </c>
      <c r="AX675" s="93" t="s">
        <v>6894</v>
      </c>
      <c r="AY675" s="93" t="s">
        <v>5312</v>
      </c>
    </row>
    <row r="676" spans="1:51" ht="16.5" customHeight="1" x14ac:dyDescent="0.15">
      <c r="A676" s="182" t="s">
        <v>6895</v>
      </c>
      <c r="B676" s="183" t="s">
        <v>6896</v>
      </c>
      <c r="C676" s="48" t="s">
        <v>6897</v>
      </c>
      <c r="D676" s="62" t="s">
        <v>263</v>
      </c>
      <c r="E676" s="48" t="s">
        <v>264</v>
      </c>
      <c r="F676" s="61">
        <v>42639</v>
      </c>
      <c r="G676" s="61">
        <v>0</v>
      </c>
      <c r="H676" s="125">
        <v>42654</v>
      </c>
      <c r="I676" s="61">
        <v>41518</v>
      </c>
      <c r="J676" s="87"/>
      <c r="K676" s="62" t="s">
        <v>16</v>
      </c>
      <c r="L676" s="62">
        <v>3</v>
      </c>
      <c r="M676" s="62" t="s">
        <v>471</v>
      </c>
      <c r="N676" s="62" t="s">
        <v>6898</v>
      </c>
      <c r="O676" s="48" t="s">
        <v>502</v>
      </c>
      <c r="P676" s="48" t="s">
        <v>1191</v>
      </c>
      <c r="Q676" s="48" t="s">
        <v>6899</v>
      </c>
      <c r="R676" s="48" t="s">
        <v>399</v>
      </c>
      <c r="S676" s="48" t="s">
        <v>400</v>
      </c>
      <c r="T676" s="48" t="s">
        <v>401</v>
      </c>
      <c r="U676" s="48" t="s">
        <v>6900</v>
      </c>
      <c r="V676" s="122" t="s">
        <v>263</v>
      </c>
      <c r="W676" s="122" t="s">
        <v>263</v>
      </c>
      <c r="X676" s="48" t="s">
        <v>6901</v>
      </c>
      <c r="Y676" s="48" t="s">
        <v>6902</v>
      </c>
      <c r="Z676" s="61"/>
      <c r="AA676" s="48" t="s">
        <v>529</v>
      </c>
      <c r="AB676" s="48" t="s">
        <v>273</v>
      </c>
      <c r="AC676" s="48" t="s">
        <v>273</v>
      </c>
      <c r="AD676" s="48" t="s">
        <v>273</v>
      </c>
      <c r="AE676" s="48" t="s">
        <v>273</v>
      </c>
      <c r="AF676" s="48" t="s">
        <v>273</v>
      </c>
      <c r="AG676" s="48" t="s">
        <v>273</v>
      </c>
      <c r="AH676" s="48" t="s">
        <v>273</v>
      </c>
      <c r="AI676" s="48" t="s">
        <v>273</v>
      </c>
      <c r="AJ676" s="48" t="s">
        <v>273</v>
      </c>
      <c r="AK676" s="48" t="s">
        <v>530</v>
      </c>
      <c r="AL676" s="48" t="s">
        <v>273</v>
      </c>
      <c r="AM676" s="48" t="s">
        <v>273</v>
      </c>
      <c r="AN676" s="48" t="s">
        <v>273</v>
      </c>
      <c r="AO676" s="48" t="s">
        <v>273</v>
      </c>
      <c r="AP676" s="48" t="s">
        <v>273</v>
      </c>
      <c r="AQ676" s="48" t="s">
        <v>273</v>
      </c>
      <c r="AR676" s="48" t="s">
        <v>273</v>
      </c>
      <c r="AS676" s="48" t="s">
        <v>273</v>
      </c>
      <c r="AT676" s="48" t="s">
        <v>273</v>
      </c>
      <c r="AU676" s="93">
        <v>41395</v>
      </c>
      <c r="AV676" s="93" t="s">
        <v>6903</v>
      </c>
      <c r="AW676" s="93" t="s">
        <v>6904</v>
      </c>
      <c r="AX676" s="93" t="s">
        <v>6905</v>
      </c>
      <c r="AY676" s="93" t="s">
        <v>6245</v>
      </c>
    </row>
    <row r="677" spans="1:51" ht="16.5" customHeight="1" x14ac:dyDescent="0.15">
      <c r="A677" s="182" t="s">
        <v>6906</v>
      </c>
      <c r="B677" s="183" t="s">
        <v>6907</v>
      </c>
      <c r="C677" s="48" t="s">
        <v>298</v>
      </c>
      <c r="D677" s="62" t="s">
        <v>6908</v>
      </c>
      <c r="E677" s="48" t="s">
        <v>300</v>
      </c>
      <c r="F677" s="61">
        <v>42639</v>
      </c>
      <c r="G677" s="61">
        <v>0</v>
      </c>
      <c r="H677" s="125">
        <v>42668</v>
      </c>
      <c r="I677" s="61" t="s">
        <v>279</v>
      </c>
      <c r="J677" s="87"/>
      <c r="K677" s="62" t="s">
        <v>2506</v>
      </c>
      <c r="L677" s="62">
        <v>2</v>
      </c>
      <c r="M677" s="62" t="s">
        <v>4015</v>
      </c>
      <c r="N677" s="62" t="s">
        <v>6909</v>
      </c>
      <c r="O677" s="48" t="s">
        <v>4017</v>
      </c>
      <c r="P677" s="130" t="s">
        <v>6910</v>
      </c>
      <c r="Q677" s="130" t="s">
        <v>6911</v>
      </c>
      <c r="R677" s="130" t="s">
        <v>6912</v>
      </c>
      <c r="S677" s="130" t="s">
        <v>6913</v>
      </c>
      <c r="T677" s="130" t="s">
        <v>6914</v>
      </c>
      <c r="U677" s="48" t="s">
        <v>6915</v>
      </c>
      <c r="V677" s="122" t="s">
        <v>263</v>
      </c>
      <c r="W677" s="122" t="s">
        <v>263</v>
      </c>
      <c r="X677" s="48" t="s">
        <v>6916</v>
      </c>
      <c r="Y677" s="48" t="s">
        <v>6917</v>
      </c>
      <c r="Z677" s="61"/>
      <c r="AA677" s="48" t="s">
        <v>1958</v>
      </c>
      <c r="AB677" s="48" t="s">
        <v>273</v>
      </c>
      <c r="AC677" s="48" t="s">
        <v>273</v>
      </c>
      <c r="AD677" s="48" t="s">
        <v>273</v>
      </c>
      <c r="AE677" s="48" t="s">
        <v>273</v>
      </c>
      <c r="AF677" s="48" t="s">
        <v>273</v>
      </c>
      <c r="AG677" s="48" t="s">
        <v>273</v>
      </c>
      <c r="AH677" s="48" t="s">
        <v>273</v>
      </c>
      <c r="AI677" s="48" t="s">
        <v>273</v>
      </c>
      <c r="AJ677" s="48" t="s">
        <v>273</v>
      </c>
      <c r="AK677" s="48" t="s">
        <v>6918</v>
      </c>
      <c r="AL677" s="48" t="s">
        <v>273</v>
      </c>
      <c r="AM677" s="48" t="s">
        <v>273</v>
      </c>
      <c r="AN677" s="48" t="s">
        <v>273</v>
      </c>
      <c r="AO677" s="48" t="s">
        <v>273</v>
      </c>
      <c r="AP677" s="48" t="s">
        <v>273</v>
      </c>
      <c r="AQ677" s="48" t="s">
        <v>273</v>
      </c>
      <c r="AR677" s="48" t="s">
        <v>273</v>
      </c>
      <c r="AS677" s="48" t="s">
        <v>273</v>
      </c>
      <c r="AT677" s="48" t="s">
        <v>273</v>
      </c>
      <c r="AU677" s="93">
        <v>41306</v>
      </c>
      <c r="AV677" s="93" t="s">
        <v>6919</v>
      </c>
      <c r="AW677" s="93" t="s">
        <v>6920</v>
      </c>
      <c r="AX677" s="93" t="s">
        <v>6921</v>
      </c>
      <c r="AY677" s="93" t="s">
        <v>5312</v>
      </c>
    </row>
    <row r="678" spans="1:51" ht="16.5" customHeight="1" x14ac:dyDescent="0.15">
      <c r="A678" s="121" t="s">
        <v>6922</v>
      </c>
      <c r="B678" s="47" t="s">
        <v>6923</v>
      </c>
      <c r="C678" s="48" t="e">
        <f ca="1">INDIRECT("'["&amp;$C$1&amp;".xls]"&amp;$B678&amp;"'!$i$7")</f>
        <v>#REF!</v>
      </c>
      <c r="D678" s="62" t="e">
        <f ca="1">INDIRECT("'["&amp;$C$1&amp;".xls]"&amp;$B678&amp;"'!$b$7")</f>
        <v>#REF!</v>
      </c>
      <c r="E678" s="48" t="e">
        <f ca="1">IF(INDIRECT("'["&amp;$C$1&amp;".xls]"&amp;$B678&amp;"'!$i$2")="","",INDIRECT("'["&amp;$C$1&amp;".xls]"&amp;$B678&amp;"'!$i$2"))</f>
        <v>#REF!</v>
      </c>
      <c r="F678" s="61" t="e">
        <f ca="1">INDIRECT("'["&amp;$C$1&amp;".xls]"&amp;$B678&amp;"'!$b$2")</f>
        <v>#REF!</v>
      </c>
      <c r="G678" s="61" t="e">
        <f ca="1">INDIRECT("'["&amp;$C$1&amp;".xls]"&amp;$B678&amp;"'!$a$20")</f>
        <v>#REF!</v>
      </c>
      <c r="H678" s="88" t="e">
        <f ca="1">INDIRECT("'["&amp;$C$1&amp;".xls]"&amp;$B678&amp;"'!$Q$22")</f>
        <v>#REF!</v>
      </c>
      <c r="I678" s="61" t="e">
        <f ca="1">INDIRECT("'["&amp;$C$1&amp;".xls]"&amp;$B678&amp;"'!$f$6")</f>
        <v>#REF!</v>
      </c>
      <c r="J678" s="87"/>
      <c r="K678" s="62" t="e">
        <f ca="1">INDIRECT("'["&amp;$C$1&amp;".xls]"&amp;$B678&amp;"'!$f$25")</f>
        <v>#REF!</v>
      </c>
      <c r="L678" s="62"/>
      <c r="M678" s="62" t="e">
        <f ca="1">INDIRECT("'["&amp;$C$1&amp;".xls]"&amp;$B678&amp;"'!$f$4")</f>
        <v>#REF!</v>
      </c>
      <c r="N678" s="62" t="e">
        <f ca="1">INDIRECT("'["&amp;$C$1&amp;".xls]"&amp;$B678&amp;"'!$i$4")</f>
        <v>#REF!</v>
      </c>
      <c r="O678" s="48" t="e">
        <f ca="1">INDIRECT("'["&amp;$C$1&amp;".xls]"&amp;$B678&amp;"'!$l$4")</f>
        <v>#REF!</v>
      </c>
      <c r="P678" s="48" t="e">
        <f ca="1">INDIRECT("'["&amp;$C$1&amp;".xls]"&amp;$B678&amp;"'!$b$5")</f>
        <v>#REF!</v>
      </c>
      <c r="Q678" s="48" t="e">
        <f ca="1">INDIRECT("'["&amp;$C$1&amp;".xls]"&amp;$B678&amp;"'!$f$5")</f>
        <v>#REF!</v>
      </c>
      <c r="R678" s="48"/>
      <c r="S678" s="48" t="e">
        <f ca="1">INDIRECT("'["&amp;$C$1&amp;".xls]"&amp;$B678&amp;"'!$i$5")</f>
        <v>#REF!</v>
      </c>
      <c r="T678" s="48" t="e">
        <f ca="1">INDIRECT("'["&amp;$C$1&amp;".xls]"&amp;$B678&amp;"'!$l$5")</f>
        <v>#REF!</v>
      </c>
      <c r="U678" s="48" t="e">
        <f ca="1">INDIRECT("'["&amp;$C$1&amp;".xls]"&amp;$B678&amp;"'!$b$4")</f>
        <v>#REF!</v>
      </c>
      <c r="V678" s="48"/>
      <c r="W678" s="48"/>
      <c r="X678" s="48"/>
      <c r="Y678" s="48"/>
      <c r="Z678" s="61"/>
      <c r="AA678" s="48" t="e">
        <f ca="1">IF(INDIRECT("'["&amp;$C$1&amp;".xls]"&amp;$B678&amp;"'!$P$25")="","",IF(INDIRECT("'["&amp;$C$1&amp;".xls]"&amp;$B678&amp;"'!$O$25")="済み",INDIRECT("'["&amp;$C$1&amp;".xls]"&amp;$B678&amp;"'!$P$25"),""))</f>
        <v>#REF!</v>
      </c>
      <c r="AB678" s="48" t="e">
        <f ca="1">IF(INDIRECT("'["&amp;$C$1&amp;".xls]"&amp;$B678&amp;"'!$P$26")="","",IF(INDIRECT("'["&amp;$C$1&amp;".xls]"&amp;$B678&amp;"'!$O$26")="済み",INDIRECT("'["&amp;$C$1&amp;".xls]"&amp;$B678&amp;"'!$P$26"),""))</f>
        <v>#REF!</v>
      </c>
      <c r="AC678" s="48" t="e">
        <f ca="1">IF(INDIRECT("'["&amp;$C$1&amp;".xls]"&amp;$B678&amp;"'!$P$27")="","",IF(INDIRECT("'["&amp;$C$1&amp;".xls]"&amp;$B678&amp;"'!$O$27")="済み",INDIRECT("'["&amp;$C$1&amp;".xls]"&amp;$B678&amp;"'!$P$27"),""))</f>
        <v>#REF!</v>
      </c>
      <c r="AD678" s="48" t="e">
        <f ca="1">IF(INDIRECT("'["&amp;$C$1&amp;".xls]"&amp;$B678&amp;"'!$P$28")="","",IF(INDIRECT("'["&amp;$C$1&amp;".xls]"&amp;$B678&amp;"'!$O$28")="済み",INDIRECT("'["&amp;$C$1&amp;".xls]"&amp;$B678&amp;"'!$P$28"),""))</f>
        <v>#REF!</v>
      </c>
      <c r="AE678" s="48" t="e">
        <f ca="1">IF(INDIRECT("'["&amp;$C$1&amp;".xls]"&amp;$B678&amp;"'!$P$29")="","",IF(INDIRECT("'["&amp;$C$1&amp;".xls]"&amp;$B678&amp;"'!$O$29")="済み",INDIRECT("'["&amp;$C$1&amp;".xls]"&amp;$B678&amp;"'!$P$29"),""))</f>
        <v>#REF!</v>
      </c>
      <c r="AF678" s="48" t="e">
        <f ca="1">IF(INDIRECT("'["&amp;$C$1&amp;".xls]"&amp;$B678&amp;"'!$P$30")="","",IF(INDIRECT("'["&amp;$C$1&amp;".xls]"&amp;$B678&amp;"'!$O$30")="済み",INDIRECT("'["&amp;$C$1&amp;".xls]"&amp;$B678&amp;"'!$P$30"),""))</f>
        <v>#REF!</v>
      </c>
      <c r="AG678" s="48" t="e">
        <f ca="1">IF(INDIRECT("'["&amp;$C$1&amp;".xls]"&amp;$B678&amp;"'!$P$31")="","",IF(INDIRECT("'["&amp;$C$1&amp;".xls]"&amp;$B678&amp;"'!$O$31")="済み",INDIRECT("'["&amp;$C$1&amp;".xls]"&amp;$B678&amp;"'!$P$31"),""))</f>
        <v>#REF!</v>
      </c>
      <c r="AH678" s="48" t="e">
        <f ca="1">IF(INDIRECT("'["&amp;$C$1&amp;".xls]"&amp;$B678&amp;"'!$P$32")="","",IF(INDIRECT("'["&amp;$C$1&amp;".xls]"&amp;$B678&amp;"'!$O$32")="済み",INDIRECT("'["&amp;$C$1&amp;".xls]"&amp;$B678&amp;"'!$P$32"),""))</f>
        <v>#REF!</v>
      </c>
      <c r="AI678" s="48" t="e">
        <f ca="1">IF(INDIRECT("'["&amp;$C$1&amp;".xls]"&amp;$B678&amp;"'!$P$33")="","",IF(INDIRECT("'["&amp;$C$1&amp;".xls]"&amp;$B678&amp;"'!$O$33")="済み",INDIRECT("'["&amp;$C$1&amp;".xls]"&amp;$B678&amp;"'!$P$33"),""))</f>
        <v>#REF!</v>
      </c>
      <c r="AJ678" s="48" t="e">
        <f ca="1">IF(INDIRECT("'["&amp;$C$1&amp;".xls]"&amp;$B678&amp;"'!$P$34")="","",IF(INDIRECT("'["&amp;$C$1&amp;".xls]"&amp;$B678&amp;"'!$O$34")="済み",INDIRECT("'["&amp;$C$1&amp;".xls]"&amp;$B678&amp;"'!$P$34"),""))</f>
        <v>#REF!</v>
      </c>
      <c r="AK678" s="48" t="e">
        <f ca="1">IF(INDIRECT("'["&amp;$C$1&amp;".xls]"&amp;$B678&amp;"'!$T25")="","",IF(INDIRECT("'["&amp;$C$1&amp;".xls]"&amp;$B678&amp;"'!$O$25")="済み",INDIRECT("'["&amp;$C$1&amp;".xls]"&amp;$B678&amp;"'!$T$25"),""))</f>
        <v>#REF!</v>
      </c>
      <c r="AL678" s="48" t="e">
        <f ca="1">IF(INDIRECT("'["&amp;$C$1&amp;".xls]"&amp;$B678&amp;"'!$T26")="","",IF(INDIRECT("'["&amp;$C$1&amp;".xls]"&amp;$B678&amp;"'!$O$26")="済み",INDIRECT("'["&amp;$C$1&amp;".xls]"&amp;$B678&amp;"'!$T$26"),""))</f>
        <v>#REF!</v>
      </c>
      <c r="AM678" s="48" t="e">
        <f ca="1">IF(INDIRECT("'["&amp;$C$1&amp;".xls]"&amp;$B678&amp;"'!$T27")="","",IF(INDIRECT("'["&amp;$C$1&amp;".xls]"&amp;$B678&amp;"'!$O$27")="済み",INDIRECT("'["&amp;$C$1&amp;".xls]"&amp;$B678&amp;"'!$T$27"),""))</f>
        <v>#REF!</v>
      </c>
      <c r="AN678" s="48" t="e">
        <f ca="1">IF(INDIRECT("'["&amp;$C$1&amp;".xls]"&amp;$B678&amp;"'!$T28")="","",IF(INDIRECT("'["&amp;$C$1&amp;".xls]"&amp;$B678&amp;"'!$O$28")="済み",INDIRECT("'["&amp;$C$1&amp;".xls]"&amp;$B678&amp;"'!$T$28"),""))</f>
        <v>#REF!</v>
      </c>
      <c r="AO678" s="48" t="e">
        <f ca="1">IF(INDIRECT("'["&amp;$C$1&amp;".xls]"&amp;$B678&amp;"'!$T29")="","",IF(INDIRECT("'["&amp;$C$1&amp;".xls]"&amp;$B678&amp;"'!$O$29")="済み",INDIRECT("'["&amp;$C$1&amp;".xls]"&amp;$B678&amp;"'!$T$29"),""))</f>
        <v>#REF!</v>
      </c>
      <c r="AP678" s="48" t="e">
        <f ca="1">IF(INDIRECT("'["&amp;$C$1&amp;".xls]"&amp;$B678&amp;"'!$T30")="","",IF(INDIRECT("'["&amp;$C$1&amp;".xls]"&amp;$B678&amp;"'!$O$30")="済み",INDIRECT("'["&amp;$C$1&amp;".xls]"&amp;$B678&amp;"'!$T$30"),""))</f>
        <v>#REF!</v>
      </c>
      <c r="AQ678" s="48" t="e">
        <f ca="1">IF(INDIRECT("'["&amp;$C$1&amp;".xls]"&amp;$B678&amp;"'!$T31")="","",IF(INDIRECT("'["&amp;$C$1&amp;".xls]"&amp;$B678&amp;"'!$O$31")="済み",INDIRECT("'["&amp;$C$1&amp;".xls]"&amp;$B678&amp;"'!$T$31"),""))</f>
        <v>#REF!</v>
      </c>
      <c r="AR678" s="48" t="e">
        <f ca="1">IF(INDIRECT("'["&amp;$C$1&amp;".xls]"&amp;$B678&amp;"'!$T32")="","",IF(INDIRECT("'["&amp;$C$1&amp;".xls]"&amp;$B678&amp;"'!$O$32")="済み",INDIRECT("'["&amp;$C$1&amp;".xls]"&amp;$B678&amp;"'!$T$32"),""))</f>
        <v>#REF!</v>
      </c>
      <c r="AS678" s="48" t="e">
        <f ca="1">IF(INDIRECT("'["&amp;$C$1&amp;".xls]"&amp;$B678&amp;"'!$T33")="","",IF(INDIRECT("'["&amp;$C$1&amp;".xls]"&amp;$B678&amp;"'!$O$33")="済み",INDIRECT("'["&amp;$C$1&amp;".xls]"&amp;$B678&amp;"'!$T$33"),""))</f>
        <v>#REF!</v>
      </c>
      <c r="AT678" s="48" t="e">
        <f ca="1">IF(INDIRECT("'["&amp;$C$1&amp;".xls]"&amp;$B678&amp;"'!$T34")="","",IF(INDIRECT("'["&amp;$C$1&amp;".xls]"&amp;$B678&amp;"'!$O$34")="済み",INDIRECT("'["&amp;$C$1&amp;".xls]"&amp;$B678&amp;"'!$T$34"),""))</f>
        <v>#REF!</v>
      </c>
      <c r="AU678" s="93" t="e">
        <f ca="1">INDIRECT("'["&amp;$C$1&amp;".xls]"&amp;$B678&amp;"'!$B$6")</f>
        <v>#REF!</v>
      </c>
      <c r="AV678" s="93" t="e">
        <f ca="1">INDIRECT("'["&amp;$C$1&amp;".xls]"&amp;$B678&amp;"'!$Y$22")</f>
        <v>#REF!</v>
      </c>
      <c r="AW678" s="93" t="e">
        <f ca="1">INDIRECT("'["&amp;$C$1&amp;".xls]"&amp;$B678&amp;"'!$Y$24")</f>
        <v>#REF!</v>
      </c>
      <c r="AX678" s="93" t="e">
        <f ca="1">INDIRECT("'["&amp;$C$1&amp;".xls]"&amp;$B678&amp;"'!$Y$26")</f>
        <v>#REF!</v>
      </c>
      <c r="AY678" s="93" t="e">
        <f ca="1">INDIRECT("'["&amp;$C$1&amp;".xls]"&amp;$B678&amp;"'!$Y$28")</f>
        <v>#REF!</v>
      </c>
    </row>
    <row r="679" spans="1:51" ht="16.5" customHeight="1" x14ac:dyDescent="0.15">
      <c r="A679" s="121" t="s">
        <v>6924</v>
      </c>
      <c r="B679" s="47" t="s">
        <v>6925</v>
      </c>
      <c r="C679" s="48" t="e">
        <f ca="1">INDIRECT("'["&amp;$C$1&amp;".xls]"&amp;$B679&amp;"'!$i$7")</f>
        <v>#REF!</v>
      </c>
      <c r="D679" s="62" t="e">
        <f ca="1">INDIRECT("'["&amp;$C$1&amp;".xls]"&amp;$B679&amp;"'!$b$7")</f>
        <v>#REF!</v>
      </c>
      <c r="E679" s="48" t="e">
        <f ca="1">IF(INDIRECT("'["&amp;$C$1&amp;".xls]"&amp;$B679&amp;"'!$i$2")="","",INDIRECT("'["&amp;$C$1&amp;".xls]"&amp;$B679&amp;"'!$i$2"))</f>
        <v>#REF!</v>
      </c>
      <c r="F679" s="61" t="e">
        <f ca="1">INDIRECT("'["&amp;$C$1&amp;".xls]"&amp;$B679&amp;"'!$b$2")</f>
        <v>#REF!</v>
      </c>
      <c r="G679" s="61" t="e">
        <f ca="1">INDIRECT("'["&amp;$C$1&amp;".xls]"&amp;$B679&amp;"'!$a$20")</f>
        <v>#REF!</v>
      </c>
      <c r="H679" s="88" t="e">
        <f ca="1">INDIRECT("'["&amp;$C$1&amp;".xls]"&amp;$B679&amp;"'!$Q$22")</f>
        <v>#REF!</v>
      </c>
      <c r="I679" s="61" t="e">
        <f ca="1">INDIRECT("'["&amp;$C$1&amp;".xls]"&amp;$B679&amp;"'!$f$6")</f>
        <v>#REF!</v>
      </c>
      <c r="J679" s="87"/>
      <c r="K679" s="62" t="e">
        <f ca="1">INDIRECT("'["&amp;$C$1&amp;".xls]"&amp;$B679&amp;"'!$f$25")</f>
        <v>#REF!</v>
      </c>
      <c r="L679" s="62"/>
      <c r="M679" s="62" t="e">
        <f ca="1">INDIRECT("'["&amp;$C$1&amp;".xls]"&amp;$B679&amp;"'!$f$4")</f>
        <v>#REF!</v>
      </c>
      <c r="N679" s="62" t="e">
        <f ca="1">INDIRECT("'["&amp;$C$1&amp;".xls]"&amp;$B679&amp;"'!$i$4")</f>
        <v>#REF!</v>
      </c>
      <c r="O679" s="48" t="e">
        <f ca="1">INDIRECT("'["&amp;$C$1&amp;".xls]"&amp;$B679&amp;"'!$l$4")</f>
        <v>#REF!</v>
      </c>
      <c r="P679" s="48" t="e">
        <f ca="1">INDIRECT("'["&amp;$C$1&amp;".xls]"&amp;$B679&amp;"'!$b$5")</f>
        <v>#REF!</v>
      </c>
      <c r="Q679" s="48" t="e">
        <f ca="1">INDIRECT("'["&amp;$C$1&amp;".xls]"&amp;$B679&amp;"'!$f$5")</f>
        <v>#REF!</v>
      </c>
      <c r="R679" s="48"/>
      <c r="S679" s="48" t="e">
        <f ca="1">INDIRECT("'["&amp;$C$1&amp;".xls]"&amp;$B679&amp;"'!$i$5")</f>
        <v>#REF!</v>
      </c>
      <c r="T679" s="48" t="e">
        <f ca="1">INDIRECT("'["&amp;$C$1&amp;".xls]"&amp;$B679&amp;"'!$l$5")</f>
        <v>#REF!</v>
      </c>
      <c r="U679" s="48" t="e">
        <f ca="1">INDIRECT("'["&amp;$C$1&amp;".xls]"&amp;$B679&amp;"'!$b$4")</f>
        <v>#REF!</v>
      </c>
      <c r="V679" s="48"/>
      <c r="W679" s="48"/>
      <c r="X679" s="48"/>
      <c r="Y679" s="48"/>
      <c r="Z679" s="61"/>
      <c r="AA679" s="48" t="e">
        <f ca="1">IF(INDIRECT("'["&amp;$C$1&amp;".xls]"&amp;$B679&amp;"'!$P$25")="","",IF(INDIRECT("'["&amp;$C$1&amp;".xls]"&amp;$B679&amp;"'!$O$25")="済み",INDIRECT("'["&amp;$C$1&amp;".xls]"&amp;$B679&amp;"'!$P$25"),""))</f>
        <v>#REF!</v>
      </c>
      <c r="AB679" s="48" t="e">
        <f ca="1">IF(INDIRECT("'["&amp;$C$1&amp;".xls]"&amp;$B679&amp;"'!$P$26")="","",IF(INDIRECT("'["&amp;$C$1&amp;".xls]"&amp;$B679&amp;"'!$O$26")="済み",INDIRECT("'["&amp;$C$1&amp;".xls]"&amp;$B679&amp;"'!$P$26"),""))</f>
        <v>#REF!</v>
      </c>
      <c r="AC679" s="48" t="e">
        <f ca="1">IF(INDIRECT("'["&amp;$C$1&amp;".xls]"&amp;$B679&amp;"'!$P$27")="","",IF(INDIRECT("'["&amp;$C$1&amp;".xls]"&amp;$B679&amp;"'!$O$27")="済み",INDIRECT("'["&amp;$C$1&amp;".xls]"&amp;$B679&amp;"'!$P$27"),""))</f>
        <v>#REF!</v>
      </c>
      <c r="AD679" s="48" t="e">
        <f ca="1">IF(INDIRECT("'["&amp;$C$1&amp;".xls]"&amp;$B679&amp;"'!$P$28")="","",IF(INDIRECT("'["&amp;$C$1&amp;".xls]"&amp;$B679&amp;"'!$O$28")="済み",INDIRECT("'["&amp;$C$1&amp;".xls]"&amp;$B679&amp;"'!$P$28"),""))</f>
        <v>#REF!</v>
      </c>
      <c r="AE679" s="48" t="e">
        <f ca="1">IF(INDIRECT("'["&amp;$C$1&amp;".xls]"&amp;$B679&amp;"'!$P$29")="","",IF(INDIRECT("'["&amp;$C$1&amp;".xls]"&amp;$B679&amp;"'!$O$29")="済み",INDIRECT("'["&amp;$C$1&amp;".xls]"&amp;$B679&amp;"'!$P$29"),""))</f>
        <v>#REF!</v>
      </c>
      <c r="AF679" s="48" t="e">
        <f ca="1">IF(INDIRECT("'["&amp;$C$1&amp;".xls]"&amp;$B679&amp;"'!$P$30")="","",IF(INDIRECT("'["&amp;$C$1&amp;".xls]"&amp;$B679&amp;"'!$O$30")="済み",INDIRECT("'["&amp;$C$1&amp;".xls]"&amp;$B679&amp;"'!$P$30"),""))</f>
        <v>#REF!</v>
      </c>
      <c r="AG679" s="48" t="e">
        <f ca="1">IF(INDIRECT("'["&amp;$C$1&amp;".xls]"&amp;$B679&amp;"'!$P$31")="","",IF(INDIRECT("'["&amp;$C$1&amp;".xls]"&amp;$B679&amp;"'!$O$31")="済み",INDIRECT("'["&amp;$C$1&amp;".xls]"&amp;$B679&amp;"'!$P$31"),""))</f>
        <v>#REF!</v>
      </c>
      <c r="AH679" s="48" t="e">
        <f ca="1">IF(INDIRECT("'["&amp;$C$1&amp;".xls]"&amp;$B679&amp;"'!$P$32")="","",IF(INDIRECT("'["&amp;$C$1&amp;".xls]"&amp;$B679&amp;"'!$O$32")="済み",INDIRECT("'["&amp;$C$1&amp;".xls]"&amp;$B679&amp;"'!$P$32"),""))</f>
        <v>#REF!</v>
      </c>
      <c r="AI679" s="48" t="e">
        <f ca="1">IF(INDIRECT("'["&amp;$C$1&amp;".xls]"&amp;$B679&amp;"'!$P$33")="","",IF(INDIRECT("'["&amp;$C$1&amp;".xls]"&amp;$B679&amp;"'!$O$33")="済み",INDIRECT("'["&amp;$C$1&amp;".xls]"&amp;$B679&amp;"'!$P$33"),""))</f>
        <v>#REF!</v>
      </c>
      <c r="AJ679" s="48" t="e">
        <f ca="1">IF(INDIRECT("'["&amp;$C$1&amp;".xls]"&amp;$B679&amp;"'!$P$34")="","",IF(INDIRECT("'["&amp;$C$1&amp;".xls]"&amp;$B679&amp;"'!$O$34")="済み",INDIRECT("'["&amp;$C$1&amp;".xls]"&amp;$B679&amp;"'!$P$34"),""))</f>
        <v>#REF!</v>
      </c>
      <c r="AK679" s="48" t="e">
        <f ca="1">IF(INDIRECT("'["&amp;$C$1&amp;".xls]"&amp;$B679&amp;"'!$T25")="","",IF(INDIRECT("'["&amp;$C$1&amp;".xls]"&amp;$B679&amp;"'!$O$25")="済み",INDIRECT("'["&amp;$C$1&amp;".xls]"&amp;$B679&amp;"'!$T$25"),""))</f>
        <v>#REF!</v>
      </c>
      <c r="AL679" s="48" t="e">
        <f ca="1">IF(INDIRECT("'["&amp;$C$1&amp;".xls]"&amp;$B679&amp;"'!$T26")="","",IF(INDIRECT("'["&amp;$C$1&amp;".xls]"&amp;$B679&amp;"'!$O$26")="済み",INDIRECT("'["&amp;$C$1&amp;".xls]"&amp;$B679&amp;"'!$T$26"),""))</f>
        <v>#REF!</v>
      </c>
      <c r="AM679" s="48" t="e">
        <f ca="1">IF(INDIRECT("'["&amp;$C$1&amp;".xls]"&amp;$B679&amp;"'!$T27")="","",IF(INDIRECT("'["&amp;$C$1&amp;".xls]"&amp;$B679&amp;"'!$O$27")="済み",INDIRECT("'["&amp;$C$1&amp;".xls]"&amp;$B679&amp;"'!$T$27"),""))</f>
        <v>#REF!</v>
      </c>
      <c r="AN679" s="48" t="e">
        <f ca="1">IF(INDIRECT("'["&amp;$C$1&amp;".xls]"&amp;$B679&amp;"'!$T28")="","",IF(INDIRECT("'["&amp;$C$1&amp;".xls]"&amp;$B679&amp;"'!$O$28")="済み",INDIRECT("'["&amp;$C$1&amp;".xls]"&amp;$B679&amp;"'!$T$28"),""))</f>
        <v>#REF!</v>
      </c>
      <c r="AO679" s="48" t="e">
        <f ca="1">IF(INDIRECT("'["&amp;$C$1&amp;".xls]"&amp;$B679&amp;"'!$T29")="","",IF(INDIRECT("'["&amp;$C$1&amp;".xls]"&amp;$B679&amp;"'!$O$29")="済み",INDIRECT("'["&amp;$C$1&amp;".xls]"&amp;$B679&amp;"'!$T$29"),""))</f>
        <v>#REF!</v>
      </c>
      <c r="AP679" s="48" t="e">
        <f ca="1">IF(INDIRECT("'["&amp;$C$1&amp;".xls]"&amp;$B679&amp;"'!$T30")="","",IF(INDIRECT("'["&amp;$C$1&amp;".xls]"&amp;$B679&amp;"'!$O$30")="済み",INDIRECT("'["&amp;$C$1&amp;".xls]"&amp;$B679&amp;"'!$T$30"),""))</f>
        <v>#REF!</v>
      </c>
      <c r="AQ679" s="48" t="e">
        <f ca="1">IF(INDIRECT("'["&amp;$C$1&amp;".xls]"&amp;$B679&amp;"'!$T31")="","",IF(INDIRECT("'["&amp;$C$1&amp;".xls]"&amp;$B679&amp;"'!$O$31")="済み",INDIRECT("'["&amp;$C$1&amp;".xls]"&amp;$B679&amp;"'!$T$31"),""))</f>
        <v>#REF!</v>
      </c>
      <c r="AR679" s="48" t="e">
        <f ca="1">IF(INDIRECT("'["&amp;$C$1&amp;".xls]"&amp;$B679&amp;"'!$T32")="","",IF(INDIRECT("'["&amp;$C$1&amp;".xls]"&amp;$B679&amp;"'!$O$32")="済み",INDIRECT("'["&amp;$C$1&amp;".xls]"&amp;$B679&amp;"'!$T$32"),""))</f>
        <v>#REF!</v>
      </c>
      <c r="AS679" s="48" t="e">
        <f ca="1">IF(INDIRECT("'["&amp;$C$1&amp;".xls]"&amp;$B679&amp;"'!$T33")="","",IF(INDIRECT("'["&amp;$C$1&amp;".xls]"&amp;$B679&amp;"'!$O$33")="済み",INDIRECT("'["&amp;$C$1&amp;".xls]"&amp;$B679&amp;"'!$T$33"),""))</f>
        <v>#REF!</v>
      </c>
      <c r="AT679" s="48" t="e">
        <f ca="1">IF(INDIRECT("'["&amp;$C$1&amp;".xls]"&amp;$B679&amp;"'!$T34")="","",IF(INDIRECT("'["&amp;$C$1&amp;".xls]"&amp;$B679&amp;"'!$O$34")="済み",INDIRECT("'["&amp;$C$1&amp;".xls]"&amp;$B679&amp;"'!$T$34"),""))</f>
        <v>#REF!</v>
      </c>
      <c r="AU679" s="93" t="e">
        <f ca="1">INDIRECT("'["&amp;$C$1&amp;".xls]"&amp;$B679&amp;"'!$B$6")</f>
        <v>#REF!</v>
      </c>
      <c r="AV679" s="93" t="e">
        <f ca="1">INDIRECT("'["&amp;$C$1&amp;".xls]"&amp;$B679&amp;"'!$Y$22")</f>
        <v>#REF!</v>
      </c>
      <c r="AW679" s="93" t="e">
        <f ca="1">INDIRECT("'["&amp;$C$1&amp;".xls]"&amp;$B679&amp;"'!$Y$24")</f>
        <v>#REF!</v>
      </c>
      <c r="AX679" s="93" t="e">
        <f ca="1">INDIRECT("'["&amp;$C$1&amp;".xls]"&amp;$B679&amp;"'!$Y$26")</f>
        <v>#REF!</v>
      </c>
      <c r="AY679" s="93" t="e">
        <f ca="1">INDIRECT("'["&amp;$C$1&amp;".xls]"&amp;$B679&amp;"'!$Y$28")</f>
        <v>#REF!</v>
      </c>
    </row>
    <row r="680" spans="1:51" ht="16.5" customHeight="1" x14ac:dyDescent="0.15">
      <c r="A680" s="199" t="s">
        <v>6926</v>
      </c>
      <c r="B680" s="209" t="s">
        <v>6927</v>
      </c>
      <c r="C680" s="48" t="s">
        <v>6928</v>
      </c>
      <c r="D680" s="62" t="s">
        <v>6929</v>
      </c>
      <c r="E680" s="48" t="s">
        <v>264</v>
      </c>
      <c r="F680" s="61">
        <v>42640</v>
      </c>
      <c r="G680" s="61">
        <v>0</v>
      </c>
      <c r="H680" s="125">
        <v>42688</v>
      </c>
      <c r="I680" s="61" t="s">
        <v>279</v>
      </c>
      <c r="J680" s="87"/>
      <c r="K680" s="62" t="s">
        <v>2506</v>
      </c>
      <c r="L680" s="62">
        <v>3</v>
      </c>
      <c r="M680" s="62" t="s">
        <v>209</v>
      </c>
      <c r="N680" s="62" t="s">
        <v>2881</v>
      </c>
      <c r="O680" s="48" t="s">
        <v>744</v>
      </c>
      <c r="P680" s="48" t="s">
        <v>6930</v>
      </c>
      <c r="Q680" s="48" t="s">
        <v>2882</v>
      </c>
      <c r="R680" s="48" t="s">
        <v>6931</v>
      </c>
      <c r="S680" s="48" t="s">
        <v>320</v>
      </c>
      <c r="T680" s="48" t="s">
        <v>321</v>
      </c>
      <c r="U680" s="48" t="s">
        <v>1751</v>
      </c>
      <c r="V680" s="122" t="s">
        <v>263</v>
      </c>
      <c r="W680" s="122" t="s">
        <v>263</v>
      </c>
      <c r="X680" s="48" t="s">
        <v>1752</v>
      </c>
      <c r="Y680" s="48" t="s">
        <v>2885</v>
      </c>
      <c r="Z680" s="61"/>
      <c r="AA680" s="48" t="s">
        <v>272</v>
      </c>
      <c r="AB680" s="48" t="s">
        <v>273</v>
      </c>
      <c r="AC680" s="48" t="s">
        <v>273</v>
      </c>
      <c r="AD680" s="48" t="s">
        <v>273</v>
      </c>
      <c r="AE680" s="48" t="s">
        <v>273</v>
      </c>
      <c r="AF680" s="48" t="s">
        <v>273</v>
      </c>
      <c r="AG680" s="48" t="s">
        <v>273</v>
      </c>
      <c r="AH680" s="48" t="s">
        <v>273</v>
      </c>
      <c r="AI680" s="48" t="s">
        <v>273</v>
      </c>
      <c r="AJ680" s="48" t="s">
        <v>273</v>
      </c>
      <c r="AK680" s="48" t="s">
        <v>274</v>
      </c>
      <c r="AL680" s="48" t="s">
        <v>273</v>
      </c>
      <c r="AM680" s="48" t="s">
        <v>273</v>
      </c>
      <c r="AN680" s="48" t="s">
        <v>273</v>
      </c>
      <c r="AO680" s="48" t="s">
        <v>273</v>
      </c>
      <c r="AP680" s="48" t="s">
        <v>273</v>
      </c>
      <c r="AQ680" s="48" t="s">
        <v>273</v>
      </c>
      <c r="AR680" s="48" t="s">
        <v>273</v>
      </c>
      <c r="AS680" s="48" t="s">
        <v>273</v>
      </c>
      <c r="AT680" s="48" t="s">
        <v>273</v>
      </c>
      <c r="AU680" s="93">
        <v>41244</v>
      </c>
      <c r="AV680" s="93" t="s">
        <v>6932</v>
      </c>
      <c r="AW680" s="93" t="s">
        <v>6933</v>
      </c>
      <c r="AX680" s="93" t="s">
        <v>6934</v>
      </c>
      <c r="AY680" s="93" t="s">
        <v>5312</v>
      </c>
    </row>
    <row r="681" spans="1:51" ht="16.5" customHeight="1" x14ac:dyDescent="0.15">
      <c r="A681" s="182" t="s">
        <v>6935</v>
      </c>
      <c r="B681" s="183" t="s">
        <v>6936</v>
      </c>
      <c r="C681" s="48" t="s">
        <v>330</v>
      </c>
      <c r="D681" s="62" t="s">
        <v>263</v>
      </c>
      <c r="E681" s="48" t="s">
        <v>300</v>
      </c>
      <c r="F681" s="61">
        <v>42640</v>
      </c>
      <c r="G681" s="61">
        <v>0</v>
      </c>
      <c r="H681" s="125">
        <v>42654</v>
      </c>
      <c r="I681" s="61" t="s">
        <v>1249</v>
      </c>
      <c r="J681" s="87"/>
      <c r="K681" s="124" t="s">
        <v>4232</v>
      </c>
      <c r="L681" s="124" t="s">
        <v>4232</v>
      </c>
      <c r="M681" s="62" t="s">
        <v>755</v>
      </c>
      <c r="N681" s="62" t="s">
        <v>6937</v>
      </c>
      <c r="O681" s="48" t="s">
        <v>1574</v>
      </c>
      <c r="P681" s="48" t="s">
        <v>267</v>
      </c>
      <c r="Q681" s="48" t="s">
        <v>892</v>
      </c>
      <c r="R681" s="122" t="s">
        <v>263</v>
      </c>
      <c r="S681" s="48" t="s">
        <v>269</v>
      </c>
      <c r="T681" s="48" t="s">
        <v>270</v>
      </c>
      <c r="U681" s="48" t="s">
        <v>6938</v>
      </c>
      <c r="V681" s="122" t="s">
        <v>263</v>
      </c>
      <c r="W681" s="122" t="s">
        <v>263</v>
      </c>
      <c r="X681" s="122" t="s">
        <v>263</v>
      </c>
      <c r="Y681" s="122" t="s">
        <v>263</v>
      </c>
      <c r="Z681" s="61"/>
      <c r="AA681" s="48" t="s">
        <v>273</v>
      </c>
      <c r="AB681" s="48" t="s">
        <v>273</v>
      </c>
      <c r="AC681" s="48" t="s">
        <v>273</v>
      </c>
      <c r="AD681" s="48" t="s">
        <v>273</v>
      </c>
      <c r="AE681" s="48" t="s">
        <v>273</v>
      </c>
      <c r="AF681" s="48" t="s">
        <v>273</v>
      </c>
      <c r="AG681" s="48" t="s">
        <v>273</v>
      </c>
      <c r="AH681" s="48" t="s">
        <v>273</v>
      </c>
      <c r="AI681" s="48" t="s">
        <v>273</v>
      </c>
      <c r="AJ681" s="48" t="s">
        <v>273</v>
      </c>
      <c r="AK681" s="48" t="s">
        <v>273</v>
      </c>
      <c r="AL681" s="48" t="s">
        <v>273</v>
      </c>
      <c r="AM681" s="48" t="s">
        <v>273</v>
      </c>
      <c r="AN681" s="48" t="s">
        <v>273</v>
      </c>
      <c r="AO681" s="48" t="s">
        <v>273</v>
      </c>
      <c r="AP681" s="48" t="s">
        <v>273</v>
      </c>
      <c r="AQ681" s="48" t="s">
        <v>273</v>
      </c>
      <c r="AR681" s="48" t="s">
        <v>273</v>
      </c>
      <c r="AS681" s="48" t="s">
        <v>273</v>
      </c>
      <c r="AT681" s="48" t="s">
        <v>273</v>
      </c>
      <c r="AU681" s="93">
        <v>38777</v>
      </c>
      <c r="AV681" s="93" t="s">
        <v>6939</v>
      </c>
      <c r="AW681" s="93" t="s">
        <v>6940</v>
      </c>
      <c r="AX681" s="93" t="s">
        <v>6941</v>
      </c>
      <c r="AY681" s="93" t="s">
        <v>6942</v>
      </c>
    </row>
    <row r="682" spans="1:51" ht="16.5" customHeight="1" x14ac:dyDescent="0.15">
      <c r="A682" s="199" t="s">
        <v>6943</v>
      </c>
      <c r="B682" s="209" t="s">
        <v>6944</v>
      </c>
      <c r="C682" s="48" t="s">
        <v>6945</v>
      </c>
      <c r="D682" s="62" t="s">
        <v>6946</v>
      </c>
      <c r="E682" s="48" t="s">
        <v>264</v>
      </c>
      <c r="F682" s="61">
        <v>42641</v>
      </c>
      <c r="G682" s="61">
        <v>0</v>
      </c>
      <c r="H682" s="125">
        <v>42691</v>
      </c>
      <c r="I682" s="61" t="s">
        <v>279</v>
      </c>
      <c r="J682" s="87"/>
      <c r="K682" s="62" t="s">
        <v>2506</v>
      </c>
      <c r="L682" s="62">
        <v>3</v>
      </c>
      <c r="M682" s="62" t="s">
        <v>651</v>
      </c>
      <c r="N682" s="62" t="s">
        <v>6947</v>
      </c>
      <c r="O682" s="48" t="s">
        <v>4910</v>
      </c>
      <c r="P682" s="48" t="s">
        <v>4122</v>
      </c>
      <c r="Q682" s="48" t="s">
        <v>4123</v>
      </c>
      <c r="R682" s="48" t="s">
        <v>6948</v>
      </c>
      <c r="S682" s="48" t="s">
        <v>3933</v>
      </c>
      <c r="T682" s="48" t="s">
        <v>3934</v>
      </c>
      <c r="U682" s="48" t="s">
        <v>6949</v>
      </c>
      <c r="V682" s="122" t="s">
        <v>263</v>
      </c>
      <c r="W682" s="122" t="s">
        <v>263</v>
      </c>
      <c r="X682" s="48" t="s">
        <v>6950</v>
      </c>
      <c r="Y682" s="48" t="s">
        <v>6951</v>
      </c>
      <c r="Z682" s="61"/>
      <c r="AA682" s="48" t="s">
        <v>5894</v>
      </c>
      <c r="AB682" s="48" t="s">
        <v>273</v>
      </c>
      <c r="AC682" s="48" t="s">
        <v>273</v>
      </c>
      <c r="AD682" s="48" t="s">
        <v>273</v>
      </c>
      <c r="AE682" s="48" t="s">
        <v>273</v>
      </c>
      <c r="AF682" s="48" t="s">
        <v>273</v>
      </c>
      <c r="AG682" s="48" t="s">
        <v>273</v>
      </c>
      <c r="AH682" s="48" t="s">
        <v>273</v>
      </c>
      <c r="AI682" s="48" t="s">
        <v>273</v>
      </c>
      <c r="AJ682" s="48" t="s">
        <v>273</v>
      </c>
      <c r="AK682" s="48" t="s">
        <v>5896</v>
      </c>
      <c r="AL682" s="48" t="s">
        <v>273</v>
      </c>
      <c r="AM682" s="48" t="s">
        <v>273</v>
      </c>
      <c r="AN682" s="48" t="s">
        <v>273</v>
      </c>
      <c r="AO682" s="48" t="s">
        <v>273</v>
      </c>
      <c r="AP682" s="48" t="s">
        <v>273</v>
      </c>
      <c r="AQ682" s="48" t="s">
        <v>273</v>
      </c>
      <c r="AR682" s="48" t="s">
        <v>273</v>
      </c>
      <c r="AS682" s="48" t="s">
        <v>273</v>
      </c>
      <c r="AT682" s="48" t="s">
        <v>273</v>
      </c>
      <c r="AU682" s="93">
        <v>42217</v>
      </c>
      <c r="AV682" s="93" t="s">
        <v>6952</v>
      </c>
      <c r="AW682" s="93" t="s">
        <v>6953</v>
      </c>
      <c r="AX682" s="93" t="s">
        <v>6954</v>
      </c>
      <c r="AY682" s="93" t="s">
        <v>6526</v>
      </c>
    </row>
    <row r="683" spans="1:51" ht="16.5" customHeight="1" x14ac:dyDescent="0.15">
      <c r="A683" s="121" t="s">
        <v>6955</v>
      </c>
      <c r="B683" s="47" t="s">
        <v>6956</v>
      </c>
      <c r="C683" s="48" t="e">
        <f ca="1">INDIRECT("'["&amp;$C$1&amp;".xls]"&amp;$B683&amp;"'!$i$7")</f>
        <v>#REF!</v>
      </c>
      <c r="D683" s="62" t="e">
        <f ca="1">INDIRECT("'["&amp;$C$1&amp;".xls]"&amp;$B683&amp;"'!$b$7")</f>
        <v>#REF!</v>
      </c>
      <c r="E683" s="48" t="e">
        <f ca="1">IF(INDIRECT("'["&amp;$C$1&amp;".xls]"&amp;$B683&amp;"'!$i$2")="","",INDIRECT("'["&amp;$C$1&amp;".xls]"&amp;$B683&amp;"'!$i$2"))</f>
        <v>#REF!</v>
      </c>
      <c r="F683" s="61" t="e">
        <f ca="1">INDIRECT("'["&amp;$C$1&amp;".xls]"&amp;$B683&amp;"'!$b$2")</f>
        <v>#REF!</v>
      </c>
      <c r="G683" s="61" t="e">
        <f ca="1">INDIRECT("'["&amp;$C$1&amp;".xls]"&amp;$B683&amp;"'!$a$20")</f>
        <v>#REF!</v>
      </c>
      <c r="H683" s="88" t="e">
        <f ca="1">INDIRECT("'["&amp;$C$1&amp;".xls]"&amp;$B683&amp;"'!$Q$22")</f>
        <v>#REF!</v>
      </c>
      <c r="I683" s="61" t="e">
        <f ca="1">INDIRECT("'["&amp;$C$1&amp;".xls]"&amp;$B683&amp;"'!$f$6")</f>
        <v>#REF!</v>
      </c>
      <c r="J683" s="87"/>
      <c r="K683" s="62" t="e">
        <f ca="1">INDIRECT("'["&amp;$C$1&amp;".xls]"&amp;$B683&amp;"'!$f$25")</f>
        <v>#REF!</v>
      </c>
      <c r="L683" s="62"/>
      <c r="M683" s="62" t="e">
        <f ca="1">INDIRECT("'["&amp;$C$1&amp;".xls]"&amp;$B683&amp;"'!$f$4")</f>
        <v>#REF!</v>
      </c>
      <c r="N683" s="62" t="e">
        <f ca="1">INDIRECT("'["&amp;$C$1&amp;".xls]"&amp;$B683&amp;"'!$i$4")</f>
        <v>#REF!</v>
      </c>
      <c r="O683" s="48" t="e">
        <f ca="1">INDIRECT("'["&amp;$C$1&amp;".xls]"&amp;$B683&amp;"'!$l$4")</f>
        <v>#REF!</v>
      </c>
      <c r="P683" s="48" t="e">
        <f ca="1">INDIRECT("'["&amp;$C$1&amp;".xls]"&amp;$B683&amp;"'!$b$5")</f>
        <v>#REF!</v>
      </c>
      <c r="Q683" s="48" t="e">
        <f ca="1">INDIRECT("'["&amp;$C$1&amp;".xls]"&amp;$B683&amp;"'!$f$5")</f>
        <v>#REF!</v>
      </c>
      <c r="R683" s="48"/>
      <c r="S683" s="48" t="e">
        <f ca="1">INDIRECT("'["&amp;$C$1&amp;".xls]"&amp;$B683&amp;"'!$i$5")</f>
        <v>#REF!</v>
      </c>
      <c r="T683" s="48" t="e">
        <f ca="1">INDIRECT("'["&amp;$C$1&amp;".xls]"&amp;$B683&amp;"'!$l$5")</f>
        <v>#REF!</v>
      </c>
      <c r="U683" s="48" t="e">
        <f ca="1">INDIRECT("'["&amp;$C$1&amp;".xls]"&amp;$B683&amp;"'!$b$4")</f>
        <v>#REF!</v>
      </c>
      <c r="V683" s="48"/>
      <c r="W683" s="48"/>
      <c r="X683" s="48"/>
      <c r="Y683" s="48"/>
      <c r="Z683" s="61"/>
      <c r="AA683" s="48" t="e">
        <f ca="1">IF(INDIRECT("'["&amp;$C$1&amp;".xls]"&amp;$B683&amp;"'!$P$25")="","",IF(INDIRECT("'["&amp;$C$1&amp;".xls]"&amp;$B683&amp;"'!$O$25")="済み",INDIRECT("'["&amp;$C$1&amp;".xls]"&amp;$B683&amp;"'!$P$25"),""))</f>
        <v>#REF!</v>
      </c>
      <c r="AB683" s="48" t="e">
        <f ca="1">IF(INDIRECT("'["&amp;$C$1&amp;".xls]"&amp;$B683&amp;"'!$P$26")="","",IF(INDIRECT("'["&amp;$C$1&amp;".xls]"&amp;$B683&amp;"'!$O$26")="済み",INDIRECT("'["&amp;$C$1&amp;".xls]"&amp;$B683&amp;"'!$P$26"),""))</f>
        <v>#REF!</v>
      </c>
      <c r="AC683" s="48" t="e">
        <f ca="1">IF(INDIRECT("'["&amp;$C$1&amp;".xls]"&amp;$B683&amp;"'!$P$27")="","",IF(INDIRECT("'["&amp;$C$1&amp;".xls]"&amp;$B683&amp;"'!$O$27")="済み",INDIRECT("'["&amp;$C$1&amp;".xls]"&amp;$B683&amp;"'!$P$27"),""))</f>
        <v>#REF!</v>
      </c>
      <c r="AD683" s="48" t="e">
        <f ca="1">IF(INDIRECT("'["&amp;$C$1&amp;".xls]"&amp;$B683&amp;"'!$P$28")="","",IF(INDIRECT("'["&amp;$C$1&amp;".xls]"&amp;$B683&amp;"'!$O$28")="済み",INDIRECT("'["&amp;$C$1&amp;".xls]"&amp;$B683&amp;"'!$P$28"),""))</f>
        <v>#REF!</v>
      </c>
      <c r="AE683" s="48" t="e">
        <f ca="1">IF(INDIRECT("'["&amp;$C$1&amp;".xls]"&amp;$B683&amp;"'!$P$29")="","",IF(INDIRECT("'["&amp;$C$1&amp;".xls]"&amp;$B683&amp;"'!$O$29")="済み",INDIRECT("'["&amp;$C$1&amp;".xls]"&amp;$B683&amp;"'!$P$29"),""))</f>
        <v>#REF!</v>
      </c>
      <c r="AF683" s="48" t="e">
        <f ca="1">IF(INDIRECT("'["&amp;$C$1&amp;".xls]"&amp;$B683&amp;"'!$P$30")="","",IF(INDIRECT("'["&amp;$C$1&amp;".xls]"&amp;$B683&amp;"'!$O$30")="済み",INDIRECT("'["&amp;$C$1&amp;".xls]"&amp;$B683&amp;"'!$P$30"),""))</f>
        <v>#REF!</v>
      </c>
      <c r="AG683" s="48" t="e">
        <f ca="1">IF(INDIRECT("'["&amp;$C$1&amp;".xls]"&amp;$B683&amp;"'!$P$31")="","",IF(INDIRECT("'["&amp;$C$1&amp;".xls]"&amp;$B683&amp;"'!$O$31")="済み",INDIRECT("'["&amp;$C$1&amp;".xls]"&amp;$B683&amp;"'!$P$31"),""))</f>
        <v>#REF!</v>
      </c>
      <c r="AH683" s="48" t="e">
        <f ca="1">IF(INDIRECT("'["&amp;$C$1&amp;".xls]"&amp;$B683&amp;"'!$P$32")="","",IF(INDIRECT("'["&amp;$C$1&amp;".xls]"&amp;$B683&amp;"'!$O$32")="済み",INDIRECT("'["&amp;$C$1&amp;".xls]"&amp;$B683&amp;"'!$P$32"),""))</f>
        <v>#REF!</v>
      </c>
      <c r="AI683" s="48" t="e">
        <f ca="1">IF(INDIRECT("'["&amp;$C$1&amp;".xls]"&amp;$B683&amp;"'!$P$33")="","",IF(INDIRECT("'["&amp;$C$1&amp;".xls]"&amp;$B683&amp;"'!$O$33")="済み",INDIRECT("'["&amp;$C$1&amp;".xls]"&amp;$B683&amp;"'!$P$33"),""))</f>
        <v>#REF!</v>
      </c>
      <c r="AJ683" s="48" t="e">
        <f ca="1">IF(INDIRECT("'["&amp;$C$1&amp;".xls]"&amp;$B683&amp;"'!$P$34")="","",IF(INDIRECT("'["&amp;$C$1&amp;".xls]"&amp;$B683&amp;"'!$O$34")="済み",INDIRECT("'["&amp;$C$1&amp;".xls]"&amp;$B683&amp;"'!$P$34"),""))</f>
        <v>#REF!</v>
      </c>
      <c r="AK683" s="48" t="e">
        <f ca="1">IF(INDIRECT("'["&amp;$C$1&amp;".xls]"&amp;$B683&amp;"'!$T25")="","",IF(INDIRECT("'["&amp;$C$1&amp;".xls]"&amp;$B683&amp;"'!$O$25")="済み",INDIRECT("'["&amp;$C$1&amp;".xls]"&amp;$B683&amp;"'!$T$25"),""))</f>
        <v>#REF!</v>
      </c>
      <c r="AL683" s="48" t="e">
        <f ca="1">IF(INDIRECT("'["&amp;$C$1&amp;".xls]"&amp;$B683&amp;"'!$T26")="","",IF(INDIRECT("'["&amp;$C$1&amp;".xls]"&amp;$B683&amp;"'!$O$26")="済み",INDIRECT("'["&amp;$C$1&amp;".xls]"&amp;$B683&amp;"'!$T$26"),""))</f>
        <v>#REF!</v>
      </c>
      <c r="AM683" s="48" t="e">
        <f ca="1">IF(INDIRECT("'["&amp;$C$1&amp;".xls]"&amp;$B683&amp;"'!$T27")="","",IF(INDIRECT("'["&amp;$C$1&amp;".xls]"&amp;$B683&amp;"'!$O$27")="済み",INDIRECT("'["&amp;$C$1&amp;".xls]"&amp;$B683&amp;"'!$T$27"),""))</f>
        <v>#REF!</v>
      </c>
      <c r="AN683" s="48" t="e">
        <f ca="1">IF(INDIRECT("'["&amp;$C$1&amp;".xls]"&amp;$B683&amp;"'!$T28")="","",IF(INDIRECT("'["&amp;$C$1&amp;".xls]"&amp;$B683&amp;"'!$O$28")="済み",INDIRECT("'["&amp;$C$1&amp;".xls]"&amp;$B683&amp;"'!$T$28"),""))</f>
        <v>#REF!</v>
      </c>
      <c r="AO683" s="48" t="e">
        <f ca="1">IF(INDIRECT("'["&amp;$C$1&amp;".xls]"&amp;$B683&amp;"'!$T29")="","",IF(INDIRECT("'["&amp;$C$1&amp;".xls]"&amp;$B683&amp;"'!$O$29")="済み",INDIRECT("'["&amp;$C$1&amp;".xls]"&amp;$B683&amp;"'!$T$29"),""))</f>
        <v>#REF!</v>
      </c>
      <c r="AP683" s="48" t="e">
        <f ca="1">IF(INDIRECT("'["&amp;$C$1&amp;".xls]"&amp;$B683&amp;"'!$T30")="","",IF(INDIRECT("'["&amp;$C$1&amp;".xls]"&amp;$B683&amp;"'!$O$30")="済み",INDIRECT("'["&amp;$C$1&amp;".xls]"&amp;$B683&amp;"'!$T$30"),""))</f>
        <v>#REF!</v>
      </c>
      <c r="AQ683" s="48" t="e">
        <f ca="1">IF(INDIRECT("'["&amp;$C$1&amp;".xls]"&amp;$B683&amp;"'!$T31")="","",IF(INDIRECT("'["&amp;$C$1&amp;".xls]"&amp;$B683&amp;"'!$O$31")="済み",INDIRECT("'["&amp;$C$1&amp;".xls]"&amp;$B683&amp;"'!$T$31"),""))</f>
        <v>#REF!</v>
      </c>
      <c r="AR683" s="48" t="e">
        <f ca="1">IF(INDIRECT("'["&amp;$C$1&amp;".xls]"&amp;$B683&amp;"'!$T32")="","",IF(INDIRECT("'["&amp;$C$1&amp;".xls]"&amp;$B683&amp;"'!$O$32")="済み",INDIRECT("'["&amp;$C$1&amp;".xls]"&amp;$B683&amp;"'!$T$32"),""))</f>
        <v>#REF!</v>
      </c>
      <c r="AS683" s="48" t="e">
        <f ca="1">IF(INDIRECT("'["&amp;$C$1&amp;".xls]"&amp;$B683&amp;"'!$T33")="","",IF(INDIRECT("'["&amp;$C$1&amp;".xls]"&amp;$B683&amp;"'!$O$33")="済み",INDIRECT("'["&amp;$C$1&amp;".xls]"&amp;$B683&amp;"'!$T$33"),""))</f>
        <v>#REF!</v>
      </c>
      <c r="AT683" s="48" t="e">
        <f ca="1">IF(INDIRECT("'["&amp;$C$1&amp;".xls]"&amp;$B683&amp;"'!$T34")="","",IF(INDIRECT("'["&amp;$C$1&amp;".xls]"&amp;$B683&amp;"'!$O$34")="済み",INDIRECT("'["&amp;$C$1&amp;".xls]"&amp;$B683&amp;"'!$T$34"),""))</f>
        <v>#REF!</v>
      </c>
      <c r="AU683" s="93" t="e">
        <f ca="1">INDIRECT("'["&amp;$C$1&amp;".xls]"&amp;$B683&amp;"'!$B$6")</f>
        <v>#REF!</v>
      </c>
      <c r="AV683" s="93" t="e">
        <f ca="1">INDIRECT("'["&amp;$C$1&amp;".xls]"&amp;$B683&amp;"'!$Y$22")</f>
        <v>#REF!</v>
      </c>
      <c r="AW683" s="93" t="e">
        <f ca="1">INDIRECT("'["&amp;$C$1&amp;".xls]"&amp;$B683&amp;"'!$Y$24")</f>
        <v>#REF!</v>
      </c>
      <c r="AX683" s="93" t="e">
        <f ca="1">INDIRECT("'["&amp;$C$1&amp;".xls]"&amp;$B683&amp;"'!$Y$26")</f>
        <v>#REF!</v>
      </c>
      <c r="AY683" s="93" t="e">
        <f ca="1">INDIRECT("'["&amp;$C$1&amp;".xls]"&amp;$B683&amp;"'!$Y$28")</f>
        <v>#REF!</v>
      </c>
    </row>
    <row r="684" spans="1:51" ht="16.5" customHeight="1" x14ac:dyDescent="0.15">
      <c r="A684" s="211" t="s">
        <v>6957</v>
      </c>
      <c r="B684" s="212" t="s">
        <v>6958</v>
      </c>
      <c r="C684" s="48" t="s">
        <v>330</v>
      </c>
      <c r="D684" s="62" t="s">
        <v>6959</v>
      </c>
      <c r="E684" s="48" t="s">
        <v>300</v>
      </c>
      <c r="F684" s="61">
        <v>42642</v>
      </c>
      <c r="G684" s="61">
        <v>0</v>
      </c>
      <c r="H684" s="125">
        <v>42706</v>
      </c>
      <c r="I684" s="61" t="s">
        <v>279</v>
      </c>
      <c r="J684" s="87"/>
      <c r="K684" s="62" t="s">
        <v>2506</v>
      </c>
      <c r="L684" s="124" t="s">
        <v>4232</v>
      </c>
      <c r="M684" s="62" t="s">
        <v>409</v>
      </c>
      <c r="N684" s="62" t="s">
        <v>2859</v>
      </c>
      <c r="O684" s="48" t="s">
        <v>606</v>
      </c>
      <c r="P684" s="48" t="s">
        <v>267</v>
      </c>
      <c r="Q684" s="48" t="s">
        <v>379</v>
      </c>
      <c r="R684" s="48" t="s">
        <v>4244</v>
      </c>
      <c r="S684" s="129" t="s">
        <v>269</v>
      </c>
      <c r="T684" s="129" t="s">
        <v>270</v>
      </c>
      <c r="U684" s="48" t="s">
        <v>6960</v>
      </c>
      <c r="V684" s="122" t="s">
        <v>4232</v>
      </c>
      <c r="W684" s="122" t="s">
        <v>4232</v>
      </c>
      <c r="X684" s="48" t="s">
        <v>6961</v>
      </c>
      <c r="Y684" s="48" t="s">
        <v>6962</v>
      </c>
      <c r="Z684" s="61"/>
      <c r="AA684" s="48" t="s">
        <v>2863</v>
      </c>
      <c r="AB684" s="48" t="s">
        <v>273</v>
      </c>
      <c r="AC684" s="48" t="s">
        <v>273</v>
      </c>
      <c r="AD684" s="48" t="s">
        <v>273</v>
      </c>
      <c r="AE684" s="48" t="s">
        <v>273</v>
      </c>
      <c r="AF684" s="48" t="s">
        <v>273</v>
      </c>
      <c r="AG684" s="48" t="s">
        <v>273</v>
      </c>
      <c r="AH684" s="48" t="s">
        <v>273</v>
      </c>
      <c r="AI684" s="48" t="s">
        <v>273</v>
      </c>
      <c r="AJ684" s="48" t="s">
        <v>273</v>
      </c>
      <c r="AK684" s="48" t="s">
        <v>2864</v>
      </c>
      <c r="AL684" s="48" t="s">
        <v>273</v>
      </c>
      <c r="AM684" s="48" t="s">
        <v>273</v>
      </c>
      <c r="AN684" s="48" t="s">
        <v>273</v>
      </c>
      <c r="AO684" s="48" t="s">
        <v>273</v>
      </c>
      <c r="AP684" s="48" t="s">
        <v>273</v>
      </c>
      <c r="AQ684" s="48" t="s">
        <v>273</v>
      </c>
      <c r="AR684" s="48" t="s">
        <v>273</v>
      </c>
      <c r="AS684" s="48" t="s">
        <v>273</v>
      </c>
      <c r="AT684" s="48" t="s">
        <v>273</v>
      </c>
      <c r="AU684" s="93">
        <v>40179</v>
      </c>
      <c r="AV684" s="93" t="s">
        <v>6963</v>
      </c>
      <c r="AW684" s="93" t="s">
        <v>6964</v>
      </c>
      <c r="AX684" s="93" t="s">
        <v>6965</v>
      </c>
      <c r="AY684" s="93" t="s">
        <v>6966</v>
      </c>
    </row>
    <row r="685" spans="1:51" ht="16.5" customHeight="1" x14ac:dyDescent="0.15">
      <c r="A685" s="121" t="s">
        <v>6967</v>
      </c>
      <c r="B685" s="47" t="s">
        <v>6968</v>
      </c>
      <c r="C685" s="48" t="e">
        <f ca="1">INDIRECT("'["&amp;$C$1&amp;".xls]"&amp;$B685&amp;"'!$i$7")</f>
        <v>#REF!</v>
      </c>
      <c r="D685" s="62" t="e">
        <f ca="1">INDIRECT("'["&amp;$C$1&amp;".xls]"&amp;$B685&amp;"'!$b$7")</f>
        <v>#REF!</v>
      </c>
      <c r="E685" s="48" t="e">
        <f ca="1">IF(INDIRECT("'["&amp;$C$1&amp;".xls]"&amp;$B685&amp;"'!$i$2")="","",INDIRECT("'["&amp;$C$1&amp;".xls]"&amp;$B685&amp;"'!$i$2"))</f>
        <v>#REF!</v>
      </c>
      <c r="F685" s="61" t="e">
        <f ca="1">INDIRECT("'["&amp;$C$1&amp;".xls]"&amp;$B685&amp;"'!$b$2")</f>
        <v>#REF!</v>
      </c>
      <c r="G685" s="61" t="e">
        <f ca="1">INDIRECT("'["&amp;$C$1&amp;".xls]"&amp;$B685&amp;"'!$a$20")</f>
        <v>#REF!</v>
      </c>
      <c r="H685" s="88" t="e">
        <f ca="1">INDIRECT("'["&amp;$C$1&amp;".xls]"&amp;$B685&amp;"'!$Q$22")</f>
        <v>#REF!</v>
      </c>
      <c r="I685" s="61" t="e">
        <f ca="1">INDIRECT("'["&amp;$C$1&amp;".xls]"&amp;$B685&amp;"'!$f$6")</f>
        <v>#REF!</v>
      </c>
      <c r="J685" s="87"/>
      <c r="K685" s="62" t="e">
        <f ca="1">INDIRECT("'["&amp;$C$1&amp;".xls]"&amp;$B685&amp;"'!$f$25")</f>
        <v>#REF!</v>
      </c>
      <c r="L685" s="62"/>
      <c r="M685" s="62" t="e">
        <f ca="1">INDIRECT("'["&amp;$C$1&amp;".xls]"&amp;$B685&amp;"'!$f$4")</f>
        <v>#REF!</v>
      </c>
      <c r="N685" s="62" t="e">
        <f ca="1">INDIRECT("'["&amp;$C$1&amp;".xls]"&amp;$B685&amp;"'!$i$4")</f>
        <v>#REF!</v>
      </c>
      <c r="O685" s="48" t="e">
        <f ca="1">INDIRECT("'["&amp;$C$1&amp;".xls]"&amp;$B685&amp;"'!$l$4")</f>
        <v>#REF!</v>
      </c>
      <c r="P685" s="48" t="e">
        <f ca="1">INDIRECT("'["&amp;$C$1&amp;".xls]"&amp;$B685&amp;"'!$b$5")</f>
        <v>#REF!</v>
      </c>
      <c r="Q685" s="48" t="e">
        <f ca="1">INDIRECT("'["&amp;$C$1&amp;".xls]"&amp;$B685&amp;"'!$f$5")</f>
        <v>#REF!</v>
      </c>
      <c r="R685" s="48"/>
      <c r="S685" s="48" t="e">
        <f ca="1">INDIRECT("'["&amp;$C$1&amp;".xls]"&amp;$B685&amp;"'!$i$5")</f>
        <v>#REF!</v>
      </c>
      <c r="T685" s="48" t="e">
        <f ca="1">INDIRECT("'["&amp;$C$1&amp;".xls]"&amp;$B685&amp;"'!$l$5")</f>
        <v>#REF!</v>
      </c>
      <c r="U685" s="48" t="e">
        <f ca="1">INDIRECT("'["&amp;$C$1&amp;".xls]"&amp;$B685&amp;"'!$b$4")</f>
        <v>#REF!</v>
      </c>
      <c r="V685" s="48"/>
      <c r="W685" s="48"/>
      <c r="X685" s="48"/>
      <c r="Y685" s="48"/>
      <c r="Z685" s="61"/>
      <c r="AA685" s="48" t="e">
        <f ca="1">IF(INDIRECT("'["&amp;$C$1&amp;".xls]"&amp;$B685&amp;"'!$P$25")="","",IF(INDIRECT("'["&amp;$C$1&amp;".xls]"&amp;$B685&amp;"'!$O$25")="済み",INDIRECT("'["&amp;$C$1&amp;".xls]"&amp;$B685&amp;"'!$P$25"),""))</f>
        <v>#REF!</v>
      </c>
      <c r="AB685" s="48" t="e">
        <f ca="1">IF(INDIRECT("'["&amp;$C$1&amp;".xls]"&amp;$B685&amp;"'!$P$26")="","",IF(INDIRECT("'["&amp;$C$1&amp;".xls]"&amp;$B685&amp;"'!$O$26")="済み",INDIRECT("'["&amp;$C$1&amp;".xls]"&amp;$B685&amp;"'!$P$26"),""))</f>
        <v>#REF!</v>
      </c>
      <c r="AC685" s="48" t="e">
        <f ca="1">IF(INDIRECT("'["&amp;$C$1&amp;".xls]"&amp;$B685&amp;"'!$P$27")="","",IF(INDIRECT("'["&amp;$C$1&amp;".xls]"&amp;$B685&amp;"'!$O$27")="済み",INDIRECT("'["&amp;$C$1&amp;".xls]"&amp;$B685&amp;"'!$P$27"),""))</f>
        <v>#REF!</v>
      </c>
      <c r="AD685" s="48" t="e">
        <f ca="1">IF(INDIRECT("'["&amp;$C$1&amp;".xls]"&amp;$B685&amp;"'!$P$28")="","",IF(INDIRECT("'["&amp;$C$1&amp;".xls]"&amp;$B685&amp;"'!$O$28")="済み",INDIRECT("'["&amp;$C$1&amp;".xls]"&amp;$B685&amp;"'!$P$28"),""))</f>
        <v>#REF!</v>
      </c>
      <c r="AE685" s="48" t="e">
        <f ca="1">IF(INDIRECT("'["&amp;$C$1&amp;".xls]"&amp;$B685&amp;"'!$P$29")="","",IF(INDIRECT("'["&amp;$C$1&amp;".xls]"&amp;$B685&amp;"'!$O$29")="済み",INDIRECT("'["&amp;$C$1&amp;".xls]"&amp;$B685&amp;"'!$P$29"),""))</f>
        <v>#REF!</v>
      </c>
      <c r="AF685" s="48" t="e">
        <f ca="1">IF(INDIRECT("'["&amp;$C$1&amp;".xls]"&amp;$B685&amp;"'!$P$30")="","",IF(INDIRECT("'["&amp;$C$1&amp;".xls]"&amp;$B685&amp;"'!$O$30")="済み",INDIRECT("'["&amp;$C$1&amp;".xls]"&amp;$B685&amp;"'!$P$30"),""))</f>
        <v>#REF!</v>
      </c>
      <c r="AG685" s="48" t="e">
        <f ca="1">IF(INDIRECT("'["&amp;$C$1&amp;".xls]"&amp;$B685&amp;"'!$P$31")="","",IF(INDIRECT("'["&amp;$C$1&amp;".xls]"&amp;$B685&amp;"'!$O$31")="済み",INDIRECT("'["&amp;$C$1&amp;".xls]"&amp;$B685&amp;"'!$P$31"),""))</f>
        <v>#REF!</v>
      </c>
      <c r="AH685" s="48" t="e">
        <f ca="1">IF(INDIRECT("'["&amp;$C$1&amp;".xls]"&amp;$B685&amp;"'!$P$32")="","",IF(INDIRECT("'["&amp;$C$1&amp;".xls]"&amp;$B685&amp;"'!$O$32")="済み",INDIRECT("'["&amp;$C$1&amp;".xls]"&amp;$B685&amp;"'!$P$32"),""))</f>
        <v>#REF!</v>
      </c>
      <c r="AI685" s="48" t="e">
        <f ca="1">IF(INDIRECT("'["&amp;$C$1&amp;".xls]"&amp;$B685&amp;"'!$P$33")="","",IF(INDIRECT("'["&amp;$C$1&amp;".xls]"&amp;$B685&amp;"'!$O$33")="済み",INDIRECT("'["&amp;$C$1&amp;".xls]"&amp;$B685&amp;"'!$P$33"),""))</f>
        <v>#REF!</v>
      </c>
      <c r="AJ685" s="48" t="e">
        <f ca="1">IF(INDIRECT("'["&amp;$C$1&amp;".xls]"&amp;$B685&amp;"'!$P$34")="","",IF(INDIRECT("'["&amp;$C$1&amp;".xls]"&amp;$B685&amp;"'!$O$34")="済み",INDIRECT("'["&amp;$C$1&amp;".xls]"&amp;$B685&amp;"'!$P$34"),""))</f>
        <v>#REF!</v>
      </c>
      <c r="AK685" s="48" t="e">
        <f ca="1">IF(INDIRECT("'["&amp;$C$1&amp;".xls]"&amp;$B685&amp;"'!$T25")="","",IF(INDIRECT("'["&amp;$C$1&amp;".xls]"&amp;$B685&amp;"'!$O$25")="済み",INDIRECT("'["&amp;$C$1&amp;".xls]"&amp;$B685&amp;"'!$T$25"),""))</f>
        <v>#REF!</v>
      </c>
      <c r="AL685" s="48" t="e">
        <f ca="1">IF(INDIRECT("'["&amp;$C$1&amp;".xls]"&amp;$B685&amp;"'!$T26")="","",IF(INDIRECT("'["&amp;$C$1&amp;".xls]"&amp;$B685&amp;"'!$O$26")="済み",INDIRECT("'["&amp;$C$1&amp;".xls]"&amp;$B685&amp;"'!$T$26"),""))</f>
        <v>#REF!</v>
      </c>
      <c r="AM685" s="48" t="e">
        <f ca="1">IF(INDIRECT("'["&amp;$C$1&amp;".xls]"&amp;$B685&amp;"'!$T27")="","",IF(INDIRECT("'["&amp;$C$1&amp;".xls]"&amp;$B685&amp;"'!$O$27")="済み",INDIRECT("'["&amp;$C$1&amp;".xls]"&amp;$B685&amp;"'!$T$27"),""))</f>
        <v>#REF!</v>
      </c>
      <c r="AN685" s="48" t="e">
        <f ca="1">IF(INDIRECT("'["&amp;$C$1&amp;".xls]"&amp;$B685&amp;"'!$T28")="","",IF(INDIRECT("'["&amp;$C$1&amp;".xls]"&amp;$B685&amp;"'!$O$28")="済み",INDIRECT("'["&amp;$C$1&amp;".xls]"&amp;$B685&amp;"'!$T$28"),""))</f>
        <v>#REF!</v>
      </c>
      <c r="AO685" s="48" t="e">
        <f ca="1">IF(INDIRECT("'["&amp;$C$1&amp;".xls]"&amp;$B685&amp;"'!$T29")="","",IF(INDIRECT("'["&amp;$C$1&amp;".xls]"&amp;$B685&amp;"'!$O$29")="済み",INDIRECT("'["&amp;$C$1&amp;".xls]"&amp;$B685&amp;"'!$T$29"),""))</f>
        <v>#REF!</v>
      </c>
      <c r="AP685" s="48" t="e">
        <f ca="1">IF(INDIRECT("'["&amp;$C$1&amp;".xls]"&amp;$B685&amp;"'!$T30")="","",IF(INDIRECT("'["&amp;$C$1&amp;".xls]"&amp;$B685&amp;"'!$O$30")="済み",INDIRECT("'["&amp;$C$1&amp;".xls]"&amp;$B685&amp;"'!$T$30"),""))</f>
        <v>#REF!</v>
      </c>
      <c r="AQ685" s="48" t="e">
        <f ca="1">IF(INDIRECT("'["&amp;$C$1&amp;".xls]"&amp;$B685&amp;"'!$T31")="","",IF(INDIRECT("'["&amp;$C$1&amp;".xls]"&amp;$B685&amp;"'!$O$31")="済み",INDIRECT("'["&amp;$C$1&amp;".xls]"&amp;$B685&amp;"'!$T$31"),""))</f>
        <v>#REF!</v>
      </c>
      <c r="AR685" s="48" t="e">
        <f ca="1">IF(INDIRECT("'["&amp;$C$1&amp;".xls]"&amp;$B685&amp;"'!$T32")="","",IF(INDIRECT("'["&amp;$C$1&amp;".xls]"&amp;$B685&amp;"'!$O$32")="済み",INDIRECT("'["&amp;$C$1&amp;".xls]"&amp;$B685&amp;"'!$T$32"),""))</f>
        <v>#REF!</v>
      </c>
      <c r="AS685" s="48" t="e">
        <f ca="1">IF(INDIRECT("'["&amp;$C$1&amp;".xls]"&amp;$B685&amp;"'!$T33")="","",IF(INDIRECT("'["&amp;$C$1&amp;".xls]"&amp;$B685&amp;"'!$O$33")="済み",INDIRECT("'["&amp;$C$1&amp;".xls]"&amp;$B685&amp;"'!$T$33"),""))</f>
        <v>#REF!</v>
      </c>
      <c r="AT685" s="48" t="e">
        <f ca="1">IF(INDIRECT("'["&amp;$C$1&amp;".xls]"&amp;$B685&amp;"'!$T34")="","",IF(INDIRECT("'["&amp;$C$1&amp;".xls]"&amp;$B685&amp;"'!$O$34")="済み",INDIRECT("'["&amp;$C$1&amp;".xls]"&amp;$B685&amp;"'!$T$34"),""))</f>
        <v>#REF!</v>
      </c>
      <c r="AU685" s="93" t="e">
        <f ca="1">INDIRECT("'["&amp;$C$1&amp;".xls]"&amp;$B685&amp;"'!$B$6")</f>
        <v>#REF!</v>
      </c>
      <c r="AV685" s="93" t="e">
        <f ca="1">INDIRECT("'["&amp;$C$1&amp;".xls]"&amp;$B685&amp;"'!$Y$22")</f>
        <v>#REF!</v>
      </c>
      <c r="AW685" s="93" t="e">
        <f ca="1">INDIRECT("'["&amp;$C$1&amp;".xls]"&amp;$B685&amp;"'!$Y$24")</f>
        <v>#REF!</v>
      </c>
      <c r="AX685" s="93" t="e">
        <f ca="1">INDIRECT("'["&amp;$C$1&amp;".xls]"&amp;$B685&amp;"'!$Y$26")</f>
        <v>#REF!</v>
      </c>
      <c r="AY685" s="93" t="e">
        <f ca="1">INDIRECT("'["&amp;$C$1&amp;".xls]"&amp;$B685&amp;"'!$Y$28")</f>
        <v>#REF!</v>
      </c>
    </row>
    <row r="686" spans="1:51" ht="16.5" customHeight="1" x14ac:dyDescent="0.15">
      <c r="A686" s="121" t="s">
        <v>6969</v>
      </c>
      <c r="B686" s="47" t="s">
        <v>6970</v>
      </c>
      <c r="C686" s="48" t="e">
        <f ca="1">INDIRECT("'["&amp;$C$1&amp;".xls]"&amp;$B686&amp;"'!$i$7")</f>
        <v>#REF!</v>
      </c>
      <c r="D686" s="62" t="e">
        <f ca="1">INDIRECT("'["&amp;$C$1&amp;".xls]"&amp;$B686&amp;"'!$b$7")</f>
        <v>#REF!</v>
      </c>
      <c r="E686" s="48" t="e">
        <f ca="1">IF(INDIRECT("'["&amp;$C$1&amp;".xls]"&amp;$B686&amp;"'!$i$2")="","",INDIRECT("'["&amp;$C$1&amp;".xls]"&amp;$B686&amp;"'!$i$2"))</f>
        <v>#REF!</v>
      </c>
      <c r="F686" s="61" t="e">
        <f ca="1">INDIRECT("'["&amp;$C$1&amp;".xls]"&amp;$B686&amp;"'!$b$2")</f>
        <v>#REF!</v>
      </c>
      <c r="G686" s="61" t="e">
        <f ca="1">INDIRECT("'["&amp;$C$1&amp;".xls]"&amp;$B686&amp;"'!$a$20")</f>
        <v>#REF!</v>
      </c>
      <c r="H686" s="88" t="e">
        <f ca="1">INDIRECT("'["&amp;$C$1&amp;".xls]"&amp;$B686&amp;"'!$Q$22")</f>
        <v>#REF!</v>
      </c>
      <c r="I686" s="61" t="e">
        <f ca="1">INDIRECT("'["&amp;$C$1&amp;".xls]"&amp;$B686&amp;"'!$f$6")</f>
        <v>#REF!</v>
      </c>
      <c r="J686" s="87"/>
      <c r="K686" s="62" t="e">
        <f ca="1">INDIRECT("'["&amp;$C$1&amp;".xls]"&amp;$B686&amp;"'!$f$25")</f>
        <v>#REF!</v>
      </c>
      <c r="L686" s="62"/>
      <c r="M686" s="62" t="e">
        <f ca="1">INDIRECT("'["&amp;$C$1&amp;".xls]"&amp;$B686&amp;"'!$f$4")</f>
        <v>#REF!</v>
      </c>
      <c r="N686" s="62" t="e">
        <f ca="1">INDIRECT("'["&amp;$C$1&amp;".xls]"&amp;$B686&amp;"'!$i$4")</f>
        <v>#REF!</v>
      </c>
      <c r="O686" s="48" t="e">
        <f ca="1">INDIRECT("'["&amp;$C$1&amp;".xls]"&amp;$B686&amp;"'!$l$4")</f>
        <v>#REF!</v>
      </c>
      <c r="P686" s="48" t="e">
        <f ca="1">INDIRECT("'["&amp;$C$1&amp;".xls]"&amp;$B686&amp;"'!$b$5")</f>
        <v>#REF!</v>
      </c>
      <c r="Q686" s="48" t="e">
        <f ca="1">INDIRECT("'["&amp;$C$1&amp;".xls]"&amp;$B686&amp;"'!$f$5")</f>
        <v>#REF!</v>
      </c>
      <c r="R686" s="48"/>
      <c r="S686" s="48" t="e">
        <f ca="1">INDIRECT("'["&amp;$C$1&amp;".xls]"&amp;$B686&amp;"'!$i$5")</f>
        <v>#REF!</v>
      </c>
      <c r="T686" s="48" t="e">
        <f ca="1">INDIRECT("'["&amp;$C$1&amp;".xls]"&amp;$B686&amp;"'!$l$5")</f>
        <v>#REF!</v>
      </c>
      <c r="U686" s="48" t="e">
        <f ca="1">INDIRECT("'["&amp;$C$1&amp;".xls]"&amp;$B686&amp;"'!$b$4")</f>
        <v>#REF!</v>
      </c>
      <c r="V686" s="48"/>
      <c r="W686" s="48"/>
      <c r="X686" s="48"/>
      <c r="Y686" s="48"/>
      <c r="Z686" s="61"/>
      <c r="AA686" s="48" t="e">
        <f ca="1">IF(INDIRECT("'["&amp;$C$1&amp;".xls]"&amp;$B686&amp;"'!$P$25")="","",IF(INDIRECT("'["&amp;$C$1&amp;".xls]"&amp;$B686&amp;"'!$O$25")="済み",INDIRECT("'["&amp;$C$1&amp;".xls]"&amp;$B686&amp;"'!$P$25"),""))</f>
        <v>#REF!</v>
      </c>
      <c r="AB686" s="48" t="e">
        <f ca="1">IF(INDIRECT("'["&amp;$C$1&amp;".xls]"&amp;$B686&amp;"'!$P$26")="","",IF(INDIRECT("'["&amp;$C$1&amp;".xls]"&amp;$B686&amp;"'!$O$26")="済み",INDIRECT("'["&amp;$C$1&amp;".xls]"&amp;$B686&amp;"'!$P$26"),""))</f>
        <v>#REF!</v>
      </c>
      <c r="AC686" s="48" t="e">
        <f ca="1">IF(INDIRECT("'["&amp;$C$1&amp;".xls]"&amp;$B686&amp;"'!$P$27")="","",IF(INDIRECT("'["&amp;$C$1&amp;".xls]"&amp;$B686&amp;"'!$O$27")="済み",INDIRECT("'["&amp;$C$1&amp;".xls]"&amp;$B686&amp;"'!$P$27"),""))</f>
        <v>#REF!</v>
      </c>
      <c r="AD686" s="48" t="e">
        <f ca="1">IF(INDIRECT("'["&amp;$C$1&amp;".xls]"&amp;$B686&amp;"'!$P$28")="","",IF(INDIRECT("'["&amp;$C$1&amp;".xls]"&amp;$B686&amp;"'!$O$28")="済み",INDIRECT("'["&amp;$C$1&amp;".xls]"&amp;$B686&amp;"'!$P$28"),""))</f>
        <v>#REF!</v>
      </c>
      <c r="AE686" s="48" t="e">
        <f ca="1">IF(INDIRECT("'["&amp;$C$1&amp;".xls]"&amp;$B686&amp;"'!$P$29")="","",IF(INDIRECT("'["&amp;$C$1&amp;".xls]"&amp;$B686&amp;"'!$O$29")="済み",INDIRECT("'["&amp;$C$1&amp;".xls]"&amp;$B686&amp;"'!$P$29"),""))</f>
        <v>#REF!</v>
      </c>
      <c r="AF686" s="48" t="e">
        <f ca="1">IF(INDIRECT("'["&amp;$C$1&amp;".xls]"&amp;$B686&amp;"'!$P$30")="","",IF(INDIRECT("'["&amp;$C$1&amp;".xls]"&amp;$B686&amp;"'!$O$30")="済み",INDIRECT("'["&amp;$C$1&amp;".xls]"&amp;$B686&amp;"'!$P$30"),""))</f>
        <v>#REF!</v>
      </c>
      <c r="AG686" s="48" t="e">
        <f ca="1">IF(INDIRECT("'["&amp;$C$1&amp;".xls]"&amp;$B686&amp;"'!$P$31")="","",IF(INDIRECT("'["&amp;$C$1&amp;".xls]"&amp;$B686&amp;"'!$O$31")="済み",INDIRECT("'["&amp;$C$1&amp;".xls]"&amp;$B686&amp;"'!$P$31"),""))</f>
        <v>#REF!</v>
      </c>
      <c r="AH686" s="48" t="e">
        <f ca="1">IF(INDIRECT("'["&amp;$C$1&amp;".xls]"&amp;$B686&amp;"'!$P$32")="","",IF(INDIRECT("'["&amp;$C$1&amp;".xls]"&amp;$B686&amp;"'!$O$32")="済み",INDIRECT("'["&amp;$C$1&amp;".xls]"&amp;$B686&amp;"'!$P$32"),""))</f>
        <v>#REF!</v>
      </c>
      <c r="AI686" s="48" t="e">
        <f ca="1">IF(INDIRECT("'["&amp;$C$1&amp;".xls]"&amp;$B686&amp;"'!$P$33")="","",IF(INDIRECT("'["&amp;$C$1&amp;".xls]"&amp;$B686&amp;"'!$O$33")="済み",INDIRECT("'["&amp;$C$1&amp;".xls]"&amp;$B686&amp;"'!$P$33"),""))</f>
        <v>#REF!</v>
      </c>
      <c r="AJ686" s="48" t="e">
        <f ca="1">IF(INDIRECT("'["&amp;$C$1&amp;".xls]"&amp;$B686&amp;"'!$P$34")="","",IF(INDIRECT("'["&amp;$C$1&amp;".xls]"&amp;$B686&amp;"'!$O$34")="済み",INDIRECT("'["&amp;$C$1&amp;".xls]"&amp;$B686&amp;"'!$P$34"),""))</f>
        <v>#REF!</v>
      </c>
      <c r="AK686" s="48" t="e">
        <f ca="1">IF(INDIRECT("'["&amp;$C$1&amp;".xls]"&amp;$B686&amp;"'!$T25")="","",IF(INDIRECT("'["&amp;$C$1&amp;".xls]"&amp;$B686&amp;"'!$O$25")="済み",INDIRECT("'["&amp;$C$1&amp;".xls]"&amp;$B686&amp;"'!$T$25"),""))</f>
        <v>#REF!</v>
      </c>
      <c r="AL686" s="48" t="e">
        <f ca="1">IF(INDIRECT("'["&amp;$C$1&amp;".xls]"&amp;$B686&amp;"'!$T26")="","",IF(INDIRECT("'["&amp;$C$1&amp;".xls]"&amp;$B686&amp;"'!$O$26")="済み",INDIRECT("'["&amp;$C$1&amp;".xls]"&amp;$B686&amp;"'!$T$26"),""))</f>
        <v>#REF!</v>
      </c>
      <c r="AM686" s="48" t="e">
        <f ca="1">IF(INDIRECT("'["&amp;$C$1&amp;".xls]"&amp;$B686&amp;"'!$T27")="","",IF(INDIRECT("'["&amp;$C$1&amp;".xls]"&amp;$B686&amp;"'!$O$27")="済み",INDIRECT("'["&amp;$C$1&amp;".xls]"&amp;$B686&amp;"'!$T$27"),""))</f>
        <v>#REF!</v>
      </c>
      <c r="AN686" s="48" t="e">
        <f ca="1">IF(INDIRECT("'["&amp;$C$1&amp;".xls]"&amp;$B686&amp;"'!$T28")="","",IF(INDIRECT("'["&amp;$C$1&amp;".xls]"&amp;$B686&amp;"'!$O$28")="済み",INDIRECT("'["&amp;$C$1&amp;".xls]"&amp;$B686&amp;"'!$T$28"),""))</f>
        <v>#REF!</v>
      </c>
      <c r="AO686" s="48" t="e">
        <f ca="1">IF(INDIRECT("'["&amp;$C$1&amp;".xls]"&amp;$B686&amp;"'!$T29")="","",IF(INDIRECT("'["&amp;$C$1&amp;".xls]"&amp;$B686&amp;"'!$O$29")="済み",INDIRECT("'["&amp;$C$1&amp;".xls]"&amp;$B686&amp;"'!$T$29"),""))</f>
        <v>#REF!</v>
      </c>
      <c r="AP686" s="48" t="e">
        <f ca="1">IF(INDIRECT("'["&amp;$C$1&amp;".xls]"&amp;$B686&amp;"'!$T30")="","",IF(INDIRECT("'["&amp;$C$1&amp;".xls]"&amp;$B686&amp;"'!$O$30")="済み",INDIRECT("'["&amp;$C$1&amp;".xls]"&amp;$B686&amp;"'!$T$30"),""))</f>
        <v>#REF!</v>
      </c>
      <c r="AQ686" s="48" t="e">
        <f ca="1">IF(INDIRECT("'["&amp;$C$1&amp;".xls]"&amp;$B686&amp;"'!$T31")="","",IF(INDIRECT("'["&amp;$C$1&amp;".xls]"&amp;$B686&amp;"'!$O$31")="済み",INDIRECT("'["&amp;$C$1&amp;".xls]"&amp;$B686&amp;"'!$T$31"),""))</f>
        <v>#REF!</v>
      </c>
      <c r="AR686" s="48" t="e">
        <f ca="1">IF(INDIRECT("'["&amp;$C$1&amp;".xls]"&amp;$B686&amp;"'!$T32")="","",IF(INDIRECT("'["&amp;$C$1&amp;".xls]"&amp;$B686&amp;"'!$O$32")="済み",INDIRECT("'["&amp;$C$1&amp;".xls]"&amp;$B686&amp;"'!$T$32"),""))</f>
        <v>#REF!</v>
      </c>
      <c r="AS686" s="48" t="e">
        <f ca="1">IF(INDIRECT("'["&amp;$C$1&amp;".xls]"&amp;$B686&amp;"'!$T33")="","",IF(INDIRECT("'["&amp;$C$1&amp;".xls]"&amp;$B686&amp;"'!$O$33")="済み",INDIRECT("'["&amp;$C$1&amp;".xls]"&amp;$B686&amp;"'!$T$33"),""))</f>
        <v>#REF!</v>
      </c>
      <c r="AT686" s="48" t="e">
        <f ca="1">IF(INDIRECT("'["&amp;$C$1&amp;".xls]"&amp;$B686&amp;"'!$T34")="","",IF(INDIRECT("'["&amp;$C$1&amp;".xls]"&amp;$B686&amp;"'!$O$34")="済み",INDIRECT("'["&amp;$C$1&amp;".xls]"&amp;$B686&amp;"'!$T$34"),""))</f>
        <v>#REF!</v>
      </c>
      <c r="AU686" s="93" t="e">
        <f ca="1">INDIRECT("'["&amp;$C$1&amp;".xls]"&amp;$B686&amp;"'!$B$6")</f>
        <v>#REF!</v>
      </c>
      <c r="AV686" s="93" t="e">
        <f ca="1">INDIRECT("'["&amp;$C$1&amp;".xls]"&amp;$B686&amp;"'!$Y$22")</f>
        <v>#REF!</v>
      </c>
      <c r="AW686" s="93" t="e">
        <f ca="1">INDIRECT("'["&amp;$C$1&amp;".xls]"&amp;$B686&amp;"'!$Y$24")</f>
        <v>#REF!</v>
      </c>
      <c r="AX686" s="93" t="e">
        <f ca="1">INDIRECT("'["&amp;$C$1&amp;".xls]"&amp;$B686&amp;"'!$Y$26")</f>
        <v>#REF!</v>
      </c>
      <c r="AY686" s="93" t="e">
        <f ca="1">INDIRECT("'["&amp;$C$1&amp;".xls]"&amp;$B686&amp;"'!$Y$28")</f>
        <v>#REF!</v>
      </c>
    </row>
    <row r="687" spans="1:51" ht="16.5" customHeight="1" x14ac:dyDescent="0.15">
      <c r="A687" s="121" t="s">
        <v>6971</v>
      </c>
      <c r="B687" s="47" t="s">
        <v>6972</v>
      </c>
      <c r="C687" s="48" t="e">
        <f ca="1">INDIRECT("'["&amp;$C$1&amp;".xls]"&amp;$B687&amp;"'!$i$7")</f>
        <v>#REF!</v>
      </c>
      <c r="D687" s="62" t="e">
        <f ca="1">INDIRECT("'["&amp;$C$1&amp;".xls]"&amp;$B687&amp;"'!$b$7")</f>
        <v>#REF!</v>
      </c>
      <c r="E687" s="48" t="e">
        <f ca="1">IF(INDIRECT("'["&amp;$C$1&amp;".xls]"&amp;$B687&amp;"'!$i$2")="","",INDIRECT("'["&amp;$C$1&amp;".xls]"&amp;$B687&amp;"'!$i$2"))</f>
        <v>#REF!</v>
      </c>
      <c r="F687" s="61" t="e">
        <f ca="1">INDIRECT("'["&amp;$C$1&amp;".xls]"&amp;$B687&amp;"'!$b$2")</f>
        <v>#REF!</v>
      </c>
      <c r="G687" s="61" t="e">
        <f ca="1">INDIRECT("'["&amp;$C$1&amp;".xls]"&amp;$B687&amp;"'!$a$20")</f>
        <v>#REF!</v>
      </c>
      <c r="H687" s="88" t="e">
        <f ca="1">INDIRECT("'["&amp;$C$1&amp;".xls]"&amp;$B687&amp;"'!$Q$22")</f>
        <v>#REF!</v>
      </c>
      <c r="I687" s="61" t="e">
        <f ca="1">INDIRECT("'["&amp;$C$1&amp;".xls]"&amp;$B687&amp;"'!$f$6")</f>
        <v>#REF!</v>
      </c>
      <c r="J687" s="87"/>
      <c r="K687" s="62" t="e">
        <f ca="1">INDIRECT("'["&amp;$C$1&amp;".xls]"&amp;$B687&amp;"'!$f$25")</f>
        <v>#REF!</v>
      </c>
      <c r="L687" s="62"/>
      <c r="M687" s="62" t="e">
        <f ca="1">INDIRECT("'["&amp;$C$1&amp;".xls]"&amp;$B687&amp;"'!$f$4")</f>
        <v>#REF!</v>
      </c>
      <c r="N687" s="62" t="e">
        <f ca="1">INDIRECT("'["&amp;$C$1&amp;".xls]"&amp;$B687&amp;"'!$i$4")</f>
        <v>#REF!</v>
      </c>
      <c r="O687" s="48" t="e">
        <f ca="1">INDIRECT("'["&amp;$C$1&amp;".xls]"&amp;$B687&amp;"'!$l$4")</f>
        <v>#REF!</v>
      </c>
      <c r="P687" s="48" t="e">
        <f ca="1">INDIRECT("'["&amp;$C$1&amp;".xls]"&amp;$B687&amp;"'!$b$5")</f>
        <v>#REF!</v>
      </c>
      <c r="Q687" s="48" t="e">
        <f ca="1">INDIRECT("'["&amp;$C$1&amp;".xls]"&amp;$B687&amp;"'!$f$5")</f>
        <v>#REF!</v>
      </c>
      <c r="R687" s="48"/>
      <c r="S687" s="48" t="e">
        <f ca="1">INDIRECT("'["&amp;$C$1&amp;".xls]"&amp;$B687&amp;"'!$i$5")</f>
        <v>#REF!</v>
      </c>
      <c r="T687" s="48" t="e">
        <f ca="1">INDIRECT("'["&amp;$C$1&amp;".xls]"&amp;$B687&amp;"'!$l$5")</f>
        <v>#REF!</v>
      </c>
      <c r="U687" s="48" t="e">
        <f ca="1">INDIRECT("'["&amp;$C$1&amp;".xls]"&amp;$B687&amp;"'!$b$4")</f>
        <v>#REF!</v>
      </c>
      <c r="V687" s="48"/>
      <c r="W687" s="48"/>
      <c r="X687" s="48"/>
      <c r="Y687" s="48"/>
      <c r="Z687" s="61"/>
      <c r="AA687" s="48" t="e">
        <f ca="1">IF(INDIRECT("'["&amp;$C$1&amp;".xls]"&amp;$B687&amp;"'!$P$25")="","",IF(INDIRECT("'["&amp;$C$1&amp;".xls]"&amp;$B687&amp;"'!$O$25")="済み",INDIRECT("'["&amp;$C$1&amp;".xls]"&amp;$B687&amp;"'!$P$25"),""))</f>
        <v>#REF!</v>
      </c>
      <c r="AB687" s="48" t="e">
        <f ca="1">IF(INDIRECT("'["&amp;$C$1&amp;".xls]"&amp;$B687&amp;"'!$P$26")="","",IF(INDIRECT("'["&amp;$C$1&amp;".xls]"&amp;$B687&amp;"'!$O$26")="済み",INDIRECT("'["&amp;$C$1&amp;".xls]"&amp;$B687&amp;"'!$P$26"),""))</f>
        <v>#REF!</v>
      </c>
      <c r="AC687" s="48" t="e">
        <f ca="1">IF(INDIRECT("'["&amp;$C$1&amp;".xls]"&amp;$B687&amp;"'!$P$27")="","",IF(INDIRECT("'["&amp;$C$1&amp;".xls]"&amp;$B687&amp;"'!$O$27")="済み",INDIRECT("'["&amp;$C$1&amp;".xls]"&amp;$B687&amp;"'!$P$27"),""))</f>
        <v>#REF!</v>
      </c>
      <c r="AD687" s="48" t="e">
        <f ca="1">IF(INDIRECT("'["&amp;$C$1&amp;".xls]"&amp;$B687&amp;"'!$P$28")="","",IF(INDIRECT("'["&amp;$C$1&amp;".xls]"&amp;$B687&amp;"'!$O$28")="済み",INDIRECT("'["&amp;$C$1&amp;".xls]"&amp;$B687&amp;"'!$P$28"),""))</f>
        <v>#REF!</v>
      </c>
      <c r="AE687" s="48" t="e">
        <f ca="1">IF(INDIRECT("'["&amp;$C$1&amp;".xls]"&amp;$B687&amp;"'!$P$29")="","",IF(INDIRECT("'["&amp;$C$1&amp;".xls]"&amp;$B687&amp;"'!$O$29")="済み",INDIRECT("'["&amp;$C$1&amp;".xls]"&amp;$B687&amp;"'!$P$29"),""))</f>
        <v>#REF!</v>
      </c>
      <c r="AF687" s="48" t="e">
        <f ca="1">IF(INDIRECT("'["&amp;$C$1&amp;".xls]"&amp;$B687&amp;"'!$P$30")="","",IF(INDIRECT("'["&amp;$C$1&amp;".xls]"&amp;$B687&amp;"'!$O$30")="済み",INDIRECT("'["&amp;$C$1&amp;".xls]"&amp;$B687&amp;"'!$P$30"),""))</f>
        <v>#REF!</v>
      </c>
      <c r="AG687" s="48" t="e">
        <f ca="1">IF(INDIRECT("'["&amp;$C$1&amp;".xls]"&amp;$B687&amp;"'!$P$31")="","",IF(INDIRECT("'["&amp;$C$1&amp;".xls]"&amp;$B687&amp;"'!$O$31")="済み",INDIRECT("'["&amp;$C$1&amp;".xls]"&amp;$B687&amp;"'!$P$31"),""))</f>
        <v>#REF!</v>
      </c>
      <c r="AH687" s="48" t="e">
        <f ca="1">IF(INDIRECT("'["&amp;$C$1&amp;".xls]"&amp;$B687&amp;"'!$P$32")="","",IF(INDIRECT("'["&amp;$C$1&amp;".xls]"&amp;$B687&amp;"'!$O$32")="済み",INDIRECT("'["&amp;$C$1&amp;".xls]"&amp;$B687&amp;"'!$P$32"),""))</f>
        <v>#REF!</v>
      </c>
      <c r="AI687" s="48" t="e">
        <f ca="1">IF(INDIRECT("'["&amp;$C$1&amp;".xls]"&amp;$B687&amp;"'!$P$33")="","",IF(INDIRECT("'["&amp;$C$1&amp;".xls]"&amp;$B687&amp;"'!$O$33")="済み",INDIRECT("'["&amp;$C$1&amp;".xls]"&amp;$B687&amp;"'!$P$33"),""))</f>
        <v>#REF!</v>
      </c>
      <c r="AJ687" s="48" t="e">
        <f ca="1">IF(INDIRECT("'["&amp;$C$1&amp;".xls]"&amp;$B687&amp;"'!$P$34")="","",IF(INDIRECT("'["&amp;$C$1&amp;".xls]"&amp;$B687&amp;"'!$O$34")="済み",INDIRECT("'["&amp;$C$1&amp;".xls]"&amp;$B687&amp;"'!$P$34"),""))</f>
        <v>#REF!</v>
      </c>
      <c r="AK687" s="48" t="e">
        <f ca="1">IF(INDIRECT("'["&amp;$C$1&amp;".xls]"&amp;$B687&amp;"'!$T25")="","",IF(INDIRECT("'["&amp;$C$1&amp;".xls]"&amp;$B687&amp;"'!$O$25")="済み",INDIRECT("'["&amp;$C$1&amp;".xls]"&amp;$B687&amp;"'!$T$25"),""))</f>
        <v>#REF!</v>
      </c>
      <c r="AL687" s="48" t="e">
        <f ca="1">IF(INDIRECT("'["&amp;$C$1&amp;".xls]"&amp;$B687&amp;"'!$T26")="","",IF(INDIRECT("'["&amp;$C$1&amp;".xls]"&amp;$B687&amp;"'!$O$26")="済み",INDIRECT("'["&amp;$C$1&amp;".xls]"&amp;$B687&amp;"'!$T$26"),""))</f>
        <v>#REF!</v>
      </c>
      <c r="AM687" s="48" t="e">
        <f ca="1">IF(INDIRECT("'["&amp;$C$1&amp;".xls]"&amp;$B687&amp;"'!$T27")="","",IF(INDIRECT("'["&amp;$C$1&amp;".xls]"&amp;$B687&amp;"'!$O$27")="済み",INDIRECT("'["&amp;$C$1&amp;".xls]"&amp;$B687&amp;"'!$T$27"),""))</f>
        <v>#REF!</v>
      </c>
      <c r="AN687" s="48" t="e">
        <f ca="1">IF(INDIRECT("'["&amp;$C$1&amp;".xls]"&amp;$B687&amp;"'!$T28")="","",IF(INDIRECT("'["&amp;$C$1&amp;".xls]"&amp;$B687&amp;"'!$O$28")="済み",INDIRECT("'["&amp;$C$1&amp;".xls]"&amp;$B687&amp;"'!$T$28"),""))</f>
        <v>#REF!</v>
      </c>
      <c r="AO687" s="48" t="e">
        <f ca="1">IF(INDIRECT("'["&amp;$C$1&amp;".xls]"&amp;$B687&amp;"'!$T29")="","",IF(INDIRECT("'["&amp;$C$1&amp;".xls]"&amp;$B687&amp;"'!$O$29")="済み",INDIRECT("'["&amp;$C$1&amp;".xls]"&amp;$B687&amp;"'!$T$29"),""))</f>
        <v>#REF!</v>
      </c>
      <c r="AP687" s="48" t="e">
        <f ca="1">IF(INDIRECT("'["&amp;$C$1&amp;".xls]"&amp;$B687&amp;"'!$T30")="","",IF(INDIRECT("'["&amp;$C$1&amp;".xls]"&amp;$B687&amp;"'!$O$30")="済み",INDIRECT("'["&amp;$C$1&amp;".xls]"&amp;$B687&amp;"'!$T$30"),""))</f>
        <v>#REF!</v>
      </c>
      <c r="AQ687" s="48" t="e">
        <f ca="1">IF(INDIRECT("'["&amp;$C$1&amp;".xls]"&amp;$B687&amp;"'!$T31")="","",IF(INDIRECT("'["&amp;$C$1&amp;".xls]"&amp;$B687&amp;"'!$O$31")="済み",INDIRECT("'["&amp;$C$1&amp;".xls]"&amp;$B687&amp;"'!$T$31"),""))</f>
        <v>#REF!</v>
      </c>
      <c r="AR687" s="48" t="e">
        <f ca="1">IF(INDIRECT("'["&amp;$C$1&amp;".xls]"&amp;$B687&amp;"'!$T32")="","",IF(INDIRECT("'["&amp;$C$1&amp;".xls]"&amp;$B687&amp;"'!$O$32")="済み",INDIRECT("'["&amp;$C$1&amp;".xls]"&amp;$B687&amp;"'!$T$32"),""))</f>
        <v>#REF!</v>
      </c>
      <c r="AS687" s="48" t="e">
        <f ca="1">IF(INDIRECT("'["&amp;$C$1&amp;".xls]"&amp;$B687&amp;"'!$T33")="","",IF(INDIRECT("'["&amp;$C$1&amp;".xls]"&amp;$B687&amp;"'!$O$33")="済み",INDIRECT("'["&amp;$C$1&amp;".xls]"&amp;$B687&amp;"'!$T$33"),""))</f>
        <v>#REF!</v>
      </c>
      <c r="AT687" s="48" t="e">
        <f ca="1">IF(INDIRECT("'["&amp;$C$1&amp;".xls]"&amp;$B687&amp;"'!$T34")="","",IF(INDIRECT("'["&amp;$C$1&amp;".xls]"&amp;$B687&amp;"'!$O$34")="済み",INDIRECT("'["&amp;$C$1&amp;".xls]"&amp;$B687&amp;"'!$T$34"),""))</f>
        <v>#REF!</v>
      </c>
      <c r="AU687" s="93" t="e">
        <f ca="1">INDIRECT("'["&amp;$C$1&amp;".xls]"&amp;$B687&amp;"'!$B$6")</f>
        <v>#REF!</v>
      </c>
      <c r="AV687" s="93" t="e">
        <f ca="1">INDIRECT("'["&amp;$C$1&amp;".xls]"&amp;$B687&amp;"'!$Y$22")</f>
        <v>#REF!</v>
      </c>
      <c r="AW687" s="93" t="e">
        <f ca="1">INDIRECT("'["&amp;$C$1&amp;".xls]"&amp;$B687&amp;"'!$Y$24")</f>
        <v>#REF!</v>
      </c>
      <c r="AX687" s="93" t="e">
        <f ca="1">INDIRECT("'["&amp;$C$1&amp;".xls]"&amp;$B687&amp;"'!$Y$26")</f>
        <v>#REF!</v>
      </c>
      <c r="AY687" s="93" t="e">
        <f ca="1">INDIRECT("'["&amp;$C$1&amp;".xls]"&amp;$B687&amp;"'!$Y$28")</f>
        <v>#REF!</v>
      </c>
    </row>
    <row r="688" spans="1:51" ht="16.5" customHeight="1" x14ac:dyDescent="0.15">
      <c r="A688" s="182" t="s">
        <v>6973</v>
      </c>
      <c r="B688" s="183" t="s">
        <v>6974</v>
      </c>
      <c r="C688" s="48" t="s">
        <v>298</v>
      </c>
      <c r="D688" s="62" t="s">
        <v>6975</v>
      </c>
      <c r="E688" s="48" t="s">
        <v>300</v>
      </c>
      <c r="F688" s="61">
        <v>42646</v>
      </c>
      <c r="G688" s="61">
        <v>0</v>
      </c>
      <c r="H688" s="125">
        <v>42667</v>
      </c>
      <c r="I688" s="61" t="s">
        <v>279</v>
      </c>
      <c r="J688" s="87"/>
      <c r="K688" s="62" t="s">
        <v>2506</v>
      </c>
      <c r="L688" s="62">
        <v>3</v>
      </c>
      <c r="M688" s="62" t="s">
        <v>924</v>
      </c>
      <c r="N688" s="62" t="s">
        <v>6976</v>
      </c>
      <c r="O688" s="48" t="s">
        <v>2983</v>
      </c>
      <c r="P688" s="48" t="s">
        <v>6977</v>
      </c>
      <c r="Q688" s="48" t="s">
        <v>1716</v>
      </c>
      <c r="R688" s="48" t="s">
        <v>6978</v>
      </c>
      <c r="S688" s="48" t="s">
        <v>1718</v>
      </c>
      <c r="T688" s="48" t="s">
        <v>1719</v>
      </c>
      <c r="U688" s="48" t="s">
        <v>6979</v>
      </c>
      <c r="V688" s="122" t="s">
        <v>263</v>
      </c>
      <c r="W688" s="122" t="s">
        <v>6980</v>
      </c>
      <c r="X688" s="48" t="s">
        <v>6981</v>
      </c>
      <c r="Y688" s="48" t="s">
        <v>6982</v>
      </c>
      <c r="Z688" s="61"/>
      <c r="AA688" s="48" t="s">
        <v>453</v>
      </c>
      <c r="AB688" s="48" t="s">
        <v>273</v>
      </c>
      <c r="AC688" s="48" t="s">
        <v>273</v>
      </c>
      <c r="AD688" s="48" t="s">
        <v>273</v>
      </c>
      <c r="AE688" s="48" t="s">
        <v>273</v>
      </c>
      <c r="AF688" s="48" t="s">
        <v>273</v>
      </c>
      <c r="AG688" s="48" t="s">
        <v>273</v>
      </c>
      <c r="AH688" s="48" t="s">
        <v>273</v>
      </c>
      <c r="AI688" s="48" t="s">
        <v>273</v>
      </c>
      <c r="AJ688" s="48" t="s">
        <v>273</v>
      </c>
      <c r="AK688" s="48" t="s">
        <v>454</v>
      </c>
      <c r="AL688" s="48" t="s">
        <v>273</v>
      </c>
      <c r="AM688" s="48" t="s">
        <v>273</v>
      </c>
      <c r="AN688" s="48" t="s">
        <v>273</v>
      </c>
      <c r="AO688" s="48" t="s">
        <v>273</v>
      </c>
      <c r="AP688" s="48" t="s">
        <v>273</v>
      </c>
      <c r="AQ688" s="48" t="s">
        <v>273</v>
      </c>
      <c r="AR688" s="48" t="s">
        <v>273</v>
      </c>
      <c r="AS688" s="48" t="s">
        <v>273</v>
      </c>
      <c r="AT688" s="48" t="s">
        <v>273</v>
      </c>
      <c r="AU688" s="93">
        <v>37226</v>
      </c>
      <c r="AV688" s="93" t="s">
        <v>6983</v>
      </c>
      <c r="AW688" s="93" t="s">
        <v>6984</v>
      </c>
      <c r="AX688" s="93" t="s">
        <v>6985</v>
      </c>
      <c r="AY688" s="93" t="s">
        <v>5312</v>
      </c>
    </row>
    <row r="689" spans="1:52" ht="16.5" customHeight="1" x14ac:dyDescent="0.15">
      <c r="A689" s="199" t="s">
        <v>6986</v>
      </c>
      <c r="B689" s="209" t="s">
        <v>6987</v>
      </c>
      <c r="C689" s="48" t="s">
        <v>6988</v>
      </c>
      <c r="D689" s="62" t="s">
        <v>263</v>
      </c>
      <c r="E689" s="48" t="s">
        <v>264</v>
      </c>
      <c r="F689" s="61">
        <v>42646</v>
      </c>
      <c r="G689" s="61">
        <v>0</v>
      </c>
      <c r="H689" s="125">
        <v>42696</v>
      </c>
      <c r="I689" s="61">
        <v>41372</v>
      </c>
      <c r="J689" s="87"/>
      <c r="K689" s="62" t="s">
        <v>2506</v>
      </c>
      <c r="L689" s="62">
        <v>3</v>
      </c>
      <c r="M689" s="62" t="s">
        <v>471</v>
      </c>
      <c r="N689" s="62" t="s">
        <v>3205</v>
      </c>
      <c r="O689" s="48" t="s">
        <v>502</v>
      </c>
      <c r="P689" s="48" t="s">
        <v>696</v>
      </c>
      <c r="Q689" s="48" t="s">
        <v>2999</v>
      </c>
      <c r="R689" s="48" t="s">
        <v>399</v>
      </c>
      <c r="S689" s="48" t="s">
        <v>400</v>
      </c>
      <c r="T689" s="48" t="s">
        <v>401</v>
      </c>
      <c r="U689" s="48" t="s">
        <v>6989</v>
      </c>
      <c r="V689" s="122" t="s">
        <v>263</v>
      </c>
      <c r="W689" s="122" t="s">
        <v>263</v>
      </c>
      <c r="X689" s="48" t="s">
        <v>3207</v>
      </c>
      <c r="Y689" s="48" t="s">
        <v>6990</v>
      </c>
      <c r="Z689" s="61"/>
      <c r="AA689" s="48" t="s">
        <v>529</v>
      </c>
      <c r="AB689" s="48" t="s">
        <v>1356</v>
      </c>
      <c r="AC689" s="48" t="s">
        <v>273</v>
      </c>
      <c r="AD689" s="48" t="s">
        <v>273</v>
      </c>
      <c r="AE689" s="48" t="s">
        <v>273</v>
      </c>
      <c r="AF689" s="48" t="s">
        <v>273</v>
      </c>
      <c r="AG689" s="48" t="s">
        <v>273</v>
      </c>
      <c r="AH689" s="48" t="s">
        <v>273</v>
      </c>
      <c r="AI689" s="48" t="s">
        <v>273</v>
      </c>
      <c r="AJ689" s="48" t="s">
        <v>273</v>
      </c>
      <c r="AK689" s="48" t="s">
        <v>530</v>
      </c>
      <c r="AL689" s="48" t="s">
        <v>1357</v>
      </c>
      <c r="AM689" s="48" t="s">
        <v>273</v>
      </c>
      <c r="AN689" s="48" t="s">
        <v>273</v>
      </c>
      <c r="AO689" s="48" t="s">
        <v>273</v>
      </c>
      <c r="AP689" s="48" t="s">
        <v>273</v>
      </c>
      <c r="AQ689" s="48" t="s">
        <v>273</v>
      </c>
      <c r="AR689" s="48" t="s">
        <v>273</v>
      </c>
      <c r="AS689" s="48" t="s">
        <v>273</v>
      </c>
      <c r="AT689" s="48" t="s">
        <v>273</v>
      </c>
      <c r="AU689" s="93">
        <v>41244</v>
      </c>
      <c r="AV689" s="93" t="s">
        <v>6991</v>
      </c>
      <c r="AW689" s="93" t="s">
        <v>6992</v>
      </c>
      <c r="AX689" s="93" t="s">
        <v>6993</v>
      </c>
      <c r="AY689" s="93" t="s">
        <v>6994</v>
      </c>
    </row>
    <row r="690" spans="1:52" ht="16.5" customHeight="1" x14ac:dyDescent="0.15">
      <c r="A690" s="121" t="s">
        <v>6995</v>
      </c>
      <c r="B690" s="47" t="s">
        <v>6996</v>
      </c>
      <c r="C690" s="48" t="e">
        <f ca="1">INDIRECT("'["&amp;$C$1&amp;".xls]"&amp;$B690&amp;"'!$i$7")</f>
        <v>#REF!</v>
      </c>
      <c r="D690" s="62" t="e">
        <f ca="1">INDIRECT("'["&amp;$C$1&amp;".xls]"&amp;$B690&amp;"'!$b$7")</f>
        <v>#REF!</v>
      </c>
      <c r="E690" s="48" t="e">
        <f ca="1">IF(INDIRECT("'["&amp;$C$1&amp;".xls]"&amp;$B690&amp;"'!$i$2")="","",INDIRECT("'["&amp;$C$1&amp;".xls]"&amp;$B690&amp;"'!$i$2"))</f>
        <v>#REF!</v>
      </c>
      <c r="F690" s="61" t="e">
        <f ca="1">INDIRECT("'["&amp;$C$1&amp;".xls]"&amp;$B690&amp;"'!$b$2")</f>
        <v>#REF!</v>
      </c>
      <c r="G690" s="61" t="e">
        <f ca="1">INDIRECT("'["&amp;$C$1&amp;".xls]"&amp;$B690&amp;"'!$a$20")</f>
        <v>#REF!</v>
      </c>
      <c r="H690" s="88" t="e">
        <f ca="1">INDIRECT("'["&amp;$C$1&amp;".xls]"&amp;$B690&amp;"'!$Q$22")</f>
        <v>#REF!</v>
      </c>
      <c r="I690" s="61" t="e">
        <f ca="1">INDIRECT("'["&amp;$C$1&amp;".xls]"&amp;$B690&amp;"'!$f$6")</f>
        <v>#REF!</v>
      </c>
      <c r="J690" s="87"/>
      <c r="K690" s="62" t="e">
        <f ca="1">INDIRECT("'["&amp;$C$1&amp;".xls]"&amp;$B690&amp;"'!$f$25")</f>
        <v>#REF!</v>
      </c>
      <c r="L690" s="62"/>
      <c r="M690" s="62" t="e">
        <f ca="1">INDIRECT("'["&amp;$C$1&amp;".xls]"&amp;$B690&amp;"'!$f$4")</f>
        <v>#REF!</v>
      </c>
      <c r="N690" s="62" t="e">
        <f ca="1">INDIRECT("'["&amp;$C$1&amp;".xls]"&amp;$B690&amp;"'!$i$4")</f>
        <v>#REF!</v>
      </c>
      <c r="O690" s="48" t="e">
        <f ca="1">INDIRECT("'["&amp;$C$1&amp;".xls]"&amp;$B690&amp;"'!$l$4")</f>
        <v>#REF!</v>
      </c>
      <c r="P690" s="48" t="e">
        <f ca="1">INDIRECT("'["&amp;$C$1&amp;".xls]"&amp;$B690&amp;"'!$b$5")</f>
        <v>#REF!</v>
      </c>
      <c r="Q690" s="48" t="e">
        <f ca="1">INDIRECT("'["&amp;$C$1&amp;".xls]"&amp;$B690&amp;"'!$f$5")</f>
        <v>#REF!</v>
      </c>
      <c r="R690" s="48"/>
      <c r="S690" s="48" t="e">
        <f ca="1">INDIRECT("'["&amp;$C$1&amp;".xls]"&amp;$B690&amp;"'!$i$5")</f>
        <v>#REF!</v>
      </c>
      <c r="T690" s="48" t="e">
        <f ca="1">INDIRECT("'["&amp;$C$1&amp;".xls]"&amp;$B690&amp;"'!$l$5")</f>
        <v>#REF!</v>
      </c>
      <c r="U690" s="48" t="e">
        <f ca="1">INDIRECT("'["&amp;$C$1&amp;".xls]"&amp;$B690&amp;"'!$b$4")</f>
        <v>#REF!</v>
      </c>
      <c r="V690" s="48"/>
      <c r="W690" s="48"/>
      <c r="X690" s="48"/>
      <c r="Y690" s="48"/>
      <c r="Z690" s="61"/>
      <c r="AA690" s="48" t="e">
        <f ca="1">IF(INDIRECT("'["&amp;$C$1&amp;".xls]"&amp;$B690&amp;"'!$P$25")="","",IF(INDIRECT("'["&amp;$C$1&amp;".xls]"&amp;$B690&amp;"'!$O$25")="済み",INDIRECT("'["&amp;$C$1&amp;".xls]"&amp;$B690&amp;"'!$P$25"),""))</f>
        <v>#REF!</v>
      </c>
      <c r="AB690" s="48" t="e">
        <f ca="1">IF(INDIRECT("'["&amp;$C$1&amp;".xls]"&amp;$B690&amp;"'!$P$26")="","",IF(INDIRECT("'["&amp;$C$1&amp;".xls]"&amp;$B690&amp;"'!$O$26")="済み",INDIRECT("'["&amp;$C$1&amp;".xls]"&amp;$B690&amp;"'!$P$26"),""))</f>
        <v>#REF!</v>
      </c>
      <c r="AC690" s="48" t="e">
        <f ca="1">IF(INDIRECT("'["&amp;$C$1&amp;".xls]"&amp;$B690&amp;"'!$P$27")="","",IF(INDIRECT("'["&amp;$C$1&amp;".xls]"&amp;$B690&amp;"'!$O$27")="済み",INDIRECT("'["&amp;$C$1&amp;".xls]"&amp;$B690&amp;"'!$P$27"),""))</f>
        <v>#REF!</v>
      </c>
      <c r="AD690" s="48" t="e">
        <f ca="1">IF(INDIRECT("'["&amp;$C$1&amp;".xls]"&amp;$B690&amp;"'!$P$28")="","",IF(INDIRECT("'["&amp;$C$1&amp;".xls]"&amp;$B690&amp;"'!$O$28")="済み",INDIRECT("'["&amp;$C$1&amp;".xls]"&amp;$B690&amp;"'!$P$28"),""))</f>
        <v>#REF!</v>
      </c>
      <c r="AE690" s="48" t="e">
        <f ca="1">IF(INDIRECT("'["&amp;$C$1&amp;".xls]"&amp;$B690&amp;"'!$P$29")="","",IF(INDIRECT("'["&amp;$C$1&amp;".xls]"&amp;$B690&amp;"'!$O$29")="済み",INDIRECT("'["&amp;$C$1&amp;".xls]"&amp;$B690&amp;"'!$P$29"),""))</f>
        <v>#REF!</v>
      </c>
      <c r="AF690" s="48" t="e">
        <f ca="1">IF(INDIRECT("'["&amp;$C$1&amp;".xls]"&amp;$B690&amp;"'!$P$30")="","",IF(INDIRECT("'["&amp;$C$1&amp;".xls]"&amp;$B690&amp;"'!$O$30")="済み",INDIRECT("'["&amp;$C$1&amp;".xls]"&amp;$B690&amp;"'!$P$30"),""))</f>
        <v>#REF!</v>
      </c>
      <c r="AG690" s="48" t="e">
        <f ca="1">IF(INDIRECT("'["&amp;$C$1&amp;".xls]"&amp;$B690&amp;"'!$P$31")="","",IF(INDIRECT("'["&amp;$C$1&amp;".xls]"&amp;$B690&amp;"'!$O$31")="済み",INDIRECT("'["&amp;$C$1&amp;".xls]"&amp;$B690&amp;"'!$P$31"),""))</f>
        <v>#REF!</v>
      </c>
      <c r="AH690" s="48" t="e">
        <f ca="1">IF(INDIRECT("'["&amp;$C$1&amp;".xls]"&amp;$B690&amp;"'!$P$32")="","",IF(INDIRECT("'["&amp;$C$1&amp;".xls]"&amp;$B690&amp;"'!$O$32")="済み",INDIRECT("'["&amp;$C$1&amp;".xls]"&amp;$B690&amp;"'!$P$32"),""))</f>
        <v>#REF!</v>
      </c>
      <c r="AI690" s="48" t="e">
        <f ca="1">IF(INDIRECT("'["&amp;$C$1&amp;".xls]"&amp;$B690&amp;"'!$P$33")="","",IF(INDIRECT("'["&amp;$C$1&amp;".xls]"&amp;$B690&amp;"'!$O$33")="済み",INDIRECT("'["&amp;$C$1&amp;".xls]"&amp;$B690&amp;"'!$P$33"),""))</f>
        <v>#REF!</v>
      </c>
      <c r="AJ690" s="48" t="e">
        <f ca="1">IF(INDIRECT("'["&amp;$C$1&amp;".xls]"&amp;$B690&amp;"'!$P$34")="","",IF(INDIRECT("'["&amp;$C$1&amp;".xls]"&amp;$B690&amp;"'!$O$34")="済み",INDIRECT("'["&amp;$C$1&amp;".xls]"&amp;$B690&amp;"'!$P$34"),""))</f>
        <v>#REF!</v>
      </c>
      <c r="AK690" s="48" t="e">
        <f ca="1">IF(INDIRECT("'["&amp;$C$1&amp;".xls]"&amp;$B690&amp;"'!$T25")="","",IF(INDIRECT("'["&amp;$C$1&amp;".xls]"&amp;$B690&amp;"'!$O$25")="済み",INDIRECT("'["&amp;$C$1&amp;".xls]"&amp;$B690&amp;"'!$T$25"),""))</f>
        <v>#REF!</v>
      </c>
      <c r="AL690" s="48" t="e">
        <f ca="1">IF(INDIRECT("'["&amp;$C$1&amp;".xls]"&amp;$B690&amp;"'!$T26")="","",IF(INDIRECT("'["&amp;$C$1&amp;".xls]"&amp;$B690&amp;"'!$O$26")="済み",INDIRECT("'["&amp;$C$1&amp;".xls]"&amp;$B690&amp;"'!$T$26"),""))</f>
        <v>#REF!</v>
      </c>
      <c r="AM690" s="48" t="e">
        <f ca="1">IF(INDIRECT("'["&amp;$C$1&amp;".xls]"&amp;$B690&amp;"'!$T27")="","",IF(INDIRECT("'["&amp;$C$1&amp;".xls]"&amp;$B690&amp;"'!$O$27")="済み",INDIRECT("'["&amp;$C$1&amp;".xls]"&amp;$B690&amp;"'!$T$27"),""))</f>
        <v>#REF!</v>
      </c>
      <c r="AN690" s="48" t="e">
        <f ca="1">IF(INDIRECT("'["&amp;$C$1&amp;".xls]"&amp;$B690&amp;"'!$T28")="","",IF(INDIRECT("'["&amp;$C$1&amp;".xls]"&amp;$B690&amp;"'!$O$28")="済み",INDIRECT("'["&amp;$C$1&amp;".xls]"&amp;$B690&amp;"'!$T$28"),""))</f>
        <v>#REF!</v>
      </c>
      <c r="AO690" s="48" t="e">
        <f ca="1">IF(INDIRECT("'["&amp;$C$1&amp;".xls]"&amp;$B690&amp;"'!$T29")="","",IF(INDIRECT("'["&amp;$C$1&amp;".xls]"&amp;$B690&amp;"'!$O$29")="済み",INDIRECT("'["&amp;$C$1&amp;".xls]"&amp;$B690&amp;"'!$T$29"),""))</f>
        <v>#REF!</v>
      </c>
      <c r="AP690" s="48" t="e">
        <f ca="1">IF(INDIRECT("'["&amp;$C$1&amp;".xls]"&amp;$B690&amp;"'!$T30")="","",IF(INDIRECT("'["&amp;$C$1&amp;".xls]"&amp;$B690&amp;"'!$O$30")="済み",INDIRECT("'["&amp;$C$1&amp;".xls]"&amp;$B690&amp;"'!$T$30"),""))</f>
        <v>#REF!</v>
      </c>
      <c r="AQ690" s="48" t="e">
        <f ca="1">IF(INDIRECT("'["&amp;$C$1&amp;".xls]"&amp;$B690&amp;"'!$T31")="","",IF(INDIRECT("'["&amp;$C$1&amp;".xls]"&amp;$B690&amp;"'!$O$31")="済み",INDIRECT("'["&amp;$C$1&amp;".xls]"&amp;$B690&amp;"'!$T$31"),""))</f>
        <v>#REF!</v>
      </c>
      <c r="AR690" s="48" t="e">
        <f ca="1">IF(INDIRECT("'["&amp;$C$1&amp;".xls]"&amp;$B690&amp;"'!$T32")="","",IF(INDIRECT("'["&amp;$C$1&amp;".xls]"&amp;$B690&amp;"'!$O$32")="済み",INDIRECT("'["&amp;$C$1&amp;".xls]"&amp;$B690&amp;"'!$T$32"),""))</f>
        <v>#REF!</v>
      </c>
      <c r="AS690" s="48" t="e">
        <f ca="1">IF(INDIRECT("'["&amp;$C$1&amp;".xls]"&amp;$B690&amp;"'!$T33")="","",IF(INDIRECT("'["&amp;$C$1&amp;".xls]"&amp;$B690&amp;"'!$O$33")="済み",INDIRECT("'["&amp;$C$1&amp;".xls]"&amp;$B690&amp;"'!$T$33"),""))</f>
        <v>#REF!</v>
      </c>
      <c r="AT690" s="48" t="e">
        <f ca="1">IF(INDIRECT("'["&amp;$C$1&amp;".xls]"&amp;$B690&amp;"'!$T34")="","",IF(INDIRECT("'["&amp;$C$1&amp;".xls]"&amp;$B690&amp;"'!$O$34")="済み",INDIRECT("'["&amp;$C$1&amp;".xls]"&amp;$B690&amp;"'!$T$34"),""))</f>
        <v>#REF!</v>
      </c>
      <c r="AU690" s="93" t="e">
        <f ca="1">INDIRECT("'["&amp;$C$1&amp;".xls]"&amp;$B690&amp;"'!$B$6")</f>
        <v>#REF!</v>
      </c>
      <c r="AV690" s="93" t="e">
        <f ca="1">INDIRECT("'["&amp;$C$1&amp;".xls]"&amp;$B690&amp;"'!$Y$22")</f>
        <v>#REF!</v>
      </c>
      <c r="AW690" s="93" t="e">
        <f ca="1">INDIRECT("'["&amp;$C$1&amp;".xls]"&amp;$B690&amp;"'!$Y$24")</f>
        <v>#REF!</v>
      </c>
      <c r="AX690" s="93" t="e">
        <f ca="1">INDIRECT("'["&amp;$C$1&amp;".xls]"&amp;$B690&amp;"'!$Y$26")</f>
        <v>#REF!</v>
      </c>
      <c r="AY690" s="93" t="e">
        <f ca="1">INDIRECT("'["&amp;$C$1&amp;".xls]"&amp;$B690&amp;"'!$Y$28")</f>
        <v>#REF!</v>
      </c>
    </row>
    <row r="691" spans="1:52" ht="16.5" customHeight="1" x14ac:dyDescent="0.15">
      <c r="A691" s="121" t="s">
        <v>6997</v>
      </c>
      <c r="B691" s="47" t="s">
        <v>6998</v>
      </c>
      <c r="C691" s="48" t="e">
        <f ca="1">INDIRECT("'["&amp;$C$1&amp;".xls]"&amp;$B691&amp;"'!$i$7")</f>
        <v>#REF!</v>
      </c>
      <c r="D691" s="62" t="e">
        <f ca="1">INDIRECT("'["&amp;$C$1&amp;".xls]"&amp;$B691&amp;"'!$b$7")</f>
        <v>#REF!</v>
      </c>
      <c r="E691" s="48" t="e">
        <f ca="1">IF(INDIRECT("'["&amp;$C$1&amp;".xls]"&amp;$B691&amp;"'!$i$2")="","",INDIRECT("'["&amp;$C$1&amp;".xls]"&amp;$B691&amp;"'!$i$2"))</f>
        <v>#REF!</v>
      </c>
      <c r="F691" s="61" t="e">
        <f ca="1">INDIRECT("'["&amp;$C$1&amp;".xls]"&amp;$B691&amp;"'!$b$2")</f>
        <v>#REF!</v>
      </c>
      <c r="G691" s="61" t="e">
        <f ca="1">INDIRECT("'["&amp;$C$1&amp;".xls]"&amp;$B691&amp;"'!$a$20")</f>
        <v>#REF!</v>
      </c>
      <c r="H691" s="88" t="e">
        <f ca="1">INDIRECT("'["&amp;$C$1&amp;".xls]"&amp;$B691&amp;"'!$Q$22")</f>
        <v>#REF!</v>
      </c>
      <c r="I691" s="61" t="e">
        <f ca="1">INDIRECT("'["&amp;$C$1&amp;".xls]"&amp;$B691&amp;"'!$f$6")</f>
        <v>#REF!</v>
      </c>
      <c r="J691" s="87"/>
      <c r="K691" s="62" t="e">
        <f ca="1">INDIRECT("'["&amp;$C$1&amp;".xls]"&amp;$B691&amp;"'!$f$25")</f>
        <v>#REF!</v>
      </c>
      <c r="L691" s="62"/>
      <c r="M691" s="62" t="e">
        <f ca="1">INDIRECT("'["&amp;$C$1&amp;".xls]"&amp;$B691&amp;"'!$f$4")</f>
        <v>#REF!</v>
      </c>
      <c r="N691" s="62" t="e">
        <f ca="1">INDIRECT("'["&amp;$C$1&amp;".xls]"&amp;$B691&amp;"'!$i$4")</f>
        <v>#REF!</v>
      </c>
      <c r="O691" s="48" t="e">
        <f ca="1">INDIRECT("'["&amp;$C$1&amp;".xls]"&amp;$B691&amp;"'!$l$4")</f>
        <v>#REF!</v>
      </c>
      <c r="P691" s="48" t="e">
        <f ca="1">INDIRECT("'["&amp;$C$1&amp;".xls]"&amp;$B691&amp;"'!$b$5")</f>
        <v>#REF!</v>
      </c>
      <c r="Q691" s="48" t="e">
        <f ca="1">INDIRECT("'["&amp;$C$1&amp;".xls]"&amp;$B691&amp;"'!$f$5")</f>
        <v>#REF!</v>
      </c>
      <c r="R691" s="48"/>
      <c r="S691" s="48" t="e">
        <f ca="1">INDIRECT("'["&amp;$C$1&amp;".xls]"&amp;$B691&amp;"'!$i$5")</f>
        <v>#REF!</v>
      </c>
      <c r="T691" s="48" t="e">
        <f ca="1">INDIRECT("'["&amp;$C$1&amp;".xls]"&amp;$B691&amp;"'!$l$5")</f>
        <v>#REF!</v>
      </c>
      <c r="U691" s="48" t="e">
        <f ca="1">INDIRECT("'["&amp;$C$1&amp;".xls]"&amp;$B691&amp;"'!$b$4")</f>
        <v>#REF!</v>
      </c>
      <c r="V691" s="48"/>
      <c r="W691" s="48"/>
      <c r="X691" s="48"/>
      <c r="Y691" s="48"/>
      <c r="Z691" s="61"/>
      <c r="AA691" s="48" t="e">
        <f ca="1">IF(INDIRECT("'["&amp;$C$1&amp;".xls]"&amp;$B691&amp;"'!$P$25")="","",IF(INDIRECT("'["&amp;$C$1&amp;".xls]"&amp;$B691&amp;"'!$O$25")="済み",INDIRECT("'["&amp;$C$1&amp;".xls]"&amp;$B691&amp;"'!$P$25"),""))</f>
        <v>#REF!</v>
      </c>
      <c r="AB691" s="48" t="e">
        <f ca="1">IF(INDIRECT("'["&amp;$C$1&amp;".xls]"&amp;$B691&amp;"'!$P$26")="","",IF(INDIRECT("'["&amp;$C$1&amp;".xls]"&amp;$B691&amp;"'!$O$26")="済み",INDIRECT("'["&amp;$C$1&amp;".xls]"&amp;$B691&amp;"'!$P$26"),""))</f>
        <v>#REF!</v>
      </c>
      <c r="AC691" s="48" t="e">
        <f ca="1">IF(INDIRECT("'["&amp;$C$1&amp;".xls]"&amp;$B691&amp;"'!$P$27")="","",IF(INDIRECT("'["&amp;$C$1&amp;".xls]"&amp;$B691&amp;"'!$O$27")="済み",INDIRECT("'["&amp;$C$1&amp;".xls]"&amp;$B691&amp;"'!$P$27"),""))</f>
        <v>#REF!</v>
      </c>
      <c r="AD691" s="48" t="e">
        <f ca="1">IF(INDIRECT("'["&amp;$C$1&amp;".xls]"&amp;$B691&amp;"'!$P$28")="","",IF(INDIRECT("'["&amp;$C$1&amp;".xls]"&amp;$B691&amp;"'!$O$28")="済み",INDIRECT("'["&amp;$C$1&amp;".xls]"&amp;$B691&amp;"'!$P$28"),""))</f>
        <v>#REF!</v>
      </c>
      <c r="AE691" s="48" t="e">
        <f ca="1">IF(INDIRECT("'["&amp;$C$1&amp;".xls]"&amp;$B691&amp;"'!$P$29")="","",IF(INDIRECT("'["&amp;$C$1&amp;".xls]"&amp;$B691&amp;"'!$O$29")="済み",INDIRECT("'["&amp;$C$1&amp;".xls]"&amp;$B691&amp;"'!$P$29"),""))</f>
        <v>#REF!</v>
      </c>
      <c r="AF691" s="48" t="e">
        <f ca="1">IF(INDIRECT("'["&amp;$C$1&amp;".xls]"&amp;$B691&amp;"'!$P$30")="","",IF(INDIRECT("'["&amp;$C$1&amp;".xls]"&amp;$B691&amp;"'!$O$30")="済み",INDIRECT("'["&amp;$C$1&amp;".xls]"&amp;$B691&amp;"'!$P$30"),""))</f>
        <v>#REF!</v>
      </c>
      <c r="AG691" s="48" t="e">
        <f ca="1">IF(INDIRECT("'["&amp;$C$1&amp;".xls]"&amp;$B691&amp;"'!$P$31")="","",IF(INDIRECT("'["&amp;$C$1&amp;".xls]"&amp;$B691&amp;"'!$O$31")="済み",INDIRECT("'["&amp;$C$1&amp;".xls]"&amp;$B691&amp;"'!$P$31"),""))</f>
        <v>#REF!</v>
      </c>
      <c r="AH691" s="48" t="e">
        <f ca="1">IF(INDIRECT("'["&amp;$C$1&amp;".xls]"&amp;$B691&amp;"'!$P$32")="","",IF(INDIRECT("'["&amp;$C$1&amp;".xls]"&amp;$B691&amp;"'!$O$32")="済み",INDIRECT("'["&amp;$C$1&amp;".xls]"&amp;$B691&amp;"'!$P$32"),""))</f>
        <v>#REF!</v>
      </c>
      <c r="AI691" s="48" t="e">
        <f ca="1">IF(INDIRECT("'["&amp;$C$1&amp;".xls]"&amp;$B691&amp;"'!$P$33")="","",IF(INDIRECT("'["&amp;$C$1&amp;".xls]"&amp;$B691&amp;"'!$O$33")="済み",INDIRECT("'["&amp;$C$1&amp;".xls]"&amp;$B691&amp;"'!$P$33"),""))</f>
        <v>#REF!</v>
      </c>
      <c r="AJ691" s="48" t="e">
        <f ca="1">IF(INDIRECT("'["&amp;$C$1&amp;".xls]"&amp;$B691&amp;"'!$P$34")="","",IF(INDIRECT("'["&amp;$C$1&amp;".xls]"&amp;$B691&amp;"'!$O$34")="済み",INDIRECT("'["&amp;$C$1&amp;".xls]"&amp;$B691&amp;"'!$P$34"),""))</f>
        <v>#REF!</v>
      </c>
      <c r="AK691" s="48" t="e">
        <f ca="1">IF(INDIRECT("'["&amp;$C$1&amp;".xls]"&amp;$B691&amp;"'!$T25")="","",IF(INDIRECT("'["&amp;$C$1&amp;".xls]"&amp;$B691&amp;"'!$O$25")="済み",INDIRECT("'["&amp;$C$1&amp;".xls]"&amp;$B691&amp;"'!$T$25"),""))</f>
        <v>#REF!</v>
      </c>
      <c r="AL691" s="48" t="e">
        <f ca="1">IF(INDIRECT("'["&amp;$C$1&amp;".xls]"&amp;$B691&amp;"'!$T26")="","",IF(INDIRECT("'["&amp;$C$1&amp;".xls]"&amp;$B691&amp;"'!$O$26")="済み",INDIRECT("'["&amp;$C$1&amp;".xls]"&amp;$B691&amp;"'!$T$26"),""))</f>
        <v>#REF!</v>
      </c>
      <c r="AM691" s="48" t="e">
        <f ca="1">IF(INDIRECT("'["&amp;$C$1&amp;".xls]"&amp;$B691&amp;"'!$T27")="","",IF(INDIRECT("'["&amp;$C$1&amp;".xls]"&amp;$B691&amp;"'!$O$27")="済み",INDIRECT("'["&amp;$C$1&amp;".xls]"&amp;$B691&amp;"'!$T$27"),""))</f>
        <v>#REF!</v>
      </c>
      <c r="AN691" s="48" t="e">
        <f ca="1">IF(INDIRECT("'["&amp;$C$1&amp;".xls]"&amp;$B691&amp;"'!$T28")="","",IF(INDIRECT("'["&amp;$C$1&amp;".xls]"&amp;$B691&amp;"'!$O$28")="済み",INDIRECT("'["&amp;$C$1&amp;".xls]"&amp;$B691&amp;"'!$T$28"),""))</f>
        <v>#REF!</v>
      </c>
      <c r="AO691" s="48" t="e">
        <f ca="1">IF(INDIRECT("'["&amp;$C$1&amp;".xls]"&amp;$B691&amp;"'!$T29")="","",IF(INDIRECT("'["&amp;$C$1&amp;".xls]"&amp;$B691&amp;"'!$O$29")="済み",INDIRECT("'["&amp;$C$1&amp;".xls]"&amp;$B691&amp;"'!$T$29"),""))</f>
        <v>#REF!</v>
      </c>
      <c r="AP691" s="48" t="e">
        <f ca="1">IF(INDIRECT("'["&amp;$C$1&amp;".xls]"&amp;$B691&amp;"'!$T30")="","",IF(INDIRECT("'["&amp;$C$1&amp;".xls]"&amp;$B691&amp;"'!$O$30")="済み",INDIRECT("'["&amp;$C$1&amp;".xls]"&amp;$B691&amp;"'!$T$30"),""))</f>
        <v>#REF!</v>
      </c>
      <c r="AQ691" s="48" t="e">
        <f ca="1">IF(INDIRECT("'["&amp;$C$1&amp;".xls]"&amp;$B691&amp;"'!$T31")="","",IF(INDIRECT("'["&amp;$C$1&amp;".xls]"&amp;$B691&amp;"'!$O$31")="済み",INDIRECT("'["&amp;$C$1&amp;".xls]"&amp;$B691&amp;"'!$T$31"),""))</f>
        <v>#REF!</v>
      </c>
      <c r="AR691" s="48" t="e">
        <f ca="1">IF(INDIRECT("'["&amp;$C$1&amp;".xls]"&amp;$B691&amp;"'!$T32")="","",IF(INDIRECT("'["&amp;$C$1&amp;".xls]"&amp;$B691&amp;"'!$O$32")="済み",INDIRECT("'["&amp;$C$1&amp;".xls]"&amp;$B691&amp;"'!$T$32"),""))</f>
        <v>#REF!</v>
      </c>
      <c r="AS691" s="48" t="e">
        <f ca="1">IF(INDIRECT("'["&amp;$C$1&amp;".xls]"&amp;$B691&amp;"'!$T33")="","",IF(INDIRECT("'["&amp;$C$1&amp;".xls]"&amp;$B691&amp;"'!$O$33")="済み",INDIRECT("'["&amp;$C$1&amp;".xls]"&amp;$B691&amp;"'!$T$33"),""))</f>
        <v>#REF!</v>
      </c>
      <c r="AT691" s="48" t="e">
        <f ca="1">IF(INDIRECT("'["&amp;$C$1&amp;".xls]"&amp;$B691&amp;"'!$T34")="","",IF(INDIRECT("'["&amp;$C$1&amp;".xls]"&amp;$B691&amp;"'!$O$34")="済み",INDIRECT("'["&amp;$C$1&amp;".xls]"&amp;$B691&amp;"'!$T$34"),""))</f>
        <v>#REF!</v>
      </c>
      <c r="AU691" s="93" t="e">
        <f ca="1">INDIRECT("'["&amp;$C$1&amp;".xls]"&amp;$B691&amp;"'!$B$6")</f>
        <v>#REF!</v>
      </c>
      <c r="AV691" s="93" t="e">
        <f ca="1">INDIRECT("'["&amp;$C$1&amp;".xls]"&amp;$B691&amp;"'!$Y$22")</f>
        <v>#REF!</v>
      </c>
      <c r="AW691" s="93" t="e">
        <f ca="1">INDIRECT("'["&amp;$C$1&amp;".xls]"&amp;$B691&amp;"'!$Y$24")</f>
        <v>#REF!</v>
      </c>
      <c r="AX691" s="93" t="e">
        <f ca="1">INDIRECT("'["&amp;$C$1&amp;".xls]"&amp;$B691&amp;"'!$Y$26")</f>
        <v>#REF!</v>
      </c>
      <c r="AY691" s="93" t="e">
        <f ca="1">INDIRECT("'["&amp;$C$1&amp;".xls]"&amp;$B691&amp;"'!$Y$28")</f>
        <v>#REF!</v>
      </c>
    </row>
    <row r="692" spans="1:52" ht="16.5" customHeight="1" x14ac:dyDescent="0.15">
      <c r="A692" s="199" t="s">
        <v>6999</v>
      </c>
      <c r="B692" s="209" t="s">
        <v>7000</v>
      </c>
      <c r="C692" s="48" t="s">
        <v>298</v>
      </c>
      <c r="D692" s="62" t="s">
        <v>7001</v>
      </c>
      <c r="E692" s="48" t="s">
        <v>300</v>
      </c>
      <c r="F692" s="61">
        <v>42647</v>
      </c>
      <c r="G692" s="61">
        <v>0</v>
      </c>
      <c r="H692" s="125">
        <v>42695</v>
      </c>
      <c r="I692" s="61" t="s">
        <v>279</v>
      </c>
      <c r="J692" s="87"/>
      <c r="K692" s="62" t="s">
        <v>2506</v>
      </c>
      <c r="L692" s="62">
        <v>3</v>
      </c>
      <c r="M692" s="62" t="s">
        <v>755</v>
      </c>
      <c r="N692" s="62" t="s">
        <v>7002</v>
      </c>
      <c r="O692" s="48" t="s">
        <v>7003</v>
      </c>
      <c r="P692" s="48" t="s">
        <v>7004</v>
      </c>
      <c r="Q692" s="48" t="s">
        <v>7005</v>
      </c>
      <c r="R692" s="48" t="s">
        <v>3009</v>
      </c>
      <c r="S692" s="48" t="s">
        <v>3010</v>
      </c>
      <c r="T692" s="48" t="s">
        <v>3011</v>
      </c>
      <c r="U692" s="48" t="s">
        <v>7006</v>
      </c>
      <c r="V692" s="48" t="s">
        <v>7007</v>
      </c>
      <c r="W692" s="48" t="s">
        <v>7008</v>
      </c>
      <c r="X692" s="48" t="s">
        <v>7009</v>
      </c>
      <c r="Y692" s="48" t="s">
        <v>7010</v>
      </c>
      <c r="Z692" s="61"/>
      <c r="AA692" s="48" t="s">
        <v>1056</v>
      </c>
      <c r="AB692" s="48" t="s">
        <v>273</v>
      </c>
      <c r="AC692" s="48" t="s">
        <v>273</v>
      </c>
      <c r="AD692" s="48" t="s">
        <v>273</v>
      </c>
      <c r="AE692" s="48" t="s">
        <v>273</v>
      </c>
      <c r="AF692" s="48" t="s">
        <v>273</v>
      </c>
      <c r="AG692" s="48" t="s">
        <v>273</v>
      </c>
      <c r="AH692" s="48" t="s">
        <v>273</v>
      </c>
      <c r="AI692" s="48" t="s">
        <v>273</v>
      </c>
      <c r="AJ692" s="48" t="s">
        <v>273</v>
      </c>
      <c r="AK692" s="48" t="s">
        <v>1059</v>
      </c>
      <c r="AL692" s="48" t="s">
        <v>273</v>
      </c>
      <c r="AM692" s="48" t="s">
        <v>273</v>
      </c>
      <c r="AN692" s="48" t="s">
        <v>273</v>
      </c>
      <c r="AO692" s="48" t="s">
        <v>273</v>
      </c>
      <c r="AP692" s="48" t="s">
        <v>273</v>
      </c>
      <c r="AQ692" s="48" t="s">
        <v>273</v>
      </c>
      <c r="AR692" s="48" t="s">
        <v>273</v>
      </c>
      <c r="AS692" s="48" t="s">
        <v>273</v>
      </c>
      <c r="AT692" s="48" t="s">
        <v>273</v>
      </c>
      <c r="AU692" s="93">
        <v>38838</v>
      </c>
      <c r="AV692" s="93" t="s">
        <v>6939</v>
      </c>
      <c r="AW692" s="93" t="s">
        <v>7011</v>
      </c>
      <c r="AX692" s="93" t="s">
        <v>7012</v>
      </c>
      <c r="AY692" s="93" t="s">
        <v>5312</v>
      </c>
    </row>
    <row r="693" spans="1:52" ht="16.5" customHeight="1" x14ac:dyDescent="0.15">
      <c r="A693" s="121" t="s">
        <v>7013</v>
      </c>
      <c r="B693" s="47" t="s">
        <v>7014</v>
      </c>
      <c r="C693" s="48" t="e">
        <f ca="1">INDIRECT("'["&amp;$C$1&amp;".xls]"&amp;$B693&amp;"'!$i$7")</f>
        <v>#REF!</v>
      </c>
      <c r="D693" s="62" t="e">
        <f ca="1">INDIRECT("'["&amp;$C$1&amp;".xls]"&amp;$B693&amp;"'!$b$7")</f>
        <v>#REF!</v>
      </c>
      <c r="E693" s="48" t="e">
        <f ca="1">IF(INDIRECT("'["&amp;$C$1&amp;".xls]"&amp;$B693&amp;"'!$i$2")="","",INDIRECT("'["&amp;$C$1&amp;".xls]"&amp;$B693&amp;"'!$i$2"))</f>
        <v>#REF!</v>
      </c>
      <c r="F693" s="61" t="e">
        <f ca="1">INDIRECT("'["&amp;$C$1&amp;".xls]"&amp;$B693&amp;"'!$b$2")</f>
        <v>#REF!</v>
      </c>
      <c r="G693" s="61" t="e">
        <f ca="1">INDIRECT("'["&amp;$C$1&amp;".xls]"&amp;$B693&amp;"'!$a$20")</f>
        <v>#REF!</v>
      </c>
      <c r="H693" s="88" t="e">
        <f ca="1">INDIRECT("'["&amp;$C$1&amp;".xls]"&amp;$B693&amp;"'!$Q$22")</f>
        <v>#REF!</v>
      </c>
      <c r="I693" s="61" t="e">
        <f ca="1">INDIRECT("'["&amp;$C$1&amp;".xls]"&amp;$B693&amp;"'!$f$6")</f>
        <v>#REF!</v>
      </c>
      <c r="J693" s="87"/>
      <c r="K693" s="62" t="e">
        <f ca="1">INDIRECT("'["&amp;$C$1&amp;".xls]"&amp;$B693&amp;"'!$f$25")</f>
        <v>#REF!</v>
      </c>
      <c r="L693" s="62"/>
      <c r="M693" s="62" t="e">
        <f ca="1">INDIRECT("'["&amp;$C$1&amp;".xls]"&amp;$B693&amp;"'!$f$4")</f>
        <v>#REF!</v>
      </c>
      <c r="N693" s="62" t="e">
        <f ca="1">INDIRECT("'["&amp;$C$1&amp;".xls]"&amp;$B693&amp;"'!$i$4")</f>
        <v>#REF!</v>
      </c>
      <c r="O693" s="48" t="e">
        <f ca="1">INDIRECT("'["&amp;$C$1&amp;".xls]"&amp;$B693&amp;"'!$l$4")</f>
        <v>#REF!</v>
      </c>
      <c r="P693" s="48" t="e">
        <f ca="1">INDIRECT("'["&amp;$C$1&amp;".xls]"&amp;$B693&amp;"'!$b$5")</f>
        <v>#REF!</v>
      </c>
      <c r="Q693" s="48" t="e">
        <f ca="1">INDIRECT("'["&amp;$C$1&amp;".xls]"&amp;$B693&amp;"'!$f$5")</f>
        <v>#REF!</v>
      </c>
      <c r="R693" s="48"/>
      <c r="S693" s="48" t="e">
        <f ca="1">INDIRECT("'["&amp;$C$1&amp;".xls]"&amp;$B693&amp;"'!$i$5")</f>
        <v>#REF!</v>
      </c>
      <c r="T693" s="48" t="e">
        <f ca="1">INDIRECT("'["&amp;$C$1&amp;".xls]"&amp;$B693&amp;"'!$l$5")</f>
        <v>#REF!</v>
      </c>
      <c r="U693" s="48" t="e">
        <f ca="1">INDIRECT("'["&amp;$C$1&amp;".xls]"&amp;$B693&amp;"'!$b$4")</f>
        <v>#REF!</v>
      </c>
      <c r="V693" s="48"/>
      <c r="W693" s="48"/>
      <c r="X693" s="48"/>
      <c r="Y693" s="48"/>
      <c r="Z693" s="61"/>
      <c r="AA693" s="48" t="e">
        <f ca="1">IF(INDIRECT("'["&amp;$C$1&amp;".xls]"&amp;$B693&amp;"'!$P$25")="","",IF(INDIRECT("'["&amp;$C$1&amp;".xls]"&amp;$B693&amp;"'!$O$25")="済み",INDIRECT("'["&amp;$C$1&amp;".xls]"&amp;$B693&amp;"'!$P$25"),""))</f>
        <v>#REF!</v>
      </c>
      <c r="AB693" s="48" t="e">
        <f ca="1">IF(INDIRECT("'["&amp;$C$1&amp;".xls]"&amp;$B693&amp;"'!$P$26")="","",IF(INDIRECT("'["&amp;$C$1&amp;".xls]"&amp;$B693&amp;"'!$O$26")="済み",INDIRECT("'["&amp;$C$1&amp;".xls]"&amp;$B693&amp;"'!$P$26"),""))</f>
        <v>#REF!</v>
      </c>
      <c r="AC693" s="48" t="e">
        <f ca="1">IF(INDIRECT("'["&amp;$C$1&amp;".xls]"&amp;$B693&amp;"'!$P$27")="","",IF(INDIRECT("'["&amp;$C$1&amp;".xls]"&amp;$B693&amp;"'!$O$27")="済み",INDIRECT("'["&amp;$C$1&amp;".xls]"&amp;$B693&amp;"'!$P$27"),""))</f>
        <v>#REF!</v>
      </c>
      <c r="AD693" s="48" t="e">
        <f ca="1">IF(INDIRECT("'["&amp;$C$1&amp;".xls]"&amp;$B693&amp;"'!$P$28")="","",IF(INDIRECT("'["&amp;$C$1&amp;".xls]"&amp;$B693&amp;"'!$O$28")="済み",INDIRECT("'["&amp;$C$1&amp;".xls]"&amp;$B693&amp;"'!$P$28"),""))</f>
        <v>#REF!</v>
      </c>
      <c r="AE693" s="48" t="e">
        <f ca="1">IF(INDIRECT("'["&amp;$C$1&amp;".xls]"&amp;$B693&amp;"'!$P$29")="","",IF(INDIRECT("'["&amp;$C$1&amp;".xls]"&amp;$B693&amp;"'!$O$29")="済み",INDIRECT("'["&amp;$C$1&amp;".xls]"&amp;$B693&amp;"'!$P$29"),""))</f>
        <v>#REF!</v>
      </c>
      <c r="AF693" s="48" t="e">
        <f ca="1">IF(INDIRECT("'["&amp;$C$1&amp;".xls]"&amp;$B693&amp;"'!$P$30")="","",IF(INDIRECT("'["&amp;$C$1&amp;".xls]"&amp;$B693&amp;"'!$O$30")="済み",INDIRECT("'["&amp;$C$1&amp;".xls]"&amp;$B693&amp;"'!$P$30"),""))</f>
        <v>#REF!</v>
      </c>
      <c r="AG693" s="48" t="e">
        <f ca="1">IF(INDIRECT("'["&amp;$C$1&amp;".xls]"&amp;$B693&amp;"'!$P$31")="","",IF(INDIRECT("'["&amp;$C$1&amp;".xls]"&amp;$B693&amp;"'!$O$31")="済み",INDIRECT("'["&amp;$C$1&amp;".xls]"&amp;$B693&amp;"'!$P$31"),""))</f>
        <v>#REF!</v>
      </c>
      <c r="AH693" s="48" t="e">
        <f ca="1">IF(INDIRECT("'["&amp;$C$1&amp;".xls]"&amp;$B693&amp;"'!$P$32")="","",IF(INDIRECT("'["&amp;$C$1&amp;".xls]"&amp;$B693&amp;"'!$O$32")="済み",INDIRECT("'["&amp;$C$1&amp;".xls]"&amp;$B693&amp;"'!$P$32"),""))</f>
        <v>#REF!</v>
      </c>
      <c r="AI693" s="48" t="e">
        <f ca="1">IF(INDIRECT("'["&amp;$C$1&amp;".xls]"&amp;$B693&amp;"'!$P$33")="","",IF(INDIRECT("'["&amp;$C$1&amp;".xls]"&amp;$B693&amp;"'!$O$33")="済み",INDIRECT("'["&amp;$C$1&amp;".xls]"&amp;$B693&amp;"'!$P$33"),""))</f>
        <v>#REF!</v>
      </c>
      <c r="AJ693" s="48" t="e">
        <f ca="1">IF(INDIRECT("'["&amp;$C$1&amp;".xls]"&amp;$B693&amp;"'!$P$34")="","",IF(INDIRECT("'["&amp;$C$1&amp;".xls]"&amp;$B693&amp;"'!$O$34")="済み",INDIRECT("'["&amp;$C$1&amp;".xls]"&amp;$B693&amp;"'!$P$34"),""))</f>
        <v>#REF!</v>
      </c>
      <c r="AK693" s="48" t="e">
        <f ca="1">IF(INDIRECT("'["&amp;$C$1&amp;".xls]"&amp;$B693&amp;"'!$T25")="","",IF(INDIRECT("'["&amp;$C$1&amp;".xls]"&amp;$B693&amp;"'!$O$25")="済み",INDIRECT("'["&amp;$C$1&amp;".xls]"&amp;$B693&amp;"'!$T$25"),""))</f>
        <v>#REF!</v>
      </c>
      <c r="AL693" s="48" t="e">
        <f ca="1">IF(INDIRECT("'["&amp;$C$1&amp;".xls]"&amp;$B693&amp;"'!$T26")="","",IF(INDIRECT("'["&amp;$C$1&amp;".xls]"&amp;$B693&amp;"'!$O$26")="済み",INDIRECT("'["&amp;$C$1&amp;".xls]"&amp;$B693&amp;"'!$T$26"),""))</f>
        <v>#REF!</v>
      </c>
      <c r="AM693" s="48" t="e">
        <f ca="1">IF(INDIRECT("'["&amp;$C$1&amp;".xls]"&amp;$B693&amp;"'!$T27")="","",IF(INDIRECT("'["&amp;$C$1&amp;".xls]"&amp;$B693&amp;"'!$O$27")="済み",INDIRECT("'["&amp;$C$1&amp;".xls]"&amp;$B693&amp;"'!$T$27"),""))</f>
        <v>#REF!</v>
      </c>
      <c r="AN693" s="48" t="e">
        <f ca="1">IF(INDIRECT("'["&amp;$C$1&amp;".xls]"&amp;$B693&amp;"'!$T28")="","",IF(INDIRECT("'["&amp;$C$1&amp;".xls]"&amp;$B693&amp;"'!$O$28")="済み",INDIRECT("'["&amp;$C$1&amp;".xls]"&amp;$B693&amp;"'!$T$28"),""))</f>
        <v>#REF!</v>
      </c>
      <c r="AO693" s="48" t="e">
        <f ca="1">IF(INDIRECT("'["&amp;$C$1&amp;".xls]"&amp;$B693&amp;"'!$T29")="","",IF(INDIRECT("'["&amp;$C$1&amp;".xls]"&amp;$B693&amp;"'!$O$29")="済み",INDIRECT("'["&amp;$C$1&amp;".xls]"&amp;$B693&amp;"'!$T$29"),""))</f>
        <v>#REF!</v>
      </c>
      <c r="AP693" s="48" t="e">
        <f ca="1">IF(INDIRECT("'["&amp;$C$1&amp;".xls]"&amp;$B693&amp;"'!$T30")="","",IF(INDIRECT("'["&amp;$C$1&amp;".xls]"&amp;$B693&amp;"'!$O$30")="済み",INDIRECT("'["&amp;$C$1&amp;".xls]"&amp;$B693&amp;"'!$T$30"),""))</f>
        <v>#REF!</v>
      </c>
      <c r="AQ693" s="48" t="e">
        <f ca="1">IF(INDIRECT("'["&amp;$C$1&amp;".xls]"&amp;$B693&amp;"'!$T31")="","",IF(INDIRECT("'["&amp;$C$1&amp;".xls]"&amp;$B693&amp;"'!$O$31")="済み",INDIRECT("'["&amp;$C$1&amp;".xls]"&amp;$B693&amp;"'!$T$31"),""))</f>
        <v>#REF!</v>
      </c>
      <c r="AR693" s="48" t="e">
        <f ca="1">IF(INDIRECT("'["&amp;$C$1&amp;".xls]"&amp;$B693&amp;"'!$T32")="","",IF(INDIRECT("'["&amp;$C$1&amp;".xls]"&amp;$B693&amp;"'!$O$32")="済み",INDIRECT("'["&amp;$C$1&amp;".xls]"&amp;$B693&amp;"'!$T$32"),""))</f>
        <v>#REF!</v>
      </c>
      <c r="AS693" s="48" t="e">
        <f ca="1">IF(INDIRECT("'["&amp;$C$1&amp;".xls]"&amp;$B693&amp;"'!$T33")="","",IF(INDIRECT("'["&amp;$C$1&amp;".xls]"&amp;$B693&amp;"'!$O$33")="済み",INDIRECT("'["&amp;$C$1&amp;".xls]"&amp;$B693&amp;"'!$T$33"),""))</f>
        <v>#REF!</v>
      </c>
      <c r="AT693" s="48" t="e">
        <f ca="1">IF(INDIRECT("'["&amp;$C$1&amp;".xls]"&amp;$B693&amp;"'!$T34")="","",IF(INDIRECT("'["&amp;$C$1&amp;".xls]"&amp;$B693&amp;"'!$O$34")="済み",INDIRECT("'["&amp;$C$1&amp;".xls]"&amp;$B693&amp;"'!$T$34"),""))</f>
        <v>#REF!</v>
      </c>
      <c r="AU693" s="93" t="e">
        <f ca="1">INDIRECT("'["&amp;$C$1&amp;".xls]"&amp;$B693&amp;"'!$B$6")</f>
        <v>#REF!</v>
      </c>
      <c r="AV693" s="93" t="e">
        <f ca="1">INDIRECT("'["&amp;$C$1&amp;".xls]"&amp;$B693&amp;"'!$Y$22")</f>
        <v>#REF!</v>
      </c>
      <c r="AW693" s="93" t="e">
        <f ca="1">INDIRECT("'["&amp;$C$1&amp;".xls]"&amp;$B693&amp;"'!$Y$24")</f>
        <v>#REF!</v>
      </c>
      <c r="AX693" s="93" t="e">
        <f ca="1">INDIRECT("'["&amp;$C$1&amp;".xls]"&amp;$B693&amp;"'!$Y$26")</f>
        <v>#REF!</v>
      </c>
      <c r="AY693" s="93" t="e">
        <f ca="1">INDIRECT("'["&amp;$C$1&amp;".xls]"&amp;$B693&amp;"'!$Y$28")</f>
        <v>#REF!</v>
      </c>
    </row>
    <row r="694" spans="1:52" ht="16.5" customHeight="1" x14ac:dyDescent="0.15">
      <c r="A694" s="199" t="s">
        <v>7015</v>
      </c>
      <c r="B694" s="209" t="s">
        <v>7016</v>
      </c>
      <c r="C694" s="48" t="s">
        <v>298</v>
      </c>
      <c r="D694" s="62" t="s">
        <v>7017</v>
      </c>
      <c r="E694" s="48" t="s">
        <v>300</v>
      </c>
      <c r="F694" s="61">
        <v>42648</v>
      </c>
      <c r="G694" s="61">
        <v>0</v>
      </c>
      <c r="H694" s="125">
        <v>42682</v>
      </c>
      <c r="I694" s="61" t="s">
        <v>279</v>
      </c>
      <c r="J694" s="87"/>
      <c r="K694" s="62" t="s">
        <v>2506</v>
      </c>
      <c r="L694" s="62">
        <v>3</v>
      </c>
      <c r="M694" s="62" t="s">
        <v>442</v>
      </c>
      <c r="N694" s="62" t="s">
        <v>7018</v>
      </c>
      <c r="O694" s="48" t="s">
        <v>570</v>
      </c>
      <c r="P694" s="48" t="s">
        <v>7019</v>
      </c>
      <c r="Q694" s="48" t="s">
        <v>7020</v>
      </c>
      <c r="R694" s="48" t="s">
        <v>7021</v>
      </c>
      <c r="S694" s="48" t="s">
        <v>7022</v>
      </c>
      <c r="T694" s="48" t="s">
        <v>7023</v>
      </c>
      <c r="U694" s="48" t="s">
        <v>7024</v>
      </c>
      <c r="V694" s="48" t="s">
        <v>7025</v>
      </c>
      <c r="W694" s="122" t="s">
        <v>263</v>
      </c>
      <c r="X694" s="48" t="s">
        <v>7026</v>
      </c>
      <c r="Y694" s="48" t="s">
        <v>7027</v>
      </c>
      <c r="Z694" s="61"/>
      <c r="AA694" s="48" t="s">
        <v>7028</v>
      </c>
      <c r="AB694" s="48" t="s">
        <v>645</v>
      </c>
      <c r="AC694" s="48" t="s">
        <v>581</v>
      </c>
      <c r="AD694" s="48" t="s">
        <v>453</v>
      </c>
      <c r="AE694" s="48" t="s">
        <v>273</v>
      </c>
      <c r="AF694" s="48" t="s">
        <v>273</v>
      </c>
      <c r="AG694" s="48" t="s">
        <v>273</v>
      </c>
      <c r="AH694" s="48" t="s">
        <v>273</v>
      </c>
      <c r="AI694" s="48" t="s">
        <v>273</v>
      </c>
      <c r="AJ694" s="48" t="s">
        <v>273</v>
      </c>
      <c r="AK694" s="48" t="s">
        <v>7029</v>
      </c>
      <c r="AL694" s="48" t="s">
        <v>646</v>
      </c>
      <c r="AM694" s="48" t="s">
        <v>582</v>
      </c>
      <c r="AN694" s="48" t="s">
        <v>454</v>
      </c>
      <c r="AO694" s="48" t="s">
        <v>273</v>
      </c>
      <c r="AP694" s="48" t="s">
        <v>273</v>
      </c>
      <c r="AQ694" s="48" t="s">
        <v>273</v>
      </c>
      <c r="AR694" s="48" t="s">
        <v>273</v>
      </c>
      <c r="AS694" s="48" t="s">
        <v>273</v>
      </c>
      <c r="AT694" s="48" t="s">
        <v>273</v>
      </c>
      <c r="AU694" s="93">
        <v>39630</v>
      </c>
      <c r="AV694" s="93" t="s">
        <v>7030</v>
      </c>
      <c r="AW694" s="93" t="s">
        <v>7031</v>
      </c>
      <c r="AX694" s="93" t="s">
        <v>7032</v>
      </c>
      <c r="AY694" s="93" t="s">
        <v>5312</v>
      </c>
    </row>
    <row r="695" spans="1:52" ht="16.5" customHeight="1" x14ac:dyDescent="0.15">
      <c r="A695" s="121" t="s">
        <v>7033</v>
      </c>
      <c r="B695" s="47" t="s">
        <v>7034</v>
      </c>
      <c r="C695" s="48" t="e">
        <f ca="1">INDIRECT("'["&amp;$C$1&amp;".xls]"&amp;$B695&amp;"'!$i$7")</f>
        <v>#REF!</v>
      </c>
      <c r="D695" s="62" t="e">
        <f ca="1">INDIRECT("'["&amp;$C$1&amp;".xls]"&amp;$B695&amp;"'!$b$7")</f>
        <v>#REF!</v>
      </c>
      <c r="E695" s="48" t="e">
        <f ca="1">IF(INDIRECT("'["&amp;$C$1&amp;".xls]"&amp;$B695&amp;"'!$i$2")="","",INDIRECT("'["&amp;$C$1&amp;".xls]"&amp;$B695&amp;"'!$i$2"))</f>
        <v>#REF!</v>
      </c>
      <c r="F695" s="61" t="e">
        <f ca="1">INDIRECT("'["&amp;$C$1&amp;".xls]"&amp;$B695&amp;"'!$b$2")</f>
        <v>#REF!</v>
      </c>
      <c r="G695" s="61" t="e">
        <f ca="1">INDIRECT("'["&amp;$C$1&amp;".xls]"&amp;$B695&amp;"'!$a$20")</f>
        <v>#REF!</v>
      </c>
      <c r="H695" s="88" t="e">
        <f ca="1">INDIRECT("'["&amp;$C$1&amp;".xls]"&amp;$B695&amp;"'!$Q$22")</f>
        <v>#REF!</v>
      </c>
      <c r="I695" s="61" t="e">
        <f ca="1">INDIRECT("'["&amp;$C$1&amp;".xls]"&amp;$B695&amp;"'!$f$6")</f>
        <v>#REF!</v>
      </c>
      <c r="J695" s="87"/>
      <c r="K695" s="124" t="s">
        <v>4232</v>
      </c>
      <c r="L695" s="124" t="s">
        <v>4232</v>
      </c>
      <c r="M695" s="62" t="e">
        <f ca="1">INDIRECT("'["&amp;$C$1&amp;".xls]"&amp;$B695&amp;"'!$f$4")</f>
        <v>#REF!</v>
      </c>
      <c r="N695" s="62" t="e">
        <f ca="1">INDIRECT("'["&amp;$C$1&amp;".xls]"&amp;$B695&amp;"'!$i$4")</f>
        <v>#REF!</v>
      </c>
      <c r="O695" s="48" t="e">
        <f ca="1">INDIRECT("'["&amp;$C$1&amp;".xls]"&amp;$B695&amp;"'!$l$4")</f>
        <v>#REF!</v>
      </c>
      <c r="P695" s="48" t="e">
        <f ca="1">INDIRECT("'["&amp;$C$1&amp;".xls]"&amp;$B695&amp;"'!$b$5")</f>
        <v>#REF!</v>
      </c>
      <c r="Q695" s="48" t="e">
        <f ca="1">INDIRECT("'["&amp;$C$1&amp;".xls]"&amp;$B695&amp;"'!$f$5")</f>
        <v>#REF!</v>
      </c>
      <c r="R695" s="48"/>
      <c r="S695" s="48" t="e">
        <f ca="1">INDIRECT("'["&amp;$C$1&amp;".xls]"&amp;$B695&amp;"'!$i$5")</f>
        <v>#REF!</v>
      </c>
      <c r="T695" s="48" t="e">
        <f ca="1">INDIRECT("'["&amp;$C$1&amp;".xls]"&amp;$B695&amp;"'!$l$5")</f>
        <v>#REF!</v>
      </c>
      <c r="U695" s="48" t="e">
        <f ca="1">INDIRECT("'["&amp;$C$1&amp;".xls]"&amp;$B695&amp;"'!$b$4")</f>
        <v>#REF!</v>
      </c>
      <c r="V695" s="48"/>
      <c r="W695" s="48"/>
      <c r="X695" s="48"/>
      <c r="Y695" s="48"/>
      <c r="Z695" s="61"/>
      <c r="AA695" s="48" t="e">
        <f ca="1">IF(INDIRECT("'["&amp;$C$1&amp;".xls]"&amp;$B695&amp;"'!$P$25")="","",IF(INDIRECT("'["&amp;$C$1&amp;".xls]"&amp;$B695&amp;"'!$O$25")="済み",INDIRECT("'["&amp;$C$1&amp;".xls]"&amp;$B695&amp;"'!$P$25"),""))</f>
        <v>#REF!</v>
      </c>
      <c r="AB695" s="48" t="e">
        <f ca="1">IF(INDIRECT("'["&amp;$C$1&amp;".xls]"&amp;$B695&amp;"'!$P$26")="","",IF(INDIRECT("'["&amp;$C$1&amp;".xls]"&amp;$B695&amp;"'!$O$26")="済み",INDIRECT("'["&amp;$C$1&amp;".xls]"&amp;$B695&amp;"'!$P$26"),""))</f>
        <v>#REF!</v>
      </c>
      <c r="AC695" s="48" t="e">
        <f ca="1">IF(INDIRECT("'["&amp;$C$1&amp;".xls]"&amp;$B695&amp;"'!$P$27")="","",IF(INDIRECT("'["&amp;$C$1&amp;".xls]"&amp;$B695&amp;"'!$O$27")="済み",INDIRECT("'["&amp;$C$1&amp;".xls]"&amp;$B695&amp;"'!$P$27"),""))</f>
        <v>#REF!</v>
      </c>
      <c r="AD695" s="48" t="e">
        <f ca="1">IF(INDIRECT("'["&amp;$C$1&amp;".xls]"&amp;$B695&amp;"'!$P$28")="","",IF(INDIRECT("'["&amp;$C$1&amp;".xls]"&amp;$B695&amp;"'!$O$28")="済み",INDIRECT("'["&amp;$C$1&amp;".xls]"&amp;$B695&amp;"'!$P$28"),""))</f>
        <v>#REF!</v>
      </c>
      <c r="AE695" s="48" t="e">
        <f ca="1">IF(INDIRECT("'["&amp;$C$1&amp;".xls]"&amp;$B695&amp;"'!$P$29")="","",IF(INDIRECT("'["&amp;$C$1&amp;".xls]"&amp;$B695&amp;"'!$O$29")="済み",INDIRECT("'["&amp;$C$1&amp;".xls]"&amp;$B695&amp;"'!$P$29"),""))</f>
        <v>#REF!</v>
      </c>
      <c r="AF695" s="48" t="e">
        <f ca="1">IF(INDIRECT("'["&amp;$C$1&amp;".xls]"&amp;$B695&amp;"'!$P$30")="","",IF(INDIRECT("'["&amp;$C$1&amp;".xls]"&amp;$B695&amp;"'!$O$30")="済み",INDIRECT("'["&amp;$C$1&amp;".xls]"&amp;$B695&amp;"'!$P$30"),""))</f>
        <v>#REF!</v>
      </c>
      <c r="AG695" s="48" t="e">
        <f ca="1">IF(INDIRECT("'["&amp;$C$1&amp;".xls]"&amp;$B695&amp;"'!$P$31")="","",IF(INDIRECT("'["&amp;$C$1&amp;".xls]"&amp;$B695&amp;"'!$O$31")="済み",INDIRECT("'["&amp;$C$1&amp;".xls]"&amp;$B695&amp;"'!$P$31"),""))</f>
        <v>#REF!</v>
      </c>
      <c r="AH695" s="48" t="e">
        <f ca="1">IF(INDIRECT("'["&amp;$C$1&amp;".xls]"&amp;$B695&amp;"'!$P$32")="","",IF(INDIRECT("'["&amp;$C$1&amp;".xls]"&amp;$B695&amp;"'!$O$32")="済み",INDIRECT("'["&amp;$C$1&amp;".xls]"&amp;$B695&amp;"'!$P$32"),""))</f>
        <v>#REF!</v>
      </c>
      <c r="AI695" s="48" t="e">
        <f ca="1">IF(INDIRECT("'["&amp;$C$1&amp;".xls]"&amp;$B695&amp;"'!$P$33")="","",IF(INDIRECT("'["&amp;$C$1&amp;".xls]"&amp;$B695&amp;"'!$O$33")="済み",INDIRECT("'["&amp;$C$1&amp;".xls]"&amp;$B695&amp;"'!$P$33"),""))</f>
        <v>#REF!</v>
      </c>
      <c r="AJ695" s="48" t="e">
        <f ca="1">IF(INDIRECT("'["&amp;$C$1&amp;".xls]"&amp;$B695&amp;"'!$P$34")="","",IF(INDIRECT("'["&amp;$C$1&amp;".xls]"&amp;$B695&amp;"'!$O$34")="済み",INDIRECT("'["&amp;$C$1&amp;".xls]"&amp;$B695&amp;"'!$P$34"),""))</f>
        <v>#REF!</v>
      </c>
      <c r="AK695" s="48" t="e">
        <f ca="1">IF(INDIRECT("'["&amp;$C$1&amp;".xls]"&amp;$B695&amp;"'!$T25")="","",IF(INDIRECT("'["&amp;$C$1&amp;".xls]"&amp;$B695&amp;"'!$O$25")="済み",INDIRECT("'["&amp;$C$1&amp;".xls]"&amp;$B695&amp;"'!$T$25"),""))</f>
        <v>#REF!</v>
      </c>
      <c r="AL695" s="48" t="e">
        <f ca="1">IF(INDIRECT("'["&amp;$C$1&amp;".xls]"&amp;$B695&amp;"'!$T26")="","",IF(INDIRECT("'["&amp;$C$1&amp;".xls]"&amp;$B695&amp;"'!$O$26")="済み",INDIRECT("'["&amp;$C$1&amp;".xls]"&amp;$B695&amp;"'!$T$26"),""))</f>
        <v>#REF!</v>
      </c>
      <c r="AM695" s="48" t="e">
        <f ca="1">IF(INDIRECT("'["&amp;$C$1&amp;".xls]"&amp;$B695&amp;"'!$T27")="","",IF(INDIRECT("'["&amp;$C$1&amp;".xls]"&amp;$B695&amp;"'!$O$27")="済み",INDIRECT("'["&amp;$C$1&amp;".xls]"&amp;$B695&amp;"'!$T$27"),""))</f>
        <v>#REF!</v>
      </c>
      <c r="AN695" s="48" t="e">
        <f ca="1">IF(INDIRECT("'["&amp;$C$1&amp;".xls]"&amp;$B695&amp;"'!$T28")="","",IF(INDIRECT("'["&amp;$C$1&amp;".xls]"&amp;$B695&amp;"'!$O$28")="済み",INDIRECT("'["&amp;$C$1&amp;".xls]"&amp;$B695&amp;"'!$T$28"),""))</f>
        <v>#REF!</v>
      </c>
      <c r="AO695" s="48" t="e">
        <f ca="1">IF(INDIRECT("'["&amp;$C$1&amp;".xls]"&amp;$B695&amp;"'!$T29")="","",IF(INDIRECT("'["&amp;$C$1&amp;".xls]"&amp;$B695&amp;"'!$O$29")="済み",INDIRECT("'["&amp;$C$1&amp;".xls]"&amp;$B695&amp;"'!$T$29"),""))</f>
        <v>#REF!</v>
      </c>
      <c r="AP695" s="48" t="e">
        <f ca="1">IF(INDIRECT("'["&amp;$C$1&amp;".xls]"&amp;$B695&amp;"'!$T30")="","",IF(INDIRECT("'["&amp;$C$1&amp;".xls]"&amp;$B695&amp;"'!$O$30")="済み",INDIRECT("'["&amp;$C$1&amp;".xls]"&amp;$B695&amp;"'!$T$30"),""))</f>
        <v>#REF!</v>
      </c>
      <c r="AQ695" s="48" t="e">
        <f ca="1">IF(INDIRECT("'["&amp;$C$1&amp;".xls]"&amp;$B695&amp;"'!$T31")="","",IF(INDIRECT("'["&amp;$C$1&amp;".xls]"&amp;$B695&amp;"'!$O$31")="済み",INDIRECT("'["&amp;$C$1&amp;".xls]"&amp;$B695&amp;"'!$T$31"),""))</f>
        <v>#REF!</v>
      </c>
      <c r="AR695" s="48" t="e">
        <f ca="1">IF(INDIRECT("'["&amp;$C$1&amp;".xls]"&amp;$B695&amp;"'!$T32")="","",IF(INDIRECT("'["&amp;$C$1&amp;".xls]"&amp;$B695&amp;"'!$O$32")="済み",INDIRECT("'["&amp;$C$1&amp;".xls]"&amp;$B695&amp;"'!$T$32"),""))</f>
        <v>#REF!</v>
      </c>
      <c r="AS695" s="48" t="e">
        <f ca="1">IF(INDIRECT("'["&amp;$C$1&amp;".xls]"&amp;$B695&amp;"'!$T33")="","",IF(INDIRECT("'["&amp;$C$1&amp;".xls]"&amp;$B695&amp;"'!$O$33")="済み",INDIRECT("'["&amp;$C$1&amp;".xls]"&amp;$B695&amp;"'!$T$33"),""))</f>
        <v>#REF!</v>
      </c>
      <c r="AT695" s="48" t="e">
        <f ca="1">IF(INDIRECT("'["&amp;$C$1&amp;".xls]"&amp;$B695&amp;"'!$T34")="","",IF(INDIRECT("'["&amp;$C$1&amp;".xls]"&amp;$B695&amp;"'!$O$34")="済み",INDIRECT("'["&amp;$C$1&amp;".xls]"&amp;$B695&amp;"'!$T$34"),""))</f>
        <v>#REF!</v>
      </c>
      <c r="AU695" s="93" t="e">
        <f ca="1">INDIRECT("'["&amp;$C$1&amp;".xls]"&amp;$B695&amp;"'!$B$6")</f>
        <v>#REF!</v>
      </c>
      <c r="AV695" s="93" t="e">
        <f ca="1">INDIRECT("'["&amp;$C$1&amp;".xls]"&amp;$B695&amp;"'!$Y$22")</f>
        <v>#REF!</v>
      </c>
      <c r="AW695" s="93" t="e">
        <f ca="1">INDIRECT("'["&amp;$C$1&amp;".xls]"&amp;$B695&amp;"'!$Y$24")</f>
        <v>#REF!</v>
      </c>
      <c r="AX695" s="93" t="e">
        <f ca="1">INDIRECT("'["&amp;$C$1&amp;".xls]"&amp;$B695&amp;"'!$Y$26")</f>
        <v>#REF!</v>
      </c>
      <c r="AY695" s="93" t="e">
        <f ca="1">INDIRECT("'["&amp;$C$1&amp;".xls]"&amp;$B695&amp;"'!$Y$28")</f>
        <v>#REF!</v>
      </c>
      <c r="AZ695" s="49" t="s">
        <v>7035</v>
      </c>
    </row>
    <row r="696" spans="1:52" ht="16.5" customHeight="1" x14ac:dyDescent="0.15">
      <c r="A696" s="211" t="s">
        <v>7036</v>
      </c>
      <c r="B696" s="212" t="s">
        <v>7037</v>
      </c>
      <c r="C696" s="48" t="s">
        <v>298</v>
      </c>
      <c r="D696" s="62" t="s">
        <v>7038</v>
      </c>
      <c r="E696" s="48" t="s">
        <v>300</v>
      </c>
      <c r="F696" s="61">
        <v>42648</v>
      </c>
      <c r="G696" s="61">
        <v>0</v>
      </c>
      <c r="H696" s="125">
        <v>42710</v>
      </c>
      <c r="I696" s="61" t="s">
        <v>279</v>
      </c>
      <c r="J696" s="87"/>
      <c r="K696" s="124" t="s">
        <v>4232</v>
      </c>
      <c r="L696" s="124" t="s">
        <v>4232</v>
      </c>
      <c r="M696" s="62" t="s">
        <v>680</v>
      </c>
      <c r="N696" s="62" t="s">
        <v>7039</v>
      </c>
      <c r="O696" s="48" t="s">
        <v>7040</v>
      </c>
      <c r="P696" s="48" t="s">
        <v>7041</v>
      </c>
      <c r="Q696" s="48" t="s">
        <v>7042</v>
      </c>
      <c r="R696" s="48" t="s">
        <v>7043</v>
      </c>
      <c r="S696" s="48" t="s">
        <v>7044</v>
      </c>
      <c r="T696" s="48" t="s">
        <v>7045</v>
      </c>
      <c r="U696" s="48" t="s">
        <v>7046</v>
      </c>
      <c r="V696" s="122" t="s">
        <v>4232</v>
      </c>
      <c r="W696" s="122" t="s">
        <v>4232</v>
      </c>
      <c r="X696" s="48" t="s">
        <v>7047</v>
      </c>
      <c r="Y696" s="48" t="s">
        <v>7048</v>
      </c>
      <c r="Z696" s="61"/>
      <c r="AA696" s="48" t="s">
        <v>273</v>
      </c>
      <c r="AB696" s="48" t="s">
        <v>273</v>
      </c>
      <c r="AC696" s="48" t="s">
        <v>273</v>
      </c>
      <c r="AD696" s="48" t="s">
        <v>273</v>
      </c>
      <c r="AE696" s="48" t="s">
        <v>273</v>
      </c>
      <c r="AF696" s="48" t="s">
        <v>273</v>
      </c>
      <c r="AG696" s="48" t="s">
        <v>273</v>
      </c>
      <c r="AH696" s="48" t="s">
        <v>273</v>
      </c>
      <c r="AI696" s="48" t="s">
        <v>273</v>
      </c>
      <c r="AJ696" s="48" t="s">
        <v>273</v>
      </c>
      <c r="AK696" s="48" t="s">
        <v>273</v>
      </c>
      <c r="AL696" s="48" t="s">
        <v>273</v>
      </c>
      <c r="AM696" s="48" t="s">
        <v>273</v>
      </c>
      <c r="AN696" s="48" t="s">
        <v>273</v>
      </c>
      <c r="AO696" s="48" t="s">
        <v>273</v>
      </c>
      <c r="AP696" s="48" t="s">
        <v>273</v>
      </c>
      <c r="AQ696" s="48" t="s">
        <v>273</v>
      </c>
      <c r="AR696" s="48" t="s">
        <v>273</v>
      </c>
      <c r="AS696" s="48" t="s">
        <v>273</v>
      </c>
      <c r="AT696" s="48" t="s">
        <v>273</v>
      </c>
      <c r="AU696" s="93">
        <v>39600</v>
      </c>
      <c r="AV696" s="93" t="s">
        <v>7049</v>
      </c>
      <c r="AW696" s="93" t="s">
        <v>7050</v>
      </c>
      <c r="AX696" s="93" t="s">
        <v>273</v>
      </c>
      <c r="AY696" s="93" t="s">
        <v>7051</v>
      </c>
    </row>
    <row r="697" spans="1:52" ht="16.5" customHeight="1" x14ac:dyDescent="0.15">
      <c r="A697" s="199" t="s">
        <v>7052</v>
      </c>
      <c r="B697" s="209" t="s">
        <v>7053</v>
      </c>
      <c r="C697" s="48" t="s">
        <v>330</v>
      </c>
      <c r="D697" s="62" t="s">
        <v>263</v>
      </c>
      <c r="E697" s="48" t="s">
        <v>300</v>
      </c>
      <c r="F697" s="61">
        <v>42649</v>
      </c>
      <c r="G697" s="61">
        <v>0</v>
      </c>
      <c r="H697" s="125">
        <v>42689</v>
      </c>
      <c r="I697" s="61" t="s">
        <v>279</v>
      </c>
      <c r="J697" s="87"/>
      <c r="K697" s="124" t="s">
        <v>4232</v>
      </c>
      <c r="L697" s="124" t="s">
        <v>4232</v>
      </c>
      <c r="M697" s="62" t="s">
        <v>7054</v>
      </c>
      <c r="N697" s="62" t="s">
        <v>7055</v>
      </c>
      <c r="O697" s="48" t="s">
        <v>7056</v>
      </c>
      <c r="P697" s="48" t="s">
        <v>267</v>
      </c>
      <c r="Q697" s="48" t="s">
        <v>622</v>
      </c>
      <c r="R697" s="48" t="s">
        <v>7057</v>
      </c>
      <c r="S697" s="48" t="s">
        <v>4991</v>
      </c>
      <c r="T697" s="48" t="s">
        <v>4992</v>
      </c>
      <c r="U697" s="48" t="s">
        <v>7058</v>
      </c>
      <c r="V697" s="122" t="s">
        <v>4232</v>
      </c>
      <c r="W697" s="122" t="s">
        <v>4232</v>
      </c>
      <c r="X697" s="48" t="s">
        <v>7059</v>
      </c>
      <c r="Y697" s="48" t="s">
        <v>7060</v>
      </c>
      <c r="Z697" s="61"/>
      <c r="AA697" s="48" t="s">
        <v>273</v>
      </c>
      <c r="AB697" s="48" t="s">
        <v>273</v>
      </c>
      <c r="AC697" s="48" t="s">
        <v>273</v>
      </c>
      <c r="AD697" s="48" t="s">
        <v>273</v>
      </c>
      <c r="AE697" s="48" t="s">
        <v>273</v>
      </c>
      <c r="AF697" s="48" t="s">
        <v>273</v>
      </c>
      <c r="AG697" s="48" t="s">
        <v>273</v>
      </c>
      <c r="AH697" s="48" t="s">
        <v>273</v>
      </c>
      <c r="AI697" s="48" t="s">
        <v>273</v>
      </c>
      <c r="AJ697" s="48" t="s">
        <v>273</v>
      </c>
      <c r="AK697" s="48" t="s">
        <v>273</v>
      </c>
      <c r="AL697" s="48" t="s">
        <v>273</v>
      </c>
      <c r="AM697" s="48" t="s">
        <v>273</v>
      </c>
      <c r="AN697" s="48" t="s">
        <v>273</v>
      </c>
      <c r="AO697" s="48" t="s">
        <v>273</v>
      </c>
      <c r="AP697" s="48" t="s">
        <v>273</v>
      </c>
      <c r="AQ697" s="48" t="s">
        <v>273</v>
      </c>
      <c r="AR697" s="48" t="s">
        <v>273</v>
      </c>
      <c r="AS697" s="48" t="s">
        <v>273</v>
      </c>
      <c r="AT697" s="48" t="s">
        <v>273</v>
      </c>
      <c r="AU697" s="93">
        <v>40575</v>
      </c>
      <c r="AV697" s="93" t="s">
        <v>7061</v>
      </c>
      <c r="AW697" s="93" t="s">
        <v>7062</v>
      </c>
      <c r="AX697" s="93" t="s">
        <v>273</v>
      </c>
      <c r="AY697" s="93" t="s">
        <v>7063</v>
      </c>
    </row>
    <row r="698" spans="1:52" ht="16.5" customHeight="1" x14ac:dyDescent="0.15">
      <c r="A698" s="182" t="s">
        <v>7064</v>
      </c>
      <c r="B698" s="47" t="s">
        <v>7065</v>
      </c>
      <c r="C698" s="48" t="e">
        <f ca="1">INDIRECT("'["&amp;$C$1&amp;".xls]"&amp;$B698&amp;"'!$i$7")</f>
        <v>#REF!</v>
      </c>
      <c r="D698" s="62" t="e">
        <f ca="1">INDIRECT("'["&amp;$C$1&amp;".xls]"&amp;$B698&amp;"'!$b$7")</f>
        <v>#REF!</v>
      </c>
      <c r="E698" s="48" t="e">
        <f ca="1">IF(INDIRECT("'["&amp;$C$1&amp;".xls]"&amp;$B698&amp;"'!$i$2")="","",INDIRECT("'["&amp;$C$1&amp;".xls]"&amp;$B698&amp;"'!$i$2"))</f>
        <v>#REF!</v>
      </c>
      <c r="F698" s="61" t="e">
        <f ca="1">INDIRECT("'["&amp;$C$1&amp;".xls]"&amp;$B698&amp;"'!$b$2")</f>
        <v>#REF!</v>
      </c>
      <c r="G698" s="61" t="e">
        <f ca="1">INDIRECT("'["&amp;$C$1&amp;".xls]"&amp;$B698&amp;"'!$a$20")</f>
        <v>#REF!</v>
      </c>
      <c r="H698" s="88" t="e">
        <f ca="1">INDIRECT("'["&amp;$C$1&amp;".xls]"&amp;$B698&amp;"'!$Q$22")</f>
        <v>#REF!</v>
      </c>
      <c r="I698" s="61" t="e">
        <f ca="1">INDIRECT("'["&amp;$C$1&amp;".xls]"&amp;$B698&amp;"'!$f$6")</f>
        <v>#REF!</v>
      </c>
      <c r="J698" s="87"/>
      <c r="K698" s="62" t="e">
        <f ca="1">INDIRECT("'["&amp;$C$1&amp;".xls]"&amp;$B698&amp;"'!$f$25")</f>
        <v>#REF!</v>
      </c>
      <c r="L698" s="62"/>
      <c r="M698" s="62" t="e">
        <f ca="1">INDIRECT("'["&amp;$C$1&amp;".xls]"&amp;$B698&amp;"'!$f$4")</f>
        <v>#REF!</v>
      </c>
      <c r="N698" s="62" t="e">
        <f ca="1">INDIRECT("'["&amp;$C$1&amp;".xls]"&amp;$B698&amp;"'!$i$4")</f>
        <v>#REF!</v>
      </c>
      <c r="O698" s="48" t="e">
        <f ca="1">INDIRECT("'["&amp;$C$1&amp;".xls]"&amp;$B698&amp;"'!$l$4")</f>
        <v>#REF!</v>
      </c>
      <c r="P698" s="48" t="e">
        <f ca="1">INDIRECT("'["&amp;$C$1&amp;".xls]"&amp;$B698&amp;"'!$b$5")</f>
        <v>#REF!</v>
      </c>
      <c r="Q698" s="48" t="e">
        <f ca="1">INDIRECT("'["&amp;$C$1&amp;".xls]"&amp;$B698&amp;"'!$f$5")</f>
        <v>#REF!</v>
      </c>
      <c r="R698" s="48" t="s">
        <v>399</v>
      </c>
      <c r="S698" s="48" t="e">
        <f ca="1">INDIRECT("'["&amp;$C$1&amp;".xls]"&amp;$B698&amp;"'!$i$5")</f>
        <v>#REF!</v>
      </c>
      <c r="T698" s="48" t="e">
        <f ca="1">INDIRECT("'["&amp;$C$1&amp;".xls]"&amp;$B698&amp;"'!$l$5")</f>
        <v>#REF!</v>
      </c>
      <c r="U698" s="48" t="e">
        <f ca="1">INDIRECT("'["&amp;$C$1&amp;".xls]"&amp;$B698&amp;"'!$b$4")</f>
        <v>#REF!</v>
      </c>
      <c r="V698" s="122" t="s">
        <v>263</v>
      </c>
      <c r="W698" s="122" t="s">
        <v>263</v>
      </c>
      <c r="X698" s="48" t="s">
        <v>7066</v>
      </c>
      <c r="Y698" s="48" t="s">
        <v>7067</v>
      </c>
      <c r="Z698" s="61"/>
      <c r="AA698" s="48" t="e">
        <f ca="1">IF(INDIRECT("'["&amp;$C$1&amp;".xls]"&amp;$B698&amp;"'!$P$25")="","",IF(INDIRECT("'["&amp;$C$1&amp;".xls]"&amp;$B698&amp;"'!$O$25")="済み",INDIRECT("'["&amp;$C$1&amp;".xls]"&amp;$B698&amp;"'!$P$25"),""))</f>
        <v>#REF!</v>
      </c>
      <c r="AB698" s="48" t="e">
        <f ca="1">IF(INDIRECT("'["&amp;$C$1&amp;".xls]"&amp;$B698&amp;"'!$P$26")="","",IF(INDIRECT("'["&amp;$C$1&amp;".xls]"&amp;$B698&amp;"'!$O$26")="済み",INDIRECT("'["&amp;$C$1&amp;".xls]"&amp;$B698&amp;"'!$P$26"),""))</f>
        <v>#REF!</v>
      </c>
      <c r="AC698" s="48" t="e">
        <f ca="1">IF(INDIRECT("'["&amp;$C$1&amp;".xls]"&amp;$B698&amp;"'!$P$27")="","",IF(INDIRECT("'["&amp;$C$1&amp;".xls]"&amp;$B698&amp;"'!$O$27")="済み",INDIRECT("'["&amp;$C$1&amp;".xls]"&amp;$B698&amp;"'!$P$27"),""))</f>
        <v>#REF!</v>
      </c>
      <c r="AD698" s="48" t="e">
        <f ca="1">IF(INDIRECT("'["&amp;$C$1&amp;".xls]"&amp;$B698&amp;"'!$P$28")="","",IF(INDIRECT("'["&amp;$C$1&amp;".xls]"&amp;$B698&amp;"'!$O$28")="済み",INDIRECT("'["&amp;$C$1&amp;".xls]"&amp;$B698&amp;"'!$P$28"),""))</f>
        <v>#REF!</v>
      </c>
      <c r="AE698" s="48" t="e">
        <f ca="1">IF(INDIRECT("'["&amp;$C$1&amp;".xls]"&amp;$B698&amp;"'!$P$29")="","",IF(INDIRECT("'["&amp;$C$1&amp;".xls]"&amp;$B698&amp;"'!$O$29")="済み",INDIRECT("'["&amp;$C$1&amp;".xls]"&amp;$B698&amp;"'!$P$29"),""))</f>
        <v>#REF!</v>
      </c>
      <c r="AF698" s="48" t="e">
        <f ca="1">IF(INDIRECT("'["&amp;$C$1&amp;".xls]"&amp;$B698&amp;"'!$P$30")="","",IF(INDIRECT("'["&amp;$C$1&amp;".xls]"&amp;$B698&amp;"'!$O$30")="済み",INDIRECT("'["&amp;$C$1&amp;".xls]"&amp;$B698&amp;"'!$P$30"),""))</f>
        <v>#REF!</v>
      </c>
      <c r="AG698" s="48" t="e">
        <f ca="1">IF(INDIRECT("'["&amp;$C$1&amp;".xls]"&amp;$B698&amp;"'!$P$31")="","",IF(INDIRECT("'["&amp;$C$1&amp;".xls]"&amp;$B698&amp;"'!$O$31")="済み",INDIRECT("'["&amp;$C$1&amp;".xls]"&amp;$B698&amp;"'!$P$31"),""))</f>
        <v>#REF!</v>
      </c>
      <c r="AH698" s="48" t="e">
        <f ca="1">IF(INDIRECT("'["&amp;$C$1&amp;".xls]"&amp;$B698&amp;"'!$P$32")="","",IF(INDIRECT("'["&amp;$C$1&amp;".xls]"&amp;$B698&amp;"'!$O$32")="済み",INDIRECT("'["&amp;$C$1&amp;".xls]"&amp;$B698&amp;"'!$P$32"),""))</f>
        <v>#REF!</v>
      </c>
      <c r="AI698" s="48" t="e">
        <f ca="1">IF(INDIRECT("'["&amp;$C$1&amp;".xls]"&amp;$B698&amp;"'!$P$33")="","",IF(INDIRECT("'["&amp;$C$1&amp;".xls]"&amp;$B698&amp;"'!$O$33")="済み",INDIRECT("'["&amp;$C$1&amp;".xls]"&amp;$B698&amp;"'!$P$33"),""))</f>
        <v>#REF!</v>
      </c>
      <c r="AJ698" s="48" t="e">
        <f ca="1">IF(INDIRECT("'["&amp;$C$1&amp;".xls]"&amp;$B698&amp;"'!$P$34")="","",IF(INDIRECT("'["&amp;$C$1&amp;".xls]"&amp;$B698&amp;"'!$O$34")="済み",INDIRECT("'["&amp;$C$1&amp;".xls]"&amp;$B698&amp;"'!$P$34"),""))</f>
        <v>#REF!</v>
      </c>
      <c r="AK698" s="48" t="e">
        <f ca="1">IF(INDIRECT("'["&amp;$C$1&amp;".xls]"&amp;$B698&amp;"'!$T25")="","",IF(INDIRECT("'["&amp;$C$1&amp;".xls]"&amp;$B698&amp;"'!$O$25")="済み",INDIRECT("'["&amp;$C$1&amp;".xls]"&amp;$B698&amp;"'!$T$25"),""))</f>
        <v>#REF!</v>
      </c>
      <c r="AL698" s="48" t="e">
        <f ca="1">IF(INDIRECT("'["&amp;$C$1&amp;".xls]"&amp;$B698&amp;"'!$T26")="","",IF(INDIRECT("'["&amp;$C$1&amp;".xls]"&amp;$B698&amp;"'!$O$26")="済み",INDIRECT("'["&amp;$C$1&amp;".xls]"&amp;$B698&amp;"'!$T$26"),""))</f>
        <v>#REF!</v>
      </c>
      <c r="AM698" s="48" t="e">
        <f ca="1">IF(INDIRECT("'["&amp;$C$1&amp;".xls]"&amp;$B698&amp;"'!$T27")="","",IF(INDIRECT("'["&amp;$C$1&amp;".xls]"&amp;$B698&amp;"'!$O$27")="済み",INDIRECT("'["&amp;$C$1&amp;".xls]"&amp;$B698&amp;"'!$T$27"),""))</f>
        <v>#REF!</v>
      </c>
      <c r="AN698" s="48" t="e">
        <f ca="1">IF(INDIRECT("'["&amp;$C$1&amp;".xls]"&amp;$B698&amp;"'!$T28")="","",IF(INDIRECT("'["&amp;$C$1&amp;".xls]"&amp;$B698&amp;"'!$O$28")="済み",INDIRECT("'["&amp;$C$1&amp;".xls]"&amp;$B698&amp;"'!$T$28"),""))</f>
        <v>#REF!</v>
      </c>
      <c r="AO698" s="48" t="e">
        <f ca="1">IF(INDIRECT("'["&amp;$C$1&amp;".xls]"&amp;$B698&amp;"'!$T29")="","",IF(INDIRECT("'["&amp;$C$1&amp;".xls]"&amp;$B698&amp;"'!$O$29")="済み",INDIRECT("'["&amp;$C$1&amp;".xls]"&amp;$B698&amp;"'!$T$29"),""))</f>
        <v>#REF!</v>
      </c>
      <c r="AP698" s="48" t="e">
        <f ca="1">IF(INDIRECT("'["&amp;$C$1&amp;".xls]"&amp;$B698&amp;"'!$T30")="","",IF(INDIRECT("'["&amp;$C$1&amp;".xls]"&amp;$B698&amp;"'!$O$30")="済み",INDIRECT("'["&amp;$C$1&amp;".xls]"&amp;$B698&amp;"'!$T$30"),""))</f>
        <v>#REF!</v>
      </c>
      <c r="AQ698" s="48" t="e">
        <f ca="1">IF(INDIRECT("'["&amp;$C$1&amp;".xls]"&amp;$B698&amp;"'!$T31")="","",IF(INDIRECT("'["&amp;$C$1&amp;".xls]"&amp;$B698&amp;"'!$O$31")="済み",INDIRECT("'["&amp;$C$1&amp;".xls]"&amp;$B698&amp;"'!$T$31"),""))</f>
        <v>#REF!</v>
      </c>
      <c r="AR698" s="48" t="e">
        <f ca="1">IF(INDIRECT("'["&amp;$C$1&amp;".xls]"&amp;$B698&amp;"'!$T32")="","",IF(INDIRECT("'["&amp;$C$1&amp;".xls]"&amp;$B698&amp;"'!$O$32")="済み",INDIRECT("'["&amp;$C$1&amp;".xls]"&amp;$B698&amp;"'!$T$32"),""))</f>
        <v>#REF!</v>
      </c>
      <c r="AS698" s="48" t="e">
        <f ca="1">IF(INDIRECT("'["&amp;$C$1&amp;".xls]"&amp;$B698&amp;"'!$T33")="","",IF(INDIRECT("'["&amp;$C$1&amp;".xls]"&amp;$B698&amp;"'!$O$33")="済み",INDIRECT("'["&amp;$C$1&amp;".xls]"&amp;$B698&amp;"'!$T$33"),""))</f>
        <v>#REF!</v>
      </c>
      <c r="AT698" s="48" t="e">
        <f ca="1">IF(INDIRECT("'["&amp;$C$1&amp;".xls]"&amp;$B698&amp;"'!$T34")="","",IF(INDIRECT("'["&amp;$C$1&amp;".xls]"&amp;$B698&amp;"'!$O$34")="済み",INDIRECT("'["&amp;$C$1&amp;".xls]"&amp;$B698&amp;"'!$T$34"),""))</f>
        <v>#REF!</v>
      </c>
      <c r="AU698" s="93" t="e">
        <f ca="1">INDIRECT("'["&amp;$C$1&amp;".xls]"&amp;$B698&amp;"'!$B$6")</f>
        <v>#REF!</v>
      </c>
      <c r="AV698" s="93" t="e">
        <f ca="1">INDIRECT("'["&amp;$C$1&amp;".xls]"&amp;$B698&amp;"'!$Y$22")</f>
        <v>#REF!</v>
      </c>
      <c r="AW698" s="93" t="e">
        <f ca="1">INDIRECT("'["&amp;$C$1&amp;".xls]"&amp;$B698&amp;"'!$Y$24")</f>
        <v>#REF!</v>
      </c>
      <c r="AX698" s="93" t="e">
        <f ca="1">INDIRECT("'["&amp;$C$1&amp;".xls]"&amp;$B698&amp;"'!$Y$26")</f>
        <v>#REF!</v>
      </c>
      <c r="AY698" s="93" t="e">
        <f ca="1">INDIRECT("'["&amp;$C$1&amp;".xls]"&amp;$B698&amp;"'!$Y$28")</f>
        <v>#REF!</v>
      </c>
    </row>
    <row r="699" spans="1:52" ht="16.5" customHeight="1" x14ac:dyDescent="0.15">
      <c r="A699" s="199" t="s">
        <v>7068</v>
      </c>
      <c r="B699" s="209" t="s">
        <v>7069</v>
      </c>
      <c r="C699" s="48" t="s">
        <v>7070</v>
      </c>
      <c r="D699" s="62" t="s">
        <v>7071</v>
      </c>
      <c r="E699" s="48" t="s">
        <v>264</v>
      </c>
      <c r="F699" s="61">
        <v>42649</v>
      </c>
      <c r="G699" s="61">
        <v>0</v>
      </c>
      <c r="H699" s="125">
        <v>42678</v>
      </c>
      <c r="I699" s="61" t="s">
        <v>279</v>
      </c>
      <c r="J699" s="87"/>
      <c r="K699" s="62" t="s">
        <v>2506</v>
      </c>
      <c r="L699" s="62">
        <v>3</v>
      </c>
      <c r="M699" s="62" t="s">
        <v>209</v>
      </c>
      <c r="N699" s="62" t="s">
        <v>7072</v>
      </c>
      <c r="O699" s="48" t="s">
        <v>281</v>
      </c>
      <c r="P699" s="48" t="s">
        <v>1080</v>
      </c>
      <c r="Q699" s="48" t="s">
        <v>1081</v>
      </c>
      <c r="R699" s="48" t="s">
        <v>1082</v>
      </c>
      <c r="S699" s="48" t="s">
        <v>1083</v>
      </c>
      <c r="T699" s="48" t="s">
        <v>7073</v>
      </c>
      <c r="U699" s="48" t="s">
        <v>7074</v>
      </c>
      <c r="V699" s="48" t="s">
        <v>7075</v>
      </c>
      <c r="W699" s="48" t="s">
        <v>7076</v>
      </c>
      <c r="X699" s="48" t="s">
        <v>7077</v>
      </c>
      <c r="Y699" s="48" t="s">
        <v>7078</v>
      </c>
      <c r="Z699" s="61"/>
      <c r="AA699" s="48" t="s">
        <v>548</v>
      </c>
      <c r="AB699" s="48" t="s">
        <v>547</v>
      </c>
      <c r="AC699" s="48" t="s">
        <v>7079</v>
      </c>
      <c r="AD699" s="48" t="s">
        <v>273</v>
      </c>
      <c r="AE699" s="48" t="s">
        <v>273</v>
      </c>
      <c r="AF699" s="48" t="s">
        <v>273</v>
      </c>
      <c r="AG699" s="48" t="s">
        <v>273</v>
      </c>
      <c r="AH699" s="48" t="s">
        <v>273</v>
      </c>
      <c r="AI699" s="48" t="s">
        <v>273</v>
      </c>
      <c r="AJ699" s="48" t="s">
        <v>273</v>
      </c>
      <c r="AK699" s="48" t="s">
        <v>5252</v>
      </c>
      <c r="AL699" s="48" t="s">
        <v>7080</v>
      </c>
      <c r="AM699" s="48" t="s">
        <v>7081</v>
      </c>
      <c r="AN699" s="48" t="s">
        <v>273</v>
      </c>
      <c r="AO699" s="48" t="s">
        <v>273</v>
      </c>
      <c r="AP699" s="48" t="s">
        <v>273</v>
      </c>
      <c r="AQ699" s="48" t="s">
        <v>273</v>
      </c>
      <c r="AR699" s="48" t="s">
        <v>273</v>
      </c>
      <c r="AS699" s="48" t="s">
        <v>273</v>
      </c>
      <c r="AT699" s="48" t="s">
        <v>273</v>
      </c>
      <c r="AU699" s="93">
        <v>41061</v>
      </c>
      <c r="AV699" s="93" t="s">
        <v>7082</v>
      </c>
      <c r="AW699" s="93" t="s">
        <v>7083</v>
      </c>
      <c r="AX699" s="93" t="s">
        <v>7084</v>
      </c>
      <c r="AY699" s="93" t="s">
        <v>7085</v>
      </c>
    </row>
    <row r="700" spans="1:52" ht="16.5" customHeight="1" x14ac:dyDescent="0.15">
      <c r="A700" s="199" t="s">
        <v>7086</v>
      </c>
      <c r="B700" s="209" t="s">
        <v>7087</v>
      </c>
      <c r="C700" s="48" t="s">
        <v>330</v>
      </c>
      <c r="D700" s="62" t="s">
        <v>7088</v>
      </c>
      <c r="E700" s="48" t="s">
        <v>300</v>
      </c>
      <c r="F700" s="61">
        <v>42649</v>
      </c>
      <c r="G700" s="61">
        <v>0</v>
      </c>
      <c r="H700" s="125">
        <v>42702</v>
      </c>
      <c r="I700" s="61" t="s">
        <v>279</v>
      </c>
      <c r="J700" s="87"/>
      <c r="K700" s="62" t="s">
        <v>2506</v>
      </c>
      <c r="L700" s="62">
        <v>3</v>
      </c>
      <c r="M700" s="62" t="s">
        <v>2012</v>
      </c>
      <c r="N700" s="62" t="s">
        <v>7089</v>
      </c>
      <c r="O700" s="48" t="s">
        <v>263</v>
      </c>
      <c r="P700" s="48" t="s">
        <v>282</v>
      </c>
      <c r="Q700" s="48" t="s">
        <v>283</v>
      </c>
      <c r="R700" s="48" t="s">
        <v>7090</v>
      </c>
      <c r="S700" s="48" t="s">
        <v>285</v>
      </c>
      <c r="T700" s="48" t="s">
        <v>286</v>
      </c>
      <c r="U700" s="48" t="s">
        <v>287</v>
      </c>
      <c r="V700" s="122" t="s">
        <v>4232</v>
      </c>
      <c r="W700" s="122" t="s">
        <v>4232</v>
      </c>
      <c r="X700" s="48" t="s">
        <v>7091</v>
      </c>
      <c r="Y700" s="48" t="s">
        <v>7092</v>
      </c>
      <c r="Z700" s="61"/>
      <c r="AA700" s="48">
        <v>416730302</v>
      </c>
      <c r="AB700" s="48">
        <v>416731201</v>
      </c>
      <c r="AC700" s="48" t="s">
        <v>273</v>
      </c>
      <c r="AD700" s="48" t="s">
        <v>273</v>
      </c>
      <c r="AE700" s="48" t="s">
        <v>273</v>
      </c>
      <c r="AF700" s="48" t="s">
        <v>273</v>
      </c>
      <c r="AG700" s="48" t="s">
        <v>273</v>
      </c>
      <c r="AH700" s="48" t="s">
        <v>273</v>
      </c>
      <c r="AI700" s="48" t="s">
        <v>273</v>
      </c>
      <c r="AJ700" s="48" t="s">
        <v>273</v>
      </c>
      <c r="AK700" s="48" t="s">
        <v>7093</v>
      </c>
      <c r="AL700" s="48" t="s">
        <v>7094</v>
      </c>
      <c r="AM700" s="48" t="s">
        <v>273</v>
      </c>
      <c r="AN700" s="48" t="s">
        <v>273</v>
      </c>
      <c r="AO700" s="48" t="s">
        <v>273</v>
      </c>
      <c r="AP700" s="48" t="s">
        <v>273</v>
      </c>
      <c r="AQ700" s="48" t="s">
        <v>273</v>
      </c>
      <c r="AR700" s="48" t="s">
        <v>273</v>
      </c>
      <c r="AS700" s="48" t="s">
        <v>273</v>
      </c>
      <c r="AT700" s="48" t="s">
        <v>273</v>
      </c>
      <c r="AU700" s="93" t="s">
        <v>263</v>
      </c>
      <c r="AV700" s="93" t="s">
        <v>7095</v>
      </c>
      <c r="AW700" s="93" t="s">
        <v>7096</v>
      </c>
      <c r="AX700" s="93" t="s">
        <v>7097</v>
      </c>
      <c r="AY700" s="93" t="s">
        <v>5312</v>
      </c>
    </row>
    <row r="701" spans="1:52" ht="16.5" customHeight="1" x14ac:dyDescent="0.15">
      <c r="A701" s="199" t="s">
        <v>7098</v>
      </c>
      <c r="B701" s="209" t="s">
        <v>7099</v>
      </c>
      <c r="C701" s="48" t="s">
        <v>7100</v>
      </c>
      <c r="D701" s="62" t="s">
        <v>7101</v>
      </c>
      <c r="E701" s="48" t="s">
        <v>264</v>
      </c>
      <c r="F701" s="61">
        <v>42650</v>
      </c>
      <c r="G701" s="61">
        <v>0</v>
      </c>
      <c r="H701" s="125">
        <v>42678</v>
      </c>
      <c r="I701" s="61" t="s">
        <v>279</v>
      </c>
      <c r="J701" s="87"/>
      <c r="K701" s="62" t="s">
        <v>2506</v>
      </c>
      <c r="L701" s="62">
        <v>3</v>
      </c>
      <c r="M701" s="62" t="s">
        <v>209</v>
      </c>
      <c r="N701" s="62" t="s">
        <v>7102</v>
      </c>
      <c r="O701" s="48" t="s">
        <v>2192</v>
      </c>
      <c r="P701" s="48" t="s">
        <v>7103</v>
      </c>
      <c r="Q701" s="48" t="s">
        <v>7104</v>
      </c>
      <c r="R701" s="48" t="s">
        <v>7105</v>
      </c>
      <c r="S701" s="48" t="s">
        <v>7106</v>
      </c>
      <c r="T701" s="48" t="s">
        <v>7107</v>
      </c>
      <c r="U701" s="48" t="s">
        <v>7108</v>
      </c>
      <c r="V701" s="122" t="s">
        <v>263</v>
      </c>
      <c r="W701" s="122" t="s">
        <v>263</v>
      </c>
      <c r="X701" s="48" t="s">
        <v>7109</v>
      </c>
      <c r="Y701" s="48" t="s">
        <v>7110</v>
      </c>
      <c r="Z701" s="61"/>
      <c r="AA701" s="48" t="s">
        <v>2259</v>
      </c>
      <c r="AB701" s="48" t="s">
        <v>273</v>
      </c>
      <c r="AC701" s="48" t="s">
        <v>273</v>
      </c>
      <c r="AD701" s="48" t="s">
        <v>273</v>
      </c>
      <c r="AE701" s="48" t="s">
        <v>273</v>
      </c>
      <c r="AF701" s="48" t="s">
        <v>273</v>
      </c>
      <c r="AG701" s="48" t="s">
        <v>273</v>
      </c>
      <c r="AH701" s="48" t="s">
        <v>273</v>
      </c>
      <c r="AI701" s="48" t="s">
        <v>273</v>
      </c>
      <c r="AJ701" s="48" t="s">
        <v>273</v>
      </c>
      <c r="AK701" s="48" t="s">
        <v>2260</v>
      </c>
      <c r="AL701" s="48" t="s">
        <v>273</v>
      </c>
      <c r="AM701" s="48" t="s">
        <v>273</v>
      </c>
      <c r="AN701" s="48" t="s">
        <v>273</v>
      </c>
      <c r="AO701" s="48" t="s">
        <v>273</v>
      </c>
      <c r="AP701" s="48" t="s">
        <v>273</v>
      </c>
      <c r="AQ701" s="48" t="s">
        <v>273</v>
      </c>
      <c r="AR701" s="48" t="s">
        <v>273</v>
      </c>
      <c r="AS701" s="48" t="s">
        <v>273</v>
      </c>
      <c r="AT701" s="48" t="s">
        <v>273</v>
      </c>
      <c r="AU701" s="93">
        <v>41671</v>
      </c>
      <c r="AV701" s="93" t="s">
        <v>7111</v>
      </c>
      <c r="AW701" s="93" t="s">
        <v>7112</v>
      </c>
      <c r="AX701" s="93" t="s">
        <v>7113</v>
      </c>
      <c r="AY701" s="93" t="s">
        <v>7114</v>
      </c>
    </row>
    <row r="702" spans="1:52" ht="16.5" customHeight="1" x14ac:dyDescent="0.15">
      <c r="A702" s="182" t="s">
        <v>7115</v>
      </c>
      <c r="B702" s="183" t="s">
        <v>7116</v>
      </c>
      <c r="C702" s="48" t="s">
        <v>298</v>
      </c>
      <c r="D702" s="62" t="s">
        <v>6431</v>
      </c>
      <c r="E702" s="48" t="s">
        <v>300</v>
      </c>
      <c r="F702" s="61">
        <v>42650</v>
      </c>
      <c r="G702" s="61">
        <v>0</v>
      </c>
      <c r="H702" s="125">
        <v>42669</v>
      </c>
      <c r="I702" s="61" t="s">
        <v>279</v>
      </c>
      <c r="J702" s="87"/>
      <c r="K702" s="62" t="s">
        <v>2506</v>
      </c>
      <c r="L702" s="62">
        <v>3</v>
      </c>
      <c r="M702" s="62" t="s">
        <v>409</v>
      </c>
      <c r="N702" s="62" t="s">
        <v>6432</v>
      </c>
      <c r="O702" s="48" t="s">
        <v>606</v>
      </c>
      <c r="P702" s="48" t="s">
        <v>1124</v>
      </c>
      <c r="Q702" s="48" t="s">
        <v>1125</v>
      </c>
      <c r="R702" s="48" t="s">
        <v>1126</v>
      </c>
      <c r="S702" s="48" t="s">
        <v>1127</v>
      </c>
      <c r="T702" s="48" t="s">
        <v>1128</v>
      </c>
      <c r="U702" s="48" t="s">
        <v>6433</v>
      </c>
      <c r="V702" s="122" t="s">
        <v>263</v>
      </c>
      <c r="W702" s="122" t="s">
        <v>263</v>
      </c>
      <c r="X702" s="48" t="s">
        <v>6434</v>
      </c>
      <c r="Y702" s="48" t="s">
        <v>6435</v>
      </c>
      <c r="Z702" s="61"/>
      <c r="AA702" s="48" t="s">
        <v>978</v>
      </c>
      <c r="AB702" s="48" t="s">
        <v>273</v>
      </c>
      <c r="AC702" s="48" t="s">
        <v>273</v>
      </c>
      <c r="AD702" s="48" t="s">
        <v>273</v>
      </c>
      <c r="AE702" s="48" t="s">
        <v>273</v>
      </c>
      <c r="AF702" s="48" t="s">
        <v>273</v>
      </c>
      <c r="AG702" s="48" t="s">
        <v>273</v>
      </c>
      <c r="AH702" s="48" t="s">
        <v>273</v>
      </c>
      <c r="AI702" s="48" t="s">
        <v>273</v>
      </c>
      <c r="AJ702" s="48" t="s">
        <v>273</v>
      </c>
      <c r="AK702" s="48" t="s">
        <v>600</v>
      </c>
      <c r="AL702" s="48" t="s">
        <v>273</v>
      </c>
      <c r="AM702" s="48" t="s">
        <v>273</v>
      </c>
      <c r="AN702" s="48" t="s">
        <v>273</v>
      </c>
      <c r="AO702" s="48" t="s">
        <v>273</v>
      </c>
      <c r="AP702" s="48" t="s">
        <v>273</v>
      </c>
      <c r="AQ702" s="48" t="s">
        <v>273</v>
      </c>
      <c r="AR702" s="48" t="s">
        <v>273</v>
      </c>
      <c r="AS702" s="48" t="s">
        <v>273</v>
      </c>
      <c r="AT702" s="48" t="s">
        <v>273</v>
      </c>
      <c r="AU702" s="93">
        <v>40026</v>
      </c>
      <c r="AV702" s="93" t="s">
        <v>7117</v>
      </c>
      <c r="AW702" s="93" t="s">
        <v>7118</v>
      </c>
      <c r="AX702" s="93" t="s">
        <v>7119</v>
      </c>
      <c r="AY702" s="93" t="s">
        <v>7120</v>
      </c>
    </row>
    <row r="703" spans="1:52" ht="16.5" customHeight="1" x14ac:dyDescent="0.15">
      <c r="A703" s="121" t="s">
        <v>7121</v>
      </c>
      <c r="B703" s="47" t="s">
        <v>7122</v>
      </c>
      <c r="C703" s="48" t="e">
        <f ca="1">INDIRECT("'["&amp;$C$1&amp;".xls]"&amp;$B703&amp;"'!$i$7")</f>
        <v>#REF!</v>
      </c>
      <c r="D703" s="62" t="e">
        <f ca="1">INDIRECT("'["&amp;$C$1&amp;".xls]"&amp;$B703&amp;"'!$b$7")</f>
        <v>#REF!</v>
      </c>
      <c r="E703" s="48" t="e">
        <f ca="1">IF(INDIRECT("'["&amp;$C$1&amp;".xls]"&amp;$B703&amp;"'!$i$2")="","",INDIRECT("'["&amp;$C$1&amp;".xls]"&amp;$B703&amp;"'!$i$2"))</f>
        <v>#REF!</v>
      </c>
      <c r="F703" s="61" t="e">
        <f ca="1">INDIRECT("'["&amp;$C$1&amp;".xls]"&amp;$B703&amp;"'!$b$2")</f>
        <v>#REF!</v>
      </c>
      <c r="G703" s="61" t="e">
        <f ca="1">INDIRECT("'["&amp;$C$1&amp;".xls]"&amp;$B703&amp;"'!$a$20")</f>
        <v>#REF!</v>
      </c>
      <c r="H703" s="88" t="e">
        <f ca="1">INDIRECT("'["&amp;$C$1&amp;".xls]"&amp;$B703&amp;"'!$Q$22")</f>
        <v>#REF!</v>
      </c>
      <c r="I703" s="61" t="e">
        <f ca="1">INDIRECT("'["&amp;$C$1&amp;".xls]"&amp;$B703&amp;"'!$f$6")</f>
        <v>#REF!</v>
      </c>
      <c r="J703" s="87"/>
      <c r="K703" s="62" t="e">
        <f ca="1">INDIRECT("'["&amp;$C$1&amp;".xls]"&amp;$B703&amp;"'!$f$25")</f>
        <v>#REF!</v>
      </c>
      <c r="L703" s="62"/>
      <c r="M703" s="62" t="e">
        <f ca="1">INDIRECT("'["&amp;$C$1&amp;".xls]"&amp;$B703&amp;"'!$f$4")</f>
        <v>#REF!</v>
      </c>
      <c r="N703" s="62" t="e">
        <f ca="1">INDIRECT("'["&amp;$C$1&amp;".xls]"&amp;$B703&amp;"'!$i$4")</f>
        <v>#REF!</v>
      </c>
      <c r="O703" s="48" t="e">
        <f ca="1">INDIRECT("'["&amp;$C$1&amp;".xls]"&amp;$B703&amp;"'!$l$4")</f>
        <v>#REF!</v>
      </c>
      <c r="P703" s="48" t="e">
        <f ca="1">INDIRECT("'["&amp;$C$1&amp;".xls]"&amp;$B703&amp;"'!$b$5")</f>
        <v>#REF!</v>
      </c>
      <c r="Q703" s="48" t="e">
        <f ca="1">INDIRECT("'["&amp;$C$1&amp;".xls]"&amp;$B703&amp;"'!$f$5")</f>
        <v>#REF!</v>
      </c>
      <c r="R703" s="48"/>
      <c r="S703" s="48" t="e">
        <f ca="1">INDIRECT("'["&amp;$C$1&amp;".xls]"&amp;$B703&amp;"'!$i$5")</f>
        <v>#REF!</v>
      </c>
      <c r="T703" s="48" t="e">
        <f ca="1">INDIRECT("'["&amp;$C$1&amp;".xls]"&amp;$B703&amp;"'!$l$5")</f>
        <v>#REF!</v>
      </c>
      <c r="U703" s="48" t="e">
        <f ca="1">INDIRECT("'["&amp;$C$1&amp;".xls]"&amp;$B703&amp;"'!$b$4")</f>
        <v>#REF!</v>
      </c>
      <c r="V703" s="48"/>
      <c r="W703" s="48"/>
      <c r="X703" s="48"/>
      <c r="Y703" s="48"/>
      <c r="Z703" s="61"/>
      <c r="AA703" s="48" t="e">
        <f ca="1">IF(INDIRECT("'["&amp;$C$1&amp;".xls]"&amp;$B703&amp;"'!$P$25")="","",IF(INDIRECT("'["&amp;$C$1&amp;".xls]"&amp;$B703&amp;"'!$O$25")="済み",INDIRECT("'["&amp;$C$1&amp;".xls]"&amp;$B703&amp;"'!$P$25"),""))</f>
        <v>#REF!</v>
      </c>
      <c r="AB703" s="48" t="e">
        <f ca="1">IF(INDIRECT("'["&amp;$C$1&amp;".xls]"&amp;$B703&amp;"'!$P$26")="","",IF(INDIRECT("'["&amp;$C$1&amp;".xls]"&amp;$B703&amp;"'!$O$26")="済み",INDIRECT("'["&amp;$C$1&amp;".xls]"&amp;$B703&amp;"'!$P$26"),""))</f>
        <v>#REF!</v>
      </c>
      <c r="AC703" s="48" t="e">
        <f ca="1">IF(INDIRECT("'["&amp;$C$1&amp;".xls]"&amp;$B703&amp;"'!$P$27")="","",IF(INDIRECT("'["&amp;$C$1&amp;".xls]"&amp;$B703&amp;"'!$O$27")="済み",INDIRECT("'["&amp;$C$1&amp;".xls]"&amp;$B703&amp;"'!$P$27"),""))</f>
        <v>#REF!</v>
      </c>
      <c r="AD703" s="48" t="e">
        <f ca="1">IF(INDIRECT("'["&amp;$C$1&amp;".xls]"&amp;$B703&amp;"'!$P$28")="","",IF(INDIRECT("'["&amp;$C$1&amp;".xls]"&amp;$B703&amp;"'!$O$28")="済み",INDIRECT("'["&amp;$C$1&amp;".xls]"&amp;$B703&amp;"'!$P$28"),""))</f>
        <v>#REF!</v>
      </c>
      <c r="AE703" s="48" t="e">
        <f ca="1">IF(INDIRECT("'["&amp;$C$1&amp;".xls]"&amp;$B703&amp;"'!$P$29")="","",IF(INDIRECT("'["&amp;$C$1&amp;".xls]"&amp;$B703&amp;"'!$O$29")="済み",INDIRECT("'["&amp;$C$1&amp;".xls]"&amp;$B703&amp;"'!$P$29"),""))</f>
        <v>#REF!</v>
      </c>
      <c r="AF703" s="48" t="e">
        <f ca="1">IF(INDIRECT("'["&amp;$C$1&amp;".xls]"&amp;$B703&amp;"'!$P$30")="","",IF(INDIRECT("'["&amp;$C$1&amp;".xls]"&amp;$B703&amp;"'!$O$30")="済み",INDIRECT("'["&amp;$C$1&amp;".xls]"&amp;$B703&amp;"'!$P$30"),""))</f>
        <v>#REF!</v>
      </c>
      <c r="AG703" s="48" t="e">
        <f ca="1">IF(INDIRECT("'["&amp;$C$1&amp;".xls]"&amp;$B703&amp;"'!$P$31")="","",IF(INDIRECT("'["&amp;$C$1&amp;".xls]"&amp;$B703&amp;"'!$O$31")="済み",INDIRECT("'["&amp;$C$1&amp;".xls]"&amp;$B703&amp;"'!$P$31"),""))</f>
        <v>#REF!</v>
      </c>
      <c r="AH703" s="48" t="e">
        <f ca="1">IF(INDIRECT("'["&amp;$C$1&amp;".xls]"&amp;$B703&amp;"'!$P$32")="","",IF(INDIRECT("'["&amp;$C$1&amp;".xls]"&amp;$B703&amp;"'!$O$32")="済み",INDIRECT("'["&amp;$C$1&amp;".xls]"&amp;$B703&amp;"'!$P$32"),""))</f>
        <v>#REF!</v>
      </c>
      <c r="AI703" s="48" t="e">
        <f ca="1">IF(INDIRECT("'["&amp;$C$1&amp;".xls]"&amp;$B703&amp;"'!$P$33")="","",IF(INDIRECT("'["&amp;$C$1&amp;".xls]"&amp;$B703&amp;"'!$O$33")="済み",INDIRECT("'["&amp;$C$1&amp;".xls]"&amp;$B703&amp;"'!$P$33"),""))</f>
        <v>#REF!</v>
      </c>
      <c r="AJ703" s="48" t="e">
        <f ca="1">IF(INDIRECT("'["&amp;$C$1&amp;".xls]"&amp;$B703&amp;"'!$P$34")="","",IF(INDIRECT("'["&amp;$C$1&amp;".xls]"&amp;$B703&amp;"'!$O$34")="済み",INDIRECT("'["&amp;$C$1&amp;".xls]"&amp;$B703&amp;"'!$P$34"),""))</f>
        <v>#REF!</v>
      </c>
      <c r="AK703" s="48" t="e">
        <f ca="1">IF(INDIRECT("'["&amp;$C$1&amp;".xls]"&amp;$B703&amp;"'!$T25")="","",IF(INDIRECT("'["&amp;$C$1&amp;".xls]"&amp;$B703&amp;"'!$O$25")="済み",INDIRECT("'["&amp;$C$1&amp;".xls]"&amp;$B703&amp;"'!$T$25"),""))</f>
        <v>#REF!</v>
      </c>
      <c r="AL703" s="48" t="e">
        <f ca="1">IF(INDIRECT("'["&amp;$C$1&amp;".xls]"&amp;$B703&amp;"'!$T26")="","",IF(INDIRECT("'["&amp;$C$1&amp;".xls]"&amp;$B703&amp;"'!$O$26")="済み",INDIRECT("'["&amp;$C$1&amp;".xls]"&amp;$B703&amp;"'!$T$26"),""))</f>
        <v>#REF!</v>
      </c>
      <c r="AM703" s="48" t="e">
        <f ca="1">IF(INDIRECT("'["&amp;$C$1&amp;".xls]"&amp;$B703&amp;"'!$T27")="","",IF(INDIRECT("'["&amp;$C$1&amp;".xls]"&amp;$B703&amp;"'!$O$27")="済み",INDIRECT("'["&amp;$C$1&amp;".xls]"&amp;$B703&amp;"'!$T$27"),""))</f>
        <v>#REF!</v>
      </c>
      <c r="AN703" s="48" t="e">
        <f ca="1">IF(INDIRECT("'["&amp;$C$1&amp;".xls]"&amp;$B703&amp;"'!$T28")="","",IF(INDIRECT("'["&amp;$C$1&amp;".xls]"&amp;$B703&amp;"'!$O$28")="済み",INDIRECT("'["&amp;$C$1&amp;".xls]"&amp;$B703&amp;"'!$T$28"),""))</f>
        <v>#REF!</v>
      </c>
      <c r="AO703" s="48" t="e">
        <f ca="1">IF(INDIRECT("'["&amp;$C$1&amp;".xls]"&amp;$B703&amp;"'!$T29")="","",IF(INDIRECT("'["&amp;$C$1&amp;".xls]"&amp;$B703&amp;"'!$O$29")="済み",INDIRECT("'["&amp;$C$1&amp;".xls]"&amp;$B703&amp;"'!$T$29"),""))</f>
        <v>#REF!</v>
      </c>
      <c r="AP703" s="48" t="e">
        <f ca="1">IF(INDIRECT("'["&amp;$C$1&amp;".xls]"&amp;$B703&amp;"'!$T30")="","",IF(INDIRECT("'["&amp;$C$1&amp;".xls]"&amp;$B703&amp;"'!$O$30")="済み",INDIRECT("'["&amp;$C$1&amp;".xls]"&amp;$B703&amp;"'!$T$30"),""))</f>
        <v>#REF!</v>
      </c>
      <c r="AQ703" s="48" t="e">
        <f ca="1">IF(INDIRECT("'["&amp;$C$1&amp;".xls]"&amp;$B703&amp;"'!$T31")="","",IF(INDIRECT("'["&amp;$C$1&amp;".xls]"&amp;$B703&amp;"'!$O$31")="済み",INDIRECT("'["&amp;$C$1&amp;".xls]"&amp;$B703&amp;"'!$T$31"),""))</f>
        <v>#REF!</v>
      </c>
      <c r="AR703" s="48" t="e">
        <f ca="1">IF(INDIRECT("'["&amp;$C$1&amp;".xls]"&amp;$B703&amp;"'!$T32")="","",IF(INDIRECT("'["&amp;$C$1&amp;".xls]"&amp;$B703&amp;"'!$O$32")="済み",INDIRECT("'["&amp;$C$1&amp;".xls]"&amp;$B703&amp;"'!$T$32"),""))</f>
        <v>#REF!</v>
      </c>
      <c r="AS703" s="48" t="e">
        <f ca="1">IF(INDIRECT("'["&amp;$C$1&amp;".xls]"&amp;$B703&amp;"'!$T33")="","",IF(INDIRECT("'["&amp;$C$1&amp;".xls]"&amp;$B703&amp;"'!$O$33")="済み",INDIRECT("'["&amp;$C$1&amp;".xls]"&amp;$B703&amp;"'!$T$33"),""))</f>
        <v>#REF!</v>
      </c>
      <c r="AT703" s="48" t="e">
        <f ca="1">IF(INDIRECT("'["&amp;$C$1&amp;".xls]"&amp;$B703&amp;"'!$T34")="","",IF(INDIRECT("'["&amp;$C$1&amp;".xls]"&amp;$B703&amp;"'!$O$34")="済み",INDIRECT("'["&amp;$C$1&amp;".xls]"&amp;$B703&amp;"'!$T$34"),""))</f>
        <v>#REF!</v>
      </c>
      <c r="AU703" s="93" t="e">
        <f ca="1">INDIRECT("'["&amp;$C$1&amp;".xls]"&amp;$B703&amp;"'!$B$6")</f>
        <v>#REF!</v>
      </c>
      <c r="AV703" s="93" t="e">
        <f ca="1">INDIRECT("'["&amp;$C$1&amp;".xls]"&amp;$B703&amp;"'!$Y$22")</f>
        <v>#REF!</v>
      </c>
      <c r="AW703" s="93" t="e">
        <f ca="1">INDIRECT("'["&amp;$C$1&amp;".xls]"&amp;$B703&amp;"'!$Y$24")</f>
        <v>#REF!</v>
      </c>
      <c r="AX703" s="93" t="e">
        <f ca="1">INDIRECT("'["&amp;$C$1&amp;".xls]"&amp;$B703&amp;"'!$Y$26")</f>
        <v>#REF!</v>
      </c>
      <c r="AY703" s="93" t="e">
        <f ca="1">INDIRECT("'["&amp;$C$1&amp;".xls]"&amp;$B703&amp;"'!$Y$28")</f>
        <v>#REF!</v>
      </c>
    </row>
    <row r="704" spans="1:52" ht="16.5" customHeight="1" x14ac:dyDescent="0.15">
      <c r="A704" s="199" t="s">
        <v>7123</v>
      </c>
      <c r="B704" s="209" t="s">
        <v>7124</v>
      </c>
      <c r="C704" s="48" t="s">
        <v>7125</v>
      </c>
      <c r="D704" s="62" t="s">
        <v>7126</v>
      </c>
      <c r="E704" s="48" t="s">
        <v>264</v>
      </c>
      <c r="F704" s="61">
        <v>42654</v>
      </c>
      <c r="G704" s="61">
        <v>0</v>
      </c>
      <c r="H704" s="125">
        <v>42704</v>
      </c>
      <c r="I704" s="61" t="s">
        <v>279</v>
      </c>
      <c r="J704" s="87"/>
      <c r="K704" s="62" t="s">
        <v>2506</v>
      </c>
      <c r="L704" s="62">
        <v>3</v>
      </c>
      <c r="M704" s="62" t="s">
        <v>471</v>
      </c>
      <c r="N704" s="62" t="s">
        <v>7127</v>
      </c>
      <c r="O704" s="48" t="s">
        <v>486</v>
      </c>
      <c r="P704" s="48" t="s">
        <v>7128</v>
      </c>
      <c r="Q704" s="48" t="s">
        <v>7129</v>
      </c>
      <c r="R704" s="48"/>
      <c r="S704" s="48" t="s">
        <v>7130</v>
      </c>
      <c r="T704" s="48" t="s">
        <v>7131</v>
      </c>
      <c r="U704" s="48" t="s">
        <v>7132</v>
      </c>
      <c r="V704" s="48"/>
      <c r="W704" s="48"/>
      <c r="X704" s="48"/>
      <c r="Y704" s="48"/>
      <c r="Z704" s="61"/>
      <c r="AA704" s="48" t="s">
        <v>529</v>
      </c>
      <c r="AB704" s="48" t="s">
        <v>273</v>
      </c>
      <c r="AC704" s="48" t="s">
        <v>273</v>
      </c>
      <c r="AD704" s="48" t="s">
        <v>273</v>
      </c>
      <c r="AE704" s="48" t="s">
        <v>273</v>
      </c>
      <c r="AF704" s="48" t="s">
        <v>273</v>
      </c>
      <c r="AG704" s="48" t="s">
        <v>273</v>
      </c>
      <c r="AH704" s="48" t="s">
        <v>273</v>
      </c>
      <c r="AI704" s="48" t="s">
        <v>273</v>
      </c>
      <c r="AJ704" s="48" t="s">
        <v>273</v>
      </c>
      <c r="AK704" s="48" t="s">
        <v>530</v>
      </c>
      <c r="AL704" s="48" t="s">
        <v>273</v>
      </c>
      <c r="AM704" s="48" t="s">
        <v>273</v>
      </c>
      <c r="AN704" s="48" t="s">
        <v>273</v>
      </c>
      <c r="AO704" s="48" t="s">
        <v>273</v>
      </c>
      <c r="AP704" s="48" t="s">
        <v>273</v>
      </c>
      <c r="AQ704" s="48" t="s">
        <v>273</v>
      </c>
      <c r="AR704" s="48" t="s">
        <v>273</v>
      </c>
      <c r="AS704" s="48" t="s">
        <v>273</v>
      </c>
      <c r="AT704" s="48" t="s">
        <v>273</v>
      </c>
      <c r="AU704" s="93">
        <v>42095</v>
      </c>
      <c r="AV704" s="93" t="s">
        <v>7133</v>
      </c>
      <c r="AW704" s="93" t="s">
        <v>7134</v>
      </c>
      <c r="AX704" s="93" t="s">
        <v>7135</v>
      </c>
      <c r="AY704" s="93" t="s">
        <v>5312</v>
      </c>
    </row>
    <row r="705" spans="1:52" ht="16.5" customHeight="1" x14ac:dyDescent="0.15">
      <c r="A705" s="121" t="s">
        <v>7136</v>
      </c>
      <c r="B705" s="47" t="s">
        <v>7137</v>
      </c>
      <c r="C705" s="48" t="e">
        <f ca="1">INDIRECT("'["&amp;$C$1&amp;".xls]"&amp;$B705&amp;"'!$i$7")</f>
        <v>#REF!</v>
      </c>
      <c r="D705" s="62" t="e">
        <f ca="1">INDIRECT("'["&amp;$C$1&amp;".xls]"&amp;$B705&amp;"'!$b$7")</f>
        <v>#REF!</v>
      </c>
      <c r="E705" s="48" t="e">
        <f ca="1">IF(INDIRECT("'["&amp;$C$1&amp;".xls]"&amp;$B705&amp;"'!$i$2")="","",INDIRECT("'["&amp;$C$1&amp;".xls]"&amp;$B705&amp;"'!$i$2"))</f>
        <v>#REF!</v>
      </c>
      <c r="F705" s="61" t="e">
        <f ca="1">INDIRECT("'["&amp;$C$1&amp;".xls]"&amp;$B705&amp;"'!$b$2")</f>
        <v>#REF!</v>
      </c>
      <c r="G705" s="61" t="e">
        <f ca="1">INDIRECT("'["&amp;$C$1&amp;".xls]"&amp;$B705&amp;"'!$a$20")</f>
        <v>#REF!</v>
      </c>
      <c r="H705" s="88" t="e">
        <f ca="1">INDIRECT("'["&amp;$C$1&amp;".xls]"&amp;$B705&amp;"'!$Q$22")</f>
        <v>#REF!</v>
      </c>
      <c r="I705" s="61" t="e">
        <f ca="1">INDIRECT("'["&amp;$C$1&amp;".xls]"&amp;$B705&amp;"'!$f$6")</f>
        <v>#REF!</v>
      </c>
      <c r="J705" s="87"/>
      <c r="K705" s="62" t="e">
        <f ca="1">INDIRECT("'["&amp;$C$1&amp;".xls]"&amp;$B705&amp;"'!$f$25")</f>
        <v>#REF!</v>
      </c>
      <c r="L705" s="62"/>
      <c r="M705" s="62" t="e">
        <f ca="1">INDIRECT("'["&amp;$C$1&amp;".xls]"&amp;$B705&amp;"'!$f$4")</f>
        <v>#REF!</v>
      </c>
      <c r="N705" s="62" t="e">
        <f ca="1">INDIRECT("'["&amp;$C$1&amp;".xls]"&amp;$B705&amp;"'!$i$4")</f>
        <v>#REF!</v>
      </c>
      <c r="O705" s="48" t="e">
        <f ca="1">INDIRECT("'["&amp;$C$1&amp;".xls]"&amp;$B705&amp;"'!$l$4")</f>
        <v>#REF!</v>
      </c>
      <c r="P705" s="48" t="e">
        <f ca="1">INDIRECT("'["&amp;$C$1&amp;".xls]"&amp;$B705&amp;"'!$b$5")</f>
        <v>#REF!</v>
      </c>
      <c r="Q705" s="48" t="e">
        <f ca="1">INDIRECT("'["&amp;$C$1&amp;".xls]"&amp;$B705&amp;"'!$f$5")</f>
        <v>#REF!</v>
      </c>
      <c r="R705" s="48"/>
      <c r="S705" s="48" t="e">
        <f ca="1">INDIRECT("'["&amp;$C$1&amp;".xls]"&amp;$B705&amp;"'!$i$5")</f>
        <v>#REF!</v>
      </c>
      <c r="T705" s="48" t="e">
        <f ca="1">INDIRECT("'["&amp;$C$1&amp;".xls]"&amp;$B705&amp;"'!$l$5")</f>
        <v>#REF!</v>
      </c>
      <c r="U705" s="48" t="e">
        <f ca="1">INDIRECT("'["&amp;$C$1&amp;".xls]"&amp;$B705&amp;"'!$b$4")</f>
        <v>#REF!</v>
      </c>
      <c r="V705" s="48"/>
      <c r="W705" s="48"/>
      <c r="X705" s="48"/>
      <c r="Y705" s="48"/>
      <c r="Z705" s="61"/>
      <c r="AA705" s="48" t="e">
        <f ca="1">IF(INDIRECT("'["&amp;$C$1&amp;".xls]"&amp;$B705&amp;"'!$P$25")="","",IF(INDIRECT("'["&amp;$C$1&amp;".xls]"&amp;$B705&amp;"'!$O$25")="済み",INDIRECT("'["&amp;$C$1&amp;".xls]"&amp;$B705&amp;"'!$P$25"),""))</f>
        <v>#REF!</v>
      </c>
      <c r="AB705" s="48" t="e">
        <f ca="1">IF(INDIRECT("'["&amp;$C$1&amp;".xls]"&amp;$B705&amp;"'!$P$26")="","",IF(INDIRECT("'["&amp;$C$1&amp;".xls]"&amp;$B705&amp;"'!$O$26")="済み",INDIRECT("'["&amp;$C$1&amp;".xls]"&amp;$B705&amp;"'!$P$26"),""))</f>
        <v>#REF!</v>
      </c>
      <c r="AC705" s="48" t="e">
        <f ca="1">IF(INDIRECT("'["&amp;$C$1&amp;".xls]"&amp;$B705&amp;"'!$P$27")="","",IF(INDIRECT("'["&amp;$C$1&amp;".xls]"&amp;$B705&amp;"'!$O$27")="済み",INDIRECT("'["&amp;$C$1&amp;".xls]"&amp;$B705&amp;"'!$P$27"),""))</f>
        <v>#REF!</v>
      </c>
      <c r="AD705" s="48" t="e">
        <f ca="1">IF(INDIRECT("'["&amp;$C$1&amp;".xls]"&amp;$B705&amp;"'!$P$28")="","",IF(INDIRECT("'["&amp;$C$1&amp;".xls]"&amp;$B705&amp;"'!$O$28")="済み",INDIRECT("'["&amp;$C$1&amp;".xls]"&amp;$B705&amp;"'!$P$28"),""))</f>
        <v>#REF!</v>
      </c>
      <c r="AE705" s="48" t="e">
        <f ca="1">IF(INDIRECT("'["&amp;$C$1&amp;".xls]"&amp;$B705&amp;"'!$P$29")="","",IF(INDIRECT("'["&amp;$C$1&amp;".xls]"&amp;$B705&amp;"'!$O$29")="済み",INDIRECT("'["&amp;$C$1&amp;".xls]"&amp;$B705&amp;"'!$P$29"),""))</f>
        <v>#REF!</v>
      </c>
      <c r="AF705" s="48" t="e">
        <f ca="1">IF(INDIRECT("'["&amp;$C$1&amp;".xls]"&amp;$B705&amp;"'!$P$30")="","",IF(INDIRECT("'["&amp;$C$1&amp;".xls]"&amp;$B705&amp;"'!$O$30")="済み",INDIRECT("'["&amp;$C$1&amp;".xls]"&amp;$B705&amp;"'!$P$30"),""))</f>
        <v>#REF!</v>
      </c>
      <c r="AG705" s="48" t="e">
        <f ca="1">IF(INDIRECT("'["&amp;$C$1&amp;".xls]"&amp;$B705&amp;"'!$P$31")="","",IF(INDIRECT("'["&amp;$C$1&amp;".xls]"&amp;$B705&amp;"'!$O$31")="済み",INDIRECT("'["&amp;$C$1&amp;".xls]"&amp;$B705&amp;"'!$P$31"),""))</f>
        <v>#REF!</v>
      </c>
      <c r="AH705" s="48" t="e">
        <f ca="1">IF(INDIRECT("'["&amp;$C$1&amp;".xls]"&amp;$B705&amp;"'!$P$32")="","",IF(INDIRECT("'["&amp;$C$1&amp;".xls]"&amp;$B705&amp;"'!$O$32")="済み",INDIRECT("'["&amp;$C$1&amp;".xls]"&amp;$B705&amp;"'!$P$32"),""))</f>
        <v>#REF!</v>
      </c>
      <c r="AI705" s="48" t="e">
        <f ca="1">IF(INDIRECT("'["&amp;$C$1&amp;".xls]"&amp;$B705&amp;"'!$P$33")="","",IF(INDIRECT("'["&amp;$C$1&amp;".xls]"&amp;$B705&amp;"'!$O$33")="済み",INDIRECT("'["&amp;$C$1&amp;".xls]"&amp;$B705&amp;"'!$P$33"),""))</f>
        <v>#REF!</v>
      </c>
      <c r="AJ705" s="48" t="e">
        <f ca="1">IF(INDIRECT("'["&amp;$C$1&amp;".xls]"&amp;$B705&amp;"'!$P$34")="","",IF(INDIRECT("'["&amp;$C$1&amp;".xls]"&amp;$B705&amp;"'!$O$34")="済み",INDIRECT("'["&amp;$C$1&amp;".xls]"&amp;$B705&amp;"'!$P$34"),""))</f>
        <v>#REF!</v>
      </c>
      <c r="AK705" s="48" t="e">
        <f ca="1">IF(INDIRECT("'["&amp;$C$1&amp;".xls]"&amp;$B705&amp;"'!$T25")="","",IF(INDIRECT("'["&amp;$C$1&amp;".xls]"&amp;$B705&amp;"'!$O$25")="済み",INDIRECT("'["&amp;$C$1&amp;".xls]"&amp;$B705&amp;"'!$T$25"),""))</f>
        <v>#REF!</v>
      </c>
      <c r="AL705" s="48" t="e">
        <f ca="1">IF(INDIRECT("'["&amp;$C$1&amp;".xls]"&amp;$B705&amp;"'!$T26")="","",IF(INDIRECT("'["&amp;$C$1&amp;".xls]"&amp;$B705&amp;"'!$O$26")="済み",INDIRECT("'["&amp;$C$1&amp;".xls]"&amp;$B705&amp;"'!$T$26"),""))</f>
        <v>#REF!</v>
      </c>
      <c r="AM705" s="48" t="e">
        <f ca="1">IF(INDIRECT("'["&amp;$C$1&amp;".xls]"&amp;$B705&amp;"'!$T27")="","",IF(INDIRECT("'["&amp;$C$1&amp;".xls]"&amp;$B705&amp;"'!$O$27")="済み",INDIRECT("'["&amp;$C$1&amp;".xls]"&amp;$B705&amp;"'!$T$27"),""))</f>
        <v>#REF!</v>
      </c>
      <c r="AN705" s="48" t="e">
        <f ca="1">IF(INDIRECT("'["&amp;$C$1&amp;".xls]"&amp;$B705&amp;"'!$T28")="","",IF(INDIRECT("'["&amp;$C$1&amp;".xls]"&amp;$B705&amp;"'!$O$28")="済み",INDIRECT("'["&amp;$C$1&amp;".xls]"&amp;$B705&amp;"'!$T$28"),""))</f>
        <v>#REF!</v>
      </c>
      <c r="AO705" s="48" t="e">
        <f ca="1">IF(INDIRECT("'["&amp;$C$1&amp;".xls]"&amp;$B705&amp;"'!$T29")="","",IF(INDIRECT("'["&amp;$C$1&amp;".xls]"&amp;$B705&amp;"'!$O$29")="済み",INDIRECT("'["&amp;$C$1&amp;".xls]"&amp;$B705&amp;"'!$T$29"),""))</f>
        <v>#REF!</v>
      </c>
      <c r="AP705" s="48" t="e">
        <f ca="1">IF(INDIRECT("'["&amp;$C$1&amp;".xls]"&amp;$B705&amp;"'!$T30")="","",IF(INDIRECT("'["&amp;$C$1&amp;".xls]"&amp;$B705&amp;"'!$O$30")="済み",INDIRECT("'["&amp;$C$1&amp;".xls]"&amp;$B705&amp;"'!$T$30"),""))</f>
        <v>#REF!</v>
      </c>
      <c r="AQ705" s="48" t="e">
        <f ca="1">IF(INDIRECT("'["&amp;$C$1&amp;".xls]"&amp;$B705&amp;"'!$T31")="","",IF(INDIRECT("'["&amp;$C$1&amp;".xls]"&amp;$B705&amp;"'!$O$31")="済み",INDIRECT("'["&amp;$C$1&amp;".xls]"&amp;$B705&amp;"'!$T$31"),""))</f>
        <v>#REF!</v>
      </c>
      <c r="AR705" s="48" t="e">
        <f ca="1">IF(INDIRECT("'["&amp;$C$1&amp;".xls]"&amp;$B705&amp;"'!$T32")="","",IF(INDIRECT("'["&amp;$C$1&amp;".xls]"&amp;$B705&amp;"'!$O$32")="済み",INDIRECT("'["&amp;$C$1&amp;".xls]"&amp;$B705&amp;"'!$T$32"),""))</f>
        <v>#REF!</v>
      </c>
      <c r="AS705" s="48" t="e">
        <f ca="1">IF(INDIRECT("'["&amp;$C$1&amp;".xls]"&amp;$B705&amp;"'!$T33")="","",IF(INDIRECT("'["&amp;$C$1&amp;".xls]"&amp;$B705&amp;"'!$O$33")="済み",INDIRECT("'["&amp;$C$1&amp;".xls]"&amp;$B705&amp;"'!$T$33"),""))</f>
        <v>#REF!</v>
      </c>
      <c r="AT705" s="48" t="e">
        <f ca="1">IF(INDIRECT("'["&amp;$C$1&amp;".xls]"&amp;$B705&amp;"'!$T34")="","",IF(INDIRECT("'["&amp;$C$1&amp;".xls]"&amp;$B705&amp;"'!$O$34")="済み",INDIRECT("'["&amp;$C$1&amp;".xls]"&amp;$B705&amp;"'!$T$34"),""))</f>
        <v>#REF!</v>
      </c>
      <c r="AU705" s="93" t="e">
        <f ca="1">INDIRECT("'["&amp;$C$1&amp;".xls]"&amp;$B705&amp;"'!$B$6")</f>
        <v>#REF!</v>
      </c>
      <c r="AV705" s="93" t="e">
        <f ca="1">INDIRECT("'["&amp;$C$1&amp;".xls]"&amp;$B705&amp;"'!$Y$22")</f>
        <v>#REF!</v>
      </c>
      <c r="AW705" s="93" t="e">
        <f ca="1">INDIRECT("'["&amp;$C$1&amp;".xls]"&amp;$B705&amp;"'!$Y$24")</f>
        <v>#REF!</v>
      </c>
      <c r="AX705" s="93" t="e">
        <f ca="1">INDIRECT("'["&amp;$C$1&amp;".xls]"&amp;$B705&amp;"'!$Y$26")</f>
        <v>#REF!</v>
      </c>
      <c r="AY705" s="93" t="e">
        <f ca="1">INDIRECT("'["&amp;$C$1&amp;".xls]"&amp;$B705&amp;"'!$Y$28")</f>
        <v>#REF!</v>
      </c>
    </row>
    <row r="706" spans="1:52" ht="16.5" customHeight="1" x14ac:dyDescent="0.15">
      <c r="A706" s="199" t="s">
        <v>7138</v>
      </c>
      <c r="B706" s="209" t="s">
        <v>7139</v>
      </c>
      <c r="C706" s="48" t="s">
        <v>7140</v>
      </c>
      <c r="D706" s="62" t="s">
        <v>7141</v>
      </c>
      <c r="E706" s="48" t="s">
        <v>264</v>
      </c>
      <c r="F706" s="61">
        <v>42654</v>
      </c>
      <c r="G706" s="61">
        <v>0</v>
      </c>
      <c r="H706" s="125">
        <v>42704</v>
      </c>
      <c r="I706" s="61">
        <v>42332</v>
      </c>
      <c r="J706" s="87"/>
      <c r="K706" s="62">
        <v>0</v>
      </c>
      <c r="L706" s="62"/>
      <c r="M706" s="62" t="s">
        <v>209</v>
      </c>
      <c r="N706" s="62" t="s">
        <v>7142</v>
      </c>
      <c r="O706" s="48" t="s">
        <v>7143</v>
      </c>
      <c r="P706" s="48" t="s">
        <v>4646</v>
      </c>
      <c r="Q706" s="48" t="s">
        <v>7144</v>
      </c>
      <c r="R706" s="48"/>
      <c r="S706" s="48" t="s">
        <v>269</v>
      </c>
      <c r="T706" s="48" t="s">
        <v>270</v>
      </c>
      <c r="U706" s="48" t="s">
        <v>7145</v>
      </c>
      <c r="V706" s="48"/>
      <c r="W706" s="48"/>
      <c r="X706" s="48"/>
      <c r="Y706" s="48"/>
      <c r="Z706" s="61"/>
      <c r="AA706" s="48" t="s">
        <v>327</v>
      </c>
      <c r="AB706" s="48" t="s">
        <v>3871</v>
      </c>
      <c r="AC706" s="48" t="s">
        <v>273</v>
      </c>
      <c r="AD706" s="48" t="s">
        <v>273</v>
      </c>
      <c r="AE706" s="48" t="s">
        <v>273</v>
      </c>
      <c r="AF706" s="48" t="s">
        <v>273</v>
      </c>
      <c r="AG706" s="48" t="s">
        <v>273</v>
      </c>
      <c r="AH706" s="48" t="s">
        <v>273</v>
      </c>
      <c r="AI706" s="48" t="s">
        <v>273</v>
      </c>
      <c r="AJ706" s="48" t="s">
        <v>273</v>
      </c>
      <c r="AK706" s="48" t="s">
        <v>274</v>
      </c>
      <c r="AL706" s="48" t="s">
        <v>3874</v>
      </c>
      <c r="AM706" s="48" t="s">
        <v>273</v>
      </c>
      <c r="AN706" s="48" t="s">
        <v>273</v>
      </c>
      <c r="AO706" s="48" t="s">
        <v>273</v>
      </c>
      <c r="AP706" s="48" t="s">
        <v>273</v>
      </c>
      <c r="AQ706" s="48" t="s">
        <v>273</v>
      </c>
      <c r="AR706" s="48" t="s">
        <v>273</v>
      </c>
      <c r="AS706" s="48" t="s">
        <v>273</v>
      </c>
      <c r="AT706" s="48" t="s">
        <v>273</v>
      </c>
      <c r="AU706" s="93">
        <v>42064</v>
      </c>
      <c r="AV706" s="93" t="s">
        <v>7146</v>
      </c>
      <c r="AW706" s="93" t="s">
        <v>7147</v>
      </c>
      <c r="AX706" s="93" t="s">
        <v>7148</v>
      </c>
      <c r="AY706" s="93" t="s">
        <v>5312</v>
      </c>
    </row>
    <row r="707" spans="1:52" ht="16.5" customHeight="1" x14ac:dyDescent="0.15">
      <c r="A707" s="121" t="s">
        <v>7149</v>
      </c>
      <c r="B707" s="47" t="s">
        <v>7150</v>
      </c>
      <c r="C707" s="48" t="e">
        <f ca="1">INDIRECT("'["&amp;$C$1&amp;".xls]"&amp;$B707&amp;"'!$i$7")</f>
        <v>#REF!</v>
      </c>
      <c r="D707" s="62" t="e">
        <f ca="1">INDIRECT("'["&amp;$C$1&amp;".xls]"&amp;$B707&amp;"'!$b$7")</f>
        <v>#REF!</v>
      </c>
      <c r="E707" s="48" t="e">
        <f ca="1">IF(INDIRECT("'["&amp;$C$1&amp;".xls]"&amp;$B707&amp;"'!$i$2")="","",INDIRECT("'["&amp;$C$1&amp;".xls]"&amp;$B707&amp;"'!$i$2"))</f>
        <v>#REF!</v>
      </c>
      <c r="F707" s="61" t="e">
        <f ca="1">INDIRECT("'["&amp;$C$1&amp;".xls]"&amp;$B707&amp;"'!$b$2")</f>
        <v>#REF!</v>
      </c>
      <c r="G707" s="61" t="e">
        <f ca="1">INDIRECT("'["&amp;$C$1&amp;".xls]"&amp;$B707&amp;"'!$a$20")</f>
        <v>#REF!</v>
      </c>
      <c r="H707" s="88" t="e">
        <f ca="1">INDIRECT("'["&amp;$C$1&amp;".xls]"&amp;$B707&amp;"'!$Q$22")</f>
        <v>#REF!</v>
      </c>
      <c r="I707" s="61" t="e">
        <f ca="1">INDIRECT("'["&amp;$C$1&amp;".xls]"&amp;$B707&amp;"'!$f$6")</f>
        <v>#REF!</v>
      </c>
      <c r="J707" s="87"/>
      <c r="K707" s="62" t="e">
        <f ca="1">INDIRECT("'["&amp;$C$1&amp;".xls]"&amp;$B707&amp;"'!$f$25")</f>
        <v>#REF!</v>
      </c>
      <c r="L707" s="62"/>
      <c r="M707" s="62" t="e">
        <f ca="1">INDIRECT("'["&amp;$C$1&amp;".xls]"&amp;$B707&amp;"'!$f$4")</f>
        <v>#REF!</v>
      </c>
      <c r="N707" s="62" t="e">
        <f ca="1">INDIRECT("'["&amp;$C$1&amp;".xls]"&amp;$B707&amp;"'!$i$4")</f>
        <v>#REF!</v>
      </c>
      <c r="O707" s="48" t="e">
        <f ca="1">INDIRECT("'["&amp;$C$1&amp;".xls]"&amp;$B707&amp;"'!$l$4")</f>
        <v>#REF!</v>
      </c>
      <c r="P707" s="48" t="e">
        <f ca="1">INDIRECT("'["&amp;$C$1&amp;".xls]"&amp;$B707&amp;"'!$b$5")</f>
        <v>#REF!</v>
      </c>
      <c r="Q707" s="48" t="e">
        <f ca="1">INDIRECT("'["&amp;$C$1&amp;".xls]"&amp;$B707&amp;"'!$f$5")</f>
        <v>#REF!</v>
      </c>
      <c r="R707" s="48"/>
      <c r="S707" s="48" t="e">
        <f ca="1">INDIRECT("'["&amp;$C$1&amp;".xls]"&amp;$B707&amp;"'!$i$5")</f>
        <v>#REF!</v>
      </c>
      <c r="T707" s="48" t="e">
        <f ca="1">INDIRECT("'["&amp;$C$1&amp;".xls]"&amp;$B707&amp;"'!$l$5")</f>
        <v>#REF!</v>
      </c>
      <c r="U707" s="48" t="e">
        <f ca="1">INDIRECT("'["&amp;$C$1&amp;".xls]"&amp;$B707&amp;"'!$b$4")</f>
        <v>#REF!</v>
      </c>
      <c r="V707" s="48"/>
      <c r="W707" s="48"/>
      <c r="X707" s="48"/>
      <c r="Y707" s="48"/>
      <c r="Z707" s="61"/>
      <c r="AA707" s="48" t="e">
        <f ca="1">IF(INDIRECT("'["&amp;$C$1&amp;".xls]"&amp;$B707&amp;"'!$P$25")="","",IF(INDIRECT("'["&amp;$C$1&amp;".xls]"&amp;$B707&amp;"'!$O$25")="済み",INDIRECT("'["&amp;$C$1&amp;".xls]"&amp;$B707&amp;"'!$P$25"),""))</f>
        <v>#REF!</v>
      </c>
      <c r="AB707" s="48" t="e">
        <f ca="1">IF(INDIRECT("'["&amp;$C$1&amp;".xls]"&amp;$B707&amp;"'!$P$26")="","",IF(INDIRECT("'["&amp;$C$1&amp;".xls]"&amp;$B707&amp;"'!$O$26")="済み",INDIRECT("'["&amp;$C$1&amp;".xls]"&amp;$B707&amp;"'!$P$26"),""))</f>
        <v>#REF!</v>
      </c>
      <c r="AC707" s="48" t="e">
        <f ca="1">IF(INDIRECT("'["&amp;$C$1&amp;".xls]"&amp;$B707&amp;"'!$P$27")="","",IF(INDIRECT("'["&amp;$C$1&amp;".xls]"&amp;$B707&amp;"'!$O$27")="済み",INDIRECT("'["&amp;$C$1&amp;".xls]"&amp;$B707&amp;"'!$P$27"),""))</f>
        <v>#REF!</v>
      </c>
      <c r="AD707" s="48" t="e">
        <f ca="1">IF(INDIRECT("'["&amp;$C$1&amp;".xls]"&amp;$B707&amp;"'!$P$28")="","",IF(INDIRECT("'["&amp;$C$1&amp;".xls]"&amp;$B707&amp;"'!$O$28")="済み",INDIRECT("'["&amp;$C$1&amp;".xls]"&amp;$B707&amp;"'!$P$28"),""))</f>
        <v>#REF!</v>
      </c>
      <c r="AE707" s="48" t="e">
        <f ca="1">IF(INDIRECT("'["&amp;$C$1&amp;".xls]"&amp;$B707&amp;"'!$P$29")="","",IF(INDIRECT("'["&amp;$C$1&amp;".xls]"&amp;$B707&amp;"'!$O$29")="済み",INDIRECT("'["&amp;$C$1&amp;".xls]"&amp;$B707&amp;"'!$P$29"),""))</f>
        <v>#REF!</v>
      </c>
      <c r="AF707" s="48" t="e">
        <f ca="1">IF(INDIRECT("'["&amp;$C$1&amp;".xls]"&amp;$B707&amp;"'!$P$30")="","",IF(INDIRECT("'["&amp;$C$1&amp;".xls]"&amp;$B707&amp;"'!$O$30")="済み",INDIRECT("'["&amp;$C$1&amp;".xls]"&amp;$B707&amp;"'!$P$30"),""))</f>
        <v>#REF!</v>
      </c>
      <c r="AG707" s="48" t="e">
        <f ca="1">IF(INDIRECT("'["&amp;$C$1&amp;".xls]"&amp;$B707&amp;"'!$P$31")="","",IF(INDIRECT("'["&amp;$C$1&amp;".xls]"&amp;$B707&amp;"'!$O$31")="済み",INDIRECT("'["&amp;$C$1&amp;".xls]"&amp;$B707&amp;"'!$P$31"),""))</f>
        <v>#REF!</v>
      </c>
      <c r="AH707" s="48" t="e">
        <f ca="1">IF(INDIRECT("'["&amp;$C$1&amp;".xls]"&amp;$B707&amp;"'!$P$32")="","",IF(INDIRECT("'["&amp;$C$1&amp;".xls]"&amp;$B707&amp;"'!$O$32")="済み",INDIRECT("'["&amp;$C$1&amp;".xls]"&amp;$B707&amp;"'!$P$32"),""))</f>
        <v>#REF!</v>
      </c>
      <c r="AI707" s="48" t="e">
        <f ca="1">IF(INDIRECT("'["&amp;$C$1&amp;".xls]"&amp;$B707&amp;"'!$P$33")="","",IF(INDIRECT("'["&amp;$C$1&amp;".xls]"&amp;$B707&amp;"'!$O$33")="済み",INDIRECT("'["&amp;$C$1&amp;".xls]"&amp;$B707&amp;"'!$P$33"),""))</f>
        <v>#REF!</v>
      </c>
      <c r="AJ707" s="48" t="e">
        <f ca="1">IF(INDIRECT("'["&amp;$C$1&amp;".xls]"&amp;$B707&amp;"'!$P$34")="","",IF(INDIRECT("'["&amp;$C$1&amp;".xls]"&amp;$B707&amp;"'!$O$34")="済み",INDIRECT("'["&amp;$C$1&amp;".xls]"&amp;$B707&amp;"'!$P$34"),""))</f>
        <v>#REF!</v>
      </c>
      <c r="AK707" s="48" t="e">
        <f ca="1">IF(INDIRECT("'["&amp;$C$1&amp;".xls]"&amp;$B707&amp;"'!$T25")="","",IF(INDIRECT("'["&amp;$C$1&amp;".xls]"&amp;$B707&amp;"'!$O$25")="済み",INDIRECT("'["&amp;$C$1&amp;".xls]"&amp;$B707&amp;"'!$T$25"),""))</f>
        <v>#REF!</v>
      </c>
      <c r="AL707" s="48" t="e">
        <f ca="1">IF(INDIRECT("'["&amp;$C$1&amp;".xls]"&amp;$B707&amp;"'!$T26")="","",IF(INDIRECT("'["&amp;$C$1&amp;".xls]"&amp;$B707&amp;"'!$O$26")="済み",INDIRECT("'["&amp;$C$1&amp;".xls]"&amp;$B707&amp;"'!$T$26"),""))</f>
        <v>#REF!</v>
      </c>
      <c r="AM707" s="48" t="e">
        <f ca="1">IF(INDIRECT("'["&amp;$C$1&amp;".xls]"&amp;$B707&amp;"'!$T27")="","",IF(INDIRECT("'["&amp;$C$1&amp;".xls]"&amp;$B707&amp;"'!$O$27")="済み",INDIRECT("'["&amp;$C$1&amp;".xls]"&amp;$B707&amp;"'!$T$27"),""))</f>
        <v>#REF!</v>
      </c>
      <c r="AN707" s="48" t="e">
        <f ca="1">IF(INDIRECT("'["&amp;$C$1&amp;".xls]"&amp;$B707&amp;"'!$T28")="","",IF(INDIRECT("'["&amp;$C$1&amp;".xls]"&amp;$B707&amp;"'!$O$28")="済み",INDIRECT("'["&amp;$C$1&amp;".xls]"&amp;$B707&amp;"'!$T$28"),""))</f>
        <v>#REF!</v>
      </c>
      <c r="AO707" s="48" t="e">
        <f ca="1">IF(INDIRECT("'["&amp;$C$1&amp;".xls]"&amp;$B707&amp;"'!$T29")="","",IF(INDIRECT("'["&amp;$C$1&amp;".xls]"&amp;$B707&amp;"'!$O$29")="済み",INDIRECT("'["&amp;$C$1&amp;".xls]"&amp;$B707&amp;"'!$T$29"),""))</f>
        <v>#REF!</v>
      </c>
      <c r="AP707" s="48" t="e">
        <f ca="1">IF(INDIRECT("'["&amp;$C$1&amp;".xls]"&amp;$B707&amp;"'!$T30")="","",IF(INDIRECT("'["&amp;$C$1&amp;".xls]"&amp;$B707&amp;"'!$O$30")="済み",INDIRECT("'["&amp;$C$1&amp;".xls]"&amp;$B707&amp;"'!$T$30"),""))</f>
        <v>#REF!</v>
      </c>
      <c r="AQ707" s="48" t="e">
        <f ca="1">IF(INDIRECT("'["&amp;$C$1&amp;".xls]"&amp;$B707&amp;"'!$T31")="","",IF(INDIRECT("'["&amp;$C$1&amp;".xls]"&amp;$B707&amp;"'!$O$31")="済み",INDIRECT("'["&amp;$C$1&amp;".xls]"&amp;$B707&amp;"'!$T$31"),""))</f>
        <v>#REF!</v>
      </c>
      <c r="AR707" s="48" t="e">
        <f ca="1">IF(INDIRECT("'["&amp;$C$1&amp;".xls]"&amp;$B707&amp;"'!$T32")="","",IF(INDIRECT("'["&amp;$C$1&amp;".xls]"&amp;$B707&amp;"'!$O$32")="済み",INDIRECT("'["&amp;$C$1&amp;".xls]"&amp;$B707&amp;"'!$T$32"),""))</f>
        <v>#REF!</v>
      </c>
      <c r="AS707" s="48" t="e">
        <f ca="1">IF(INDIRECT("'["&amp;$C$1&amp;".xls]"&amp;$B707&amp;"'!$T33")="","",IF(INDIRECT("'["&amp;$C$1&amp;".xls]"&amp;$B707&amp;"'!$O$33")="済み",INDIRECT("'["&amp;$C$1&amp;".xls]"&amp;$B707&amp;"'!$T$33"),""))</f>
        <v>#REF!</v>
      </c>
      <c r="AT707" s="48" t="e">
        <f ca="1">IF(INDIRECT("'["&amp;$C$1&amp;".xls]"&amp;$B707&amp;"'!$T34")="","",IF(INDIRECT("'["&amp;$C$1&amp;".xls]"&amp;$B707&amp;"'!$O$34")="済み",INDIRECT("'["&amp;$C$1&amp;".xls]"&amp;$B707&amp;"'!$T$34"),""))</f>
        <v>#REF!</v>
      </c>
      <c r="AU707" s="93" t="e">
        <f ca="1">INDIRECT("'["&amp;$C$1&amp;".xls]"&amp;$B707&amp;"'!$B$6")</f>
        <v>#REF!</v>
      </c>
      <c r="AV707" s="93" t="e">
        <f ca="1">INDIRECT("'["&amp;$C$1&amp;".xls]"&amp;$B707&amp;"'!$Y$22")</f>
        <v>#REF!</v>
      </c>
      <c r="AW707" s="93" t="e">
        <f ca="1">INDIRECT("'["&amp;$C$1&amp;".xls]"&amp;$B707&amp;"'!$Y$24")</f>
        <v>#REF!</v>
      </c>
      <c r="AX707" s="93" t="e">
        <f ca="1">INDIRECT("'["&amp;$C$1&amp;".xls]"&amp;$B707&amp;"'!$Y$26")</f>
        <v>#REF!</v>
      </c>
      <c r="AY707" s="93" t="e">
        <f ca="1">INDIRECT("'["&amp;$C$1&amp;".xls]"&amp;$B707&amp;"'!$Y$28")</f>
        <v>#REF!</v>
      </c>
    </row>
    <row r="708" spans="1:52" ht="16.5" customHeight="1" x14ac:dyDescent="0.15">
      <c r="A708" s="199" t="s">
        <v>7151</v>
      </c>
      <c r="B708" s="209" t="s">
        <v>7152</v>
      </c>
      <c r="C708" s="48" t="s">
        <v>298</v>
      </c>
      <c r="D708" s="62" t="s">
        <v>7153</v>
      </c>
      <c r="E708" s="48" t="s">
        <v>300</v>
      </c>
      <c r="F708" s="61">
        <v>42655</v>
      </c>
      <c r="G708" s="61">
        <v>0</v>
      </c>
      <c r="H708" s="125">
        <v>42682</v>
      </c>
      <c r="I708" s="61" t="s">
        <v>279</v>
      </c>
      <c r="J708" s="87"/>
      <c r="K708" s="62" t="s">
        <v>2506</v>
      </c>
      <c r="L708" s="62">
        <v>3</v>
      </c>
      <c r="M708" s="62" t="s">
        <v>924</v>
      </c>
      <c r="N708" s="62" t="s">
        <v>7154</v>
      </c>
      <c r="O708" s="48" t="s">
        <v>1202</v>
      </c>
      <c r="P708" s="48" t="s">
        <v>7155</v>
      </c>
      <c r="Q708" s="48" t="s">
        <v>318</v>
      </c>
      <c r="R708" s="48" t="s">
        <v>3472</v>
      </c>
      <c r="S708" s="48" t="s">
        <v>3473</v>
      </c>
      <c r="T708" s="48" t="s">
        <v>3474</v>
      </c>
      <c r="U708" s="48" t="s">
        <v>7156</v>
      </c>
      <c r="V708" s="122" t="s">
        <v>263</v>
      </c>
      <c r="W708" s="122" t="s">
        <v>263</v>
      </c>
      <c r="X708" s="48" t="s">
        <v>3477</v>
      </c>
      <c r="Y708" s="48" t="s">
        <v>7157</v>
      </c>
      <c r="Z708" s="61"/>
      <c r="AA708" s="48" t="s">
        <v>581</v>
      </c>
      <c r="AB708" s="48" t="s">
        <v>389</v>
      </c>
      <c r="AC708" s="48" t="s">
        <v>453</v>
      </c>
      <c r="AD708" s="48" t="s">
        <v>273</v>
      </c>
      <c r="AE708" s="48" t="s">
        <v>273</v>
      </c>
      <c r="AF708" s="48" t="s">
        <v>273</v>
      </c>
      <c r="AG708" s="48" t="s">
        <v>273</v>
      </c>
      <c r="AH708" s="48" t="s">
        <v>273</v>
      </c>
      <c r="AI708" s="48" t="s">
        <v>273</v>
      </c>
      <c r="AJ708" s="48" t="s">
        <v>273</v>
      </c>
      <c r="AK708" s="48" t="s">
        <v>582</v>
      </c>
      <c r="AL708" s="48" t="s">
        <v>391</v>
      </c>
      <c r="AM708" s="48" t="s">
        <v>454</v>
      </c>
      <c r="AN708" s="48" t="s">
        <v>273</v>
      </c>
      <c r="AO708" s="48" t="s">
        <v>273</v>
      </c>
      <c r="AP708" s="48" t="s">
        <v>273</v>
      </c>
      <c r="AQ708" s="48" t="s">
        <v>273</v>
      </c>
      <c r="AR708" s="48" t="s">
        <v>273</v>
      </c>
      <c r="AS708" s="48" t="s">
        <v>273</v>
      </c>
      <c r="AT708" s="48" t="s">
        <v>273</v>
      </c>
      <c r="AU708" s="93">
        <v>37500</v>
      </c>
      <c r="AV708" s="93" t="s">
        <v>7158</v>
      </c>
      <c r="AW708" s="93" t="s">
        <v>7159</v>
      </c>
      <c r="AX708" s="93" t="s">
        <v>7160</v>
      </c>
      <c r="AY708" s="93" t="s">
        <v>5312</v>
      </c>
    </row>
    <row r="709" spans="1:52" ht="16.5" customHeight="1" x14ac:dyDescent="0.15">
      <c r="A709" s="121" t="s">
        <v>7161</v>
      </c>
      <c r="B709" s="47" t="s">
        <v>7162</v>
      </c>
      <c r="C709" s="48" t="e">
        <f ca="1">INDIRECT("'["&amp;$C$1&amp;".xls]"&amp;$B709&amp;"'!$i$7")</f>
        <v>#REF!</v>
      </c>
      <c r="D709" s="62" t="e">
        <f ca="1">INDIRECT("'["&amp;$C$1&amp;".xls]"&amp;$B709&amp;"'!$b$7")</f>
        <v>#REF!</v>
      </c>
      <c r="E709" s="48" t="e">
        <f ca="1">IF(INDIRECT("'["&amp;$C$1&amp;".xls]"&amp;$B709&amp;"'!$i$2")="","",INDIRECT("'["&amp;$C$1&amp;".xls]"&amp;$B709&amp;"'!$i$2"))</f>
        <v>#REF!</v>
      </c>
      <c r="F709" s="61" t="e">
        <f ca="1">INDIRECT("'["&amp;$C$1&amp;".xls]"&amp;$B709&amp;"'!$b$2")</f>
        <v>#REF!</v>
      </c>
      <c r="G709" s="61" t="e">
        <f ca="1">INDIRECT("'["&amp;$C$1&amp;".xls]"&amp;$B709&amp;"'!$a$20")</f>
        <v>#REF!</v>
      </c>
      <c r="H709" s="88" t="e">
        <f ca="1">INDIRECT("'["&amp;$C$1&amp;".xls]"&amp;$B709&amp;"'!$Q$22")</f>
        <v>#REF!</v>
      </c>
      <c r="I709" s="61" t="e">
        <f ca="1">INDIRECT("'["&amp;$C$1&amp;".xls]"&amp;$B709&amp;"'!$f$6")</f>
        <v>#REF!</v>
      </c>
      <c r="J709" s="87"/>
      <c r="K709" s="62" t="e">
        <f ca="1">INDIRECT("'["&amp;$C$1&amp;".xls]"&amp;$B709&amp;"'!$f$25")</f>
        <v>#REF!</v>
      </c>
      <c r="L709" s="62"/>
      <c r="M709" s="62" t="e">
        <f ca="1">INDIRECT("'["&amp;$C$1&amp;".xls]"&amp;$B709&amp;"'!$f$4")</f>
        <v>#REF!</v>
      </c>
      <c r="N709" s="62" t="e">
        <f ca="1">INDIRECT("'["&amp;$C$1&amp;".xls]"&amp;$B709&amp;"'!$i$4")</f>
        <v>#REF!</v>
      </c>
      <c r="O709" s="48" t="e">
        <f ca="1">INDIRECT("'["&amp;$C$1&amp;".xls]"&amp;$B709&amp;"'!$l$4")</f>
        <v>#REF!</v>
      </c>
      <c r="P709" s="48" t="e">
        <f ca="1">INDIRECT("'["&amp;$C$1&amp;".xls]"&amp;$B709&amp;"'!$b$5")</f>
        <v>#REF!</v>
      </c>
      <c r="Q709" s="48" t="e">
        <f ca="1">INDIRECT("'["&amp;$C$1&amp;".xls]"&amp;$B709&amp;"'!$f$5")</f>
        <v>#REF!</v>
      </c>
      <c r="R709" s="48"/>
      <c r="S709" s="48" t="e">
        <f ca="1">INDIRECT("'["&amp;$C$1&amp;".xls]"&amp;$B709&amp;"'!$i$5")</f>
        <v>#REF!</v>
      </c>
      <c r="T709" s="48" t="e">
        <f ca="1">INDIRECT("'["&amp;$C$1&amp;".xls]"&amp;$B709&amp;"'!$l$5")</f>
        <v>#REF!</v>
      </c>
      <c r="U709" s="48" t="e">
        <f ca="1">INDIRECT("'["&amp;$C$1&amp;".xls]"&amp;$B709&amp;"'!$b$4")</f>
        <v>#REF!</v>
      </c>
      <c r="V709" s="48"/>
      <c r="W709" s="48"/>
      <c r="X709" s="48"/>
      <c r="Y709" s="48"/>
      <c r="Z709" s="61"/>
      <c r="AA709" s="48" t="e">
        <f ca="1">IF(INDIRECT("'["&amp;$C$1&amp;".xls]"&amp;$B709&amp;"'!$P$25")="","",IF(INDIRECT("'["&amp;$C$1&amp;".xls]"&amp;$B709&amp;"'!$O$25")="済み",INDIRECT("'["&amp;$C$1&amp;".xls]"&amp;$B709&amp;"'!$P$25"),""))</f>
        <v>#REF!</v>
      </c>
      <c r="AB709" s="48" t="e">
        <f ca="1">IF(INDIRECT("'["&amp;$C$1&amp;".xls]"&amp;$B709&amp;"'!$P$26")="","",IF(INDIRECT("'["&amp;$C$1&amp;".xls]"&amp;$B709&amp;"'!$O$26")="済み",INDIRECT("'["&amp;$C$1&amp;".xls]"&amp;$B709&amp;"'!$P$26"),""))</f>
        <v>#REF!</v>
      </c>
      <c r="AC709" s="48" t="e">
        <f ca="1">IF(INDIRECT("'["&amp;$C$1&amp;".xls]"&amp;$B709&amp;"'!$P$27")="","",IF(INDIRECT("'["&amp;$C$1&amp;".xls]"&amp;$B709&amp;"'!$O$27")="済み",INDIRECT("'["&amp;$C$1&amp;".xls]"&amp;$B709&amp;"'!$P$27"),""))</f>
        <v>#REF!</v>
      </c>
      <c r="AD709" s="48" t="e">
        <f ca="1">IF(INDIRECT("'["&amp;$C$1&amp;".xls]"&amp;$B709&amp;"'!$P$28")="","",IF(INDIRECT("'["&amp;$C$1&amp;".xls]"&amp;$B709&amp;"'!$O$28")="済み",INDIRECT("'["&amp;$C$1&amp;".xls]"&amp;$B709&amp;"'!$P$28"),""))</f>
        <v>#REF!</v>
      </c>
      <c r="AE709" s="48" t="e">
        <f ca="1">IF(INDIRECT("'["&amp;$C$1&amp;".xls]"&amp;$B709&amp;"'!$P$29")="","",IF(INDIRECT("'["&amp;$C$1&amp;".xls]"&amp;$B709&amp;"'!$O$29")="済み",INDIRECT("'["&amp;$C$1&amp;".xls]"&amp;$B709&amp;"'!$P$29"),""))</f>
        <v>#REF!</v>
      </c>
      <c r="AF709" s="48" t="e">
        <f ca="1">IF(INDIRECT("'["&amp;$C$1&amp;".xls]"&amp;$B709&amp;"'!$P$30")="","",IF(INDIRECT("'["&amp;$C$1&amp;".xls]"&amp;$B709&amp;"'!$O$30")="済み",INDIRECT("'["&amp;$C$1&amp;".xls]"&amp;$B709&amp;"'!$P$30"),""))</f>
        <v>#REF!</v>
      </c>
      <c r="AG709" s="48" t="e">
        <f ca="1">IF(INDIRECT("'["&amp;$C$1&amp;".xls]"&amp;$B709&amp;"'!$P$31")="","",IF(INDIRECT("'["&amp;$C$1&amp;".xls]"&amp;$B709&amp;"'!$O$31")="済み",INDIRECT("'["&amp;$C$1&amp;".xls]"&amp;$B709&amp;"'!$P$31"),""))</f>
        <v>#REF!</v>
      </c>
      <c r="AH709" s="48" t="e">
        <f ca="1">IF(INDIRECT("'["&amp;$C$1&amp;".xls]"&amp;$B709&amp;"'!$P$32")="","",IF(INDIRECT("'["&amp;$C$1&amp;".xls]"&amp;$B709&amp;"'!$O$32")="済み",INDIRECT("'["&amp;$C$1&amp;".xls]"&amp;$B709&amp;"'!$P$32"),""))</f>
        <v>#REF!</v>
      </c>
      <c r="AI709" s="48" t="e">
        <f ca="1">IF(INDIRECT("'["&amp;$C$1&amp;".xls]"&amp;$B709&amp;"'!$P$33")="","",IF(INDIRECT("'["&amp;$C$1&amp;".xls]"&amp;$B709&amp;"'!$O$33")="済み",INDIRECT("'["&amp;$C$1&amp;".xls]"&amp;$B709&amp;"'!$P$33"),""))</f>
        <v>#REF!</v>
      </c>
      <c r="AJ709" s="48" t="e">
        <f ca="1">IF(INDIRECT("'["&amp;$C$1&amp;".xls]"&amp;$B709&amp;"'!$P$34")="","",IF(INDIRECT("'["&amp;$C$1&amp;".xls]"&amp;$B709&amp;"'!$O$34")="済み",INDIRECT("'["&amp;$C$1&amp;".xls]"&amp;$B709&amp;"'!$P$34"),""))</f>
        <v>#REF!</v>
      </c>
      <c r="AK709" s="48" t="e">
        <f ca="1">IF(INDIRECT("'["&amp;$C$1&amp;".xls]"&amp;$B709&amp;"'!$T25")="","",IF(INDIRECT("'["&amp;$C$1&amp;".xls]"&amp;$B709&amp;"'!$O$25")="済み",INDIRECT("'["&amp;$C$1&amp;".xls]"&amp;$B709&amp;"'!$T$25"),""))</f>
        <v>#REF!</v>
      </c>
      <c r="AL709" s="48" t="e">
        <f ca="1">IF(INDIRECT("'["&amp;$C$1&amp;".xls]"&amp;$B709&amp;"'!$T26")="","",IF(INDIRECT("'["&amp;$C$1&amp;".xls]"&amp;$B709&amp;"'!$O$26")="済み",INDIRECT("'["&amp;$C$1&amp;".xls]"&amp;$B709&amp;"'!$T$26"),""))</f>
        <v>#REF!</v>
      </c>
      <c r="AM709" s="48" t="e">
        <f ca="1">IF(INDIRECT("'["&amp;$C$1&amp;".xls]"&amp;$B709&amp;"'!$T27")="","",IF(INDIRECT("'["&amp;$C$1&amp;".xls]"&amp;$B709&amp;"'!$O$27")="済み",INDIRECT("'["&amp;$C$1&amp;".xls]"&amp;$B709&amp;"'!$T$27"),""))</f>
        <v>#REF!</v>
      </c>
      <c r="AN709" s="48" t="e">
        <f ca="1">IF(INDIRECT("'["&amp;$C$1&amp;".xls]"&amp;$B709&amp;"'!$T28")="","",IF(INDIRECT("'["&amp;$C$1&amp;".xls]"&amp;$B709&amp;"'!$O$28")="済み",INDIRECT("'["&amp;$C$1&amp;".xls]"&amp;$B709&amp;"'!$T$28"),""))</f>
        <v>#REF!</v>
      </c>
      <c r="AO709" s="48" t="e">
        <f ca="1">IF(INDIRECT("'["&amp;$C$1&amp;".xls]"&amp;$B709&amp;"'!$T29")="","",IF(INDIRECT("'["&amp;$C$1&amp;".xls]"&amp;$B709&amp;"'!$O$29")="済み",INDIRECT("'["&amp;$C$1&amp;".xls]"&amp;$B709&amp;"'!$T$29"),""))</f>
        <v>#REF!</v>
      </c>
      <c r="AP709" s="48" t="e">
        <f ca="1">IF(INDIRECT("'["&amp;$C$1&amp;".xls]"&amp;$B709&amp;"'!$T30")="","",IF(INDIRECT("'["&amp;$C$1&amp;".xls]"&amp;$B709&amp;"'!$O$30")="済み",INDIRECT("'["&amp;$C$1&amp;".xls]"&amp;$B709&amp;"'!$T$30"),""))</f>
        <v>#REF!</v>
      </c>
      <c r="AQ709" s="48" t="e">
        <f ca="1">IF(INDIRECT("'["&amp;$C$1&amp;".xls]"&amp;$B709&amp;"'!$T31")="","",IF(INDIRECT("'["&amp;$C$1&amp;".xls]"&amp;$B709&amp;"'!$O$31")="済み",INDIRECT("'["&amp;$C$1&amp;".xls]"&amp;$B709&amp;"'!$T$31"),""))</f>
        <v>#REF!</v>
      </c>
      <c r="AR709" s="48" t="e">
        <f ca="1">IF(INDIRECT("'["&amp;$C$1&amp;".xls]"&amp;$B709&amp;"'!$T32")="","",IF(INDIRECT("'["&amp;$C$1&amp;".xls]"&amp;$B709&amp;"'!$O$32")="済み",INDIRECT("'["&amp;$C$1&amp;".xls]"&amp;$B709&amp;"'!$T$32"),""))</f>
        <v>#REF!</v>
      </c>
      <c r="AS709" s="48" t="e">
        <f ca="1">IF(INDIRECT("'["&amp;$C$1&amp;".xls]"&amp;$B709&amp;"'!$T33")="","",IF(INDIRECT("'["&amp;$C$1&amp;".xls]"&amp;$B709&amp;"'!$O$33")="済み",INDIRECT("'["&amp;$C$1&amp;".xls]"&amp;$B709&amp;"'!$T$33"),""))</f>
        <v>#REF!</v>
      </c>
      <c r="AT709" s="48" t="e">
        <f ca="1">IF(INDIRECT("'["&amp;$C$1&amp;".xls]"&amp;$B709&amp;"'!$T34")="","",IF(INDIRECT("'["&amp;$C$1&amp;".xls]"&amp;$B709&amp;"'!$O$34")="済み",INDIRECT("'["&amp;$C$1&amp;".xls]"&amp;$B709&amp;"'!$T$34"),""))</f>
        <v>#REF!</v>
      </c>
      <c r="AU709" s="93" t="e">
        <f ca="1">INDIRECT("'["&amp;$C$1&amp;".xls]"&amp;$B709&amp;"'!$B$6")</f>
        <v>#REF!</v>
      </c>
      <c r="AV709" s="93" t="e">
        <f ca="1">INDIRECT("'["&amp;$C$1&amp;".xls]"&amp;$B709&amp;"'!$Y$22")</f>
        <v>#REF!</v>
      </c>
      <c r="AW709" s="93" t="e">
        <f ca="1">INDIRECT("'["&amp;$C$1&amp;".xls]"&amp;$B709&amp;"'!$Y$24")</f>
        <v>#REF!</v>
      </c>
      <c r="AX709" s="93" t="e">
        <f ca="1">INDIRECT("'["&amp;$C$1&amp;".xls]"&amp;$B709&amp;"'!$Y$26")</f>
        <v>#REF!</v>
      </c>
      <c r="AY709" s="93" t="e">
        <f ca="1">INDIRECT("'["&amp;$C$1&amp;".xls]"&amp;$B709&amp;"'!$Y$28")</f>
        <v>#REF!</v>
      </c>
    </row>
    <row r="710" spans="1:52" ht="16.5" customHeight="1" x14ac:dyDescent="0.15">
      <c r="A710" s="199" t="s">
        <v>7163</v>
      </c>
      <c r="B710" s="209" t="s">
        <v>7164</v>
      </c>
      <c r="C710" s="48" t="s">
        <v>7165</v>
      </c>
      <c r="D710" s="62" t="s">
        <v>7166</v>
      </c>
      <c r="E710" s="48" t="s">
        <v>264</v>
      </c>
      <c r="F710" s="61">
        <v>42656</v>
      </c>
      <c r="G710" s="61">
        <v>0</v>
      </c>
      <c r="H710" s="125">
        <v>42689</v>
      </c>
      <c r="I710" s="61" t="s">
        <v>279</v>
      </c>
      <c r="J710" s="87"/>
      <c r="K710" s="62" t="s">
        <v>2506</v>
      </c>
      <c r="L710" s="62">
        <v>3</v>
      </c>
      <c r="M710" s="62" t="s">
        <v>651</v>
      </c>
      <c r="N710" s="62" t="s">
        <v>7167</v>
      </c>
      <c r="O710" s="48" t="s">
        <v>653</v>
      </c>
      <c r="P710" s="48" t="s">
        <v>7168</v>
      </c>
      <c r="Q710" s="48" t="s">
        <v>7169</v>
      </c>
      <c r="R710" s="48" t="s">
        <v>3932</v>
      </c>
      <c r="S710" s="48" t="s">
        <v>7170</v>
      </c>
      <c r="T710" s="48" t="s">
        <v>7171</v>
      </c>
      <c r="U710" s="48" t="s">
        <v>7172</v>
      </c>
      <c r="V710" s="122" t="s">
        <v>263</v>
      </c>
      <c r="W710" s="48" t="s">
        <v>3401</v>
      </c>
      <c r="X710" s="48" t="s">
        <v>7173</v>
      </c>
      <c r="Y710" s="48" t="s">
        <v>7174</v>
      </c>
      <c r="Z710" s="61"/>
      <c r="AA710" s="48" t="s">
        <v>962</v>
      </c>
      <c r="AB710" s="48" t="s">
        <v>273</v>
      </c>
      <c r="AC710" s="48" t="s">
        <v>273</v>
      </c>
      <c r="AD710" s="48" t="s">
        <v>273</v>
      </c>
      <c r="AE710" s="48" t="s">
        <v>273</v>
      </c>
      <c r="AF710" s="48" t="s">
        <v>273</v>
      </c>
      <c r="AG710" s="48" t="s">
        <v>273</v>
      </c>
      <c r="AH710" s="48" t="s">
        <v>273</v>
      </c>
      <c r="AI710" s="48" t="s">
        <v>273</v>
      </c>
      <c r="AJ710" s="48" t="s">
        <v>273</v>
      </c>
      <c r="AK710" s="48" t="s">
        <v>963</v>
      </c>
      <c r="AL710" s="48" t="s">
        <v>273</v>
      </c>
      <c r="AM710" s="48" t="s">
        <v>273</v>
      </c>
      <c r="AN710" s="48" t="s">
        <v>273</v>
      </c>
      <c r="AO710" s="48" t="s">
        <v>273</v>
      </c>
      <c r="AP710" s="48" t="s">
        <v>273</v>
      </c>
      <c r="AQ710" s="48" t="s">
        <v>273</v>
      </c>
      <c r="AR710" s="48" t="s">
        <v>273</v>
      </c>
      <c r="AS710" s="48" t="s">
        <v>273</v>
      </c>
      <c r="AT710" s="48" t="s">
        <v>273</v>
      </c>
      <c r="AU710" s="93">
        <v>41640</v>
      </c>
      <c r="AV710" s="93" t="s">
        <v>7175</v>
      </c>
      <c r="AW710" s="93" t="s">
        <v>7176</v>
      </c>
      <c r="AX710" s="93" t="s">
        <v>7177</v>
      </c>
      <c r="AY710" s="93" t="s">
        <v>5312</v>
      </c>
    </row>
    <row r="711" spans="1:52" ht="16.5" customHeight="1" x14ac:dyDescent="0.15">
      <c r="A711" s="199" t="s">
        <v>7178</v>
      </c>
      <c r="B711" s="209" t="s">
        <v>7179</v>
      </c>
      <c r="C711" s="48" t="s">
        <v>7180</v>
      </c>
      <c r="D711" s="62" t="s">
        <v>263</v>
      </c>
      <c r="E711" s="48" t="s">
        <v>264</v>
      </c>
      <c r="F711" s="61">
        <v>42656</v>
      </c>
      <c r="G711" s="61">
        <v>0</v>
      </c>
      <c r="H711" s="125">
        <v>42678</v>
      </c>
      <c r="I711" s="61">
        <v>41122</v>
      </c>
      <c r="J711" s="87"/>
      <c r="K711" s="62" t="s">
        <v>2506</v>
      </c>
      <c r="L711" s="62">
        <v>3</v>
      </c>
      <c r="M711" s="62" t="s">
        <v>471</v>
      </c>
      <c r="N711" s="62" t="s">
        <v>7181</v>
      </c>
      <c r="O711" s="48" t="s">
        <v>473</v>
      </c>
      <c r="P711" s="48" t="s">
        <v>4275</v>
      </c>
      <c r="Q711" s="48" t="s">
        <v>2269</v>
      </c>
      <c r="R711" s="48" t="s">
        <v>399</v>
      </c>
      <c r="S711" s="48" t="s">
        <v>400</v>
      </c>
      <c r="T711" s="48" t="s">
        <v>401</v>
      </c>
      <c r="U711" s="48" t="s">
        <v>3320</v>
      </c>
      <c r="V711" s="122" t="s">
        <v>263</v>
      </c>
      <c r="W711" s="122" t="s">
        <v>263</v>
      </c>
      <c r="X711" s="48" t="s">
        <v>3321</v>
      </c>
      <c r="Y711" s="48" t="s">
        <v>4073</v>
      </c>
      <c r="Z711" s="61"/>
      <c r="AA711" s="48" t="s">
        <v>2215</v>
      </c>
      <c r="AB711" s="48" t="s">
        <v>273</v>
      </c>
      <c r="AC711" s="48" t="s">
        <v>273</v>
      </c>
      <c r="AD711" s="48" t="s">
        <v>273</v>
      </c>
      <c r="AE711" s="48" t="s">
        <v>273</v>
      </c>
      <c r="AF711" s="48" t="s">
        <v>273</v>
      </c>
      <c r="AG711" s="48" t="s">
        <v>273</v>
      </c>
      <c r="AH711" s="48" t="s">
        <v>273</v>
      </c>
      <c r="AI711" s="48" t="s">
        <v>273</v>
      </c>
      <c r="AJ711" s="48" t="s">
        <v>273</v>
      </c>
      <c r="AK711" s="48" t="s">
        <v>2216</v>
      </c>
      <c r="AL711" s="48" t="s">
        <v>273</v>
      </c>
      <c r="AM711" s="48" t="s">
        <v>273</v>
      </c>
      <c r="AN711" s="48" t="s">
        <v>273</v>
      </c>
      <c r="AO711" s="48" t="s">
        <v>273</v>
      </c>
      <c r="AP711" s="48" t="s">
        <v>273</v>
      </c>
      <c r="AQ711" s="48" t="s">
        <v>273</v>
      </c>
      <c r="AR711" s="48" t="s">
        <v>273</v>
      </c>
      <c r="AS711" s="48" t="s">
        <v>273</v>
      </c>
      <c r="AT711" s="48" t="s">
        <v>273</v>
      </c>
      <c r="AU711" s="93">
        <v>41000</v>
      </c>
      <c r="AV711" s="93" t="s">
        <v>7182</v>
      </c>
      <c r="AW711" s="93" t="s">
        <v>7183</v>
      </c>
      <c r="AX711" s="93" t="s">
        <v>7184</v>
      </c>
      <c r="AY711" s="93" t="s">
        <v>7185</v>
      </c>
    </row>
    <row r="712" spans="1:52" ht="16.5" customHeight="1" x14ac:dyDescent="0.15">
      <c r="A712" s="199" t="s">
        <v>7186</v>
      </c>
      <c r="B712" s="209" t="s">
        <v>7187</v>
      </c>
      <c r="C712" s="48" t="s">
        <v>330</v>
      </c>
      <c r="D712" s="62" t="s">
        <v>263</v>
      </c>
      <c r="E712" s="48" t="s">
        <v>300</v>
      </c>
      <c r="F712" s="61">
        <v>42656</v>
      </c>
      <c r="G712" s="61">
        <v>0</v>
      </c>
      <c r="H712" s="125">
        <v>42688</v>
      </c>
      <c r="I712" s="61" t="s">
        <v>279</v>
      </c>
      <c r="J712" s="87"/>
      <c r="K712" s="62" t="s">
        <v>2506</v>
      </c>
      <c r="L712" s="62">
        <v>3</v>
      </c>
      <c r="M712" s="62" t="s">
        <v>755</v>
      </c>
      <c r="N712" s="62" t="s">
        <v>7188</v>
      </c>
      <c r="O712" s="48" t="s">
        <v>2103</v>
      </c>
      <c r="P712" s="48" t="s">
        <v>7189</v>
      </c>
      <c r="Q712" s="48" t="s">
        <v>7190</v>
      </c>
      <c r="R712" s="48" t="s">
        <v>7191</v>
      </c>
      <c r="S712" s="48" t="s">
        <v>7192</v>
      </c>
      <c r="T712" s="48" t="s">
        <v>7193</v>
      </c>
      <c r="U712" s="48" t="s">
        <v>7194</v>
      </c>
      <c r="V712" s="122" t="s">
        <v>4232</v>
      </c>
      <c r="W712" s="122" t="s">
        <v>4232</v>
      </c>
      <c r="X712" s="48" t="s">
        <v>7195</v>
      </c>
      <c r="Y712" s="48" t="s">
        <v>7196</v>
      </c>
      <c r="Z712" s="61"/>
      <c r="AA712" s="48" t="s">
        <v>781</v>
      </c>
      <c r="AB712" s="48" t="s">
        <v>2054</v>
      </c>
      <c r="AC712" s="48" t="s">
        <v>3174</v>
      </c>
      <c r="AD712" s="48" t="s">
        <v>273</v>
      </c>
      <c r="AE712" s="48" t="s">
        <v>273</v>
      </c>
      <c r="AF712" s="48" t="s">
        <v>273</v>
      </c>
      <c r="AG712" s="48" t="s">
        <v>273</v>
      </c>
      <c r="AH712" s="48" t="s">
        <v>273</v>
      </c>
      <c r="AI712" s="48" t="s">
        <v>273</v>
      </c>
      <c r="AJ712" s="48" t="s">
        <v>273</v>
      </c>
      <c r="AK712" s="48" t="s">
        <v>785</v>
      </c>
      <c r="AL712" s="48" t="s">
        <v>2055</v>
      </c>
      <c r="AM712" s="48" t="s">
        <v>3176</v>
      </c>
      <c r="AN712" s="48" t="s">
        <v>273</v>
      </c>
      <c r="AO712" s="48" t="s">
        <v>273</v>
      </c>
      <c r="AP712" s="48" t="s">
        <v>273</v>
      </c>
      <c r="AQ712" s="48" t="s">
        <v>273</v>
      </c>
      <c r="AR712" s="48" t="s">
        <v>273</v>
      </c>
      <c r="AS712" s="48" t="s">
        <v>273</v>
      </c>
      <c r="AT712" s="48" t="s">
        <v>273</v>
      </c>
      <c r="AU712" s="93">
        <v>39114</v>
      </c>
      <c r="AV712" s="93" t="s">
        <v>7197</v>
      </c>
      <c r="AW712" s="93" t="s">
        <v>7198</v>
      </c>
      <c r="AX712" s="93" t="s">
        <v>7199</v>
      </c>
      <c r="AY712" s="93" t="s">
        <v>5312</v>
      </c>
    </row>
    <row r="713" spans="1:52" ht="16.5" customHeight="1" x14ac:dyDescent="0.15">
      <c r="A713" s="121" t="s">
        <v>7200</v>
      </c>
      <c r="B713" s="47" t="s">
        <v>7201</v>
      </c>
      <c r="C713" s="48" t="e">
        <f ca="1">INDIRECT("'["&amp;$C$1&amp;".xls]"&amp;$B713&amp;"'!$i$7")</f>
        <v>#REF!</v>
      </c>
      <c r="D713" s="62" t="e">
        <f ca="1">INDIRECT("'["&amp;$C$1&amp;".xls]"&amp;$B713&amp;"'!$b$7")</f>
        <v>#REF!</v>
      </c>
      <c r="E713" s="48" t="e">
        <f ca="1">IF(INDIRECT("'["&amp;$C$1&amp;".xls]"&amp;$B713&amp;"'!$i$2")="","",INDIRECT("'["&amp;$C$1&amp;".xls]"&amp;$B713&amp;"'!$i$2"))</f>
        <v>#REF!</v>
      </c>
      <c r="F713" s="61" t="e">
        <f ca="1">INDIRECT("'["&amp;$C$1&amp;".xls]"&amp;$B713&amp;"'!$b$2")</f>
        <v>#REF!</v>
      </c>
      <c r="G713" s="61" t="e">
        <f ca="1">INDIRECT("'["&amp;$C$1&amp;".xls]"&amp;$B713&amp;"'!$a$20")</f>
        <v>#REF!</v>
      </c>
      <c r="H713" s="88" t="e">
        <f ca="1">INDIRECT("'["&amp;$C$1&amp;".xls]"&amp;$B713&amp;"'!$Q$22")</f>
        <v>#REF!</v>
      </c>
      <c r="I713" s="61" t="e">
        <f ca="1">INDIRECT("'["&amp;$C$1&amp;".xls]"&amp;$B713&amp;"'!$f$6")</f>
        <v>#REF!</v>
      </c>
      <c r="J713" s="87"/>
      <c r="K713" s="62" t="e">
        <f ca="1">INDIRECT("'["&amp;$C$1&amp;".xls]"&amp;$B713&amp;"'!$f$25")</f>
        <v>#REF!</v>
      </c>
      <c r="L713" s="62"/>
      <c r="M713" s="62" t="e">
        <f ca="1">INDIRECT("'["&amp;$C$1&amp;".xls]"&amp;$B713&amp;"'!$f$4")</f>
        <v>#REF!</v>
      </c>
      <c r="N713" s="62" t="e">
        <f ca="1">INDIRECT("'["&amp;$C$1&amp;".xls]"&amp;$B713&amp;"'!$i$4")</f>
        <v>#REF!</v>
      </c>
      <c r="O713" s="48" t="e">
        <f ca="1">INDIRECT("'["&amp;$C$1&amp;".xls]"&amp;$B713&amp;"'!$l$4")</f>
        <v>#REF!</v>
      </c>
      <c r="P713" s="48" t="e">
        <f ca="1">INDIRECT("'["&amp;$C$1&amp;".xls]"&amp;$B713&amp;"'!$b$5")</f>
        <v>#REF!</v>
      </c>
      <c r="Q713" s="48" t="e">
        <f ca="1">INDIRECT("'["&amp;$C$1&amp;".xls]"&amp;$B713&amp;"'!$f$5")</f>
        <v>#REF!</v>
      </c>
      <c r="R713" s="48"/>
      <c r="S713" s="48" t="e">
        <f ca="1">INDIRECT("'["&amp;$C$1&amp;".xls]"&amp;$B713&amp;"'!$i$5")</f>
        <v>#REF!</v>
      </c>
      <c r="T713" s="48" t="e">
        <f ca="1">INDIRECT("'["&amp;$C$1&amp;".xls]"&amp;$B713&amp;"'!$l$5")</f>
        <v>#REF!</v>
      </c>
      <c r="U713" s="48" t="e">
        <f ca="1">INDIRECT("'["&amp;$C$1&amp;".xls]"&amp;$B713&amp;"'!$b$4")</f>
        <v>#REF!</v>
      </c>
      <c r="V713" s="48"/>
      <c r="W713" s="48"/>
      <c r="X713" s="48"/>
      <c r="Y713" s="48"/>
      <c r="Z713" s="61"/>
      <c r="AA713" s="48" t="e">
        <f ca="1">IF(INDIRECT("'["&amp;$C$1&amp;".xls]"&amp;$B713&amp;"'!$P$25")="","",IF(INDIRECT("'["&amp;$C$1&amp;".xls]"&amp;$B713&amp;"'!$O$25")="済み",INDIRECT("'["&amp;$C$1&amp;".xls]"&amp;$B713&amp;"'!$P$25"),""))</f>
        <v>#REF!</v>
      </c>
      <c r="AB713" s="48" t="e">
        <f ca="1">IF(INDIRECT("'["&amp;$C$1&amp;".xls]"&amp;$B713&amp;"'!$P$26")="","",IF(INDIRECT("'["&amp;$C$1&amp;".xls]"&amp;$B713&amp;"'!$O$26")="済み",INDIRECT("'["&amp;$C$1&amp;".xls]"&amp;$B713&amp;"'!$P$26"),""))</f>
        <v>#REF!</v>
      </c>
      <c r="AC713" s="48" t="e">
        <f ca="1">IF(INDIRECT("'["&amp;$C$1&amp;".xls]"&amp;$B713&amp;"'!$P$27")="","",IF(INDIRECT("'["&amp;$C$1&amp;".xls]"&amp;$B713&amp;"'!$O$27")="済み",INDIRECT("'["&amp;$C$1&amp;".xls]"&amp;$B713&amp;"'!$P$27"),""))</f>
        <v>#REF!</v>
      </c>
      <c r="AD713" s="48" t="e">
        <f ca="1">IF(INDIRECT("'["&amp;$C$1&amp;".xls]"&amp;$B713&amp;"'!$P$28")="","",IF(INDIRECT("'["&amp;$C$1&amp;".xls]"&amp;$B713&amp;"'!$O$28")="済み",INDIRECT("'["&amp;$C$1&amp;".xls]"&amp;$B713&amp;"'!$P$28"),""))</f>
        <v>#REF!</v>
      </c>
      <c r="AE713" s="48" t="e">
        <f ca="1">IF(INDIRECT("'["&amp;$C$1&amp;".xls]"&amp;$B713&amp;"'!$P$29")="","",IF(INDIRECT("'["&amp;$C$1&amp;".xls]"&amp;$B713&amp;"'!$O$29")="済み",INDIRECT("'["&amp;$C$1&amp;".xls]"&amp;$B713&amp;"'!$P$29"),""))</f>
        <v>#REF!</v>
      </c>
      <c r="AF713" s="48" t="e">
        <f ca="1">IF(INDIRECT("'["&amp;$C$1&amp;".xls]"&amp;$B713&amp;"'!$P$30")="","",IF(INDIRECT("'["&amp;$C$1&amp;".xls]"&amp;$B713&amp;"'!$O$30")="済み",INDIRECT("'["&amp;$C$1&amp;".xls]"&amp;$B713&amp;"'!$P$30"),""))</f>
        <v>#REF!</v>
      </c>
      <c r="AG713" s="48" t="e">
        <f ca="1">IF(INDIRECT("'["&amp;$C$1&amp;".xls]"&amp;$B713&amp;"'!$P$31")="","",IF(INDIRECT("'["&amp;$C$1&amp;".xls]"&amp;$B713&amp;"'!$O$31")="済み",INDIRECT("'["&amp;$C$1&amp;".xls]"&amp;$B713&amp;"'!$P$31"),""))</f>
        <v>#REF!</v>
      </c>
      <c r="AH713" s="48" t="e">
        <f ca="1">IF(INDIRECT("'["&amp;$C$1&amp;".xls]"&amp;$B713&amp;"'!$P$32")="","",IF(INDIRECT("'["&amp;$C$1&amp;".xls]"&amp;$B713&amp;"'!$O$32")="済み",INDIRECT("'["&amp;$C$1&amp;".xls]"&amp;$B713&amp;"'!$P$32"),""))</f>
        <v>#REF!</v>
      </c>
      <c r="AI713" s="48" t="e">
        <f ca="1">IF(INDIRECT("'["&amp;$C$1&amp;".xls]"&amp;$B713&amp;"'!$P$33")="","",IF(INDIRECT("'["&amp;$C$1&amp;".xls]"&amp;$B713&amp;"'!$O$33")="済み",INDIRECT("'["&amp;$C$1&amp;".xls]"&amp;$B713&amp;"'!$P$33"),""))</f>
        <v>#REF!</v>
      </c>
      <c r="AJ713" s="48" t="e">
        <f ca="1">IF(INDIRECT("'["&amp;$C$1&amp;".xls]"&amp;$B713&amp;"'!$P$34")="","",IF(INDIRECT("'["&amp;$C$1&amp;".xls]"&amp;$B713&amp;"'!$O$34")="済み",INDIRECT("'["&amp;$C$1&amp;".xls]"&amp;$B713&amp;"'!$P$34"),""))</f>
        <v>#REF!</v>
      </c>
      <c r="AK713" s="48" t="e">
        <f ca="1">IF(INDIRECT("'["&amp;$C$1&amp;".xls]"&amp;$B713&amp;"'!$T25")="","",IF(INDIRECT("'["&amp;$C$1&amp;".xls]"&amp;$B713&amp;"'!$O$25")="済み",INDIRECT("'["&amp;$C$1&amp;".xls]"&amp;$B713&amp;"'!$T$25"),""))</f>
        <v>#REF!</v>
      </c>
      <c r="AL713" s="48" t="e">
        <f ca="1">IF(INDIRECT("'["&amp;$C$1&amp;".xls]"&amp;$B713&amp;"'!$T26")="","",IF(INDIRECT("'["&amp;$C$1&amp;".xls]"&amp;$B713&amp;"'!$O$26")="済み",INDIRECT("'["&amp;$C$1&amp;".xls]"&amp;$B713&amp;"'!$T$26"),""))</f>
        <v>#REF!</v>
      </c>
      <c r="AM713" s="48" t="e">
        <f ca="1">IF(INDIRECT("'["&amp;$C$1&amp;".xls]"&amp;$B713&amp;"'!$T27")="","",IF(INDIRECT("'["&amp;$C$1&amp;".xls]"&amp;$B713&amp;"'!$O$27")="済み",INDIRECT("'["&amp;$C$1&amp;".xls]"&amp;$B713&amp;"'!$T$27"),""))</f>
        <v>#REF!</v>
      </c>
      <c r="AN713" s="48" t="e">
        <f ca="1">IF(INDIRECT("'["&amp;$C$1&amp;".xls]"&amp;$B713&amp;"'!$T28")="","",IF(INDIRECT("'["&amp;$C$1&amp;".xls]"&amp;$B713&amp;"'!$O$28")="済み",INDIRECT("'["&amp;$C$1&amp;".xls]"&amp;$B713&amp;"'!$T$28"),""))</f>
        <v>#REF!</v>
      </c>
      <c r="AO713" s="48" t="e">
        <f ca="1">IF(INDIRECT("'["&amp;$C$1&amp;".xls]"&amp;$B713&amp;"'!$T29")="","",IF(INDIRECT("'["&amp;$C$1&amp;".xls]"&amp;$B713&amp;"'!$O$29")="済み",INDIRECT("'["&amp;$C$1&amp;".xls]"&amp;$B713&amp;"'!$T$29"),""))</f>
        <v>#REF!</v>
      </c>
      <c r="AP713" s="48" t="e">
        <f ca="1">IF(INDIRECT("'["&amp;$C$1&amp;".xls]"&amp;$B713&amp;"'!$T30")="","",IF(INDIRECT("'["&amp;$C$1&amp;".xls]"&amp;$B713&amp;"'!$O$30")="済み",INDIRECT("'["&amp;$C$1&amp;".xls]"&amp;$B713&amp;"'!$T$30"),""))</f>
        <v>#REF!</v>
      </c>
      <c r="AQ713" s="48" t="e">
        <f ca="1">IF(INDIRECT("'["&amp;$C$1&amp;".xls]"&amp;$B713&amp;"'!$T31")="","",IF(INDIRECT("'["&amp;$C$1&amp;".xls]"&amp;$B713&amp;"'!$O$31")="済み",INDIRECT("'["&amp;$C$1&amp;".xls]"&amp;$B713&amp;"'!$T$31"),""))</f>
        <v>#REF!</v>
      </c>
      <c r="AR713" s="48" t="e">
        <f ca="1">IF(INDIRECT("'["&amp;$C$1&amp;".xls]"&amp;$B713&amp;"'!$T32")="","",IF(INDIRECT("'["&amp;$C$1&amp;".xls]"&amp;$B713&amp;"'!$O$32")="済み",INDIRECT("'["&amp;$C$1&amp;".xls]"&amp;$B713&amp;"'!$T$32"),""))</f>
        <v>#REF!</v>
      </c>
      <c r="AS713" s="48" t="e">
        <f ca="1">IF(INDIRECT("'["&amp;$C$1&amp;".xls]"&amp;$B713&amp;"'!$T33")="","",IF(INDIRECT("'["&amp;$C$1&amp;".xls]"&amp;$B713&amp;"'!$O$33")="済み",INDIRECT("'["&amp;$C$1&amp;".xls]"&amp;$B713&amp;"'!$T$33"),""))</f>
        <v>#REF!</v>
      </c>
      <c r="AT713" s="48" t="e">
        <f ca="1">IF(INDIRECT("'["&amp;$C$1&amp;".xls]"&amp;$B713&amp;"'!$T34")="","",IF(INDIRECT("'["&amp;$C$1&amp;".xls]"&amp;$B713&amp;"'!$O$34")="済み",INDIRECT("'["&amp;$C$1&amp;".xls]"&amp;$B713&amp;"'!$T$34"),""))</f>
        <v>#REF!</v>
      </c>
      <c r="AU713" s="93" t="e">
        <f ca="1">INDIRECT("'["&amp;$C$1&amp;".xls]"&amp;$B713&amp;"'!$B$6")</f>
        <v>#REF!</v>
      </c>
      <c r="AV713" s="93" t="e">
        <f ca="1">INDIRECT("'["&amp;$C$1&amp;".xls]"&amp;$B713&amp;"'!$Y$22")</f>
        <v>#REF!</v>
      </c>
      <c r="AW713" s="93" t="e">
        <f ca="1">INDIRECT("'["&amp;$C$1&amp;".xls]"&amp;$B713&amp;"'!$Y$24")</f>
        <v>#REF!</v>
      </c>
      <c r="AX713" s="93" t="e">
        <f ca="1">INDIRECT("'["&amp;$C$1&amp;".xls]"&amp;$B713&amp;"'!$Y$26")</f>
        <v>#REF!</v>
      </c>
      <c r="AY713" s="93" t="e">
        <f ca="1">INDIRECT("'["&amp;$C$1&amp;".xls]"&amp;$B713&amp;"'!$Y$28")</f>
        <v>#REF!</v>
      </c>
    </row>
    <row r="714" spans="1:52" ht="16.5" customHeight="1" x14ac:dyDescent="0.15">
      <c r="A714" s="199" t="s">
        <v>7202</v>
      </c>
      <c r="B714" s="209" t="s">
        <v>7203</v>
      </c>
      <c r="C714" s="48" t="s">
        <v>298</v>
      </c>
      <c r="D714" s="62" t="s">
        <v>7204</v>
      </c>
      <c r="E714" s="48" t="s">
        <v>300</v>
      </c>
      <c r="F714" s="61">
        <v>42657</v>
      </c>
      <c r="G714" s="61">
        <v>0</v>
      </c>
      <c r="H714" s="125">
        <v>42692</v>
      </c>
      <c r="I714" s="61" t="s">
        <v>279</v>
      </c>
      <c r="J714" s="87"/>
      <c r="K714" s="62" t="s">
        <v>2506</v>
      </c>
      <c r="L714" s="62">
        <v>3</v>
      </c>
      <c r="M714" s="62" t="s">
        <v>209</v>
      </c>
      <c r="N714" s="62" t="s">
        <v>1509</v>
      </c>
      <c r="O714" s="48" t="s">
        <v>316</v>
      </c>
      <c r="P714" s="48" t="s">
        <v>7205</v>
      </c>
      <c r="Q714" s="48" t="s">
        <v>1204</v>
      </c>
      <c r="R714" s="48" t="s">
        <v>7206</v>
      </c>
      <c r="S714" s="130" t="s">
        <v>7207</v>
      </c>
      <c r="T714" s="48" t="s">
        <v>7208</v>
      </c>
      <c r="U714" s="48" t="s">
        <v>7209</v>
      </c>
      <c r="V714" s="48" t="s">
        <v>4772</v>
      </c>
      <c r="W714" s="48" t="s">
        <v>3104</v>
      </c>
      <c r="X714" s="48" t="s">
        <v>7210</v>
      </c>
      <c r="Y714" s="48" t="s">
        <v>7211</v>
      </c>
      <c r="Z714" s="61"/>
      <c r="AA714" s="48" t="s">
        <v>2886</v>
      </c>
      <c r="AB714" s="48" t="s">
        <v>273</v>
      </c>
      <c r="AC714" s="48" t="s">
        <v>273</v>
      </c>
      <c r="AD714" s="48" t="s">
        <v>273</v>
      </c>
      <c r="AE714" s="48" t="s">
        <v>273</v>
      </c>
      <c r="AF714" s="48" t="s">
        <v>273</v>
      </c>
      <c r="AG714" s="48" t="s">
        <v>273</v>
      </c>
      <c r="AH714" s="48" t="s">
        <v>273</v>
      </c>
      <c r="AI714" s="48" t="s">
        <v>273</v>
      </c>
      <c r="AJ714" s="48" t="s">
        <v>273</v>
      </c>
      <c r="AK714" s="48" t="s">
        <v>4444</v>
      </c>
      <c r="AL714" s="48" t="s">
        <v>273</v>
      </c>
      <c r="AM714" s="48" t="s">
        <v>273</v>
      </c>
      <c r="AN714" s="48" t="s">
        <v>273</v>
      </c>
      <c r="AO714" s="48" t="s">
        <v>273</v>
      </c>
      <c r="AP714" s="48" t="s">
        <v>273</v>
      </c>
      <c r="AQ714" s="48" t="s">
        <v>273</v>
      </c>
      <c r="AR714" s="48" t="s">
        <v>273</v>
      </c>
      <c r="AS714" s="48" t="s">
        <v>273</v>
      </c>
      <c r="AT714" s="48" t="s">
        <v>273</v>
      </c>
      <c r="AU714" s="93">
        <v>40330</v>
      </c>
      <c r="AV714" s="93" t="s">
        <v>7212</v>
      </c>
      <c r="AW714" s="93" t="s">
        <v>7213</v>
      </c>
      <c r="AX714" s="93" t="s">
        <v>7214</v>
      </c>
      <c r="AY714" s="93" t="s">
        <v>5312</v>
      </c>
    </row>
    <row r="715" spans="1:52" ht="16.5" customHeight="1" x14ac:dyDescent="0.15">
      <c r="A715" s="182" t="s">
        <v>7215</v>
      </c>
      <c r="B715" s="183" t="s">
        <v>7216</v>
      </c>
      <c r="C715" s="48" t="s">
        <v>7217</v>
      </c>
      <c r="D715" s="62" t="s">
        <v>7218</v>
      </c>
      <c r="E715" s="48" t="s">
        <v>264</v>
      </c>
      <c r="F715" s="61">
        <v>42657</v>
      </c>
      <c r="G715" s="61">
        <v>0</v>
      </c>
      <c r="H715" s="125">
        <v>42678</v>
      </c>
      <c r="I715" s="61" t="s">
        <v>279</v>
      </c>
      <c r="J715" s="87"/>
      <c r="K715" s="62" t="s">
        <v>2506</v>
      </c>
      <c r="L715" s="62">
        <v>3</v>
      </c>
      <c r="M715" s="62" t="s">
        <v>209</v>
      </c>
      <c r="N715" s="62" t="s">
        <v>7219</v>
      </c>
      <c r="O715" s="48" t="s">
        <v>281</v>
      </c>
      <c r="P715" s="48" t="s">
        <v>7220</v>
      </c>
      <c r="Q715" s="48" t="s">
        <v>3274</v>
      </c>
      <c r="R715" s="48" t="s">
        <v>3275</v>
      </c>
      <c r="S715" s="48" t="s">
        <v>3276</v>
      </c>
      <c r="T715" s="48" t="s">
        <v>3277</v>
      </c>
      <c r="U715" s="48" t="s">
        <v>7221</v>
      </c>
      <c r="V715" s="122" t="s">
        <v>263</v>
      </c>
      <c r="W715" s="122" t="s">
        <v>263</v>
      </c>
      <c r="X715" s="48" t="s">
        <v>7222</v>
      </c>
      <c r="Y715" s="48" t="s">
        <v>7223</v>
      </c>
      <c r="Z715" s="61"/>
      <c r="AA715" s="48" t="s">
        <v>1391</v>
      </c>
      <c r="AB715" s="48" t="s">
        <v>548</v>
      </c>
      <c r="AC715" s="48" t="s">
        <v>547</v>
      </c>
      <c r="AD715" s="48" t="s">
        <v>273</v>
      </c>
      <c r="AE715" s="48" t="s">
        <v>273</v>
      </c>
      <c r="AF715" s="48" t="s">
        <v>273</v>
      </c>
      <c r="AG715" s="48" t="s">
        <v>273</v>
      </c>
      <c r="AH715" s="48" t="s">
        <v>273</v>
      </c>
      <c r="AI715" s="48" t="s">
        <v>273</v>
      </c>
      <c r="AJ715" s="48" t="s">
        <v>273</v>
      </c>
      <c r="AK715" s="48" t="s">
        <v>1394</v>
      </c>
      <c r="AL715" s="48" t="s">
        <v>5252</v>
      </c>
      <c r="AM715" s="48" t="s">
        <v>7080</v>
      </c>
      <c r="AN715" s="48" t="s">
        <v>273</v>
      </c>
      <c r="AO715" s="48" t="s">
        <v>273</v>
      </c>
      <c r="AP715" s="48" t="s">
        <v>273</v>
      </c>
      <c r="AQ715" s="48" t="s">
        <v>273</v>
      </c>
      <c r="AR715" s="48" t="s">
        <v>273</v>
      </c>
      <c r="AS715" s="48" t="s">
        <v>273</v>
      </c>
      <c r="AT715" s="48" t="s">
        <v>273</v>
      </c>
      <c r="AU715" s="93">
        <v>40848</v>
      </c>
      <c r="AV715" s="93" t="s">
        <v>7224</v>
      </c>
      <c r="AW715" s="93" t="s">
        <v>7225</v>
      </c>
      <c r="AX715" s="93" t="s">
        <v>7226</v>
      </c>
      <c r="AY715" s="93" t="s">
        <v>7114</v>
      </c>
    </row>
    <row r="716" spans="1:52" ht="16.5" customHeight="1" x14ac:dyDescent="0.15">
      <c r="A716" s="182" t="s">
        <v>7227</v>
      </c>
      <c r="B716" s="183" t="s">
        <v>7228</v>
      </c>
      <c r="C716" s="48" t="s">
        <v>7229</v>
      </c>
      <c r="D716" s="62" t="s">
        <v>7230</v>
      </c>
      <c r="E716" s="48" t="s">
        <v>264</v>
      </c>
      <c r="F716" s="61">
        <v>42660</v>
      </c>
      <c r="G716" s="61">
        <v>0</v>
      </c>
      <c r="H716" s="125">
        <v>42678</v>
      </c>
      <c r="I716" s="61" t="s">
        <v>279</v>
      </c>
      <c r="J716" s="87"/>
      <c r="K716" s="62" t="s">
        <v>2506</v>
      </c>
      <c r="L716" s="62">
        <v>3</v>
      </c>
      <c r="M716" s="62" t="s">
        <v>651</v>
      </c>
      <c r="N716" s="62" t="s">
        <v>7231</v>
      </c>
      <c r="O716" s="48" t="s">
        <v>1065</v>
      </c>
      <c r="P716" s="48" t="s">
        <v>267</v>
      </c>
      <c r="Q716" s="48" t="s">
        <v>3742</v>
      </c>
      <c r="R716" s="48" t="s">
        <v>4864</v>
      </c>
      <c r="S716" s="48" t="s">
        <v>269</v>
      </c>
      <c r="T716" s="48" t="s">
        <v>270</v>
      </c>
      <c r="U716" s="48" t="s">
        <v>7232</v>
      </c>
      <c r="V716" s="122" t="s">
        <v>263</v>
      </c>
      <c r="W716" s="122" t="s">
        <v>263</v>
      </c>
      <c r="X716" s="48" t="s">
        <v>7233</v>
      </c>
      <c r="Y716" s="48" t="s">
        <v>7234</v>
      </c>
      <c r="Z716" s="61"/>
      <c r="AA716" s="48" t="s">
        <v>1074</v>
      </c>
      <c r="AB716" s="48" t="s">
        <v>273</v>
      </c>
      <c r="AC716" s="48" t="s">
        <v>273</v>
      </c>
      <c r="AD716" s="48" t="s">
        <v>273</v>
      </c>
      <c r="AE716" s="48" t="s">
        <v>273</v>
      </c>
      <c r="AF716" s="48" t="s">
        <v>273</v>
      </c>
      <c r="AG716" s="48" t="s">
        <v>273</v>
      </c>
      <c r="AH716" s="48" t="s">
        <v>273</v>
      </c>
      <c r="AI716" s="48" t="s">
        <v>273</v>
      </c>
      <c r="AJ716" s="48" t="s">
        <v>273</v>
      </c>
      <c r="AK716" s="48" t="s">
        <v>1075</v>
      </c>
      <c r="AL716" s="48" t="s">
        <v>273</v>
      </c>
      <c r="AM716" s="48" t="s">
        <v>273</v>
      </c>
      <c r="AN716" s="48" t="s">
        <v>273</v>
      </c>
      <c r="AO716" s="48" t="s">
        <v>273</v>
      </c>
      <c r="AP716" s="48" t="s">
        <v>273</v>
      </c>
      <c r="AQ716" s="48" t="s">
        <v>273</v>
      </c>
      <c r="AR716" s="48" t="s">
        <v>273</v>
      </c>
      <c r="AS716" s="48" t="s">
        <v>273</v>
      </c>
      <c r="AT716" s="48" t="s">
        <v>273</v>
      </c>
      <c r="AU716" s="93">
        <v>41426</v>
      </c>
      <c r="AV716" s="93" t="s">
        <v>7235</v>
      </c>
      <c r="AW716" s="93" t="s">
        <v>7236</v>
      </c>
      <c r="AX716" s="93" t="s">
        <v>7237</v>
      </c>
      <c r="AY716" s="93" t="s">
        <v>7238</v>
      </c>
    </row>
    <row r="717" spans="1:52" ht="16.5" customHeight="1" x14ac:dyDescent="0.15">
      <c r="A717" s="199" t="s">
        <v>7239</v>
      </c>
      <c r="B717" s="209" t="s">
        <v>7240</v>
      </c>
      <c r="C717" s="48" t="s">
        <v>330</v>
      </c>
      <c r="D717" s="62" t="s">
        <v>7241</v>
      </c>
      <c r="E717" s="48" t="s">
        <v>300</v>
      </c>
      <c r="F717" s="61">
        <v>42660</v>
      </c>
      <c r="G717" s="61">
        <v>0</v>
      </c>
      <c r="H717" s="125">
        <v>42709</v>
      </c>
      <c r="I717" s="61" t="s">
        <v>279</v>
      </c>
      <c r="J717" s="87"/>
      <c r="K717" s="62" t="s">
        <v>2506</v>
      </c>
      <c r="L717" s="62">
        <v>5</v>
      </c>
      <c r="M717" s="62" t="s">
        <v>442</v>
      </c>
      <c r="N717" s="62" t="s">
        <v>7242</v>
      </c>
      <c r="O717" s="48" t="s">
        <v>7243</v>
      </c>
      <c r="P717" s="48" t="s">
        <v>7244</v>
      </c>
      <c r="Q717" s="48" t="s">
        <v>7245</v>
      </c>
      <c r="R717" s="48" t="s">
        <v>7246</v>
      </c>
      <c r="S717" s="48" t="s">
        <v>7247</v>
      </c>
      <c r="T717" s="48" t="s">
        <v>7248</v>
      </c>
      <c r="U717" s="48" t="s">
        <v>7249</v>
      </c>
      <c r="V717" s="122" t="s">
        <v>4232</v>
      </c>
      <c r="W717" s="48" t="s">
        <v>7250</v>
      </c>
      <c r="X717" s="48" t="s">
        <v>7251</v>
      </c>
      <c r="Y717" s="48" t="s">
        <v>7252</v>
      </c>
      <c r="Z717" s="61"/>
      <c r="AA717" s="48" t="s">
        <v>273</v>
      </c>
      <c r="AB717" s="48" t="s">
        <v>273</v>
      </c>
      <c r="AC717" s="48" t="s">
        <v>273</v>
      </c>
      <c r="AD717" s="48" t="s">
        <v>273</v>
      </c>
      <c r="AE717" s="48" t="s">
        <v>273</v>
      </c>
      <c r="AF717" s="48" t="s">
        <v>273</v>
      </c>
      <c r="AG717" s="48" t="s">
        <v>273</v>
      </c>
      <c r="AH717" s="48" t="s">
        <v>273</v>
      </c>
      <c r="AI717" s="48" t="s">
        <v>273</v>
      </c>
      <c r="AJ717" s="48" t="s">
        <v>273</v>
      </c>
      <c r="AK717" s="48" t="s">
        <v>273</v>
      </c>
      <c r="AL717" s="48" t="s">
        <v>273</v>
      </c>
      <c r="AM717" s="48" t="s">
        <v>273</v>
      </c>
      <c r="AN717" s="48" t="s">
        <v>273</v>
      </c>
      <c r="AO717" s="48" t="s">
        <v>273</v>
      </c>
      <c r="AP717" s="48" t="s">
        <v>273</v>
      </c>
      <c r="AQ717" s="48" t="s">
        <v>273</v>
      </c>
      <c r="AR717" s="48" t="s">
        <v>273</v>
      </c>
      <c r="AS717" s="48" t="s">
        <v>273</v>
      </c>
      <c r="AT717" s="48" t="s">
        <v>273</v>
      </c>
      <c r="AU717" s="93">
        <v>37226</v>
      </c>
      <c r="AV717" s="93" t="s">
        <v>7253</v>
      </c>
      <c r="AW717" s="93" t="s">
        <v>7254</v>
      </c>
      <c r="AX717" s="93" t="s">
        <v>7255</v>
      </c>
      <c r="AY717" s="93" t="s">
        <v>7256</v>
      </c>
      <c r="AZ717" s="49" t="s">
        <v>7257</v>
      </c>
    </row>
    <row r="718" spans="1:52" ht="16.5" customHeight="1" x14ac:dyDescent="0.15">
      <c r="A718" s="199" t="s">
        <v>7258</v>
      </c>
      <c r="B718" s="209" t="s">
        <v>7259</v>
      </c>
      <c r="C718" s="48" t="s">
        <v>7260</v>
      </c>
      <c r="D718" s="62" t="s">
        <v>7261</v>
      </c>
      <c r="E718" s="48" t="s">
        <v>264</v>
      </c>
      <c r="F718" s="61">
        <v>42660</v>
      </c>
      <c r="G718" s="61">
        <v>0</v>
      </c>
      <c r="H718" s="125">
        <v>42704</v>
      </c>
      <c r="I718" s="61" t="s">
        <v>279</v>
      </c>
      <c r="J718" s="87"/>
      <c r="K718" s="62" t="s">
        <v>2506</v>
      </c>
      <c r="L718" s="62">
        <v>3</v>
      </c>
      <c r="M718" s="62" t="s">
        <v>409</v>
      </c>
      <c r="N718" s="62" t="s">
        <v>1769</v>
      </c>
      <c r="O718" s="48" t="s">
        <v>1770</v>
      </c>
      <c r="P718" s="48" t="s">
        <v>7262</v>
      </c>
      <c r="Q718" s="48" t="s">
        <v>1772</v>
      </c>
      <c r="R718" s="48"/>
      <c r="S718" s="48" t="s">
        <v>7263</v>
      </c>
      <c r="T718" s="48" t="s">
        <v>7264</v>
      </c>
      <c r="U718" s="48" t="s">
        <v>4107</v>
      </c>
      <c r="V718" s="48"/>
      <c r="W718" s="48"/>
      <c r="X718" s="48"/>
      <c r="Y718" s="48"/>
      <c r="Z718" s="61"/>
      <c r="AA718" s="48" t="s">
        <v>4151</v>
      </c>
      <c r="AB718" s="48" t="s">
        <v>273</v>
      </c>
      <c r="AC718" s="48" t="s">
        <v>273</v>
      </c>
      <c r="AD718" s="48" t="s">
        <v>273</v>
      </c>
      <c r="AE718" s="48" t="s">
        <v>273</v>
      </c>
      <c r="AF718" s="48" t="s">
        <v>273</v>
      </c>
      <c r="AG718" s="48" t="s">
        <v>273</v>
      </c>
      <c r="AH718" s="48" t="s">
        <v>273</v>
      </c>
      <c r="AI718" s="48" t="s">
        <v>273</v>
      </c>
      <c r="AJ718" s="48" t="s">
        <v>273</v>
      </c>
      <c r="AK718" s="48" t="s">
        <v>4152</v>
      </c>
      <c r="AL718" s="48" t="s">
        <v>273</v>
      </c>
      <c r="AM718" s="48" t="s">
        <v>273</v>
      </c>
      <c r="AN718" s="48" t="s">
        <v>273</v>
      </c>
      <c r="AO718" s="48" t="s">
        <v>273</v>
      </c>
      <c r="AP718" s="48" t="s">
        <v>273</v>
      </c>
      <c r="AQ718" s="48" t="s">
        <v>273</v>
      </c>
      <c r="AR718" s="48" t="s">
        <v>273</v>
      </c>
      <c r="AS718" s="48" t="s">
        <v>273</v>
      </c>
      <c r="AT718" s="48" t="s">
        <v>273</v>
      </c>
      <c r="AU718" s="93">
        <v>41426</v>
      </c>
      <c r="AV718" s="93" t="s">
        <v>7265</v>
      </c>
      <c r="AW718" s="93" t="s">
        <v>7266</v>
      </c>
      <c r="AX718" s="93" t="s">
        <v>7267</v>
      </c>
      <c r="AY718" s="93" t="s">
        <v>5312</v>
      </c>
    </row>
    <row r="719" spans="1:52" ht="16.5" customHeight="1" x14ac:dyDescent="0.15">
      <c r="A719" s="199" t="s">
        <v>7268</v>
      </c>
      <c r="B719" s="209" t="s">
        <v>7269</v>
      </c>
      <c r="C719" s="48" t="s">
        <v>7270</v>
      </c>
      <c r="D719" s="62" t="s">
        <v>7271</v>
      </c>
      <c r="E719" s="48" t="s">
        <v>264</v>
      </c>
      <c r="F719" s="61">
        <v>42660</v>
      </c>
      <c r="G719" s="61">
        <v>0</v>
      </c>
      <c r="H719" s="125">
        <v>42678</v>
      </c>
      <c r="I719" s="61" t="s">
        <v>279</v>
      </c>
      <c r="J719" s="87"/>
      <c r="K719" s="62" t="s">
        <v>2506</v>
      </c>
      <c r="L719" s="62">
        <v>3</v>
      </c>
      <c r="M719" s="62" t="s">
        <v>651</v>
      </c>
      <c r="N719" s="62" t="s">
        <v>5886</v>
      </c>
      <c r="O719" s="48" t="s">
        <v>5519</v>
      </c>
      <c r="P719" s="48" t="s">
        <v>5887</v>
      </c>
      <c r="Q719" s="48" t="s">
        <v>7129</v>
      </c>
      <c r="R719" s="48" t="s">
        <v>7272</v>
      </c>
      <c r="S719" s="48" t="s">
        <v>5890</v>
      </c>
      <c r="T719" s="48" t="s">
        <v>7273</v>
      </c>
      <c r="U719" s="48" t="s">
        <v>5892</v>
      </c>
      <c r="V719" s="122" t="s">
        <v>263</v>
      </c>
      <c r="W719" s="122" t="s">
        <v>263</v>
      </c>
      <c r="X719" s="48" t="s">
        <v>5891</v>
      </c>
      <c r="Y719" s="48" t="s">
        <v>5893</v>
      </c>
      <c r="Z719" s="61"/>
      <c r="AA719" s="48" t="s">
        <v>962</v>
      </c>
      <c r="AB719" s="48" t="s">
        <v>273</v>
      </c>
      <c r="AC719" s="48" t="s">
        <v>273</v>
      </c>
      <c r="AD719" s="48" t="s">
        <v>273</v>
      </c>
      <c r="AE719" s="48" t="s">
        <v>273</v>
      </c>
      <c r="AF719" s="48" t="s">
        <v>273</v>
      </c>
      <c r="AG719" s="48" t="s">
        <v>273</v>
      </c>
      <c r="AH719" s="48" t="s">
        <v>273</v>
      </c>
      <c r="AI719" s="48" t="s">
        <v>273</v>
      </c>
      <c r="AJ719" s="48" t="s">
        <v>273</v>
      </c>
      <c r="AK719" s="48" t="s">
        <v>963</v>
      </c>
      <c r="AL719" s="48" t="s">
        <v>273</v>
      </c>
      <c r="AM719" s="48" t="s">
        <v>273</v>
      </c>
      <c r="AN719" s="48" t="s">
        <v>273</v>
      </c>
      <c r="AO719" s="48" t="s">
        <v>273</v>
      </c>
      <c r="AP719" s="48" t="s">
        <v>273</v>
      </c>
      <c r="AQ719" s="48" t="s">
        <v>273</v>
      </c>
      <c r="AR719" s="48" t="s">
        <v>273</v>
      </c>
      <c r="AS719" s="48" t="s">
        <v>273</v>
      </c>
      <c r="AT719" s="48" t="s">
        <v>273</v>
      </c>
      <c r="AU719" s="93">
        <v>41487</v>
      </c>
      <c r="AV719" s="93" t="s">
        <v>7274</v>
      </c>
      <c r="AW719" s="93" t="s">
        <v>7275</v>
      </c>
      <c r="AX719" s="93" t="s">
        <v>7276</v>
      </c>
      <c r="AY719" s="93" t="s">
        <v>7277</v>
      </c>
    </row>
    <row r="720" spans="1:52" ht="16.5" customHeight="1" x14ac:dyDescent="0.15">
      <c r="A720" s="121" t="s">
        <v>7278</v>
      </c>
      <c r="B720" s="47" t="s">
        <v>7279</v>
      </c>
      <c r="C720" s="48" t="e">
        <f ca="1">INDIRECT("'["&amp;$C$1&amp;".xls]"&amp;$B720&amp;"'!$i$7")</f>
        <v>#REF!</v>
      </c>
      <c r="D720" s="62" t="e">
        <f ca="1">INDIRECT("'["&amp;$C$1&amp;".xls]"&amp;$B720&amp;"'!$b$7")</f>
        <v>#REF!</v>
      </c>
      <c r="E720" s="48" t="e">
        <f ca="1">IF(INDIRECT("'["&amp;$C$1&amp;".xls]"&amp;$B720&amp;"'!$i$2")="","",INDIRECT("'["&amp;$C$1&amp;".xls]"&amp;$B720&amp;"'!$i$2"))</f>
        <v>#REF!</v>
      </c>
      <c r="F720" s="61" t="e">
        <f ca="1">INDIRECT("'["&amp;$C$1&amp;".xls]"&amp;$B720&amp;"'!$b$2")</f>
        <v>#REF!</v>
      </c>
      <c r="G720" s="61" t="e">
        <f ca="1">INDIRECT("'["&amp;$C$1&amp;".xls]"&amp;$B720&amp;"'!$a$20")</f>
        <v>#REF!</v>
      </c>
      <c r="H720" s="88" t="e">
        <f ca="1">INDIRECT("'["&amp;$C$1&amp;".xls]"&amp;$B720&amp;"'!$Q$22")</f>
        <v>#REF!</v>
      </c>
      <c r="I720" s="61" t="e">
        <f ca="1">INDIRECT("'["&amp;$C$1&amp;".xls]"&amp;$B720&amp;"'!$f$6")</f>
        <v>#REF!</v>
      </c>
      <c r="J720" s="87"/>
      <c r="K720" s="62" t="e">
        <f ca="1">INDIRECT("'["&amp;$C$1&amp;".xls]"&amp;$B720&amp;"'!$f$25")</f>
        <v>#REF!</v>
      </c>
      <c r="L720" s="62"/>
      <c r="M720" s="62" t="e">
        <f ca="1">INDIRECT("'["&amp;$C$1&amp;".xls]"&amp;$B720&amp;"'!$f$4")</f>
        <v>#REF!</v>
      </c>
      <c r="N720" s="62" t="e">
        <f ca="1">INDIRECT("'["&amp;$C$1&amp;".xls]"&amp;$B720&amp;"'!$i$4")</f>
        <v>#REF!</v>
      </c>
      <c r="O720" s="48" t="e">
        <f ca="1">INDIRECT("'["&amp;$C$1&amp;".xls]"&amp;$B720&amp;"'!$l$4")</f>
        <v>#REF!</v>
      </c>
      <c r="P720" s="48" t="e">
        <f ca="1">INDIRECT("'["&amp;$C$1&amp;".xls]"&amp;$B720&amp;"'!$b$5")</f>
        <v>#REF!</v>
      </c>
      <c r="Q720" s="48" t="e">
        <f ca="1">INDIRECT("'["&amp;$C$1&amp;".xls]"&amp;$B720&amp;"'!$f$5")</f>
        <v>#REF!</v>
      </c>
      <c r="R720" s="48"/>
      <c r="S720" s="48" t="e">
        <f ca="1">INDIRECT("'["&amp;$C$1&amp;".xls]"&amp;$B720&amp;"'!$i$5")</f>
        <v>#REF!</v>
      </c>
      <c r="T720" s="48" t="e">
        <f ca="1">INDIRECT("'["&amp;$C$1&amp;".xls]"&amp;$B720&amp;"'!$l$5")</f>
        <v>#REF!</v>
      </c>
      <c r="U720" s="48" t="e">
        <f ca="1">INDIRECT("'["&amp;$C$1&amp;".xls]"&amp;$B720&amp;"'!$b$4")</f>
        <v>#REF!</v>
      </c>
      <c r="V720" s="48"/>
      <c r="W720" s="48"/>
      <c r="X720" s="48"/>
      <c r="Y720" s="48"/>
      <c r="Z720" s="61"/>
      <c r="AA720" s="48" t="e">
        <f ca="1">IF(INDIRECT("'["&amp;$C$1&amp;".xls]"&amp;$B720&amp;"'!$P$25")="","",IF(INDIRECT("'["&amp;$C$1&amp;".xls]"&amp;$B720&amp;"'!$O$25")="済み",INDIRECT("'["&amp;$C$1&amp;".xls]"&amp;$B720&amp;"'!$P$25"),""))</f>
        <v>#REF!</v>
      </c>
      <c r="AB720" s="48" t="e">
        <f ca="1">IF(INDIRECT("'["&amp;$C$1&amp;".xls]"&amp;$B720&amp;"'!$P$26")="","",IF(INDIRECT("'["&amp;$C$1&amp;".xls]"&amp;$B720&amp;"'!$O$26")="済み",INDIRECT("'["&amp;$C$1&amp;".xls]"&amp;$B720&amp;"'!$P$26"),""))</f>
        <v>#REF!</v>
      </c>
      <c r="AC720" s="48" t="e">
        <f ca="1">IF(INDIRECT("'["&amp;$C$1&amp;".xls]"&amp;$B720&amp;"'!$P$27")="","",IF(INDIRECT("'["&amp;$C$1&amp;".xls]"&amp;$B720&amp;"'!$O$27")="済み",INDIRECT("'["&amp;$C$1&amp;".xls]"&amp;$B720&amp;"'!$P$27"),""))</f>
        <v>#REF!</v>
      </c>
      <c r="AD720" s="48" t="e">
        <f ca="1">IF(INDIRECT("'["&amp;$C$1&amp;".xls]"&amp;$B720&amp;"'!$P$28")="","",IF(INDIRECT("'["&amp;$C$1&amp;".xls]"&amp;$B720&amp;"'!$O$28")="済み",INDIRECT("'["&amp;$C$1&amp;".xls]"&amp;$B720&amp;"'!$P$28"),""))</f>
        <v>#REF!</v>
      </c>
      <c r="AE720" s="48" t="e">
        <f ca="1">IF(INDIRECT("'["&amp;$C$1&amp;".xls]"&amp;$B720&amp;"'!$P$29")="","",IF(INDIRECT("'["&amp;$C$1&amp;".xls]"&amp;$B720&amp;"'!$O$29")="済み",INDIRECT("'["&amp;$C$1&amp;".xls]"&amp;$B720&amp;"'!$P$29"),""))</f>
        <v>#REF!</v>
      </c>
      <c r="AF720" s="48" t="e">
        <f ca="1">IF(INDIRECT("'["&amp;$C$1&amp;".xls]"&amp;$B720&amp;"'!$P$30")="","",IF(INDIRECT("'["&amp;$C$1&amp;".xls]"&amp;$B720&amp;"'!$O$30")="済み",INDIRECT("'["&amp;$C$1&amp;".xls]"&amp;$B720&amp;"'!$P$30"),""))</f>
        <v>#REF!</v>
      </c>
      <c r="AG720" s="48" t="e">
        <f ca="1">IF(INDIRECT("'["&amp;$C$1&amp;".xls]"&amp;$B720&amp;"'!$P$31")="","",IF(INDIRECT("'["&amp;$C$1&amp;".xls]"&amp;$B720&amp;"'!$O$31")="済み",INDIRECT("'["&amp;$C$1&amp;".xls]"&amp;$B720&amp;"'!$P$31"),""))</f>
        <v>#REF!</v>
      </c>
      <c r="AH720" s="48" t="e">
        <f ca="1">IF(INDIRECT("'["&amp;$C$1&amp;".xls]"&amp;$B720&amp;"'!$P$32")="","",IF(INDIRECT("'["&amp;$C$1&amp;".xls]"&amp;$B720&amp;"'!$O$32")="済み",INDIRECT("'["&amp;$C$1&amp;".xls]"&amp;$B720&amp;"'!$P$32"),""))</f>
        <v>#REF!</v>
      </c>
      <c r="AI720" s="48" t="e">
        <f ca="1">IF(INDIRECT("'["&amp;$C$1&amp;".xls]"&amp;$B720&amp;"'!$P$33")="","",IF(INDIRECT("'["&amp;$C$1&amp;".xls]"&amp;$B720&amp;"'!$O$33")="済み",INDIRECT("'["&amp;$C$1&amp;".xls]"&amp;$B720&amp;"'!$P$33"),""))</f>
        <v>#REF!</v>
      </c>
      <c r="AJ720" s="48" t="e">
        <f ca="1">IF(INDIRECT("'["&amp;$C$1&amp;".xls]"&amp;$B720&amp;"'!$P$34")="","",IF(INDIRECT("'["&amp;$C$1&amp;".xls]"&amp;$B720&amp;"'!$O$34")="済み",INDIRECT("'["&amp;$C$1&amp;".xls]"&amp;$B720&amp;"'!$P$34"),""))</f>
        <v>#REF!</v>
      </c>
      <c r="AK720" s="48" t="e">
        <f ca="1">IF(INDIRECT("'["&amp;$C$1&amp;".xls]"&amp;$B720&amp;"'!$T25")="","",IF(INDIRECT("'["&amp;$C$1&amp;".xls]"&amp;$B720&amp;"'!$O$25")="済み",INDIRECT("'["&amp;$C$1&amp;".xls]"&amp;$B720&amp;"'!$T$25"),""))</f>
        <v>#REF!</v>
      </c>
      <c r="AL720" s="48" t="e">
        <f ca="1">IF(INDIRECT("'["&amp;$C$1&amp;".xls]"&amp;$B720&amp;"'!$T26")="","",IF(INDIRECT("'["&amp;$C$1&amp;".xls]"&amp;$B720&amp;"'!$O$26")="済み",INDIRECT("'["&amp;$C$1&amp;".xls]"&amp;$B720&amp;"'!$T$26"),""))</f>
        <v>#REF!</v>
      </c>
      <c r="AM720" s="48" t="e">
        <f ca="1">IF(INDIRECT("'["&amp;$C$1&amp;".xls]"&amp;$B720&amp;"'!$T27")="","",IF(INDIRECT("'["&amp;$C$1&amp;".xls]"&amp;$B720&amp;"'!$O$27")="済み",INDIRECT("'["&amp;$C$1&amp;".xls]"&amp;$B720&amp;"'!$T$27"),""))</f>
        <v>#REF!</v>
      </c>
      <c r="AN720" s="48" t="e">
        <f ca="1">IF(INDIRECT("'["&amp;$C$1&amp;".xls]"&amp;$B720&amp;"'!$T28")="","",IF(INDIRECT("'["&amp;$C$1&amp;".xls]"&amp;$B720&amp;"'!$O$28")="済み",INDIRECT("'["&amp;$C$1&amp;".xls]"&amp;$B720&amp;"'!$T$28"),""))</f>
        <v>#REF!</v>
      </c>
      <c r="AO720" s="48" t="e">
        <f ca="1">IF(INDIRECT("'["&amp;$C$1&amp;".xls]"&amp;$B720&amp;"'!$T29")="","",IF(INDIRECT("'["&amp;$C$1&amp;".xls]"&amp;$B720&amp;"'!$O$29")="済み",INDIRECT("'["&amp;$C$1&amp;".xls]"&amp;$B720&amp;"'!$T$29"),""))</f>
        <v>#REF!</v>
      </c>
      <c r="AP720" s="48" t="e">
        <f ca="1">IF(INDIRECT("'["&amp;$C$1&amp;".xls]"&amp;$B720&amp;"'!$T30")="","",IF(INDIRECT("'["&amp;$C$1&amp;".xls]"&amp;$B720&amp;"'!$O$30")="済み",INDIRECT("'["&amp;$C$1&amp;".xls]"&amp;$B720&amp;"'!$T$30"),""))</f>
        <v>#REF!</v>
      </c>
      <c r="AQ720" s="48" t="e">
        <f ca="1">IF(INDIRECT("'["&amp;$C$1&amp;".xls]"&amp;$B720&amp;"'!$T31")="","",IF(INDIRECT("'["&amp;$C$1&amp;".xls]"&amp;$B720&amp;"'!$O$31")="済み",INDIRECT("'["&amp;$C$1&amp;".xls]"&amp;$B720&amp;"'!$T$31"),""))</f>
        <v>#REF!</v>
      </c>
      <c r="AR720" s="48" t="e">
        <f ca="1">IF(INDIRECT("'["&amp;$C$1&amp;".xls]"&amp;$B720&amp;"'!$T32")="","",IF(INDIRECT("'["&amp;$C$1&amp;".xls]"&amp;$B720&amp;"'!$O$32")="済み",INDIRECT("'["&amp;$C$1&amp;".xls]"&amp;$B720&amp;"'!$T$32"),""))</f>
        <v>#REF!</v>
      </c>
      <c r="AS720" s="48" t="e">
        <f ca="1">IF(INDIRECT("'["&amp;$C$1&amp;".xls]"&amp;$B720&amp;"'!$T33")="","",IF(INDIRECT("'["&amp;$C$1&amp;".xls]"&amp;$B720&amp;"'!$O$33")="済み",INDIRECT("'["&amp;$C$1&amp;".xls]"&amp;$B720&amp;"'!$T$33"),""))</f>
        <v>#REF!</v>
      </c>
      <c r="AT720" s="48" t="e">
        <f ca="1">IF(INDIRECT("'["&amp;$C$1&amp;".xls]"&amp;$B720&amp;"'!$T34")="","",IF(INDIRECT("'["&amp;$C$1&amp;".xls]"&amp;$B720&amp;"'!$O$34")="済み",INDIRECT("'["&amp;$C$1&amp;".xls]"&amp;$B720&amp;"'!$T$34"),""))</f>
        <v>#REF!</v>
      </c>
      <c r="AU720" s="93" t="e">
        <f ca="1">INDIRECT("'["&amp;$C$1&amp;".xls]"&amp;$B720&amp;"'!$B$6")</f>
        <v>#REF!</v>
      </c>
      <c r="AV720" s="93" t="e">
        <f ca="1">INDIRECT("'["&amp;$C$1&amp;".xls]"&amp;$B720&amp;"'!$Y$22")</f>
        <v>#REF!</v>
      </c>
      <c r="AW720" s="93" t="e">
        <f ca="1">INDIRECT("'["&amp;$C$1&amp;".xls]"&amp;$B720&amp;"'!$Y$24")</f>
        <v>#REF!</v>
      </c>
      <c r="AX720" s="93" t="e">
        <f ca="1">INDIRECT("'["&amp;$C$1&amp;".xls]"&amp;$B720&amp;"'!$Y$26")</f>
        <v>#REF!</v>
      </c>
      <c r="AY720" s="93" t="e">
        <f ca="1">INDIRECT("'["&amp;$C$1&amp;".xls]"&amp;$B720&amp;"'!$Y$28")</f>
        <v>#REF!</v>
      </c>
    </row>
    <row r="721" spans="1:51" ht="16.5" customHeight="1" x14ac:dyDescent="0.15">
      <c r="A721" s="182" t="s">
        <v>7280</v>
      </c>
      <c r="B721" s="183" t="s">
        <v>7281</v>
      </c>
      <c r="C721" s="48" t="s">
        <v>298</v>
      </c>
      <c r="D721" s="62" t="s">
        <v>7282</v>
      </c>
      <c r="E721" s="48" t="s">
        <v>300</v>
      </c>
      <c r="F721" s="61">
        <v>42660</v>
      </c>
      <c r="G721" s="61">
        <v>0</v>
      </c>
      <c r="H721" s="125">
        <v>42667</v>
      </c>
      <c r="I721" s="61" t="s">
        <v>279</v>
      </c>
      <c r="J721" s="87"/>
      <c r="K721" s="62" t="s">
        <v>2506</v>
      </c>
      <c r="L721" s="62">
        <v>3</v>
      </c>
      <c r="M721" s="62" t="s">
        <v>755</v>
      </c>
      <c r="N721" s="62" t="s">
        <v>2709</v>
      </c>
      <c r="O721" s="48" t="s">
        <v>792</v>
      </c>
      <c r="P721" s="48" t="s">
        <v>7283</v>
      </c>
      <c r="Q721" s="48" t="s">
        <v>971</v>
      </c>
      <c r="R721" s="48" t="s">
        <v>2710</v>
      </c>
      <c r="S721" s="48" t="s">
        <v>7284</v>
      </c>
      <c r="T721" s="48" t="s">
        <v>2712</v>
      </c>
      <c r="U721" s="48" t="s">
        <v>2713</v>
      </c>
      <c r="V721" s="122" t="s">
        <v>263</v>
      </c>
      <c r="W721" s="122" t="s">
        <v>263</v>
      </c>
      <c r="X721" s="48" t="s">
        <v>2714</v>
      </c>
      <c r="Y721" s="48" t="s">
        <v>7285</v>
      </c>
      <c r="Z721" s="61"/>
      <c r="AA721" s="48" t="s">
        <v>273</v>
      </c>
      <c r="AB721" s="48" t="s">
        <v>273</v>
      </c>
      <c r="AC721" s="48" t="s">
        <v>273</v>
      </c>
      <c r="AD721" s="48" t="s">
        <v>273</v>
      </c>
      <c r="AE721" s="48" t="s">
        <v>273</v>
      </c>
      <c r="AF721" s="48" t="s">
        <v>273</v>
      </c>
      <c r="AG721" s="48" t="s">
        <v>273</v>
      </c>
      <c r="AH721" s="48" t="s">
        <v>273</v>
      </c>
      <c r="AI721" s="48" t="s">
        <v>273</v>
      </c>
      <c r="AJ721" s="48" t="s">
        <v>273</v>
      </c>
      <c r="AK721" s="48" t="s">
        <v>273</v>
      </c>
      <c r="AL721" s="48" t="s">
        <v>273</v>
      </c>
      <c r="AM721" s="48" t="s">
        <v>273</v>
      </c>
      <c r="AN721" s="48" t="s">
        <v>273</v>
      </c>
      <c r="AO721" s="48" t="s">
        <v>273</v>
      </c>
      <c r="AP721" s="48" t="s">
        <v>273</v>
      </c>
      <c r="AQ721" s="48" t="s">
        <v>273</v>
      </c>
      <c r="AR721" s="48" t="s">
        <v>273</v>
      </c>
      <c r="AS721" s="48" t="s">
        <v>273</v>
      </c>
      <c r="AT721" s="48" t="s">
        <v>273</v>
      </c>
      <c r="AU721" s="93">
        <v>40330</v>
      </c>
      <c r="AV721" s="93" t="s">
        <v>7286</v>
      </c>
      <c r="AW721" s="93" t="s">
        <v>7287</v>
      </c>
      <c r="AX721" s="93" t="s">
        <v>7288</v>
      </c>
      <c r="AY721" s="93" t="s">
        <v>7289</v>
      </c>
    </row>
    <row r="722" spans="1:51" ht="16.5" customHeight="1" x14ac:dyDescent="0.15">
      <c r="A722" s="182" t="s">
        <v>7290</v>
      </c>
      <c r="B722" s="183" t="s">
        <v>7291</v>
      </c>
      <c r="C722" s="48" t="s">
        <v>330</v>
      </c>
      <c r="D722" s="62" t="s">
        <v>7292</v>
      </c>
      <c r="E722" s="48" t="s">
        <v>300</v>
      </c>
      <c r="F722" s="61">
        <v>42660</v>
      </c>
      <c r="G722" s="61">
        <v>0</v>
      </c>
      <c r="H722" s="125">
        <v>42668</v>
      </c>
      <c r="I722" s="61" t="s">
        <v>279</v>
      </c>
      <c r="J722" s="87"/>
      <c r="K722" s="62" t="s">
        <v>2506</v>
      </c>
      <c r="L722" s="124" t="s">
        <v>7293</v>
      </c>
      <c r="M722" s="62" t="s">
        <v>215</v>
      </c>
      <c r="N722" s="62" t="s">
        <v>7294</v>
      </c>
      <c r="O722" s="48" t="s">
        <v>3408</v>
      </c>
      <c r="P722" s="48" t="s">
        <v>7295</v>
      </c>
      <c r="Q722" s="48" t="s">
        <v>6627</v>
      </c>
      <c r="R722" s="48" t="s">
        <v>3883</v>
      </c>
      <c r="S722" s="48" t="s">
        <v>4083</v>
      </c>
      <c r="T722" s="48" t="s">
        <v>3885</v>
      </c>
      <c r="U722" s="48" t="s">
        <v>6629</v>
      </c>
      <c r="V722" s="122" t="s">
        <v>263</v>
      </c>
      <c r="W722" s="122" t="s">
        <v>263</v>
      </c>
      <c r="X722" s="48" t="s">
        <v>6630</v>
      </c>
      <c r="Y722" s="48" t="s">
        <v>6631</v>
      </c>
      <c r="Z722" s="61"/>
      <c r="AA722" s="48" t="s">
        <v>273</v>
      </c>
      <c r="AB722" s="48" t="s">
        <v>273</v>
      </c>
      <c r="AC722" s="48" t="s">
        <v>273</v>
      </c>
      <c r="AD722" s="48" t="s">
        <v>273</v>
      </c>
      <c r="AE722" s="48" t="s">
        <v>273</v>
      </c>
      <c r="AF722" s="48" t="s">
        <v>273</v>
      </c>
      <c r="AG722" s="48" t="s">
        <v>273</v>
      </c>
      <c r="AH722" s="48" t="s">
        <v>273</v>
      </c>
      <c r="AI722" s="48" t="s">
        <v>273</v>
      </c>
      <c r="AJ722" s="48" t="s">
        <v>273</v>
      </c>
      <c r="AK722" s="48" t="s">
        <v>273</v>
      </c>
      <c r="AL722" s="48" t="s">
        <v>273</v>
      </c>
      <c r="AM722" s="48" t="s">
        <v>273</v>
      </c>
      <c r="AN722" s="48" t="s">
        <v>273</v>
      </c>
      <c r="AO722" s="48" t="s">
        <v>273</v>
      </c>
      <c r="AP722" s="48" t="s">
        <v>273</v>
      </c>
      <c r="AQ722" s="48" t="s">
        <v>273</v>
      </c>
      <c r="AR722" s="48" t="s">
        <v>273</v>
      </c>
      <c r="AS722" s="48" t="s">
        <v>273</v>
      </c>
      <c r="AT722" s="48" t="s">
        <v>273</v>
      </c>
      <c r="AU722" s="93">
        <v>38869</v>
      </c>
      <c r="AV722" s="93" t="s">
        <v>7296</v>
      </c>
      <c r="AW722" s="93" t="s">
        <v>7297</v>
      </c>
      <c r="AX722" s="93" t="s">
        <v>7298</v>
      </c>
      <c r="AY722" s="93" t="s">
        <v>5312</v>
      </c>
    </row>
    <row r="723" spans="1:51" ht="16.5" customHeight="1" x14ac:dyDescent="0.15">
      <c r="A723" s="182" t="s">
        <v>7299</v>
      </c>
      <c r="B723" s="183" t="s">
        <v>7300</v>
      </c>
      <c r="C723" s="48" t="s">
        <v>330</v>
      </c>
      <c r="D723" s="62" t="s">
        <v>263</v>
      </c>
      <c r="E723" s="48" t="s">
        <v>300</v>
      </c>
      <c r="F723" s="61">
        <v>42661</v>
      </c>
      <c r="G723" s="61">
        <v>0</v>
      </c>
      <c r="H723" s="125">
        <v>42669</v>
      </c>
      <c r="I723" s="61" t="s">
        <v>1249</v>
      </c>
      <c r="J723" s="87"/>
      <c r="K723" s="124">
        <v>0</v>
      </c>
      <c r="L723" s="124"/>
      <c r="M723" s="62" t="s">
        <v>362</v>
      </c>
      <c r="N723" s="62" t="s">
        <v>7301</v>
      </c>
      <c r="O723" s="48" t="s">
        <v>263</v>
      </c>
      <c r="P723" s="48" t="s">
        <v>267</v>
      </c>
      <c r="Q723" s="48" t="s">
        <v>892</v>
      </c>
      <c r="R723" s="48" t="s">
        <v>263</v>
      </c>
      <c r="S723" s="48" t="s">
        <v>7302</v>
      </c>
      <c r="T723" s="48" t="s">
        <v>7303</v>
      </c>
      <c r="U723" s="122" t="s">
        <v>7293</v>
      </c>
      <c r="V723" s="122" t="s">
        <v>263</v>
      </c>
      <c r="W723" s="122" t="s">
        <v>263</v>
      </c>
      <c r="X723" s="122" t="s">
        <v>263</v>
      </c>
      <c r="Y723" s="122" t="s">
        <v>263</v>
      </c>
      <c r="Z723" s="61"/>
      <c r="AA723" s="48" t="s">
        <v>273</v>
      </c>
      <c r="AB723" s="48" t="s">
        <v>273</v>
      </c>
      <c r="AC723" s="48" t="s">
        <v>273</v>
      </c>
      <c r="AD723" s="48" t="s">
        <v>273</v>
      </c>
      <c r="AE723" s="48" t="s">
        <v>273</v>
      </c>
      <c r="AF723" s="48" t="s">
        <v>273</v>
      </c>
      <c r="AG723" s="48" t="s">
        <v>273</v>
      </c>
      <c r="AH723" s="48" t="s">
        <v>273</v>
      </c>
      <c r="AI723" s="48" t="s">
        <v>273</v>
      </c>
      <c r="AJ723" s="48" t="s">
        <v>273</v>
      </c>
      <c r="AK723" s="48" t="s">
        <v>273</v>
      </c>
      <c r="AL723" s="48" t="s">
        <v>273</v>
      </c>
      <c r="AM723" s="48" t="s">
        <v>273</v>
      </c>
      <c r="AN723" s="48" t="s">
        <v>273</v>
      </c>
      <c r="AO723" s="48" t="s">
        <v>273</v>
      </c>
      <c r="AP723" s="48" t="s">
        <v>273</v>
      </c>
      <c r="AQ723" s="48" t="s">
        <v>273</v>
      </c>
      <c r="AR723" s="48" t="s">
        <v>273</v>
      </c>
      <c r="AS723" s="48" t="s">
        <v>273</v>
      </c>
      <c r="AT723" s="48" t="s">
        <v>273</v>
      </c>
      <c r="AU723" s="93" t="s">
        <v>263</v>
      </c>
      <c r="AV723" s="93" t="s">
        <v>7304</v>
      </c>
      <c r="AW723" s="93" t="s">
        <v>7305</v>
      </c>
      <c r="AX723" s="93" t="s">
        <v>7306</v>
      </c>
      <c r="AY723" s="93" t="s">
        <v>7307</v>
      </c>
    </row>
    <row r="724" spans="1:51" ht="16.5" customHeight="1" x14ac:dyDescent="0.15">
      <c r="A724" s="199" t="s">
        <v>7308</v>
      </c>
      <c r="B724" s="209" t="s">
        <v>7309</v>
      </c>
      <c r="C724" s="48" t="s">
        <v>330</v>
      </c>
      <c r="D724" s="62" t="s">
        <v>7310</v>
      </c>
      <c r="E724" s="48" t="s">
        <v>300</v>
      </c>
      <c r="F724" s="61">
        <v>42661</v>
      </c>
      <c r="G724" s="61">
        <v>0</v>
      </c>
      <c r="H724" s="125">
        <v>42702</v>
      </c>
      <c r="I724" s="61" t="s">
        <v>279</v>
      </c>
      <c r="J724" s="87"/>
      <c r="K724" s="62" t="s">
        <v>2506</v>
      </c>
      <c r="L724" s="62">
        <v>3</v>
      </c>
      <c r="M724" s="62" t="s">
        <v>362</v>
      </c>
      <c r="N724" s="62" t="s">
        <v>7311</v>
      </c>
      <c r="O724" s="48" t="s">
        <v>263</v>
      </c>
      <c r="P724" s="48" t="s">
        <v>7312</v>
      </c>
      <c r="Q724" s="48" t="s">
        <v>7313</v>
      </c>
      <c r="R724" s="48" t="s">
        <v>7314</v>
      </c>
      <c r="S724" s="48" t="s">
        <v>7315</v>
      </c>
      <c r="T724" s="48" t="s">
        <v>7316</v>
      </c>
      <c r="U724" s="48" t="s">
        <v>4831</v>
      </c>
      <c r="V724" s="122" t="s">
        <v>7293</v>
      </c>
      <c r="W724" s="122" t="s">
        <v>7293</v>
      </c>
      <c r="X724" s="48" t="s">
        <v>7317</v>
      </c>
      <c r="Y724" s="48" t="s">
        <v>7318</v>
      </c>
      <c r="Z724" s="61"/>
      <c r="AA724" s="48" t="s">
        <v>5081</v>
      </c>
      <c r="AB724" s="48" t="s">
        <v>273</v>
      </c>
      <c r="AC724" s="48" t="s">
        <v>273</v>
      </c>
      <c r="AD724" s="48" t="s">
        <v>273</v>
      </c>
      <c r="AE724" s="48" t="s">
        <v>273</v>
      </c>
      <c r="AF724" s="48" t="s">
        <v>273</v>
      </c>
      <c r="AG724" s="48" t="s">
        <v>273</v>
      </c>
      <c r="AH724" s="48" t="s">
        <v>273</v>
      </c>
      <c r="AI724" s="48" t="s">
        <v>273</v>
      </c>
      <c r="AJ724" s="48" t="s">
        <v>273</v>
      </c>
      <c r="AK724" s="48" t="s">
        <v>1038</v>
      </c>
      <c r="AL724" s="48" t="s">
        <v>273</v>
      </c>
      <c r="AM724" s="48" t="s">
        <v>273</v>
      </c>
      <c r="AN724" s="48" t="s">
        <v>273</v>
      </c>
      <c r="AO724" s="48" t="s">
        <v>273</v>
      </c>
      <c r="AP724" s="48" t="s">
        <v>273</v>
      </c>
      <c r="AQ724" s="48" t="s">
        <v>273</v>
      </c>
      <c r="AR724" s="48" t="s">
        <v>273</v>
      </c>
      <c r="AS724" s="48" t="s">
        <v>273</v>
      </c>
      <c r="AT724" s="48" t="s">
        <v>273</v>
      </c>
      <c r="AU724" s="93" t="s">
        <v>263</v>
      </c>
      <c r="AV724" s="93" t="s">
        <v>7319</v>
      </c>
      <c r="AW724" s="93" t="s">
        <v>7320</v>
      </c>
      <c r="AX724" s="93" t="s">
        <v>7097</v>
      </c>
      <c r="AY724" s="93" t="s">
        <v>5312</v>
      </c>
    </row>
    <row r="725" spans="1:51" ht="16.5" customHeight="1" x14ac:dyDescent="0.15">
      <c r="A725" s="121" t="s">
        <v>7321</v>
      </c>
      <c r="B725" s="47" t="s">
        <v>7322</v>
      </c>
      <c r="C725" s="48" t="e">
        <f ca="1">INDIRECT("'["&amp;$C$1&amp;".xls]"&amp;$B725&amp;"'!$i$7")</f>
        <v>#REF!</v>
      </c>
      <c r="D725" s="62" t="e">
        <f ca="1">INDIRECT("'["&amp;$C$1&amp;".xls]"&amp;$B725&amp;"'!$b$7")</f>
        <v>#REF!</v>
      </c>
      <c r="E725" s="48" t="e">
        <f ca="1">IF(INDIRECT("'["&amp;$C$1&amp;".xls]"&amp;$B725&amp;"'!$i$2")="","",INDIRECT("'["&amp;$C$1&amp;".xls]"&amp;$B725&amp;"'!$i$2"))</f>
        <v>#REF!</v>
      </c>
      <c r="F725" s="61" t="e">
        <f ca="1">INDIRECT("'["&amp;$C$1&amp;".xls]"&amp;$B725&amp;"'!$b$2")</f>
        <v>#REF!</v>
      </c>
      <c r="G725" s="61" t="e">
        <f ca="1">INDIRECT("'["&amp;$C$1&amp;".xls]"&amp;$B725&amp;"'!$a$20")</f>
        <v>#REF!</v>
      </c>
      <c r="H725" s="88" t="e">
        <f ca="1">INDIRECT("'["&amp;$C$1&amp;".xls]"&amp;$B725&amp;"'!$Q$22")</f>
        <v>#REF!</v>
      </c>
      <c r="I725" s="61" t="e">
        <f ca="1">INDIRECT("'["&amp;$C$1&amp;".xls]"&amp;$B725&amp;"'!$f$6")</f>
        <v>#REF!</v>
      </c>
      <c r="J725" s="87"/>
      <c r="K725" s="62" t="e">
        <f ca="1">INDIRECT("'["&amp;$C$1&amp;".xls]"&amp;$B725&amp;"'!$f$25")</f>
        <v>#REF!</v>
      </c>
      <c r="L725" s="62"/>
      <c r="M725" s="62" t="e">
        <f ca="1">INDIRECT("'["&amp;$C$1&amp;".xls]"&amp;$B725&amp;"'!$f$4")</f>
        <v>#REF!</v>
      </c>
      <c r="N725" s="62" t="e">
        <f ca="1">INDIRECT("'["&amp;$C$1&amp;".xls]"&amp;$B725&amp;"'!$i$4")</f>
        <v>#REF!</v>
      </c>
      <c r="O725" s="48" t="e">
        <f ca="1">INDIRECT("'["&amp;$C$1&amp;".xls]"&amp;$B725&amp;"'!$l$4")</f>
        <v>#REF!</v>
      </c>
      <c r="P725" s="48" t="e">
        <f ca="1">INDIRECT("'["&amp;$C$1&amp;".xls]"&amp;$B725&amp;"'!$b$5")</f>
        <v>#REF!</v>
      </c>
      <c r="Q725" s="48" t="e">
        <f ca="1">INDIRECT("'["&amp;$C$1&amp;".xls]"&amp;$B725&amp;"'!$f$5")</f>
        <v>#REF!</v>
      </c>
      <c r="R725" s="48"/>
      <c r="S725" s="48" t="e">
        <f ca="1">INDIRECT("'["&amp;$C$1&amp;".xls]"&amp;$B725&amp;"'!$i$5")</f>
        <v>#REF!</v>
      </c>
      <c r="T725" s="48" t="e">
        <f ca="1">INDIRECT("'["&amp;$C$1&amp;".xls]"&amp;$B725&amp;"'!$l$5")</f>
        <v>#REF!</v>
      </c>
      <c r="U725" s="48" t="e">
        <f ca="1">INDIRECT("'["&amp;$C$1&amp;".xls]"&amp;$B725&amp;"'!$b$4")</f>
        <v>#REF!</v>
      </c>
      <c r="V725" s="48"/>
      <c r="W725" s="48"/>
      <c r="X725" s="48"/>
      <c r="Y725" s="48"/>
      <c r="Z725" s="61"/>
      <c r="AA725" s="48" t="e">
        <f ca="1">IF(INDIRECT("'["&amp;$C$1&amp;".xls]"&amp;$B725&amp;"'!$P$25")="","",IF(INDIRECT("'["&amp;$C$1&amp;".xls]"&amp;$B725&amp;"'!$O$25")="済み",INDIRECT("'["&amp;$C$1&amp;".xls]"&amp;$B725&amp;"'!$P$25"),""))</f>
        <v>#REF!</v>
      </c>
      <c r="AB725" s="48" t="e">
        <f ca="1">IF(INDIRECT("'["&amp;$C$1&amp;".xls]"&amp;$B725&amp;"'!$P$26")="","",IF(INDIRECT("'["&amp;$C$1&amp;".xls]"&amp;$B725&amp;"'!$O$26")="済み",INDIRECT("'["&amp;$C$1&amp;".xls]"&amp;$B725&amp;"'!$P$26"),""))</f>
        <v>#REF!</v>
      </c>
      <c r="AC725" s="48" t="e">
        <f ca="1">IF(INDIRECT("'["&amp;$C$1&amp;".xls]"&amp;$B725&amp;"'!$P$27")="","",IF(INDIRECT("'["&amp;$C$1&amp;".xls]"&amp;$B725&amp;"'!$O$27")="済み",INDIRECT("'["&amp;$C$1&amp;".xls]"&amp;$B725&amp;"'!$P$27"),""))</f>
        <v>#REF!</v>
      </c>
      <c r="AD725" s="48" t="e">
        <f ca="1">IF(INDIRECT("'["&amp;$C$1&amp;".xls]"&amp;$B725&amp;"'!$P$28")="","",IF(INDIRECT("'["&amp;$C$1&amp;".xls]"&amp;$B725&amp;"'!$O$28")="済み",INDIRECT("'["&amp;$C$1&amp;".xls]"&amp;$B725&amp;"'!$P$28"),""))</f>
        <v>#REF!</v>
      </c>
      <c r="AE725" s="48" t="e">
        <f ca="1">IF(INDIRECT("'["&amp;$C$1&amp;".xls]"&amp;$B725&amp;"'!$P$29")="","",IF(INDIRECT("'["&amp;$C$1&amp;".xls]"&amp;$B725&amp;"'!$O$29")="済み",INDIRECT("'["&amp;$C$1&amp;".xls]"&amp;$B725&amp;"'!$P$29"),""))</f>
        <v>#REF!</v>
      </c>
      <c r="AF725" s="48" t="e">
        <f ca="1">IF(INDIRECT("'["&amp;$C$1&amp;".xls]"&amp;$B725&amp;"'!$P$30")="","",IF(INDIRECT("'["&amp;$C$1&amp;".xls]"&amp;$B725&amp;"'!$O$30")="済み",INDIRECT("'["&amp;$C$1&amp;".xls]"&amp;$B725&amp;"'!$P$30"),""))</f>
        <v>#REF!</v>
      </c>
      <c r="AG725" s="48" t="e">
        <f ca="1">IF(INDIRECT("'["&amp;$C$1&amp;".xls]"&amp;$B725&amp;"'!$P$31")="","",IF(INDIRECT("'["&amp;$C$1&amp;".xls]"&amp;$B725&amp;"'!$O$31")="済み",INDIRECT("'["&amp;$C$1&amp;".xls]"&amp;$B725&amp;"'!$P$31"),""))</f>
        <v>#REF!</v>
      </c>
      <c r="AH725" s="48" t="e">
        <f ca="1">IF(INDIRECT("'["&amp;$C$1&amp;".xls]"&amp;$B725&amp;"'!$P$32")="","",IF(INDIRECT("'["&amp;$C$1&amp;".xls]"&amp;$B725&amp;"'!$O$32")="済み",INDIRECT("'["&amp;$C$1&amp;".xls]"&amp;$B725&amp;"'!$P$32"),""))</f>
        <v>#REF!</v>
      </c>
      <c r="AI725" s="48" t="e">
        <f ca="1">IF(INDIRECT("'["&amp;$C$1&amp;".xls]"&amp;$B725&amp;"'!$P$33")="","",IF(INDIRECT("'["&amp;$C$1&amp;".xls]"&amp;$B725&amp;"'!$O$33")="済み",INDIRECT("'["&amp;$C$1&amp;".xls]"&amp;$B725&amp;"'!$P$33"),""))</f>
        <v>#REF!</v>
      </c>
      <c r="AJ725" s="48" t="e">
        <f ca="1">IF(INDIRECT("'["&amp;$C$1&amp;".xls]"&amp;$B725&amp;"'!$P$34")="","",IF(INDIRECT("'["&amp;$C$1&amp;".xls]"&amp;$B725&amp;"'!$O$34")="済み",INDIRECT("'["&amp;$C$1&amp;".xls]"&amp;$B725&amp;"'!$P$34"),""))</f>
        <v>#REF!</v>
      </c>
      <c r="AK725" s="48" t="e">
        <f ca="1">IF(INDIRECT("'["&amp;$C$1&amp;".xls]"&amp;$B725&amp;"'!$T25")="","",IF(INDIRECT("'["&amp;$C$1&amp;".xls]"&amp;$B725&amp;"'!$O$25")="済み",INDIRECT("'["&amp;$C$1&amp;".xls]"&amp;$B725&amp;"'!$T$25"),""))</f>
        <v>#REF!</v>
      </c>
      <c r="AL725" s="48" t="e">
        <f ca="1">IF(INDIRECT("'["&amp;$C$1&amp;".xls]"&amp;$B725&amp;"'!$T26")="","",IF(INDIRECT("'["&amp;$C$1&amp;".xls]"&amp;$B725&amp;"'!$O$26")="済み",INDIRECT("'["&amp;$C$1&amp;".xls]"&amp;$B725&amp;"'!$T$26"),""))</f>
        <v>#REF!</v>
      </c>
      <c r="AM725" s="48" t="e">
        <f ca="1">IF(INDIRECT("'["&amp;$C$1&amp;".xls]"&amp;$B725&amp;"'!$T27")="","",IF(INDIRECT("'["&amp;$C$1&amp;".xls]"&amp;$B725&amp;"'!$O$27")="済み",INDIRECT("'["&amp;$C$1&amp;".xls]"&amp;$B725&amp;"'!$T$27"),""))</f>
        <v>#REF!</v>
      </c>
      <c r="AN725" s="48" t="e">
        <f ca="1">IF(INDIRECT("'["&amp;$C$1&amp;".xls]"&amp;$B725&amp;"'!$T28")="","",IF(INDIRECT("'["&amp;$C$1&amp;".xls]"&amp;$B725&amp;"'!$O$28")="済み",INDIRECT("'["&amp;$C$1&amp;".xls]"&amp;$B725&amp;"'!$T$28"),""))</f>
        <v>#REF!</v>
      </c>
      <c r="AO725" s="48" t="e">
        <f ca="1">IF(INDIRECT("'["&amp;$C$1&amp;".xls]"&amp;$B725&amp;"'!$T29")="","",IF(INDIRECT("'["&amp;$C$1&amp;".xls]"&amp;$B725&amp;"'!$O$29")="済み",INDIRECT("'["&amp;$C$1&amp;".xls]"&amp;$B725&amp;"'!$T$29"),""))</f>
        <v>#REF!</v>
      </c>
      <c r="AP725" s="48" t="e">
        <f ca="1">IF(INDIRECT("'["&amp;$C$1&amp;".xls]"&amp;$B725&amp;"'!$T30")="","",IF(INDIRECT("'["&amp;$C$1&amp;".xls]"&amp;$B725&amp;"'!$O$30")="済み",INDIRECT("'["&amp;$C$1&amp;".xls]"&amp;$B725&amp;"'!$T$30"),""))</f>
        <v>#REF!</v>
      </c>
      <c r="AQ725" s="48" t="e">
        <f ca="1">IF(INDIRECT("'["&amp;$C$1&amp;".xls]"&amp;$B725&amp;"'!$T31")="","",IF(INDIRECT("'["&amp;$C$1&amp;".xls]"&amp;$B725&amp;"'!$O$31")="済み",INDIRECT("'["&amp;$C$1&amp;".xls]"&amp;$B725&amp;"'!$T$31"),""))</f>
        <v>#REF!</v>
      </c>
      <c r="AR725" s="48" t="e">
        <f ca="1">IF(INDIRECT("'["&amp;$C$1&amp;".xls]"&amp;$B725&amp;"'!$T32")="","",IF(INDIRECT("'["&amp;$C$1&amp;".xls]"&amp;$B725&amp;"'!$O$32")="済み",INDIRECT("'["&amp;$C$1&amp;".xls]"&amp;$B725&amp;"'!$T$32"),""))</f>
        <v>#REF!</v>
      </c>
      <c r="AS725" s="48" t="e">
        <f ca="1">IF(INDIRECT("'["&amp;$C$1&amp;".xls]"&amp;$B725&amp;"'!$T33")="","",IF(INDIRECT("'["&amp;$C$1&amp;".xls]"&amp;$B725&amp;"'!$O$33")="済み",INDIRECT("'["&amp;$C$1&amp;".xls]"&amp;$B725&amp;"'!$T$33"),""))</f>
        <v>#REF!</v>
      </c>
      <c r="AT725" s="48" t="e">
        <f ca="1">IF(INDIRECT("'["&amp;$C$1&amp;".xls]"&amp;$B725&amp;"'!$T34")="","",IF(INDIRECT("'["&amp;$C$1&amp;".xls]"&amp;$B725&amp;"'!$O$34")="済み",INDIRECT("'["&amp;$C$1&amp;".xls]"&amp;$B725&amp;"'!$T$34"),""))</f>
        <v>#REF!</v>
      </c>
      <c r="AU725" s="93" t="e">
        <f ca="1">INDIRECT("'["&amp;$C$1&amp;".xls]"&amp;$B725&amp;"'!$B$6")</f>
        <v>#REF!</v>
      </c>
      <c r="AV725" s="93" t="e">
        <f ca="1">INDIRECT("'["&amp;$C$1&amp;".xls]"&amp;$B725&amp;"'!$Y$22")</f>
        <v>#REF!</v>
      </c>
      <c r="AW725" s="93" t="e">
        <f ca="1">INDIRECT("'["&amp;$C$1&amp;".xls]"&amp;$B725&amp;"'!$Y$24")</f>
        <v>#REF!</v>
      </c>
      <c r="AX725" s="93" t="e">
        <f ca="1">INDIRECT("'["&amp;$C$1&amp;".xls]"&amp;$B725&amp;"'!$Y$26")</f>
        <v>#REF!</v>
      </c>
      <c r="AY725" s="93" t="e">
        <f ca="1">INDIRECT("'["&amp;$C$1&amp;".xls]"&amp;$B725&amp;"'!$Y$28")</f>
        <v>#REF!</v>
      </c>
    </row>
    <row r="726" spans="1:51" ht="16.5" customHeight="1" x14ac:dyDescent="0.15">
      <c r="A726" s="199" t="s">
        <v>7323</v>
      </c>
      <c r="B726" s="209" t="s">
        <v>7324</v>
      </c>
      <c r="C726" s="48" t="s">
        <v>7325</v>
      </c>
      <c r="D726" s="62" t="s">
        <v>263</v>
      </c>
      <c r="E726" s="48" t="s">
        <v>264</v>
      </c>
      <c r="F726" s="61">
        <v>42662</v>
      </c>
      <c r="G726" s="61">
        <v>0</v>
      </c>
      <c r="H726" s="125">
        <v>42699</v>
      </c>
      <c r="I726" s="61">
        <v>41862</v>
      </c>
      <c r="J726" s="87"/>
      <c r="K726" s="62" t="s">
        <v>2506</v>
      </c>
      <c r="L726" s="62">
        <v>3</v>
      </c>
      <c r="M726" s="62" t="s">
        <v>471</v>
      </c>
      <c r="N726" s="62" t="s">
        <v>6022</v>
      </c>
      <c r="O726" s="48" t="s">
        <v>502</v>
      </c>
      <c r="P726" s="48" t="s">
        <v>1191</v>
      </c>
      <c r="Q726" s="48" t="s">
        <v>2993</v>
      </c>
      <c r="R726" s="48" t="s">
        <v>399</v>
      </c>
      <c r="S726" s="48" t="s">
        <v>400</v>
      </c>
      <c r="T726" s="48" t="s">
        <v>401</v>
      </c>
      <c r="U726" s="48" t="s">
        <v>6023</v>
      </c>
      <c r="V726" s="122" t="s">
        <v>7293</v>
      </c>
      <c r="W726" s="122" t="s">
        <v>7293</v>
      </c>
      <c r="X726" s="48" t="s">
        <v>7326</v>
      </c>
      <c r="Y726" s="48" t="s">
        <v>7327</v>
      </c>
      <c r="Z726" s="61"/>
      <c r="AA726" s="48" t="s">
        <v>1356</v>
      </c>
      <c r="AB726" s="48" t="s">
        <v>273</v>
      </c>
      <c r="AC726" s="48" t="s">
        <v>273</v>
      </c>
      <c r="AD726" s="48" t="s">
        <v>273</v>
      </c>
      <c r="AE726" s="48" t="s">
        <v>273</v>
      </c>
      <c r="AF726" s="48" t="s">
        <v>273</v>
      </c>
      <c r="AG726" s="48" t="s">
        <v>273</v>
      </c>
      <c r="AH726" s="48" t="s">
        <v>273</v>
      </c>
      <c r="AI726" s="48" t="s">
        <v>273</v>
      </c>
      <c r="AJ726" s="48" t="s">
        <v>273</v>
      </c>
      <c r="AK726" s="48" t="s">
        <v>1357</v>
      </c>
      <c r="AL726" s="48" t="s">
        <v>273</v>
      </c>
      <c r="AM726" s="48" t="s">
        <v>273</v>
      </c>
      <c r="AN726" s="48" t="s">
        <v>273</v>
      </c>
      <c r="AO726" s="48" t="s">
        <v>273</v>
      </c>
      <c r="AP726" s="48" t="s">
        <v>273</v>
      </c>
      <c r="AQ726" s="48" t="s">
        <v>273</v>
      </c>
      <c r="AR726" s="48" t="s">
        <v>273</v>
      </c>
      <c r="AS726" s="48" t="s">
        <v>273</v>
      </c>
      <c r="AT726" s="48" t="s">
        <v>273</v>
      </c>
      <c r="AU726" s="93">
        <v>41699</v>
      </c>
      <c r="AV726" s="93" t="s">
        <v>7328</v>
      </c>
      <c r="AW726" s="93" t="s">
        <v>7329</v>
      </c>
      <c r="AX726" s="93" t="s">
        <v>7330</v>
      </c>
      <c r="AY726" s="93" t="s">
        <v>5312</v>
      </c>
    </row>
    <row r="727" spans="1:51" ht="16.5" customHeight="1" x14ac:dyDescent="0.15">
      <c r="A727" s="199" t="s">
        <v>7331</v>
      </c>
      <c r="B727" s="209" t="s">
        <v>7332</v>
      </c>
      <c r="C727" s="48" t="s">
        <v>7333</v>
      </c>
      <c r="D727" s="62" t="s">
        <v>263</v>
      </c>
      <c r="E727" s="48" t="s">
        <v>264</v>
      </c>
      <c r="F727" s="61">
        <v>42662</v>
      </c>
      <c r="G727" s="61">
        <v>0</v>
      </c>
      <c r="H727" s="125">
        <v>42699</v>
      </c>
      <c r="I727" s="61">
        <v>41289</v>
      </c>
      <c r="J727" s="87"/>
      <c r="K727" s="62" t="s">
        <v>2506</v>
      </c>
      <c r="L727" s="62">
        <v>3</v>
      </c>
      <c r="M727" s="62" t="s">
        <v>471</v>
      </c>
      <c r="N727" s="62" t="s">
        <v>7334</v>
      </c>
      <c r="O727" s="48" t="s">
        <v>502</v>
      </c>
      <c r="P727" s="48" t="s">
        <v>7335</v>
      </c>
      <c r="Q727" s="48" t="s">
        <v>7336</v>
      </c>
      <c r="R727" s="48" t="s">
        <v>399</v>
      </c>
      <c r="S727" s="48" t="s">
        <v>400</v>
      </c>
      <c r="T727" s="48" t="s">
        <v>401</v>
      </c>
      <c r="U727" s="48" t="s">
        <v>7337</v>
      </c>
      <c r="V727" s="122" t="s">
        <v>7293</v>
      </c>
      <c r="W727" s="122" t="s">
        <v>7293</v>
      </c>
      <c r="X727" s="48" t="s">
        <v>7338</v>
      </c>
      <c r="Y727" s="48" t="s">
        <v>7339</v>
      </c>
      <c r="Z727" s="61"/>
      <c r="AA727" s="48" t="s">
        <v>529</v>
      </c>
      <c r="AB727" s="48" t="s">
        <v>273</v>
      </c>
      <c r="AC727" s="48" t="s">
        <v>273</v>
      </c>
      <c r="AD727" s="48" t="s">
        <v>273</v>
      </c>
      <c r="AE727" s="48" t="s">
        <v>273</v>
      </c>
      <c r="AF727" s="48" t="s">
        <v>273</v>
      </c>
      <c r="AG727" s="48" t="s">
        <v>273</v>
      </c>
      <c r="AH727" s="48" t="s">
        <v>273</v>
      </c>
      <c r="AI727" s="48" t="s">
        <v>273</v>
      </c>
      <c r="AJ727" s="48" t="s">
        <v>273</v>
      </c>
      <c r="AK727" s="48" t="s">
        <v>530</v>
      </c>
      <c r="AL727" s="48" t="s">
        <v>273</v>
      </c>
      <c r="AM727" s="48" t="s">
        <v>273</v>
      </c>
      <c r="AN727" s="48" t="s">
        <v>273</v>
      </c>
      <c r="AO727" s="48" t="s">
        <v>273</v>
      </c>
      <c r="AP727" s="48" t="s">
        <v>273</v>
      </c>
      <c r="AQ727" s="48" t="s">
        <v>273</v>
      </c>
      <c r="AR727" s="48" t="s">
        <v>273</v>
      </c>
      <c r="AS727" s="48" t="s">
        <v>273</v>
      </c>
      <c r="AT727" s="48" t="s">
        <v>273</v>
      </c>
      <c r="AU727" s="93">
        <v>41214</v>
      </c>
      <c r="AV727" s="93" t="s">
        <v>7340</v>
      </c>
      <c r="AW727" s="93" t="s">
        <v>7341</v>
      </c>
      <c r="AX727" s="93" t="s">
        <v>7342</v>
      </c>
      <c r="AY727" s="93" t="s">
        <v>5312</v>
      </c>
    </row>
    <row r="728" spans="1:51" ht="16.5" customHeight="1" x14ac:dyDescent="0.15">
      <c r="A728" s="199" t="s">
        <v>7343</v>
      </c>
      <c r="B728" s="209" t="s">
        <v>7344</v>
      </c>
      <c r="C728" s="48" t="s">
        <v>7345</v>
      </c>
      <c r="D728" s="62" t="s">
        <v>7346</v>
      </c>
      <c r="E728" s="48" t="s">
        <v>264</v>
      </c>
      <c r="F728" s="61">
        <v>42662</v>
      </c>
      <c r="G728" s="61">
        <v>0</v>
      </c>
      <c r="H728" s="125">
        <v>42690</v>
      </c>
      <c r="I728" s="61">
        <v>41269</v>
      </c>
      <c r="J728" s="87"/>
      <c r="K728" s="62" t="s">
        <v>2506</v>
      </c>
      <c r="L728" s="62">
        <v>3</v>
      </c>
      <c r="M728" s="62" t="s">
        <v>209</v>
      </c>
      <c r="N728" s="62" t="s">
        <v>7347</v>
      </c>
      <c r="O728" s="48" t="s">
        <v>744</v>
      </c>
      <c r="P728" s="48" t="s">
        <v>7348</v>
      </c>
      <c r="Q728" s="48" t="s">
        <v>4357</v>
      </c>
      <c r="R728" s="48" t="s">
        <v>7349</v>
      </c>
      <c r="S728" s="48" t="s">
        <v>4659</v>
      </c>
      <c r="T728" s="48" t="s">
        <v>4660</v>
      </c>
      <c r="U728" s="48" t="s">
        <v>7350</v>
      </c>
      <c r="V728" s="48" t="s">
        <v>7351</v>
      </c>
      <c r="W728" s="48" t="s">
        <v>7352</v>
      </c>
      <c r="X728" s="48" t="s">
        <v>7353</v>
      </c>
      <c r="Y728" s="48" t="s">
        <v>7354</v>
      </c>
      <c r="Z728" s="61"/>
      <c r="AA728" s="48" t="s">
        <v>272</v>
      </c>
      <c r="AB728" s="48" t="s">
        <v>1139</v>
      </c>
      <c r="AC728" s="48" t="s">
        <v>2259</v>
      </c>
      <c r="AD728" s="48" t="s">
        <v>273</v>
      </c>
      <c r="AE728" s="48" t="s">
        <v>273</v>
      </c>
      <c r="AF728" s="48" t="s">
        <v>273</v>
      </c>
      <c r="AG728" s="48" t="s">
        <v>273</v>
      </c>
      <c r="AH728" s="48" t="s">
        <v>273</v>
      </c>
      <c r="AI728" s="48" t="s">
        <v>273</v>
      </c>
      <c r="AJ728" s="48" t="s">
        <v>273</v>
      </c>
      <c r="AK728" s="48" t="s">
        <v>274</v>
      </c>
      <c r="AL728" s="48" t="s">
        <v>1140</v>
      </c>
      <c r="AM728" s="48" t="s">
        <v>2260</v>
      </c>
      <c r="AN728" s="48" t="s">
        <v>273</v>
      </c>
      <c r="AO728" s="48" t="s">
        <v>273</v>
      </c>
      <c r="AP728" s="48" t="s">
        <v>273</v>
      </c>
      <c r="AQ728" s="48" t="s">
        <v>273</v>
      </c>
      <c r="AR728" s="48" t="s">
        <v>273</v>
      </c>
      <c r="AS728" s="48" t="s">
        <v>273</v>
      </c>
      <c r="AT728" s="48" t="s">
        <v>273</v>
      </c>
      <c r="AU728" s="93">
        <v>41153</v>
      </c>
      <c r="AV728" s="93" t="s">
        <v>5505</v>
      </c>
      <c r="AW728" s="93" t="s">
        <v>7355</v>
      </c>
      <c r="AX728" s="93" t="s">
        <v>7356</v>
      </c>
      <c r="AY728" s="93" t="s">
        <v>5312</v>
      </c>
    </row>
    <row r="729" spans="1:51" ht="16.5" customHeight="1" x14ac:dyDescent="0.15">
      <c r="A729" s="199" t="s">
        <v>7357</v>
      </c>
      <c r="B729" s="209" t="s">
        <v>7358</v>
      </c>
      <c r="C729" s="48" t="s">
        <v>298</v>
      </c>
      <c r="D729" s="62" t="s">
        <v>7359</v>
      </c>
      <c r="E729" s="48" t="s">
        <v>300</v>
      </c>
      <c r="F729" s="61">
        <v>42662</v>
      </c>
      <c r="G729" s="61">
        <v>0</v>
      </c>
      <c r="H729" s="125">
        <v>42684</v>
      </c>
      <c r="I729" s="61" t="s">
        <v>279</v>
      </c>
      <c r="J729" s="87"/>
      <c r="K729" s="62" t="s">
        <v>2506</v>
      </c>
      <c r="L729" s="62">
        <v>3</v>
      </c>
      <c r="M729" s="62" t="s">
        <v>209</v>
      </c>
      <c r="N729" s="62" t="s">
        <v>1450</v>
      </c>
      <c r="O729" s="48" t="s">
        <v>1402</v>
      </c>
      <c r="P729" s="48" t="s">
        <v>984</v>
      </c>
      <c r="Q729" s="48" t="s">
        <v>7360</v>
      </c>
      <c r="R729" s="48" t="s">
        <v>7361</v>
      </c>
      <c r="S729" s="48" t="s">
        <v>7362</v>
      </c>
      <c r="T729" s="48" t="s">
        <v>988</v>
      </c>
      <c r="U729" s="48" t="s">
        <v>7363</v>
      </c>
      <c r="V729" s="48" t="s">
        <v>7293</v>
      </c>
      <c r="W729" s="122" t="s">
        <v>7364</v>
      </c>
      <c r="X729" s="48" t="s">
        <v>7365</v>
      </c>
      <c r="Y729" s="48" t="s">
        <v>7366</v>
      </c>
      <c r="Z729" s="61"/>
      <c r="AA729" s="48" t="s">
        <v>4652</v>
      </c>
      <c r="AB729" s="48" t="s">
        <v>273</v>
      </c>
      <c r="AC729" s="48" t="s">
        <v>273</v>
      </c>
      <c r="AD729" s="48" t="s">
        <v>273</v>
      </c>
      <c r="AE729" s="48" t="s">
        <v>273</v>
      </c>
      <c r="AF729" s="48" t="s">
        <v>273</v>
      </c>
      <c r="AG729" s="48" t="s">
        <v>273</v>
      </c>
      <c r="AH729" s="48" t="s">
        <v>273</v>
      </c>
      <c r="AI729" s="48" t="s">
        <v>273</v>
      </c>
      <c r="AJ729" s="48" t="s">
        <v>273</v>
      </c>
      <c r="AK729" s="48" t="s">
        <v>4653</v>
      </c>
      <c r="AL729" s="48" t="s">
        <v>273</v>
      </c>
      <c r="AM729" s="48" t="s">
        <v>273</v>
      </c>
      <c r="AN729" s="48" t="s">
        <v>273</v>
      </c>
      <c r="AO729" s="48" t="s">
        <v>273</v>
      </c>
      <c r="AP729" s="48" t="s">
        <v>273</v>
      </c>
      <c r="AQ729" s="48" t="s">
        <v>273</v>
      </c>
      <c r="AR729" s="48" t="s">
        <v>273</v>
      </c>
      <c r="AS729" s="48" t="s">
        <v>273</v>
      </c>
      <c r="AT729" s="48" t="s">
        <v>273</v>
      </c>
      <c r="AU729" s="93">
        <v>40575</v>
      </c>
      <c r="AV729" s="93" t="s">
        <v>7367</v>
      </c>
      <c r="AW729" s="93" t="s">
        <v>7368</v>
      </c>
      <c r="AX729" s="93" t="s">
        <v>7369</v>
      </c>
      <c r="AY729" s="93" t="s">
        <v>5312</v>
      </c>
    </row>
    <row r="730" spans="1:51" ht="16.5" customHeight="1" x14ac:dyDescent="0.15">
      <c r="A730" s="121" t="s">
        <v>7370</v>
      </c>
      <c r="B730" s="47" t="s">
        <v>7371</v>
      </c>
      <c r="C730" s="48" t="e">
        <f ca="1">INDIRECT("'["&amp;$C$1&amp;".xls]"&amp;$B730&amp;"'!$i$7")</f>
        <v>#REF!</v>
      </c>
      <c r="D730" s="62" t="e">
        <f ca="1">INDIRECT("'["&amp;$C$1&amp;".xls]"&amp;$B730&amp;"'!$b$7")</f>
        <v>#REF!</v>
      </c>
      <c r="E730" s="48" t="e">
        <f ca="1">IF(INDIRECT("'["&amp;$C$1&amp;".xls]"&amp;$B730&amp;"'!$i$2")="","",INDIRECT("'["&amp;$C$1&amp;".xls]"&amp;$B730&amp;"'!$i$2"))</f>
        <v>#REF!</v>
      </c>
      <c r="F730" s="61" t="e">
        <f ca="1">INDIRECT("'["&amp;$C$1&amp;".xls]"&amp;$B730&amp;"'!$b$2")</f>
        <v>#REF!</v>
      </c>
      <c r="G730" s="61" t="e">
        <f ca="1">INDIRECT("'["&amp;$C$1&amp;".xls]"&amp;$B730&amp;"'!$a$20")</f>
        <v>#REF!</v>
      </c>
      <c r="H730" s="88" t="e">
        <f ca="1">INDIRECT("'["&amp;$C$1&amp;".xls]"&amp;$B730&amp;"'!$Q$22")</f>
        <v>#REF!</v>
      </c>
      <c r="I730" s="61" t="e">
        <f ca="1">INDIRECT("'["&amp;$C$1&amp;".xls]"&amp;$B730&amp;"'!$f$6")</f>
        <v>#REF!</v>
      </c>
      <c r="J730" s="87"/>
      <c r="K730" s="62" t="e">
        <f ca="1">INDIRECT("'["&amp;$C$1&amp;".xls]"&amp;$B730&amp;"'!$f$25")</f>
        <v>#REF!</v>
      </c>
      <c r="L730" s="62"/>
      <c r="M730" s="62" t="e">
        <f ca="1">INDIRECT("'["&amp;$C$1&amp;".xls]"&amp;$B730&amp;"'!$f$4")</f>
        <v>#REF!</v>
      </c>
      <c r="N730" s="62" t="e">
        <f ca="1">INDIRECT("'["&amp;$C$1&amp;".xls]"&amp;$B730&amp;"'!$i$4")</f>
        <v>#REF!</v>
      </c>
      <c r="O730" s="48" t="e">
        <f ca="1">INDIRECT("'["&amp;$C$1&amp;".xls]"&amp;$B730&amp;"'!$l$4")</f>
        <v>#REF!</v>
      </c>
      <c r="P730" s="48" t="e">
        <f ca="1">INDIRECT("'["&amp;$C$1&amp;".xls]"&amp;$B730&amp;"'!$b$5")</f>
        <v>#REF!</v>
      </c>
      <c r="Q730" s="48" t="e">
        <f ca="1">INDIRECT("'["&amp;$C$1&amp;".xls]"&amp;$B730&amp;"'!$f$5")</f>
        <v>#REF!</v>
      </c>
      <c r="R730" s="48"/>
      <c r="S730" s="48" t="e">
        <f ca="1">INDIRECT("'["&amp;$C$1&amp;".xls]"&amp;$B730&amp;"'!$i$5")</f>
        <v>#REF!</v>
      </c>
      <c r="T730" s="48" t="e">
        <f ca="1">INDIRECT("'["&amp;$C$1&amp;".xls]"&amp;$B730&amp;"'!$l$5")</f>
        <v>#REF!</v>
      </c>
      <c r="U730" s="48" t="e">
        <f ca="1">INDIRECT("'["&amp;$C$1&amp;".xls]"&amp;$B730&amp;"'!$b$4")</f>
        <v>#REF!</v>
      </c>
      <c r="V730" s="48"/>
      <c r="W730" s="48"/>
      <c r="X730" s="48"/>
      <c r="Y730" s="48"/>
      <c r="Z730" s="61"/>
      <c r="AA730" s="48" t="e">
        <f ca="1">IF(INDIRECT("'["&amp;$C$1&amp;".xls]"&amp;$B730&amp;"'!$P$25")="","",IF(INDIRECT("'["&amp;$C$1&amp;".xls]"&amp;$B730&amp;"'!$O$25")="済み",INDIRECT("'["&amp;$C$1&amp;".xls]"&amp;$B730&amp;"'!$P$25"),""))</f>
        <v>#REF!</v>
      </c>
      <c r="AB730" s="48" t="e">
        <f ca="1">IF(INDIRECT("'["&amp;$C$1&amp;".xls]"&amp;$B730&amp;"'!$P$26")="","",IF(INDIRECT("'["&amp;$C$1&amp;".xls]"&amp;$B730&amp;"'!$O$26")="済み",INDIRECT("'["&amp;$C$1&amp;".xls]"&amp;$B730&amp;"'!$P$26"),""))</f>
        <v>#REF!</v>
      </c>
      <c r="AC730" s="48" t="e">
        <f ca="1">IF(INDIRECT("'["&amp;$C$1&amp;".xls]"&amp;$B730&amp;"'!$P$27")="","",IF(INDIRECT("'["&amp;$C$1&amp;".xls]"&amp;$B730&amp;"'!$O$27")="済み",INDIRECT("'["&amp;$C$1&amp;".xls]"&amp;$B730&amp;"'!$P$27"),""))</f>
        <v>#REF!</v>
      </c>
      <c r="AD730" s="48" t="e">
        <f ca="1">IF(INDIRECT("'["&amp;$C$1&amp;".xls]"&amp;$B730&amp;"'!$P$28")="","",IF(INDIRECT("'["&amp;$C$1&amp;".xls]"&amp;$B730&amp;"'!$O$28")="済み",INDIRECT("'["&amp;$C$1&amp;".xls]"&amp;$B730&amp;"'!$P$28"),""))</f>
        <v>#REF!</v>
      </c>
      <c r="AE730" s="48" t="e">
        <f ca="1">IF(INDIRECT("'["&amp;$C$1&amp;".xls]"&amp;$B730&amp;"'!$P$29")="","",IF(INDIRECT("'["&amp;$C$1&amp;".xls]"&amp;$B730&amp;"'!$O$29")="済み",INDIRECT("'["&amp;$C$1&amp;".xls]"&amp;$B730&amp;"'!$P$29"),""))</f>
        <v>#REF!</v>
      </c>
      <c r="AF730" s="48" t="e">
        <f ca="1">IF(INDIRECT("'["&amp;$C$1&amp;".xls]"&amp;$B730&amp;"'!$P$30")="","",IF(INDIRECT("'["&amp;$C$1&amp;".xls]"&amp;$B730&amp;"'!$O$30")="済み",INDIRECT("'["&amp;$C$1&amp;".xls]"&amp;$B730&amp;"'!$P$30"),""))</f>
        <v>#REF!</v>
      </c>
      <c r="AG730" s="48" t="e">
        <f ca="1">IF(INDIRECT("'["&amp;$C$1&amp;".xls]"&amp;$B730&amp;"'!$P$31")="","",IF(INDIRECT("'["&amp;$C$1&amp;".xls]"&amp;$B730&amp;"'!$O$31")="済み",INDIRECT("'["&amp;$C$1&amp;".xls]"&amp;$B730&amp;"'!$P$31"),""))</f>
        <v>#REF!</v>
      </c>
      <c r="AH730" s="48" t="e">
        <f ca="1">IF(INDIRECT("'["&amp;$C$1&amp;".xls]"&amp;$B730&amp;"'!$P$32")="","",IF(INDIRECT("'["&amp;$C$1&amp;".xls]"&amp;$B730&amp;"'!$O$32")="済み",INDIRECT("'["&amp;$C$1&amp;".xls]"&amp;$B730&amp;"'!$P$32"),""))</f>
        <v>#REF!</v>
      </c>
      <c r="AI730" s="48" t="e">
        <f ca="1">IF(INDIRECT("'["&amp;$C$1&amp;".xls]"&amp;$B730&amp;"'!$P$33")="","",IF(INDIRECT("'["&amp;$C$1&amp;".xls]"&amp;$B730&amp;"'!$O$33")="済み",INDIRECT("'["&amp;$C$1&amp;".xls]"&amp;$B730&amp;"'!$P$33"),""))</f>
        <v>#REF!</v>
      </c>
      <c r="AJ730" s="48" t="e">
        <f ca="1">IF(INDIRECT("'["&amp;$C$1&amp;".xls]"&amp;$B730&amp;"'!$P$34")="","",IF(INDIRECT("'["&amp;$C$1&amp;".xls]"&amp;$B730&amp;"'!$O$34")="済み",INDIRECT("'["&amp;$C$1&amp;".xls]"&amp;$B730&amp;"'!$P$34"),""))</f>
        <v>#REF!</v>
      </c>
      <c r="AK730" s="48" t="e">
        <f ca="1">IF(INDIRECT("'["&amp;$C$1&amp;".xls]"&amp;$B730&amp;"'!$T25")="","",IF(INDIRECT("'["&amp;$C$1&amp;".xls]"&amp;$B730&amp;"'!$O$25")="済み",INDIRECT("'["&amp;$C$1&amp;".xls]"&amp;$B730&amp;"'!$T$25"),""))</f>
        <v>#REF!</v>
      </c>
      <c r="AL730" s="48" t="e">
        <f ca="1">IF(INDIRECT("'["&amp;$C$1&amp;".xls]"&amp;$B730&amp;"'!$T26")="","",IF(INDIRECT("'["&amp;$C$1&amp;".xls]"&amp;$B730&amp;"'!$O$26")="済み",INDIRECT("'["&amp;$C$1&amp;".xls]"&amp;$B730&amp;"'!$T$26"),""))</f>
        <v>#REF!</v>
      </c>
      <c r="AM730" s="48" t="e">
        <f ca="1">IF(INDIRECT("'["&amp;$C$1&amp;".xls]"&amp;$B730&amp;"'!$T27")="","",IF(INDIRECT("'["&amp;$C$1&amp;".xls]"&amp;$B730&amp;"'!$O$27")="済み",INDIRECT("'["&amp;$C$1&amp;".xls]"&amp;$B730&amp;"'!$T$27"),""))</f>
        <v>#REF!</v>
      </c>
      <c r="AN730" s="48" t="e">
        <f ca="1">IF(INDIRECT("'["&amp;$C$1&amp;".xls]"&amp;$B730&amp;"'!$T28")="","",IF(INDIRECT("'["&amp;$C$1&amp;".xls]"&amp;$B730&amp;"'!$O$28")="済み",INDIRECT("'["&amp;$C$1&amp;".xls]"&amp;$B730&amp;"'!$T$28"),""))</f>
        <v>#REF!</v>
      </c>
      <c r="AO730" s="48" t="e">
        <f ca="1">IF(INDIRECT("'["&amp;$C$1&amp;".xls]"&amp;$B730&amp;"'!$T29")="","",IF(INDIRECT("'["&amp;$C$1&amp;".xls]"&amp;$B730&amp;"'!$O$29")="済み",INDIRECT("'["&amp;$C$1&amp;".xls]"&amp;$B730&amp;"'!$T$29"),""))</f>
        <v>#REF!</v>
      </c>
      <c r="AP730" s="48" t="e">
        <f ca="1">IF(INDIRECT("'["&amp;$C$1&amp;".xls]"&amp;$B730&amp;"'!$T30")="","",IF(INDIRECT("'["&amp;$C$1&amp;".xls]"&amp;$B730&amp;"'!$O$30")="済み",INDIRECT("'["&amp;$C$1&amp;".xls]"&amp;$B730&amp;"'!$T$30"),""))</f>
        <v>#REF!</v>
      </c>
      <c r="AQ730" s="48" t="e">
        <f ca="1">IF(INDIRECT("'["&amp;$C$1&amp;".xls]"&amp;$B730&amp;"'!$T31")="","",IF(INDIRECT("'["&amp;$C$1&amp;".xls]"&amp;$B730&amp;"'!$O$31")="済み",INDIRECT("'["&amp;$C$1&amp;".xls]"&amp;$B730&amp;"'!$T$31"),""))</f>
        <v>#REF!</v>
      </c>
      <c r="AR730" s="48" t="e">
        <f ca="1">IF(INDIRECT("'["&amp;$C$1&amp;".xls]"&amp;$B730&amp;"'!$T32")="","",IF(INDIRECT("'["&amp;$C$1&amp;".xls]"&amp;$B730&amp;"'!$O$32")="済み",INDIRECT("'["&amp;$C$1&amp;".xls]"&amp;$B730&amp;"'!$T$32"),""))</f>
        <v>#REF!</v>
      </c>
      <c r="AS730" s="48" t="e">
        <f ca="1">IF(INDIRECT("'["&amp;$C$1&amp;".xls]"&amp;$B730&amp;"'!$T33")="","",IF(INDIRECT("'["&amp;$C$1&amp;".xls]"&amp;$B730&amp;"'!$O$33")="済み",INDIRECT("'["&amp;$C$1&amp;".xls]"&amp;$B730&amp;"'!$T$33"),""))</f>
        <v>#REF!</v>
      </c>
      <c r="AT730" s="48" t="e">
        <f ca="1">IF(INDIRECT("'["&amp;$C$1&amp;".xls]"&amp;$B730&amp;"'!$T34")="","",IF(INDIRECT("'["&amp;$C$1&amp;".xls]"&amp;$B730&amp;"'!$O$34")="済み",INDIRECT("'["&amp;$C$1&amp;".xls]"&amp;$B730&amp;"'!$T$34"),""))</f>
        <v>#REF!</v>
      </c>
      <c r="AU730" s="93" t="e">
        <f ca="1">INDIRECT("'["&amp;$C$1&amp;".xls]"&amp;$B730&amp;"'!$B$6")</f>
        <v>#REF!</v>
      </c>
      <c r="AV730" s="93" t="e">
        <f ca="1">INDIRECT("'["&amp;$C$1&amp;".xls]"&amp;$B730&amp;"'!$Y$22")</f>
        <v>#REF!</v>
      </c>
      <c r="AW730" s="93" t="e">
        <f ca="1">INDIRECT("'["&amp;$C$1&amp;".xls]"&amp;$B730&amp;"'!$Y$24")</f>
        <v>#REF!</v>
      </c>
      <c r="AX730" s="93" t="e">
        <f ca="1">INDIRECT("'["&amp;$C$1&amp;".xls]"&amp;$B730&amp;"'!$Y$26")</f>
        <v>#REF!</v>
      </c>
      <c r="AY730" s="93" t="e">
        <f ca="1">INDIRECT("'["&amp;$C$1&amp;".xls]"&amp;$B730&amp;"'!$Y$28")</f>
        <v>#REF!</v>
      </c>
    </row>
    <row r="731" spans="1:51" ht="16.5" customHeight="1" x14ac:dyDescent="0.15">
      <c r="A731" s="121" t="s">
        <v>7372</v>
      </c>
      <c r="B731" s="47" t="s">
        <v>7373</v>
      </c>
      <c r="C731" s="48" t="e">
        <f ca="1">INDIRECT("'["&amp;$C$1&amp;".xls]"&amp;$B731&amp;"'!$i$7")</f>
        <v>#REF!</v>
      </c>
      <c r="D731" s="62" t="e">
        <f ca="1">INDIRECT("'["&amp;$C$1&amp;".xls]"&amp;$B731&amp;"'!$b$7")</f>
        <v>#REF!</v>
      </c>
      <c r="E731" s="48" t="e">
        <f ca="1">IF(INDIRECT("'["&amp;$C$1&amp;".xls]"&amp;$B731&amp;"'!$i$2")="","",INDIRECT("'["&amp;$C$1&amp;".xls]"&amp;$B731&amp;"'!$i$2"))</f>
        <v>#REF!</v>
      </c>
      <c r="F731" s="61" t="e">
        <f ca="1">INDIRECT("'["&amp;$C$1&amp;".xls]"&amp;$B731&amp;"'!$b$2")</f>
        <v>#REF!</v>
      </c>
      <c r="G731" s="61" t="e">
        <f ca="1">INDIRECT("'["&amp;$C$1&amp;".xls]"&amp;$B731&amp;"'!$a$20")</f>
        <v>#REF!</v>
      </c>
      <c r="H731" s="88" t="e">
        <f ca="1">INDIRECT("'["&amp;$C$1&amp;".xls]"&amp;$B731&amp;"'!$Q$22")</f>
        <v>#REF!</v>
      </c>
      <c r="I731" s="61" t="e">
        <f ca="1">INDIRECT("'["&amp;$C$1&amp;".xls]"&amp;$B731&amp;"'!$f$6")</f>
        <v>#REF!</v>
      </c>
      <c r="J731" s="87"/>
      <c r="K731" s="62" t="e">
        <f ca="1">INDIRECT("'["&amp;$C$1&amp;".xls]"&amp;$B731&amp;"'!$f$25")</f>
        <v>#REF!</v>
      </c>
      <c r="L731" s="62"/>
      <c r="M731" s="62" t="e">
        <f ca="1">INDIRECT("'["&amp;$C$1&amp;".xls]"&amp;$B731&amp;"'!$f$4")</f>
        <v>#REF!</v>
      </c>
      <c r="N731" s="62" t="e">
        <f ca="1">INDIRECT("'["&amp;$C$1&amp;".xls]"&amp;$B731&amp;"'!$i$4")</f>
        <v>#REF!</v>
      </c>
      <c r="O731" s="48" t="e">
        <f ca="1">INDIRECT("'["&amp;$C$1&amp;".xls]"&amp;$B731&amp;"'!$l$4")</f>
        <v>#REF!</v>
      </c>
      <c r="P731" s="48" t="e">
        <f ca="1">INDIRECT("'["&amp;$C$1&amp;".xls]"&amp;$B731&amp;"'!$b$5")</f>
        <v>#REF!</v>
      </c>
      <c r="Q731" s="48" t="e">
        <f ca="1">INDIRECT("'["&amp;$C$1&amp;".xls]"&amp;$B731&amp;"'!$f$5")</f>
        <v>#REF!</v>
      </c>
      <c r="R731" s="48"/>
      <c r="S731" s="48" t="e">
        <f ca="1">INDIRECT("'["&amp;$C$1&amp;".xls]"&amp;$B731&amp;"'!$i$5")</f>
        <v>#REF!</v>
      </c>
      <c r="T731" s="48" t="e">
        <f ca="1">INDIRECT("'["&amp;$C$1&amp;".xls]"&amp;$B731&amp;"'!$l$5")</f>
        <v>#REF!</v>
      </c>
      <c r="U731" s="48" t="e">
        <f ca="1">INDIRECT("'["&amp;$C$1&amp;".xls]"&amp;$B731&amp;"'!$b$4")</f>
        <v>#REF!</v>
      </c>
      <c r="V731" s="48"/>
      <c r="W731" s="48"/>
      <c r="X731" s="48"/>
      <c r="Y731" s="48"/>
      <c r="Z731" s="61"/>
      <c r="AA731" s="48" t="e">
        <f ca="1">IF(INDIRECT("'["&amp;$C$1&amp;".xls]"&amp;$B731&amp;"'!$P$25")="","",IF(INDIRECT("'["&amp;$C$1&amp;".xls]"&amp;$B731&amp;"'!$O$25")="済み",INDIRECT("'["&amp;$C$1&amp;".xls]"&amp;$B731&amp;"'!$P$25"),""))</f>
        <v>#REF!</v>
      </c>
      <c r="AB731" s="48" t="e">
        <f ca="1">IF(INDIRECT("'["&amp;$C$1&amp;".xls]"&amp;$B731&amp;"'!$P$26")="","",IF(INDIRECT("'["&amp;$C$1&amp;".xls]"&amp;$B731&amp;"'!$O$26")="済み",INDIRECT("'["&amp;$C$1&amp;".xls]"&amp;$B731&amp;"'!$P$26"),""))</f>
        <v>#REF!</v>
      </c>
      <c r="AC731" s="48" t="e">
        <f ca="1">IF(INDIRECT("'["&amp;$C$1&amp;".xls]"&amp;$B731&amp;"'!$P$27")="","",IF(INDIRECT("'["&amp;$C$1&amp;".xls]"&amp;$B731&amp;"'!$O$27")="済み",INDIRECT("'["&amp;$C$1&amp;".xls]"&amp;$B731&amp;"'!$P$27"),""))</f>
        <v>#REF!</v>
      </c>
      <c r="AD731" s="48" t="e">
        <f ca="1">IF(INDIRECT("'["&amp;$C$1&amp;".xls]"&amp;$B731&amp;"'!$P$28")="","",IF(INDIRECT("'["&amp;$C$1&amp;".xls]"&amp;$B731&amp;"'!$O$28")="済み",INDIRECT("'["&amp;$C$1&amp;".xls]"&amp;$B731&amp;"'!$P$28"),""))</f>
        <v>#REF!</v>
      </c>
      <c r="AE731" s="48" t="e">
        <f ca="1">IF(INDIRECT("'["&amp;$C$1&amp;".xls]"&amp;$B731&amp;"'!$P$29")="","",IF(INDIRECT("'["&amp;$C$1&amp;".xls]"&amp;$B731&amp;"'!$O$29")="済み",INDIRECT("'["&amp;$C$1&amp;".xls]"&amp;$B731&amp;"'!$P$29"),""))</f>
        <v>#REF!</v>
      </c>
      <c r="AF731" s="48" t="e">
        <f ca="1">IF(INDIRECT("'["&amp;$C$1&amp;".xls]"&amp;$B731&amp;"'!$P$30")="","",IF(INDIRECT("'["&amp;$C$1&amp;".xls]"&amp;$B731&amp;"'!$O$30")="済み",INDIRECT("'["&amp;$C$1&amp;".xls]"&amp;$B731&amp;"'!$P$30"),""))</f>
        <v>#REF!</v>
      </c>
      <c r="AG731" s="48" t="e">
        <f ca="1">IF(INDIRECT("'["&amp;$C$1&amp;".xls]"&amp;$B731&amp;"'!$P$31")="","",IF(INDIRECT("'["&amp;$C$1&amp;".xls]"&amp;$B731&amp;"'!$O$31")="済み",INDIRECT("'["&amp;$C$1&amp;".xls]"&amp;$B731&amp;"'!$P$31"),""))</f>
        <v>#REF!</v>
      </c>
      <c r="AH731" s="48" t="e">
        <f ca="1">IF(INDIRECT("'["&amp;$C$1&amp;".xls]"&amp;$B731&amp;"'!$P$32")="","",IF(INDIRECT("'["&amp;$C$1&amp;".xls]"&amp;$B731&amp;"'!$O$32")="済み",INDIRECT("'["&amp;$C$1&amp;".xls]"&amp;$B731&amp;"'!$P$32"),""))</f>
        <v>#REF!</v>
      </c>
      <c r="AI731" s="48" t="e">
        <f ca="1">IF(INDIRECT("'["&amp;$C$1&amp;".xls]"&amp;$B731&amp;"'!$P$33")="","",IF(INDIRECT("'["&amp;$C$1&amp;".xls]"&amp;$B731&amp;"'!$O$33")="済み",INDIRECT("'["&amp;$C$1&amp;".xls]"&amp;$B731&amp;"'!$P$33"),""))</f>
        <v>#REF!</v>
      </c>
      <c r="AJ731" s="48" t="e">
        <f ca="1">IF(INDIRECT("'["&amp;$C$1&amp;".xls]"&amp;$B731&amp;"'!$P$34")="","",IF(INDIRECT("'["&amp;$C$1&amp;".xls]"&amp;$B731&amp;"'!$O$34")="済み",INDIRECT("'["&amp;$C$1&amp;".xls]"&amp;$B731&amp;"'!$P$34"),""))</f>
        <v>#REF!</v>
      </c>
      <c r="AK731" s="48" t="e">
        <f ca="1">IF(INDIRECT("'["&amp;$C$1&amp;".xls]"&amp;$B731&amp;"'!$T25")="","",IF(INDIRECT("'["&amp;$C$1&amp;".xls]"&amp;$B731&amp;"'!$O$25")="済み",INDIRECT("'["&amp;$C$1&amp;".xls]"&amp;$B731&amp;"'!$T$25"),""))</f>
        <v>#REF!</v>
      </c>
      <c r="AL731" s="48" t="e">
        <f ca="1">IF(INDIRECT("'["&amp;$C$1&amp;".xls]"&amp;$B731&amp;"'!$T26")="","",IF(INDIRECT("'["&amp;$C$1&amp;".xls]"&amp;$B731&amp;"'!$O$26")="済み",INDIRECT("'["&amp;$C$1&amp;".xls]"&amp;$B731&amp;"'!$T$26"),""))</f>
        <v>#REF!</v>
      </c>
      <c r="AM731" s="48" t="e">
        <f ca="1">IF(INDIRECT("'["&amp;$C$1&amp;".xls]"&amp;$B731&amp;"'!$T27")="","",IF(INDIRECT("'["&amp;$C$1&amp;".xls]"&amp;$B731&amp;"'!$O$27")="済み",INDIRECT("'["&amp;$C$1&amp;".xls]"&amp;$B731&amp;"'!$T$27"),""))</f>
        <v>#REF!</v>
      </c>
      <c r="AN731" s="48" t="e">
        <f ca="1">IF(INDIRECT("'["&amp;$C$1&amp;".xls]"&amp;$B731&amp;"'!$T28")="","",IF(INDIRECT("'["&amp;$C$1&amp;".xls]"&amp;$B731&amp;"'!$O$28")="済み",INDIRECT("'["&amp;$C$1&amp;".xls]"&amp;$B731&amp;"'!$T$28"),""))</f>
        <v>#REF!</v>
      </c>
      <c r="AO731" s="48" t="e">
        <f ca="1">IF(INDIRECT("'["&amp;$C$1&amp;".xls]"&amp;$B731&amp;"'!$T29")="","",IF(INDIRECT("'["&amp;$C$1&amp;".xls]"&amp;$B731&amp;"'!$O$29")="済み",INDIRECT("'["&amp;$C$1&amp;".xls]"&amp;$B731&amp;"'!$T$29"),""))</f>
        <v>#REF!</v>
      </c>
      <c r="AP731" s="48" t="e">
        <f ca="1">IF(INDIRECT("'["&amp;$C$1&amp;".xls]"&amp;$B731&amp;"'!$T30")="","",IF(INDIRECT("'["&amp;$C$1&amp;".xls]"&amp;$B731&amp;"'!$O$30")="済み",INDIRECT("'["&amp;$C$1&amp;".xls]"&amp;$B731&amp;"'!$T$30"),""))</f>
        <v>#REF!</v>
      </c>
      <c r="AQ731" s="48" t="e">
        <f ca="1">IF(INDIRECT("'["&amp;$C$1&amp;".xls]"&amp;$B731&amp;"'!$T31")="","",IF(INDIRECT("'["&amp;$C$1&amp;".xls]"&amp;$B731&amp;"'!$O$31")="済み",INDIRECT("'["&amp;$C$1&amp;".xls]"&amp;$B731&amp;"'!$T$31"),""))</f>
        <v>#REF!</v>
      </c>
      <c r="AR731" s="48" t="e">
        <f ca="1">IF(INDIRECT("'["&amp;$C$1&amp;".xls]"&amp;$B731&amp;"'!$T32")="","",IF(INDIRECT("'["&amp;$C$1&amp;".xls]"&amp;$B731&amp;"'!$O$32")="済み",INDIRECT("'["&amp;$C$1&amp;".xls]"&amp;$B731&amp;"'!$T$32"),""))</f>
        <v>#REF!</v>
      </c>
      <c r="AS731" s="48" t="e">
        <f ca="1">IF(INDIRECT("'["&amp;$C$1&amp;".xls]"&amp;$B731&amp;"'!$T33")="","",IF(INDIRECT("'["&amp;$C$1&amp;".xls]"&amp;$B731&amp;"'!$O$33")="済み",INDIRECT("'["&amp;$C$1&amp;".xls]"&amp;$B731&amp;"'!$T$33"),""))</f>
        <v>#REF!</v>
      </c>
      <c r="AT731" s="48" t="e">
        <f ca="1">IF(INDIRECT("'["&amp;$C$1&amp;".xls]"&amp;$B731&amp;"'!$T34")="","",IF(INDIRECT("'["&amp;$C$1&amp;".xls]"&amp;$B731&amp;"'!$O$34")="済み",INDIRECT("'["&amp;$C$1&amp;".xls]"&amp;$B731&amp;"'!$T$34"),""))</f>
        <v>#REF!</v>
      </c>
      <c r="AU731" s="93" t="e">
        <f ca="1">INDIRECT("'["&amp;$C$1&amp;".xls]"&amp;$B731&amp;"'!$B$6")</f>
        <v>#REF!</v>
      </c>
      <c r="AV731" s="93" t="e">
        <f ca="1">INDIRECT("'["&amp;$C$1&amp;".xls]"&amp;$B731&amp;"'!$Y$22")</f>
        <v>#REF!</v>
      </c>
      <c r="AW731" s="93" t="e">
        <f ca="1">INDIRECT("'["&amp;$C$1&amp;".xls]"&amp;$B731&amp;"'!$Y$24")</f>
        <v>#REF!</v>
      </c>
      <c r="AX731" s="93" t="e">
        <f ca="1">INDIRECT("'["&amp;$C$1&amp;".xls]"&amp;$B731&amp;"'!$Y$26")</f>
        <v>#REF!</v>
      </c>
      <c r="AY731" s="93" t="e">
        <f ca="1">INDIRECT("'["&amp;$C$1&amp;".xls]"&amp;$B731&amp;"'!$Y$28")</f>
        <v>#REF!</v>
      </c>
    </row>
    <row r="732" spans="1:51" ht="16.5" customHeight="1" x14ac:dyDescent="0.15">
      <c r="A732" s="121" t="s">
        <v>7374</v>
      </c>
      <c r="B732" s="47" t="s">
        <v>7375</v>
      </c>
      <c r="C732" s="48" t="e">
        <f ca="1">INDIRECT("'["&amp;$C$1&amp;".xls]"&amp;$B732&amp;"'!$i$7")</f>
        <v>#REF!</v>
      </c>
      <c r="D732" s="62" t="e">
        <f ca="1">INDIRECT("'["&amp;$C$1&amp;".xls]"&amp;$B732&amp;"'!$b$7")</f>
        <v>#REF!</v>
      </c>
      <c r="E732" s="48" t="e">
        <f ca="1">IF(INDIRECT("'["&amp;$C$1&amp;".xls]"&amp;$B732&amp;"'!$i$2")="","",INDIRECT("'["&amp;$C$1&amp;".xls]"&amp;$B732&amp;"'!$i$2"))</f>
        <v>#REF!</v>
      </c>
      <c r="F732" s="61" t="e">
        <f ca="1">INDIRECT("'["&amp;$C$1&amp;".xls]"&amp;$B732&amp;"'!$b$2")</f>
        <v>#REF!</v>
      </c>
      <c r="G732" s="61" t="e">
        <f ca="1">INDIRECT("'["&amp;$C$1&amp;".xls]"&amp;$B732&amp;"'!$a$20")</f>
        <v>#REF!</v>
      </c>
      <c r="H732" s="88" t="e">
        <f ca="1">INDIRECT("'["&amp;$C$1&amp;".xls]"&amp;$B732&amp;"'!$Q$22")</f>
        <v>#REF!</v>
      </c>
      <c r="I732" s="61" t="e">
        <f ca="1">INDIRECT("'["&amp;$C$1&amp;".xls]"&amp;$B732&amp;"'!$f$6")</f>
        <v>#REF!</v>
      </c>
      <c r="J732" s="87"/>
      <c r="K732" s="62" t="e">
        <f ca="1">INDIRECT("'["&amp;$C$1&amp;".xls]"&amp;$B732&amp;"'!$f$25")</f>
        <v>#REF!</v>
      </c>
      <c r="L732" s="62"/>
      <c r="M732" s="62" t="e">
        <f ca="1">INDIRECT("'["&amp;$C$1&amp;".xls]"&amp;$B732&amp;"'!$f$4")</f>
        <v>#REF!</v>
      </c>
      <c r="N732" s="62" t="e">
        <f ca="1">INDIRECT("'["&amp;$C$1&amp;".xls]"&amp;$B732&amp;"'!$i$4")</f>
        <v>#REF!</v>
      </c>
      <c r="O732" s="48" t="e">
        <f ca="1">INDIRECT("'["&amp;$C$1&amp;".xls]"&amp;$B732&amp;"'!$l$4")</f>
        <v>#REF!</v>
      </c>
      <c r="P732" s="48" t="e">
        <f ca="1">INDIRECT("'["&amp;$C$1&amp;".xls]"&amp;$B732&amp;"'!$b$5")</f>
        <v>#REF!</v>
      </c>
      <c r="Q732" s="48" t="e">
        <f ca="1">INDIRECT("'["&amp;$C$1&amp;".xls]"&amp;$B732&amp;"'!$f$5")</f>
        <v>#REF!</v>
      </c>
      <c r="R732" s="48"/>
      <c r="S732" s="48" t="e">
        <f ca="1">INDIRECT("'["&amp;$C$1&amp;".xls]"&amp;$B732&amp;"'!$i$5")</f>
        <v>#REF!</v>
      </c>
      <c r="T732" s="48" t="e">
        <f ca="1">INDIRECT("'["&amp;$C$1&amp;".xls]"&amp;$B732&amp;"'!$l$5")</f>
        <v>#REF!</v>
      </c>
      <c r="U732" s="48" t="e">
        <f ca="1">INDIRECT("'["&amp;$C$1&amp;".xls]"&amp;$B732&amp;"'!$b$4")</f>
        <v>#REF!</v>
      </c>
      <c r="V732" s="48"/>
      <c r="W732" s="48"/>
      <c r="X732" s="48"/>
      <c r="Y732" s="48"/>
      <c r="Z732" s="61"/>
      <c r="AA732" s="48" t="e">
        <f ca="1">IF(INDIRECT("'["&amp;$C$1&amp;".xls]"&amp;$B732&amp;"'!$P$25")="","",IF(INDIRECT("'["&amp;$C$1&amp;".xls]"&amp;$B732&amp;"'!$O$25")="済み",INDIRECT("'["&amp;$C$1&amp;".xls]"&amp;$B732&amp;"'!$P$25"),""))</f>
        <v>#REF!</v>
      </c>
      <c r="AB732" s="48" t="e">
        <f ca="1">IF(INDIRECT("'["&amp;$C$1&amp;".xls]"&amp;$B732&amp;"'!$P$26")="","",IF(INDIRECT("'["&amp;$C$1&amp;".xls]"&amp;$B732&amp;"'!$O$26")="済み",INDIRECT("'["&amp;$C$1&amp;".xls]"&amp;$B732&amp;"'!$P$26"),""))</f>
        <v>#REF!</v>
      </c>
      <c r="AC732" s="48" t="e">
        <f ca="1">IF(INDIRECT("'["&amp;$C$1&amp;".xls]"&amp;$B732&amp;"'!$P$27")="","",IF(INDIRECT("'["&amp;$C$1&amp;".xls]"&amp;$B732&amp;"'!$O$27")="済み",INDIRECT("'["&amp;$C$1&amp;".xls]"&amp;$B732&amp;"'!$P$27"),""))</f>
        <v>#REF!</v>
      </c>
      <c r="AD732" s="48" t="e">
        <f ca="1">IF(INDIRECT("'["&amp;$C$1&amp;".xls]"&amp;$B732&amp;"'!$P$28")="","",IF(INDIRECT("'["&amp;$C$1&amp;".xls]"&amp;$B732&amp;"'!$O$28")="済み",INDIRECT("'["&amp;$C$1&amp;".xls]"&amp;$B732&amp;"'!$P$28"),""))</f>
        <v>#REF!</v>
      </c>
      <c r="AE732" s="48" t="e">
        <f ca="1">IF(INDIRECT("'["&amp;$C$1&amp;".xls]"&amp;$B732&amp;"'!$P$29")="","",IF(INDIRECT("'["&amp;$C$1&amp;".xls]"&amp;$B732&amp;"'!$O$29")="済み",INDIRECT("'["&amp;$C$1&amp;".xls]"&amp;$B732&amp;"'!$P$29"),""))</f>
        <v>#REF!</v>
      </c>
      <c r="AF732" s="48" t="e">
        <f ca="1">IF(INDIRECT("'["&amp;$C$1&amp;".xls]"&amp;$B732&amp;"'!$P$30")="","",IF(INDIRECT("'["&amp;$C$1&amp;".xls]"&amp;$B732&amp;"'!$O$30")="済み",INDIRECT("'["&amp;$C$1&amp;".xls]"&amp;$B732&amp;"'!$P$30"),""))</f>
        <v>#REF!</v>
      </c>
      <c r="AG732" s="48" t="e">
        <f ca="1">IF(INDIRECT("'["&amp;$C$1&amp;".xls]"&amp;$B732&amp;"'!$P$31")="","",IF(INDIRECT("'["&amp;$C$1&amp;".xls]"&amp;$B732&amp;"'!$O$31")="済み",INDIRECT("'["&amp;$C$1&amp;".xls]"&amp;$B732&amp;"'!$P$31"),""))</f>
        <v>#REF!</v>
      </c>
      <c r="AH732" s="48" t="e">
        <f ca="1">IF(INDIRECT("'["&amp;$C$1&amp;".xls]"&amp;$B732&amp;"'!$P$32")="","",IF(INDIRECT("'["&amp;$C$1&amp;".xls]"&amp;$B732&amp;"'!$O$32")="済み",INDIRECT("'["&amp;$C$1&amp;".xls]"&amp;$B732&amp;"'!$P$32"),""))</f>
        <v>#REF!</v>
      </c>
      <c r="AI732" s="48" t="e">
        <f ca="1">IF(INDIRECT("'["&amp;$C$1&amp;".xls]"&amp;$B732&amp;"'!$P$33")="","",IF(INDIRECT("'["&amp;$C$1&amp;".xls]"&amp;$B732&amp;"'!$O$33")="済み",INDIRECT("'["&amp;$C$1&amp;".xls]"&amp;$B732&amp;"'!$P$33"),""))</f>
        <v>#REF!</v>
      </c>
      <c r="AJ732" s="48" t="e">
        <f ca="1">IF(INDIRECT("'["&amp;$C$1&amp;".xls]"&amp;$B732&amp;"'!$P$34")="","",IF(INDIRECT("'["&amp;$C$1&amp;".xls]"&amp;$B732&amp;"'!$O$34")="済み",INDIRECT("'["&amp;$C$1&amp;".xls]"&amp;$B732&amp;"'!$P$34"),""))</f>
        <v>#REF!</v>
      </c>
      <c r="AK732" s="48" t="e">
        <f ca="1">IF(INDIRECT("'["&amp;$C$1&amp;".xls]"&amp;$B732&amp;"'!$T25")="","",IF(INDIRECT("'["&amp;$C$1&amp;".xls]"&amp;$B732&amp;"'!$O$25")="済み",INDIRECT("'["&amp;$C$1&amp;".xls]"&amp;$B732&amp;"'!$T$25"),""))</f>
        <v>#REF!</v>
      </c>
      <c r="AL732" s="48" t="e">
        <f ca="1">IF(INDIRECT("'["&amp;$C$1&amp;".xls]"&amp;$B732&amp;"'!$T26")="","",IF(INDIRECT("'["&amp;$C$1&amp;".xls]"&amp;$B732&amp;"'!$O$26")="済み",INDIRECT("'["&amp;$C$1&amp;".xls]"&amp;$B732&amp;"'!$T$26"),""))</f>
        <v>#REF!</v>
      </c>
      <c r="AM732" s="48" t="e">
        <f ca="1">IF(INDIRECT("'["&amp;$C$1&amp;".xls]"&amp;$B732&amp;"'!$T27")="","",IF(INDIRECT("'["&amp;$C$1&amp;".xls]"&amp;$B732&amp;"'!$O$27")="済み",INDIRECT("'["&amp;$C$1&amp;".xls]"&amp;$B732&amp;"'!$T$27"),""))</f>
        <v>#REF!</v>
      </c>
      <c r="AN732" s="48" t="e">
        <f ca="1">IF(INDIRECT("'["&amp;$C$1&amp;".xls]"&amp;$B732&amp;"'!$T28")="","",IF(INDIRECT("'["&amp;$C$1&amp;".xls]"&amp;$B732&amp;"'!$O$28")="済み",INDIRECT("'["&amp;$C$1&amp;".xls]"&amp;$B732&amp;"'!$T$28"),""))</f>
        <v>#REF!</v>
      </c>
      <c r="AO732" s="48" t="e">
        <f ca="1">IF(INDIRECT("'["&amp;$C$1&amp;".xls]"&amp;$B732&amp;"'!$T29")="","",IF(INDIRECT("'["&amp;$C$1&amp;".xls]"&amp;$B732&amp;"'!$O$29")="済み",INDIRECT("'["&amp;$C$1&amp;".xls]"&amp;$B732&amp;"'!$T$29"),""))</f>
        <v>#REF!</v>
      </c>
      <c r="AP732" s="48" t="e">
        <f ca="1">IF(INDIRECT("'["&amp;$C$1&amp;".xls]"&amp;$B732&amp;"'!$T30")="","",IF(INDIRECT("'["&amp;$C$1&amp;".xls]"&amp;$B732&amp;"'!$O$30")="済み",INDIRECT("'["&amp;$C$1&amp;".xls]"&amp;$B732&amp;"'!$T$30"),""))</f>
        <v>#REF!</v>
      </c>
      <c r="AQ732" s="48" t="e">
        <f ca="1">IF(INDIRECT("'["&amp;$C$1&amp;".xls]"&amp;$B732&amp;"'!$T31")="","",IF(INDIRECT("'["&amp;$C$1&amp;".xls]"&amp;$B732&amp;"'!$O$31")="済み",INDIRECT("'["&amp;$C$1&amp;".xls]"&amp;$B732&amp;"'!$T$31"),""))</f>
        <v>#REF!</v>
      </c>
      <c r="AR732" s="48" t="e">
        <f ca="1">IF(INDIRECT("'["&amp;$C$1&amp;".xls]"&amp;$B732&amp;"'!$T32")="","",IF(INDIRECT("'["&amp;$C$1&amp;".xls]"&amp;$B732&amp;"'!$O$32")="済み",INDIRECT("'["&amp;$C$1&amp;".xls]"&amp;$B732&amp;"'!$T$32"),""))</f>
        <v>#REF!</v>
      </c>
      <c r="AS732" s="48" t="e">
        <f ca="1">IF(INDIRECT("'["&amp;$C$1&amp;".xls]"&amp;$B732&amp;"'!$T33")="","",IF(INDIRECT("'["&amp;$C$1&amp;".xls]"&amp;$B732&amp;"'!$O$33")="済み",INDIRECT("'["&amp;$C$1&amp;".xls]"&amp;$B732&amp;"'!$T$33"),""))</f>
        <v>#REF!</v>
      </c>
      <c r="AT732" s="48" t="e">
        <f ca="1">IF(INDIRECT("'["&amp;$C$1&amp;".xls]"&amp;$B732&amp;"'!$T34")="","",IF(INDIRECT("'["&amp;$C$1&amp;".xls]"&amp;$B732&amp;"'!$O$34")="済み",INDIRECT("'["&amp;$C$1&amp;".xls]"&amp;$B732&amp;"'!$T$34"),""))</f>
        <v>#REF!</v>
      </c>
      <c r="AU732" s="93" t="e">
        <f ca="1">INDIRECT("'["&amp;$C$1&amp;".xls]"&amp;$B732&amp;"'!$B$6")</f>
        <v>#REF!</v>
      </c>
      <c r="AV732" s="93" t="e">
        <f ca="1">INDIRECT("'["&amp;$C$1&amp;".xls]"&amp;$B732&amp;"'!$Y$22")</f>
        <v>#REF!</v>
      </c>
      <c r="AW732" s="93" t="e">
        <f ca="1">INDIRECT("'["&amp;$C$1&amp;".xls]"&amp;$B732&amp;"'!$Y$24")</f>
        <v>#REF!</v>
      </c>
      <c r="AX732" s="93" t="e">
        <f ca="1">INDIRECT("'["&amp;$C$1&amp;".xls]"&amp;$B732&amp;"'!$Y$26")</f>
        <v>#REF!</v>
      </c>
      <c r="AY732" s="93" t="e">
        <f ca="1">INDIRECT("'["&amp;$C$1&amp;".xls]"&amp;$B732&amp;"'!$Y$28")</f>
        <v>#REF!</v>
      </c>
    </row>
    <row r="733" spans="1:51" ht="16.5" customHeight="1" x14ac:dyDescent="0.15">
      <c r="A733" s="121" t="s">
        <v>7376</v>
      </c>
      <c r="B733" s="47" t="s">
        <v>7377</v>
      </c>
      <c r="C733" s="48" t="e">
        <f t="shared" ref="C733:C795" ca="1" si="0">INDIRECT("'["&amp;$C$1&amp;".xls]"&amp;$B733&amp;"'!$i$7")</f>
        <v>#REF!</v>
      </c>
      <c r="D733" s="62" t="e">
        <f t="shared" ref="D733:D795" ca="1" si="1">INDIRECT("'["&amp;$C$1&amp;".xls]"&amp;$B733&amp;"'!$b$7")</f>
        <v>#REF!</v>
      </c>
      <c r="E733" s="48" t="e">
        <f t="shared" ref="E733:E795" ca="1" si="2">IF(INDIRECT("'["&amp;$C$1&amp;".xls]"&amp;$B733&amp;"'!$i$2")="","",INDIRECT("'["&amp;$C$1&amp;".xls]"&amp;$B733&amp;"'!$i$2"))</f>
        <v>#REF!</v>
      </c>
      <c r="F733" s="61" t="e">
        <f t="shared" ref="F733:F795" ca="1" si="3">INDIRECT("'["&amp;$C$1&amp;".xls]"&amp;$B733&amp;"'!$b$2")</f>
        <v>#REF!</v>
      </c>
      <c r="G733" s="61" t="e">
        <f ca="1">INDIRECT("'["&amp;$C$1&amp;".xls]"&amp;$B733&amp;"'!$a$20")</f>
        <v>#REF!</v>
      </c>
      <c r="H733" s="88" t="e">
        <f t="shared" ref="H733:H795" ca="1" si="4">INDIRECT("'["&amp;$C$1&amp;".xls]"&amp;$B733&amp;"'!$Q$22")</f>
        <v>#REF!</v>
      </c>
      <c r="I733" s="61" t="e">
        <f t="shared" ref="I733:I795" ca="1" si="5">INDIRECT("'["&amp;$C$1&amp;".xls]"&amp;$B733&amp;"'!$f$6")</f>
        <v>#REF!</v>
      </c>
      <c r="J733" s="87"/>
      <c r="K733" s="62" t="e">
        <f t="shared" ref="K733:K795" ca="1" si="6">INDIRECT("'["&amp;$C$1&amp;".xls]"&amp;$B733&amp;"'!$f$25")</f>
        <v>#REF!</v>
      </c>
      <c r="L733" s="62"/>
      <c r="M733" s="62" t="e">
        <f t="shared" ref="M733:M795" ca="1" si="7">INDIRECT("'["&amp;$C$1&amp;".xls]"&amp;$B733&amp;"'!$f$4")</f>
        <v>#REF!</v>
      </c>
      <c r="N733" s="62" t="e">
        <f t="shared" ref="N733:N795" ca="1" si="8">INDIRECT("'["&amp;$C$1&amp;".xls]"&amp;$B733&amp;"'!$i$4")</f>
        <v>#REF!</v>
      </c>
      <c r="O733" s="48" t="e">
        <f t="shared" ref="O733:O795" ca="1" si="9">INDIRECT("'["&amp;$C$1&amp;".xls]"&amp;$B733&amp;"'!$l$4")</f>
        <v>#REF!</v>
      </c>
      <c r="P733" s="48" t="e">
        <f t="shared" ref="P733:P795" ca="1" si="10">INDIRECT("'["&amp;$C$1&amp;".xls]"&amp;$B733&amp;"'!$b$5")</f>
        <v>#REF!</v>
      </c>
      <c r="Q733" s="48" t="e">
        <f t="shared" ref="Q733:Q795" ca="1" si="11">INDIRECT("'["&amp;$C$1&amp;".xls]"&amp;$B733&amp;"'!$f$5")</f>
        <v>#REF!</v>
      </c>
      <c r="R733" s="48"/>
      <c r="S733" s="48" t="e">
        <f t="shared" ref="S733:S795" ca="1" si="12">INDIRECT("'["&amp;$C$1&amp;".xls]"&amp;$B733&amp;"'!$i$5")</f>
        <v>#REF!</v>
      </c>
      <c r="T733" s="48" t="e">
        <f t="shared" ref="T733:T795" ca="1" si="13">INDIRECT("'["&amp;$C$1&amp;".xls]"&amp;$B733&amp;"'!$l$5")</f>
        <v>#REF!</v>
      </c>
      <c r="U733" s="48" t="e">
        <f t="shared" ref="U733:U795" ca="1" si="14">INDIRECT("'["&amp;$C$1&amp;".xls]"&amp;$B733&amp;"'!$b$4")</f>
        <v>#REF!</v>
      </c>
      <c r="V733" s="48"/>
      <c r="W733" s="48"/>
      <c r="X733" s="48"/>
      <c r="Y733" s="48"/>
      <c r="Z733" s="61"/>
      <c r="AA733" s="48" t="e">
        <f ca="1">IF(INDIRECT("'["&amp;$C$1&amp;".xls]"&amp;$B733&amp;"'!$P$25")="","",IF(INDIRECT("'["&amp;$C$1&amp;".xls]"&amp;$B733&amp;"'!$O$25")="済み",INDIRECT("'["&amp;$C$1&amp;".xls]"&amp;$B733&amp;"'!$P$25"),""))</f>
        <v>#REF!</v>
      </c>
      <c r="AB733" s="48" t="e">
        <f ca="1">IF(INDIRECT("'["&amp;$C$1&amp;".xls]"&amp;$B733&amp;"'!$P$26")="","",IF(INDIRECT("'["&amp;$C$1&amp;".xls]"&amp;$B733&amp;"'!$O$26")="済み",INDIRECT("'["&amp;$C$1&amp;".xls]"&amp;$B733&amp;"'!$P$26"),""))</f>
        <v>#REF!</v>
      </c>
      <c r="AC733" s="48" t="e">
        <f ca="1">IF(INDIRECT("'["&amp;$C$1&amp;".xls]"&amp;$B733&amp;"'!$P$27")="","",IF(INDIRECT("'["&amp;$C$1&amp;".xls]"&amp;$B733&amp;"'!$O$27")="済み",INDIRECT("'["&amp;$C$1&amp;".xls]"&amp;$B733&amp;"'!$P$27"),""))</f>
        <v>#REF!</v>
      </c>
      <c r="AD733" s="48" t="e">
        <f ca="1">IF(INDIRECT("'["&amp;$C$1&amp;".xls]"&amp;$B733&amp;"'!$P$28")="","",IF(INDIRECT("'["&amp;$C$1&amp;".xls]"&amp;$B733&amp;"'!$O$28")="済み",INDIRECT("'["&amp;$C$1&amp;".xls]"&amp;$B733&amp;"'!$P$28"),""))</f>
        <v>#REF!</v>
      </c>
      <c r="AE733" s="48" t="e">
        <f ca="1">IF(INDIRECT("'["&amp;$C$1&amp;".xls]"&amp;$B733&amp;"'!$P$29")="","",IF(INDIRECT("'["&amp;$C$1&amp;".xls]"&amp;$B733&amp;"'!$O$29")="済み",INDIRECT("'["&amp;$C$1&amp;".xls]"&amp;$B733&amp;"'!$P$29"),""))</f>
        <v>#REF!</v>
      </c>
      <c r="AF733" s="48" t="e">
        <f ca="1">IF(INDIRECT("'["&amp;$C$1&amp;".xls]"&amp;$B733&amp;"'!$P$30")="","",IF(INDIRECT("'["&amp;$C$1&amp;".xls]"&amp;$B733&amp;"'!$O$30")="済み",INDIRECT("'["&amp;$C$1&amp;".xls]"&amp;$B733&amp;"'!$P$30"),""))</f>
        <v>#REF!</v>
      </c>
      <c r="AG733" s="48" t="e">
        <f ca="1">IF(INDIRECT("'["&amp;$C$1&amp;".xls]"&amp;$B733&amp;"'!$P$31")="","",IF(INDIRECT("'["&amp;$C$1&amp;".xls]"&amp;$B733&amp;"'!$O$31")="済み",INDIRECT("'["&amp;$C$1&amp;".xls]"&amp;$B733&amp;"'!$P$31"),""))</f>
        <v>#REF!</v>
      </c>
      <c r="AH733" s="48" t="e">
        <f ca="1">IF(INDIRECT("'["&amp;$C$1&amp;".xls]"&amp;$B733&amp;"'!$P$32")="","",IF(INDIRECT("'["&amp;$C$1&amp;".xls]"&amp;$B733&amp;"'!$O$32")="済み",INDIRECT("'["&amp;$C$1&amp;".xls]"&amp;$B733&amp;"'!$P$32"),""))</f>
        <v>#REF!</v>
      </c>
      <c r="AI733" s="48" t="e">
        <f ca="1">IF(INDIRECT("'["&amp;$C$1&amp;".xls]"&amp;$B733&amp;"'!$P$33")="","",IF(INDIRECT("'["&amp;$C$1&amp;".xls]"&amp;$B733&amp;"'!$O$33")="済み",INDIRECT("'["&amp;$C$1&amp;".xls]"&amp;$B733&amp;"'!$P$33"),""))</f>
        <v>#REF!</v>
      </c>
      <c r="AJ733" s="48" t="e">
        <f ca="1">IF(INDIRECT("'["&amp;$C$1&amp;".xls]"&amp;$B733&amp;"'!$P$34")="","",IF(INDIRECT("'["&amp;$C$1&amp;".xls]"&amp;$B733&amp;"'!$O$34")="済み",INDIRECT("'["&amp;$C$1&amp;".xls]"&amp;$B733&amp;"'!$P$34"),""))</f>
        <v>#REF!</v>
      </c>
      <c r="AK733" s="48" t="e">
        <f ca="1">IF(INDIRECT("'["&amp;$C$1&amp;".xls]"&amp;$B733&amp;"'!$T25")="","",IF(INDIRECT("'["&amp;$C$1&amp;".xls]"&amp;$B733&amp;"'!$O$25")="済み",INDIRECT("'["&amp;$C$1&amp;".xls]"&amp;$B733&amp;"'!$T$25"),""))</f>
        <v>#REF!</v>
      </c>
      <c r="AL733" s="48" t="e">
        <f ca="1">IF(INDIRECT("'["&amp;$C$1&amp;".xls]"&amp;$B733&amp;"'!$T26")="","",IF(INDIRECT("'["&amp;$C$1&amp;".xls]"&amp;$B733&amp;"'!$O$26")="済み",INDIRECT("'["&amp;$C$1&amp;".xls]"&amp;$B733&amp;"'!$T$26"),""))</f>
        <v>#REF!</v>
      </c>
      <c r="AM733" s="48" t="e">
        <f ca="1">IF(INDIRECT("'["&amp;$C$1&amp;".xls]"&amp;$B733&amp;"'!$T27")="","",IF(INDIRECT("'["&amp;$C$1&amp;".xls]"&amp;$B733&amp;"'!$O$27")="済み",INDIRECT("'["&amp;$C$1&amp;".xls]"&amp;$B733&amp;"'!$T$27"),""))</f>
        <v>#REF!</v>
      </c>
      <c r="AN733" s="48" t="e">
        <f ca="1">IF(INDIRECT("'["&amp;$C$1&amp;".xls]"&amp;$B733&amp;"'!$T28")="","",IF(INDIRECT("'["&amp;$C$1&amp;".xls]"&amp;$B733&amp;"'!$O$28")="済み",INDIRECT("'["&amp;$C$1&amp;".xls]"&amp;$B733&amp;"'!$T$28"),""))</f>
        <v>#REF!</v>
      </c>
      <c r="AO733" s="48" t="e">
        <f ca="1">IF(INDIRECT("'["&amp;$C$1&amp;".xls]"&amp;$B733&amp;"'!$T29")="","",IF(INDIRECT("'["&amp;$C$1&amp;".xls]"&amp;$B733&amp;"'!$O$29")="済み",INDIRECT("'["&amp;$C$1&amp;".xls]"&amp;$B733&amp;"'!$T$29"),""))</f>
        <v>#REF!</v>
      </c>
      <c r="AP733" s="48" t="e">
        <f ca="1">IF(INDIRECT("'["&amp;$C$1&amp;".xls]"&amp;$B733&amp;"'!$T30")="","",IF(INDIRECT("'["&amp;$C$1&amp;".xls]"&amp;$B733&amp;"'!$O$30")="済み",INDIRECT("'["&amp;$C$1&amp;".xls]"&amp;$B733&amp;"'!$T$30"),""))</f>
        <v>#REF!</v>
      </c>
      <c r="AQ733" s="48" t="e">
        <f ca="1">IF(INDIRECT("'["&amp;$C$1&amp;".xls]"&amp;$B733&amp;"'!$T31")="","",IF(INDIRECT("'["&amp;$C$1&amp;".xls]"&amp;$B733&amp;"'!$O$31")="済み",INDIRECT("'["&amp;$C$1&amp;".xls]"&amp;$B733&amp;"'!$T$31"),""))</f>
        <v>#REF!</v>
      </c>
      <c r="AR733" s="48" t="e">
        <f ca="1">IF(INDIRECT("'["&amp;$C$1&amp;".xls]"&amp;$B733&amp;"'!$T32")="","",IF(INDIRECT("'["&amp;$C$1&amp;".xls]"&amp;$B733&amp;"'!$O$32")="済み",INDIRECT("'["&amp;$C$1&amp;".xls]"&amp;$B733&amp;"'!$T$32"),""))</f>
        <v>#REF!</v>
      </c>
      <c r="AS733" s="48" t="e">
        <f ca="1">IF(INDIRECT("'["&amp;$C$1&amp;".xls]"&amp;$B733&amp;"'!$T33")="","",IF(INDIRECT("'["&amp;$C$1&amp;".xls]"&amp;$B733&amp;"'!$O$33")="済み",INDIRECT("'["&amp;$C$1&amp;".xls]"&amp;$B733&amp;"'!$T$33"),""))</f>
        <v>#REF!</v>
      </c>
      <c r="AT733" s="48" t="e">
        <f ca="1">IF(INDIRECT("'["&amp;$C$1&amp;".xls]"&amp;$B733&amp;"'!$T34")="","",IF(INDIRECT("'["&amp;$C$1&amp;".xls]"&amp;$B733&amp;"'!$O$34")="済み",INDIRECT("'["&amp;$C$1&amp;".xls]"&amp;$B733&amp;"'!$T$34"),""))</f>
        <v>#REF!</v>
      </c>
      <c r="AU733" s="93" t="e">
        <f t="shared" ref="AU733:AU795" ca="1" si="15">INDIRECT("'["&amp;$C$1&amp;".xls]"&amp;$B733&amp;"'!$B$6")</f>
        <v>#REF!</v>
      </c>
      <c r="AV733" s="93" t="e">
        <f ca="1">INDIRECT("'["&amp;$C$1&amp;".xls]"&amp;$B733&amp;"'!$Y$22")</f>
        <v>#REF!</v>
      </c>
      <c r="AW733" s="93" t="e">
        <f ca="1">INDIRECT("'["&amp;$C$1&amp;".xls]"&amp;$B733&amp;"'!$Y$24")</f>
        <v>#REF!</v>
      </c>
      <c r="AX733" s="93" t="e">
        <f ca="1">INDIRECT("'["&amp;$C$1&amp;".xls]"&amp;$B733&amp;"'!$Y$26")</f>
        <v>#REF!</v>
      </c>
      <c r="AY733" s="93" t="e">
        <f ca="1">INDIRECT("'["&amp;$C$1&amp;".xls]"&amp;$B733&amp;"'!$Y$28")</f>
        <v>#REF!</v>
      </c>
    </row>
    <row r="734" spans="1:51" ht="16.5" customHeight="1" x14ac:dyDescent="0.15">
      <c r="A734" s="199" t="s">
        <v>7378</v>
      </c>
      <c r="B734" s="209" t="s">
        <v>7379</v>
      </c>
      <c r="C734" s="48" t="s">
        <v>7380</v>
      </c>
      <c r="D734" s="62" t="s">
        <v>7381</v>
      </c>
      <c r="E734" s="48" t="s">
        <v>264</v>
      </c>
      <c r="F734" s="61">
        <v>42664</v>
      </c>
      <c r="G734" s="61">
        <v>0</v>
      </c>
      <c r="H734" s="125">
        <v>42678</v>
      </c>
      <c r="I734" s="61" t="s">
        <v>279</v>
      </c>
      <c r="J734" s="87"/>
      <c r="K734" s="62" t="s">
        <v>2506</v>
      </c>
      <c r="L734" s="62">
        <v>3</v>
      </c>
      <c r="M734" s="62" t="s">
        <v>409</v>
      </c>
      <c r="N734" s="62" t="s">
        <v>7382</v>
      </c>
      <c r="O734" s="48" t="s">
        <v>535</v>
      </c>
      <c r="P734" s="48" t="s">
        <v>5868</v>
      </c>
      <c r="Q734" s="48" t="s">
        <v>7383</v>
      </c>
      <c r="R734" s="48" t="s">
        <v>7384</v>
      </c>
      <c r="S734" s="48" t="s">
        <v>5871</v>
      </c>
      <c r="T734" s="48" t="s">
        <v>5872</v>
      </c>
      <c r="U734" s="48" t="s">
        <v>7385</v>
      </c>
      <c r="V734" s="122" t="s">
        <v>263</v>
      </c>
      <c r="W734" s="122" t="s">
        <v>263</v>
      </c>
      <c r="X734" s="48" t="s">
        <v>596</v>
      </c>
      <c r="Y734" s="48" t="s">
        <v>7386</v>
      </c>
      <c r="Z734" s="61"/>
      <c r="AA734" s="48" t="s">
        <v>548</v>
      </c>
      <c r="AB734" s="48" t="s">
        <v>547</v>
      </c>
      <c r="AC734" s="48" t="s">
        <v>273</v>
      </c>
      <c r="AD734" s="48" t="s">
        <v>273</v>
      </c>
      <c r="AE734" s="48" t="s">
        <v>273</v>
      </c>
      <c r="AF734" s="48" t="s">
        <v>273</v>
      </c>
      <c r="AG734" s="48" t="s">
        <v>273</v>
      </c>
      <c r="AH734" s="48" t="s">
        <v>273</v>
      </c>
      <c r="AI734" s="48" t="s">
        <v>273</v>
      </c>
      <c r="AJ734" s="48" t="s">
        <v>273</v>
      </c>
      <c r="AK734" s="48" t="s">
        <v>5252</v>
      </c>
      <c r="AL734" s="48" t="s">
        <v>7080</v>
      </c>
      <c r="AM734" s="48" t="s">
        <v>273</v>
      </c>
      <c r="AN734" s="48" t="s">
        <v>273</v>
      </c>
      <c r="AO734" s="48" t="s">
        <v>273</v>
      </c>
      <c r="AP734" s="48" t="s">
        <v>273</v>
      </c>
      <c r="AQ734" s="48" t="s">
        <v>273</v>
      </c>
      <c r="AR734" s="48" t="s">
        <v>273</v>
      </c>
      <c r="AS734" s="48" t="s">
        <v>273</v>
      </c>
      <c r="AT734" s="48" t="s">
        <v>273</v>
      </c>
      <c r="AU734" s="93">
        <v>41334</v>
      </c>
      <c r="AV734" s="93" t="s">
        <v>7387</v>
      </c>
      <c r="AW734" s="93" t="s">
        <v>7388</v>
      </c>
      <c r="AX734" s="93" t="s">
        <v>7389</v>
      </c>
      <c r="AY734" s="93" t="s">
        <v>7085</v>
      </c>
    </row>
    <row r="735" spans="1:51" ht="16.5" customHeight="1" x14ac:dyDescent="0.15">
      <c r="A735" s="121" t="s">
        <v>7390</v>
      </c>
      <c r="B735" s="47" t="s">
        <v>7391</v>
      </c>
      <c r="C735" s="48" t="e">
        <f t="shared" ca="1" si="0"/>
        <v>#REF!</v>
      </c>
      <c r="D735" s="62" t="e">
        <f t="shared" ca="1" si="1"/>
        <v>#REF!</v>
      </c>
      <c r="E735" s="48" t="e">
        <f t="shared" ca="1" si="2"/>
        <v>#REF!</v>
      </c>
      <c r="F735" s="61" t="e">
        <f t="shared" ca="1" si="3"/>
        <v>#REF!</v>
      </c>
      <c r="G735" s="61" t="e">
        <f ca="1">INDIRECT("'["&amp;$C$1&amp;".xls]"&amp;$B735&amp;"'!$a$20")</f>
        <v>#REF!</v>
      </c>
      <c r="H735" s="88" t="e">
        <f t="shared" ca="1" si="4"/>
        <v>#REF!</v>
      </c>
      <c r="I735" s="61" t="e">
        <f t="shared" ca="1" si="5"/>
        <v>#REF!</v>
      </c>
      <c r="J735" s="87"/>
      <c r="K735" s="62" t="e">
        <f t="shared" ca="1" si="6"/>
        <v>#REF!</v>
      </c>
      <c r="L735" s="62"/>
      <c r="M735" s="62" t="e">
        <f t="shared" ca="1" si="7"/>
        <v>#REF!</v>
      </c>
      <c r="N735" s="62" t="e">
        <f t="shared" ca="1" si="8"/>
        <v>#REF!</v>
      </c>
      <c r="O735" s="48" t="e">
        <f t="shared" ca="1" si="9"/>
        <v>#REF!</v>
      </c>
      <c r="P735" s="48" t="e">
        <f t="shared" ca="1" si="10"/>
        <v>#REF!</v>
      </c>
      <c r="Q735" s="48" t="e">
        <f t="shared" ca="1" si="11"/>
        <v>#REF!</v>
      </c>
      <c r="R735" s="48"/>
      <c r="S735" s="48" t="e">
        <f t="shared" ca="1" si="12"/>
        <v>#REF!</v>
      </c>
      <c r="T735" s="48" t="e">
        <f t="shared" ca="1" si="13"/>
        <v>#REF!</v>
      </c>
      <c r="U735" s="48" t="e">
        <f t="shared" ca="1" si="14"/>
        <v>#REF!</v>
      </c>
      <c r="V735" s="48"/>
      <c r="W735" s="48"/>
      <c r="X735" s="48"/>
      <c r="Y735" s="48"/>
      <c r="Z735" s="61"/>
      <c r="AA735" s="48" t="e">
        <f ca="1">IF(INDIRECT("'["&amp;$C$1&amp;".xls]"&amp;$B735&amp;"'!$P$25")="","",IF(INDIRECT("'["&amp;$C$1&amp;".xls]"&amp;$B735&amp;"'!$O$25")="済み",INDIRECT("'["&amp;$C$1&amp;".xls]"&amp;$B735&amp;"'!$P$25"),""))</f>
        <v>#REF!</v>
      </c>
      <c r="AB735" s="48" t="e">
        <f ca="1">IF(INDIRECT("'["&amp;$C$1&amp;".xls]"&amp;$B735&amp;"'!$P$26")="","",IF(INDIRECT("'["&amp;$C$1&amp;".xls]"&amp;$B735&amp;"'!$O$26")="済み",INDIRECT("'["&amp;$C$1&amp;".xls]"&amp;$B735&amp;"'!$P$26"),""))</f>
        <v>#REF!</v>
      </c>
      <c r="AC735" s="48" t="e">
        <f ca="1">IF(INDIRECT("'["&amp;$C$1&amp;".xls]"&amp;$B735&amp;"'!$P$27")="","",IF(INDIRECT("'["&amp;$C$1&amp;".xls]"&amp;$B735&amp;"'!$O$27")="済み",INDIRECT("'["&amp;$C$1&amp;".xls]"&amp;$B735&amp;"'!$P$27"),""))</f>
        <v>#REF!</v>
      </c>
      <c r="AD735" s="48" t="e">
        <f ca="1">IF(INDIRECT("'["&amp;$C$1&amp;".xls]"&amp;$B735&amp;"'!$P$28")="","",IF(INDIRECT("'["&amp;$C$1&amp;".xls]"&amp;$B735&amp;"'!$O$28")="済み",INDIRECT("'["&amp;$C$1&amp;".xls]"&amp;$B735&amp;"'!$P$28"),""))</f>
        <v>#REF!</v>
      </c>
      <c r="AE735" s="48" t="e">
        <f ca="1">IF(INDIRECT("'["&amp;$C$1&amp;".xls]"&amp;$B735&amp;"'!$P$29")="","",IF(INDIRECT("'["&amp;$C$1&amp;".xls]"&amp;$B735&amp;"'!$O$29")="済み",INDIRECT("'["&amp;$C$1&amp;".xls]"&amp;$B735&amp;"'!$P$29"),""))</f>
        <v>#REF!</v>
      </c>
      <c r="AF735" s="48" t="e">
        <f ca="1">IF(INDIRECT("'["&amp;$C$1&amp;".xls]"&amp;$B735&amp;"'!$P$30")="","",IF(INDIRECT("'["&amp;$C$1&amp;".xls]"&amp;$B735&amp;"'!$O$30")="済み",INDIRECT("'["&amp;$C$1&amp;".xls]"&amp;$B735&amp;"'!$P$30"),""))</f>
        <v>#REF!</v>
      </c>
      <c r="AG735" s="48" t="e">
        <f ca="1">IF(INDIRECT("'["&amp;$C$1&amp;".xls]"&amp;$B735&amp;"'!$P$31")="","",IF(INDIRECT("'["&amp;$C$1&amp;".xls]"&amp;$B735&amp;"'!$O$31")="済み",INDIRECT("'["&amp;$C$1&amp;".xls]"&amp;$B735&amp;"'!$P$31"),""))</f>
        <v>#REF!</v>
      </c>
      <c r="AH735" s="48" t="e">
        <f ca="1">IF(INDIRECT("'["&amp;$C$1&amp;".xls]"&amp;$B735&amp;"'!$P$32")="","",IF(INDIRECT("'["&amp;$C$1&amp;".xls]"&amp;$B735&amp;"'!$O$32")="済み",INDIRECT("'["&amp;$C$1&amp;".xls]"&amp;$B735&amp;"'!$P$32"),""))</f>
        <v>#REF!</v>
      </c>
      <c r="AI735" s="48" t="e">
        <f ca="1">IF(INDIRECT("'["&amp;$C$1&amp;".xls]"&amp;$B735&amp;"'!$P$33")="","",IF(INDIRECT("'["&amp;$C$1&amp;".xls]"&amp;$B735&amp;"'!$O$33")="済み",INDIRECT("'["&amp;$C$1&amp;".xls]"&amp;$B735&amp;"'!$P$33"),""))</f>
        <v>#REF!</v>
      </c>
      <c r="AJ735" s="48" t="e">
        <f ca="1">IF(INDIRECT("'["&amp;$C$1&amp;".xls]"&amp;$B735&amp;"'!$P$34")="","",IF(INDIRECT("'["&amp;$C$1&amp;".xls]"&amp;$B735&amp;"'!$O$34")="済み",INDIRECT("'["&amp;$C$1&amp;".xls]"&amp;$B735&amp;"'!$P$34"),""))</f>
        <v>#REF!</v>
      </c>
      <c r="AK735" s="48" t="e">
        <f ca="1">IF(INDIRECT("'["&amp;$C$1&amp;".xls]"&amp;$B735&amp;"'!$T25")="","",IF(INDIRECT("'["&amp;$C$1&amp;".xls]"&amp;$B735&amp;"'!$O$25")="済み",INDIRECT("'["&amp;$C$1&amp;".xls]"&amp;$B735&amp;"'!$T$25"),""))</f>
        <v>#REF!</v>
      </c>
      <c r="AL735" s="48" t="e">
        <f ca="1">IF(INDIRECT("'["&amp;$C$1&amp;".xls]"&amp;$B735&amp;"'!$T26")="","",IF(INDIRECT("'["&amp;$C$1&amp;".xls]"&amp;$B735&amp;"'!$O$26")="済み",INDIRECT("'["&amp;$C$1&amp;".xls]"&amp;$B735&amp;"'!$T$26"),""))</f>
        <v>#REF!</v>
      </c>
      <c r="AM735" s="48" t="e">
        <f ca="1">IF(INDIRECT("'["&amp;$C$1&amp;".xls]"&amp;$B735&amp;"'!$T27")="","",IF(INDIRECT("'["&amp;$C$1&amp;".xls]"&amp;$B735&amp;"'!$O$27")="済み",INDIRECT("'["&amp;$C$1&amp;".xls]"&amp;$B735&amp;"'!$T$27"),""))</f>
        <v>#REF!</v>
      </c>
      <c r="AN735" s="48" t="e">
        <f ca="1">IF(INDIRECT("'["&amp;$C$1&amp;".xls]"&amp;$B735&amp;"'!$T28")="","",IF(INDIRECT("'["&amp;$C$1&amp;".xls]"&amp;$B735&amp;"'!$O$28")="済み",INDIRECT("'["&amp;$C$1&amp;".xls]"&amp;$B735&amp;"'!$T$28"),""))</f>
        <v>#REF!</v>
      </c>
      <c r="AO735" s="48" t="e">
        <f ca="1">IF(INDIRECT("'["&amp;$C$1&amp;".xls]"&amp;$B735&amp;"'!$T29")="","",IF(INDIRECT("'["&amp;$C$1&amp;".xls]"&amp;$B735&amp;"'!$O$29")="済み",INDIRECT("'["&amp;$C$1&amp;".xls]"&amp;$B735&amp;"'!$T$29"),""))</f>
        <v>#REF!</v>
      </c>
      <c r="AP735" s="48" t="e">
        <f ca="1">IF(INDIRECT("'["&amp;$C$1&amp;".xls]"&amp;$B735&amp;"'!$T30")="","",IF(INDIRECT("'["&amp;$C$1&amp;".xls]"&amp;$B735&amp;"'!$O$30")="済み",INDIRECT("'["&amp;$C$1&amp;".xls]"&amp;$B735&amp;"'!$T$30"),""))</f>
        <v>#REF!</v>
      </c>
      <c r="AQ735" s="48" t="e">
        <f ca="1">IF(INDIRECT("'["&amp;$C$1&amp;".xls]"&amp;$B735&amp;"'!$T31")="","",IF(INDIRECT("'["&amp;$C$1&amp;".xls]"&amp;$B735&amp;"'!$O$31")="済み",INDIRECT("'["&amp;$C$1&amp;".xls]"&amp;$B735&amp;"'!$T$31"),""))</f>
        <v>#REF!</v>
      </c>
      <c r="AR735" s="48" t="e">
        <f ca="1">IF(INDIRECT("'["&amp;$C$1&amp;".xls]"&amp;$B735&amp;"'!$T32")="","",IF(INDIRECT("'["&amp;$C$1&amp;".xls]"&amp;$B735&amp;"'!$O$32")="済み",INDIRECT("'["&amp;$C$1&amp;".xls]"&amp;$B735&amp;"'!$T$32"),""))</f>
        <v>#REF!</v>
      </c>
      <c r="AS735" s="48" t="e">
        <f ca="1">IF(INDIRECT("'["&amp;$C$1&amp;".xls]"&amp;$B735&amp;"'!$T33")="","",IF(INDIRECT("'["&amp;$C$1&amp;".xls]"&amp;$B735&amp;"'!$O$33")="済み",INDIRECT("'["&amp;$C$1&amp;".xls]"&amp;$B735&amp;"'!$T$33"),""))</f>
        <v>#REF!</v>
      </c>
      <c r="AT735" s="48" t="e">
        <f ca="1">IF(INDIRECT("'["&amp;$C$1&amp;".xls]"&amp;$B735&amp;"'!$T34")="","",IF(INDIRECT("'["&amp;$C$1&amp;".xls]"&amp;$B735&amp;"'!$O$34")="済み",INDIRECT("'["&amp;$C$1&amp;".xls]"&amp;$B735&amp;"'!$T$34"),""))</f>
        <v>#REF!</v>
      </c>
      <c r="AU735" s="93" t="e">
        <f t="shared" ca="1" si="15"/>
        <v>#REF!</v>
      </c>
      <c r="AV735" s="93" t="e">
        <f ca="1">INDIRECT("'["&amp;$C$1&amp;".xls]"&amp;$B735&amp;"'!$Y$22")</f>
        <v>#REF!</v>
      </c>
      <c r="AW735" s="93" t="e">
        <f ca="1">INDIRECT("'["&amp;$C$1&amp;".xls]"&amp;$B735&amp;"'!$Y$24")</f>
        <v>#REF!</v>
      </c>
      <c r="AX735" s="93" t="e">
        <f ca="1">INDIRECT("'["&amp;$C$1&amp;".xls]"&amp;$B735&amp;"'!$Y$26")</f>
        <v>#REF!</v>
      </c>
      <c r="AY735" s="93" t="e">
        <f ca="1">INDIRECT("'["&amp;$C$1&amp;".xls]"&amp;$B735&amp;"'!$Y$28")</f>
        <v>#REF!</v>
      </c>
    </row>
    <row r="736" spans="1:51" ht="16.5" customHeight="1" x14ac:dyDescent="0.15">
      <c r="A736" s="199" t="s">
        <v>7392</v>
      </c>
      <c r="B736" s="209" t="s">
        <v>7393</v>
      </c>
      <c r="C736" s="48" t="s">
        <v>7394</v>
      </c>
      <c r="D736" s="62" t="s">
        <v>7395</v>
      </c>
      <c r="E736" s="48" t="s">
        <v>264</v>
      </c>
      <c r="F736" s="61">
        <v>42667</v>
      </c>
      <c r="G736" s="61">
        <v>0</v>
      </c>
      <c r="H736" s="125">
        <v>42699</v>
      </c>
      <c r="I736" s="61" t="s">
        <v>279</v>
      </c>
      <c r="J736" s="87"/>
      <c r="K736" s="62" t="s">
        <v>2506</v>
      </c>
      <c r="L736" s="62">
        <v>3</v>
      </c>
      <c r="M736" s="62" t="s">
        <v>680</v>
      </c>
      <c r="N736" s="62" t="s">
        <v>7396</v>
      </c>
      <c r="O736" s="48" t="s">
        <v>3158</v>
      </c>
      <c r="P736" s="48" t="s">
        <v>7397</v>
      </c>
      <c r="Q736" s="48" t="s">
        <v>7398</v>
      </c>
      <c r="R736" s="48" t="s">
        <v>7399</v>
      </c>
      <c r="S736" s="48" t="s">
        <v>7400</v>
      </c>
      <c r="T736" s="48" t="s">
        <v>7401</v>
      </c>
      <c r="U736" s="48" t="s">
        <v>7402</v>
      </c>
      <c r="V736" s="122" t="s">
        <v>7403</v>
      </c>
      <c r="W736" s="122" t="s">
        <v>7293</v>
      </c>
      <c r="X736" s="48" t="s">
        <v>7404</v>
      </c>
      <c r="Y736" s="48" t="s">
        <v>7405</v>
      </c>
      <c r="Z736" s="61"/>
      <c r="AA736" s="48" t="s">
        <v>833</v>
      </c>
      <c r="AB736" s="48" t="s">
        <v>273</v>
      </c>
      <c r="AC736" s="48" t="s">
        <v>273</v>
      </c>
      <c r="AD736" s="48" t="s">
        <v>273</v>
      </c>
      <c r="AE736" s="48" t="s">
        <v>273</v>
      </c>
      <c r="AF736" s="48" t="s">
        <v>273</v>
      </c>
      <c r="AG736" s="48" t="s">
        <v>273</v>
      </c>
      <c r="AH736" s="48" t="s">
        <v>273</v>
      </c>
      <c r="AI736" s="48" t="s">
        <v>273</v>
      </c>
      <c r="AJ736" s="48" t="s">
        <v>273</v>
      </c>
      <c r="AK736" s="48" t="s">
        <v>834</v>
      </c>
      <c r="AL736" s="48" t="s">
        <v>273</v>
      </c>
      <c r="AM736" s="48" t="s">
        <v>273</v>
      </c>
      <c r="AN736" s="48" t="s">
        <v>273</v>
      </c>
      <c r="AO736" s="48" t="s">
        <v>273</v>
      </c>
      <c r="AP736" s="48" t="s">
        <v>273</v>
      </c>
      <c r="AQ736" s="48" t="s">
        <v>273</v>
      </c>
      <c r="AR736" s="48" t="s">
        <v>273</v>
      </c>
      <c r="AS736" s="48" t="s">
        <v>273</v>
      </c>
      <c r="AT736" s="48" t="s">
        <v>273</v>
      </c>
      <c r="AU736" s="93">
        <v>41244</v>
      </c>
      <c r="AV736" s="93" t="s">
        <v>7406</v>
      </c>
      <c r="AW736" s="93" t="s">
        <v>7407</v>
      </c>
      <c r="AX736" s="93" t="s">
        <v>7408</v>
      </c>
      <c r="AY736" s="93" t="s">
        <v>5312</v>
      </c>
    </row>
    <row r="737" spans="1:52" ht="16.5" customHeight="1" x14ac:dyDescent="0.15">
      <c r="A737" s="121" t="s">
        <v>7409</v>
      </c>
      <c r="B737" s="47" t="s">
        <v>7410</v>
      </c>
      <c r="C737" s="48" t="e">
        <f t="shared" ca="1" si="0"/>
        <v>#REF!</v>
      </c>
      <c r="D737" s="62" t="e">
        <f t="shared" ca="1" si="1"/>
        <v>#REF!</v>
      </c>
      <c r="E737" s="48" t="e">
        <f t="shared" ca="1" si="2"/>
        <v>#REF!</v>
      </c>
      <c r="F737" s="61" t="e">
        <f t="shared" ca="1" si="3"/>
        <v>#REF!</v>
      </c>
      <c r="G737" s="61" t="e">
        <f ca="1">INDIRECT("'["&amp;$C$1&amp;".xls]"&amp;$B737&amp;"'!$a$20")</f>
        <v>#REF!</v>
      </c>
      <c r="H737" s="88" t="e">
        <f t="shared" ca="1" si="4"/>
        <v>#REF!</v>
      </c>
      <c r="I737" s="61" t="e">
        <f t="shared" ca="1" si="5"/>
        <v>#REF!</v>
      </c>
      <c r="J737" s="87"/>
      <c r="K737" s="62" t="e">
        <f t="shared" ca="1" si="6"/>
        <v>#REF!</v>
      </c>
      <c r="L737" s="62"/>
      <c r="M737" s="62" t="e">
        <f t="shared" ca="1" si="7"/>
        <v>#REF!</v>
      </c>
      <c r="N737" s="62" t="e">
        <f t="shared" ca="1" si="8"/>
        <v>#REF!</v>
      </c>
      <c r="O737" s="48" t="e">
        <f t="shared" ca="1" si="9"/>
        <v>#REF!</v>
      </c>
      <c r="P737" s="48" t="e">
        <f t="shared" ca="1" si="10"/>
        <v>#REF!</v>
      </c>
      <c r="Q737" s="48" t="e">
        <f t="shared" ca="1" si="11"/>
        <v>#REF!</v>
      </c>
      <c r="R737" s="48"/>
      <c r="S737" s="48" t="e">
        <f t="shared" ca="1" si="12"/>
        <v>#REF!</v>
      </c>
      <c r="T737" s="48" t="e">
        <f t="shared" ca="1" si="13"/>
        <v>#REF!</v>
      </c>
      <c r="U737" s="48" t="e">
        <f t="shared" ca="1" si="14"/>
        <v>#REF!</v>
      </c>
      <c r="V737" s="48"/>
      <c r="W737" s="48"/>
      <c r="X737" s="48"/>
      <c r="Y737" s="48"/>
      <c r="Z737" s="61"/>
      <c r="AA737" s="48" t="e">
        <f ca="1">IF(INDIRECT("'["&amp;$C$1&amp;".xls]"&amp;$B737&amp;"'!$P$25")="","",IF(INDIRECT("'["&amp;$C$1&amp;".xls]"&amp;$B737&amp;"'!$O$25")="済み",INDIRECT("'["&amp;$C$1&amp;".xls]"&amp;$B737&amp;"'!$P$25"),""))</f>
        <v>#REF!</v>
      </c>
      <c r="AB737" s="48" t="e">
        <f ca="1">IF(INDIRECT("'["&amp;$C$1&amp;".xls]"&amp;$B737&amp;"'!$P$26")="","",IF(INDIRECT("'["&amp;$C$1&amp;".xls]"&amp;$B737&amp;"'!$O$26")="済み",INDIRECT("'["&amp;$C$1&amp;".xls]"&amp;$B737&amp;"'!$P$26"),""))</f>
        <v>#REF!</v>
      </c>
      <c r="AC737" s="48" t="e">
        <f ca="1">IF(INDIRECT("'["&amp;$C$1&amp;".xls]"&amp;$B737&amp;"'!$P$27")="","",IF(INDIRECT("'["&amp;$C$1&amp;".xls]"&amp;$B737&amp;"'!$O$27")="済み",INDIRECT("'["&amp;$C$1&amp;".xls]"&amp;$B737&amp;"'!$P$27"),""))</f>
        <v>#REF!</v>
      </c>
      <c r="AD737" s="48" t="e">
        <f ca="1">IF(INDIRECT("'["&amp;$C$1&amp;".xls]"&amp;$B737&amp;"'!$P$28")="","",IF(INDIRECT("'["&amp;$C$1&amp;".xls]"&amp;$B737&amp;"'!$O$28")="済み",INDIRECT("'["&amp;$C$1&amp;".xls]"&amp;$B737&amp;"'!$P$28"),""))</f>
        <v>#REF!</v>
      </c>
      <c r="AE737" s="48" t="e">
        <f ca="1">IF(INDIRECT("'["&amp;$C$1&amp;".xls]"&amp;$B737&amp;"'!$P$29")="","",IF(INDIRECT("'["&amp;$C$1&amp;".xls]"&amp;$B737&amp;"'!$O$29")="済み",INDIRECT("'["&amp;$C$1&amp;".xls]"&amp;$B737&amp;"'!$P$29"),""))</f>
        <v>#REF!</v>
      </c>
      <c r="AF737" s="48" t="e">
        <f ca="1">IF(INDIRECT("'["&amp;$C$1&amp;".xls]"&amp;$B737&amp;"'!$P$30")="","",IF(INDIRECT("'["&amp;$C$1&amp;".xls]"&amp;$B737&amp;"'!$O$30")="済み",INDIRECT("'["&amp;$C$1&amp;".xls]"&amp;$B737&amp;"'!$P$30"),""))</f>
        <v>#REF!</v>
      </c>
      <c r="AG737" s="48" t="e">
        <f ca="1">IF(INDIRECT("'["&amp;$C$1&amp;".xls]"&amp;$B737&amp;"'!$P$31")="","",IF(INDIRECT("'["&amp;$C$1&amp;".xls]"&amp;$B737&amp;"'!$O$31")="済み",INDIRECT("'["&amp;$C$1&amp;".xls]"&amp;$B737&amp;"'!$P$31"),""))</f>
        <v>#REF!</v>
      </c>
      <c r="AH737" s="48" t="e">
        <f ca="1">IF(INDIRECT("'["&amp;$C$1&amp;".xls]"&amp;$B737&amp;"'!$P$32")="","",IF(INDIRECT("'["&amp;$C$1&amp;".xls]"&amp;$B737&amp;"'!$O$32")="済み",INDIRECT("'["&amp;$C$1&amp;".xls]"&amp;$B737&amp;"'!$P$32"),""))</f>
        <v>#REF!</v>
      </c>
      <c r="AI737" s="48" t="e">
        <f ca="1">IF(INDIRECT("'["&amp;$C$1&amp;".xls]"&amp;$B737&amp;"'!$P$33")="","",IF(INDIRECT("'["&amp;$C$1&amp;".xls]"&amp;$B737&amp;"'!$O$33")="済み",INDIRECT("'["&amp;$C$1&amp;".xls]"&amp;$B737&amp;"'!$P$33"),""))</f>
        <v>#REF!</v>
      </c>
      <c r="AJ737" s="48" t="e">
        <f ca="1">IF(INDIRECT("'["&amp;$C$1&amp;".xls]"&amp;$B737&amp;"'!$P$34")="","",IF(INDIRECT("'["&amp;$C$1&amp;".xls]"&amp;$B737&amp;"'!$O$34")="済み",INDIRECT("'["&amp;$C$1&amp;".xls]"&amp;$B737&amp;"'!$P$34"),""))</f>
        <v>#REF!</v>
      </c>
      <c r="AK737" s="48" t="e">
        <f ca="1">IF(INDIRECT("'["&amp;$C$1&amp;".xls]"&amp;$B737&amp;"'!$T25")="","",IF(INDIRECT("'["&amp;$C$1&amp;".xls]"&amp;$B737&amp;"'!$O$25")="済み",INDIRECT("'["&amp;$C$1&amp;".xls]"&amp;$B737&amp;"'!$T$25"),""))</f>
        <v>#REF!</v>
      </c>
      <c r="AL737" s="48" t="e">
        <f ca="1">IF(INDIRECT("'["&amp;$C$1&amp;".xls]"&amp;$B737&amp;"'!$T26")="","",IF(INDIRECT("'["&amp;$C$1&amp;".xls]"&amp;$B737&amp;"'!$O$26")="済み",INDIRECT("'["&amp;$C$1&amp;".xls]"&amp;$B737&amp;"'!$T$26"),""))</f>
        <v>#REF!</v>
      </c>
      <c r="AM737" s="48" t="e">
        <f ca="1">IF(INDIRECT("'["&amp;$C$1&amp;".xls]"&amp;$B737&amp;"'!$T27")="","",IF(INDIRECT("'["&amp;$C$1&amp;".xls]"&amp;$B737&amp;"'!$O$27")="済み",INDIRECT("'["&amp;$C$1&amp;".xls]"&amp;$B737&amp;"'!$T$27"),""))</f>
        <v>#REF!</v>
      </c>
      <c r="AN737" s="48" t="e">
        <f ca="1">IF(INDIRECT("'["&amp;$C$1&amp;".xls]"&amp;$B737&amp;"'!$T28")="","",IF(INDIRECT("'["&amp;$C$1&amp;".xls]"&amp;$B737&amp;"'!$O$28")="済み",INDIRECT("'["&amp;$C$1&amp;".xls]"&amp;$B737&amp;"'!$T$28"),""))</f>
        <v>#REF!</v>
      </c>
      <c r="AO737" s="48" t="e">
        <f ca="1">IF(INDIRECT("'["&amp;$C$1&amp;".xls]"&amp;$B737&amp;"'!$T29")="","",IF(INDIRECT("'["&amp;$C$1&amp;".xls]"&amp;$B737&amp;"'!$O$29")="済み",INDIRECT("'["&amp;$C$1&amp;".xls]"&amp;$B737&amp;"'!$T$29"),""))</f>
        <v>#REF!</v>
      </c>
      <c r="AP737" s="48" t="e">
        <f ca="1">IF(INDIRECT("'["&amp;$C$1&amp;".xls]"&amp;$B737&amp;"'!$T30")="","",IF(INDIRECT("'["&amp;$C$1&amp;".xls]"&amp;$B737&amp;"'!$O$30")="済み",INDIRECT("'["&amp;$C$1&amp;".xls]"&amp;$B737&amp;"'!$T$30"),""))</f>
        <v>#REF!</v>
      </c>
      <c r="AQ737" s="48" t="e">
        <f ca="1">IF(INDIRECT("'["&amp;$C$1&amp;".xls]"&amp;$B737&amp;"'!$T31")="","",IF(INDIRECT("'["&amp;$C$1&amp;".xls]"&amp;$B737&amp;"'!$O$31")="済み",INDIRECT("'["&amp;$C$1&amp;".xls]"&amp;$B737&amp;"'!$T$31"),""))</f>
        <v>#REF!</v>
      </c>
      <c r="AR737" s="48" t="e">
        <f ca="1">IF(INDIRECT("'["&amp;$C$1&amp;".xls]"&amp;$B737&amp;"'!$T32")="","",IF(INDIRECT("'["&amp;$C$1&amp;".xls]"&amp;$B737&amp;"'!$O$32")="済み",INDIRECT("'["&amp;$C$1&amp;".xls]"&amp;$B737&amp;"'!$T$32"),""))</f>
        <v>#REF!</v>
      </c>
      <c r="AS737" s="48" t="e">
        <f ca="1">IF(INDIRECT("'["&amp;$C$1&amp;".xls]"&amp;$B737&amp;"'!$T33")="","",IF(INDIRECT("'["&amp;$C$1&amp;".xls]"&amp;$B737&amp;"'!$O$33")="済み",INDIRECT("'["&amp;$C$1&amp;".xls]"&amp;$B737&amp;"'!$T$33"),""))</f>
        <v>#REF!</v>
      </c>
      <c r="AT737" s="48" t="e">
        <f ca="1">IF(INDIRECT("'["&amp;$C$1&amp;".xls]"&amp;$B737&amp;"'!$T34")="","",IF(INDIRECT("'["&amp;$C$1&amp;".xls]"&amp;$B737&amp;"'!$O$34")="済み",INDIRECT("'["&amp;$C$1&amp;".xls]"&amp;$B737&amp;"'!$T$34"),""))</f>
        <v>#REF!</v>
      </c>
      <c r="AU737" s="93" t="e">
        <f t="shared" ca="1" si="15"/>
        <v>#REF!</v>
      </c>
      <c r="AV737" s="93" t="e">
        <f ca="1">INDIRECT("'["&amp;$C$1&amp;".xls]"&amp;$B737&amp;"'!$Y$22")</f>
        <v>#REF!</v>
      </c>
      <c r="AW737" s="93" t="e">
        <f ca="1">INDIRECT("'["&amp;$C$1&amp;".xls]"&amp;$B737&amp;"'!$Y$24")</f>
        <v>#REF!</v>
      </c>
      <c r="AX737" s="93" t="e">
        <f ca="1">INDIRECT("'["&amp;$C$1&amp;".xls]"&amp;$B737&amp;"'!$Y$26")</f>
        <v>#REF!</v>
      </c>
      <c r="AY737" s="93" t="e">
        <f ca="1">INDIRECT("'["&amp;$C$1&amp;".xls]"&amp;$B737&amp;"'!$Y$28")</f>
        <v>#REF!</v>
      </c>
    </row>
    <row r="738" spans="1:52" ht="16.5" customHeight="1" x14ac:dyDescent="0.15">
      <c r="A738" s="121" t="s">
        <v>7411</v>
      </c>
      <c r="B738" s="47" t="s">
        <v>7412</v>
      </c>
      <c r="C738" s="48" t="e">
        <f t="shared" ca="1" si="0"/>
        <v>#REF!</v>
      </c>
      <c r="D738" s="62" t="e">
        <f t="shared" ca="1" si="1"/>
        <v>#REF!</v>
      </c>
      <c r="E738" s="48" t="e">
        <f t="shared" ca="1" si="2"/>
        <v>#REF!</v>
      </c>
      <c r="F738" s="61" t="e">
        <f t="shared" ca="1" si="3"/>
        <v>#REF!</v>
      </c>
      <c r="G738" s="61" t="e">
        <f ca="1">INDIRECT("'["&amp;$C$1&amp;".xls]"&amp;$B738&amp;"'!$a$20")</f>
        <v>#REF!</v>
      </c>
      <c r="H738" s="88" t="e">
        <f t="shared" ca="1" si="4"/>
        <v>#REF!</v>
      </c>
      <c r="I738" s="61" t="e">
        <f t="shared" ca="1" si="5"/>
        <v>#REF!</v>
      </c>
      <c r="J738" s="87"/>
      <c r="K738" s="62" t="e">
        <f t="shared" ca="1" si="6"/>
        <v>#REF!</v>
      </c>
      <c r="L738" s="62"/>
      <c r="M738" s="62" t="e">
        <f t="shared" ca="1" si="7"/>
        <v>#REF!</v>
      </c>
      <c r="N738" s="62" t="e">
        <f t="shared" ca="1" si="8"/>
        <v>#REF!</v>
      </c>
      <c r="O738" s="48" t="e">
        <f t="shared" ca="1" si="9"/>
        <v>#REF!</v>
      </c>
      <c r="P738" s="48" t="e">
        <f t="shared" ca="1" si="10"/>
        <v>#REF!</v>
      </c>
      <c r="Q738" s="48" t="e">
        <f t="shared" ca="1" si="11"/>
        <v>#REF!</v>
      </c>
      <c r="R738" s="48"/>
      <c r="S738" s="48" t="e">
        <f t="shared" ca="1" si="12"/>
        <v>#REF!</v>
      </c>
      <c r="T738" s="48" t="e">
        <f t="shared" ca="1" si="13"/>
        <v>#REF!</v>
      </c>
      <c r="U738" s="48" t="e">
        <f t="shared" ca="1" si="14"/>
        <v>#REF!</v>
      </c>
      <c r="V738" s="48"/>
      <c r="W738" s="48"/>
      <c r="X738" s="48"/>
      <c r="Y738" s="48"/>
      <c r="Z738" s="61"/>
      <c r="AA738" s="48" t="e">
        <f ca="1">IF(INDIRECT("'["&amp;$C$1&amp;".xls]"&amp;$B738&amp;"'!$P$25")="","",IF(INDIRECT("'["&amp;$C$1&amp;".xls]"&amp;$B738&amp;"'!$O$25")="済み",INDIRECT("'["&amp;$C$1&amp;".xls]"&amp;$B738&amp;"'!$P$25"),""))</f>
        <v>#REF!</v>
      </c>
      <c r="AB738" s="48" t="e">
        <f ca="1">IF(INDIRECT("'["&amp;$C$1&amp;".xls]"&amp;$B738&amp;"'!$P$26")="","",IF(INDIRECT("'["&amp;$C$1&amp;".xls]"&amp;$B738&amp;"'!$O$26")="済み",INDIRECT("'["&amp;$C$1&amp;".xls]"&amp;$B738&amp;"'!$P$26"),""))</f>
        <v>#REF!</v>
      </c>
      <c r="AC738" s="48" t="e">
        <f ca="1">IF(INDIRECT("'["&amp;$C$1&amp;".xls]"&amp;$B738&amp;"'!$P$27")="","",IF(INDIRECT("'["&amp;$C$1&amp;".xls]"&amp;$B738&amp;"'!$O$27")="済み",INDIRECT("'["&amp;$C$1&amp;".xls]"&amp;$B738&amp;"'!$P$27"),""))</f>
        <v>#REF!</v>
      </c>
      <c r="AD738" s="48" t="e">
        <f ca="1">IF(INDIRECT("'["&amp;$C$1&amp;".xls]"&amp;$B738&amp;"'!$P$28")="","",IF(INDIRECT("'["&amp;$C$1&amp;".xls]"&amp;$B738&amp;"'!$O$28")="済み",INDIRECT("'["&amp;$C$1&amp;".xls]"&amp;$B738&amp;"'!$P$28"),""))</f>
        <v>#REF!</v>
      </c>
      <c r="AE738" s="48" t="e">
        <f ca="1">IF(INDIRECT("'["&amp;$C$1&amp;".xls]"&amp;$B738&amp;"'!$P$29")="","",IF(INDIRECT("'["&amp;$C$1&amp;".xls]"&amp;$B738&amp;"'!$O$29")="済み",INDIRECT("'["&amp;$C$1&amp;".xls]"&amp;$B738&amp;"'!$P$29"),""))</f>
        <v>#REF!</v>
      </c>
      <c r="AF738" s="48" t="e">
        <f ca="1">IF(INDIRECT("'["&amp;$C$1&amp;".xls]"&amp;$B738&amp;"'!$P$30")="","",IF(INDIRECT("'["&amp;$C$1&amp;".xls]"&amp;$B738&amp;"'!$O$30")="済み",INDIRECT("'["&amp;$C$1&amp;".xls]"&amp;$B738&amp;"'!$P$30"),""))</f>
        <v>#REF!</v>
      </c>
      <c r="AG738" s="48" t="e">
        <f ca="1">IF(INDIRECT("'["&amp;$C$1&amp;".xls]"&amp;$B738&amp;"'!$P$31")="","",IF(INDIRECT("'["&amp;$C$1&amp;".xls]"&amp;$B738&amp;"'!$O$31")="済み",INDIRECT("'["&amp;$C$1&amp;".xls]"&amp;$B738&amp;"'!$P$31"),""))</f>
        <v>#REF!</v>
      </c>
      <c r="AH738" s="48" t="e">
        <f ca="1">IF(INDIRECT("'["&amp;$C$1&amp;".xls]"&amp;$B738&amp;"'!$P$32")="","",IF(INDIRECT("'["&amp;$C$1&amp;".xls]"&amp;$B738&amp;"'!$O$32")="済み",INDIRECT("'["&amp;$C$1&amp;".xls]"&amp;$B738&amp;"'!$P$32"),""))</f>
        <v>#REF!</v>
      </c>
      <c r="AI738" s="48" t="e">
        <f ca="1">IF(INDIRECT("'["&amp;$C$1&amp;".xls]"&amp;$B738&amp;"'!$P$33")="","",IF(INDIRECT("'["&amp;$C$1&amp;".xls]"&amp;$B738&amp;"'!$O$33")="済み",INDIRECT("'["&amp;$C$1&amp;".xls]"&amp;$B738&amp;"'!$P$33"),""))</f>
        <v>#REF!</v>
      </c>
      <c r="AJ738" s="48" t="e">
        <f ca="1">IF(INDIRECT("'["&amp;$C$1&amp;".xls]"&amp;$B738&amp;"'!$P$34")="","",IF(INDIRECT("'["&amp;$C$1&amp;".xls]"&amp;$B738&amp;"'!$O$34")="済み",INDIRECT("'["&amp;$C$1&amp;".xls]"&amp;$B738&amp;"'!$P$34"),""))</f>
        <v>#REF!</v>
      </c>
      <c r="AK738" s="48" t="e">
        <f ca="1">IF(INDIRECT("'["&amp;$C$1&amp;".xls]"&amp;$B738&amp;"'!$T25")="","",IF(INDIRECT("'["&amp;$C$1&amp;".xls]"&amp;$B738&amp;"'!$O$25")="済み",INDIRECT("'["&amp;$C$1&amp;".xls]"&amp;$B738&amp;"'!$T$25"),""))</f>
        <v>#REF!</v>
      </c>
      <c r="AL738" s="48" t="e">
        <f ca="1">IF(INDIRECT("'["&amp;$C$1&amp;".xls]"&amp;$B738&amp;"'!$T26")="","",IF(INDIRECT("'["&amp;$C$1&amp;".xls]"&amp;$B738&amp;"'!$O$26")="済み",INDIRECT("'["&amp;$C$1&amp;".xls]"&amp;$B738&amp;"'!$T$26"),""))</f>
        <v>#REF!</v>
      </c>
      <c r="AM738" s="48" t="e">
        <f ca="1">IF(INDIRECT("'["&amp;$C$1&amp;".xls]"&amp;$B738&amp;"'!$T27")="","",IF(INDIRECT("'["&amp;$C$1&amp;".xls]"&amp;$B738&amp;"'!$O$27")="済み",INDIRECT("'["&amp;$C$1&amp;".xls]"&amp;$B738&amp;"'!$T$27"),""))</f>
        <v>#REF!</v>
      </c>
      <c r="AN738" s="48" t="e">
        <f ca="1">IF(INDIRECT("'["&amp;$C$1&amp;".xls]"&amp;$B738&amp;"'!$T28")="","",IF(INDIRECT("'["&amp;$C$1&amp;".xls]"&amp;$B738&amp;"'!$O$28")="済み",INDIRECT("'["&amp;$C$1&amp;".xls]"&amp;$B738&amp;"'!$T$28"),""))</f>
        <v>#REF!</v>
      </c>
      <c r="AO738" s="48" t="e">
        <f ca="1">IF(INDIRECT("'["&amp;$C$1&amp;".xls]"&amp;$B738&amp;"'!$T29")="","",IF(INDIRECT("'["&amp;$C$1&amp;".xls]"&amp;$B738&amp;"'!$O$29")="済み",INDIRECT("'["&amp;$C$1&amp;".xls]"&amp;$B738&amp;"'!$T$29"),""))</f>
        <v>#REF!</v>
      </c>
      <c r="AP738" s="48" t="e">
        <f ca="1">IF(INDIRECT("'["&amp;$C$1&amp;".xls]"&amp;$B738&amp;"'!$T30")="","",IF(INDIRECT("'["&amp;$C$1&amp;".xls]"&amp;$B738&amp;"'!$O$30")="済み",INDIRECT("'["&amp;$C$1&amp;".xls]"&amp;$B738&amp;"'!$T$30"),""))</f>
        <v>#REF!</v>
      </c>
      <c r="AQ738" s="48" t="e">
        <f ca="1">IF(INDIRECT("'["&amp;$C$1&amp;".xls]"&amp;$B738&amp;"'!$T31")="","",IF(INDIRECT("'["&amp;$C$1&amp;".xls]"&amp;$B738&amp;"'!$O$31")="済み",INDIRECT("'["&amp;$C$1&amp;".xls]"&amp;$B738&amp;"'!$T$31"),""))</f>
        <v>#REF!</v>
      </c>
      <c r="AR738" s="48" t="e">
        <f ca="1">IF(INDIRECT("'["&amp;$C$1&amp;".xls]"&amp;$B738&amp;"'!$T32")="","",IF(INDIRECT("'["&amp;$C$1&amp;".xls]"&amp;$B738&amp;"'!$O$32")="済み",INDIRECT("'["&amp;$C$1&amp;".xls]"&amp;$B738&amp;"'!$T$32"),""))</f>
        <v>#REF!</v>
      </c>
      <c r="AS738" s="48" t="e">
        <f ca="1">IF(INDIRECT("'["&amp;$C$1&amp;".xls]"&amp;$B738&amp;"'!$T33")="","",IF(INDIRECT("'["&amp;$C$1&amp;".xls]"&amp;$B738&amp;"'!$O$33")="済み",INDIRECT("'["&amp;$C$1&amp;".xls]"&amp;$B738&amp;"'!$T$33"),""))</f>
        <v>#REF!</v>
      </c>
      <c r="AT738" s="48" t="e">
        <f ca="1">IF(INDIRECT("'["&amp;$C$1&amp;".xls]"&amp;$B738&amp;"'!$T34")="","",IF(INDIRECT("'["&amp;$C$1&amp;".xls]"&amp;$B738&amp;"'!$O$34")="済み",INDIRECT("'["&amp;$C$1&amp;".xls]"&amp;$B738&amp;"'!$T$34"),""))</f>
        <v>#REF!</v>
      </c>
      <c r="AU738" s="93" t="e">
        <f t="shared" ca="1" si="15"/>
        <v>#REF!</v>
      </c>
      <c r="AV738" s="93" t="e">
        <f ca="1">INDIRECT("'["&amp;$C$1&amp;".xls]"&amp;$B738&amp;"'!$Y$22")</f>
        <v>#REF!</v>
      </c>
      <c r="AW738" s="93" t="e">
        <f ca="1">INDIRECT("'["&amp;$C$1&amp;".xls]"&amp;$B738&amp;"'!$Y$24")</f>
        <v>#REF!</v>
      </c>
      <c r="AX738" s="93" t="e">
        <f ca="1">INDIRECT("'["&amp;$C$1&amp;".xls]"&amp;$B738&amp;"'!$Y$26")</f>
        <v>#REF!</v>
      </c>
      <c r="AY738" s="93" t="e">
        <f ca="1">INDIRECT("'["&amp;$C$1&amp;".xls]"&amp;$B738&amp;"'!$Y$28")</f>
        <v>#REF!</v>
      </c>
    </row>
    <row r="739" spans="1:52" ht="16.5" customHeight="1" x14ac:dyDescent="0.15">
      <c r="A739" s="121" t="s">
        <v>7413</v>
      </c>
      <c r="B739" s="47" t="s">
        <v>7414</v>
      </c>
      <c r="C739" s="48" t="e">
        <f t="shared" ca="1" si="0"/>
        <v>#REF!</v>
      </c>
      <c r="D739" s="62" t="e">
        <f t="shared" ca="1" si="1"/>
        <v>#REF!</v>
      </c>
      <c r="E739" s="48" t="e">
        <f t="shared" ca="1" si="2"/>
        <v>#REF!</v>
      </c>
      <c r="F739" s="61" t="e">
        <f t="shared" ca="1" si="3"/>
        <v>#REF!</v>
      </c>
      <c r="G739" s="61" t="e">
        <f ca="1">INDIRECT("'["&amp;$C$1&amp;".xls]"&amp;$B739&amp;"'!$a$20")</f>
        <v>#REF!</v>
      </c>
      <c r="H739" s="88" t="e">
        <f t="shared" ca="1" si="4"/>
        <v>#REF!</v>
      </c>
      <c r="I739" s="61" t="e">
        <f t="shared" ca="1" si="5"/>
        <v>#REF!</v>
      </c>
      <c r="J739" s="87"/>
      <c r="K739" s="62" t="e">
        <f t="shared" ca="1" si="6"/>
        <v>#REF!</v>
      </c>
      <c r="L739" s="62"/>
      <c r="M739" s="62" t="e">
        <f t="shared" ca="1" si="7"/>
        <v>#REF!</v>
      </c>
      <c r="N739" s="62" t="e">
        <f t="shared" ca="1" si="8"/>
        <v>#REF!</v>
      </c>
      <c r="O739" s="48" t="e">
        <f t="shared" ca="1" si="9"/>
        <v>#REF!</v>
      </c>
      <c r="P739" s="48" t="e">
        <f t="shared" ca="1" si="10"/>
        <v>#REF!</v>
      </c>
      <c r="Q739" s="48" t="e">
        <f t="shared" ca="1" si="11"/>
        <v>#REF!</v>
      </c>
      <c r="R739" s="48"/>
      <c r="S739" s="48" t="e">
        <f t="shared" ca="1" si="12"/>
        <v>#REF!</v>
      </c>
      <c r="T739" s="48" t="e">
        <f t="shared" ca="1" si="13"/>
        <v>#REF!</v>
      </c>
      <c r="U739" s="48" t="e">
        <f t="shared" ca="1" si="14"/>
        <v>#REF!</v>
      </c>
      <c r="V739" s="48"/>
      <c r="W739" s="48"/>
      <c r="X739" s="48"/>
      <c r="Y739" s="48"/>
      <c r="Z739" s="61"/>
      <c r="AA739" s="48" t="e">
        <f ca="1">IF(INDIRECT("'["&amp;$C$1&amp;".xls]"&amp;$B739&amp;"'!$P$25")="","",IF(INDIRECT("'["&amp;$C$1&amp;".xls]"&amp;$B739&amp;"'!$O$25")="済み",INDIRECT("'["&amp;$C$1&amp;".xls]"&amp;$B739&amp;"'!$P$25"),""))</f>
        <v>#REF!</v>
      </c>
      <c r="AB739" s="48" t="e">
        <f ca="1">IF(INDIRECT("'["&amp;$C$1&amp;".xls]"&amp;$B739&amp;"'!$P$26")="","",IF(INDIRECT("'["&amp;$C$1&amp;".xls]"&amp;$B739&amp;"'!$O$26")="済み",INDIRECT("'["&amp;$C$1&amp;".xls]"&amp;$B739&amp;"'!$P$26"),""))</f>
        <v>#REF!</v>
      </c>
      <c r="AC739" s="48" t="e">
        <f ca="1">IF(INDIRECT("'["&amp;$C$1&amp;".xls]"&amp;$B739&amp;"'!$P$27")="","",IF(INDIRECT("'["&amp;$C$1&amp;".xls]"&amp;$B739&amp;"'!$O$27")="済み",INDIRECT("'["&amp;$C$1&amp;".xls]"&amp;$B739&amp;"'!$P$27"),""))</f>
        <v>#REF!</v>
      </c>
      <c r="AD739" s="48" t="e">
        <f ca="1">IF(INDIRECT("'["&amp;$C$1&amp;".xls]"&amp;$B739&amp;"'!$P$28")="","",IF(INDIRECT("'["&amp;$C$1&amp;".xls]"&amp;$B739&amp;"'!$O$28")="済み",INDIRECT("'["&amp;$C$1&amp;".xls]"&amp;$B739&amp;"'!$P$28"),""))</f>
        <v>#REF!</v>
      </c>
      <c r="AE739" s="48" t="e">
        <f ca="1">IF(INDIRECT("'["&amp;$C$1&amp;".xls]"&amp;$B739&amp;"'!$P$29")="","",IF(INDIRECT("'["&amp;$C$1&amp;".xls]"&amp;$B739&amp;"'!$O$29")="済み",INDIRECT("'["&amp;$C$1&amp;".xls]"&amp;$B739&amp;"'!$P$29"),""))</f>
        <v>#REF!</v>
      </c>
      <c r="AF739" s="48" t="e">
        <f ca="1">IF(INDIRECT("'["&amp;$C$1&amp;".xls]"&amp;$B739&amp;"'!$P$30")="","",IF(INDIRECT("'["&amp;$C$1&amp;".xls]"&amp;$B739&amp;"'!$O$30")="済み",INDIRECT("'["&amp;$C$1&amp;".xls]"&amp;$B739&amp;"'!$P$30"),""))</f>
        <v>#REF!</v>
      </c>
      <c r="AG739" s="48" t="e">
        <f ca="1">IF(INDIRECT("'["&amp;$C$1&amp;".xls]"&amp;$B739&amp;"'!$P$31")="","",IF(INDIRECT("'["&amp;$C$1&amp;".xls]"&amp;$B739&amp;"'!$O$31")="済み",INDIRECT("'["&amp;$C$1&amp;".xls]"&amp;$B739&amp;"'!$P$31"),""))</f>
        <v>#REF!</v>
      </c>
      <c r="AH739" s="48" t="e">
        <f ca="1">IF(INDIRECT("'["&amp;$C$1&amp;".xls]"&amp;$B739&amp;"'!$P$32")="","",IF(INDIRECT("'["&amp;$C$1&amp;".xls]"&amp;$B739&amp;"'!$O$32")="済み",INDIRECT("'["&amp;$C$1&amp;".xls]"&amp;$B739&amp;"'!$P$32"),""))</f>
        <v>#REF!</v>
      </c>
      <c r="AI739" s="48" t="e">
        <f ca="1">IF(INDIRECT("'["&amp;$C$1&amp;".xls]"&amp;$B739&amp;"'!$P$33")="","",IF(INDIRECT("'["&amp;$C$1&amp;".xls]"&amp;$B739&amp;"'!$O$33")="済み",INDIRECT("'["&amp;$C$1&amp;".xls]"&amp;$B739&amp;"'!$P$33"),""))</f>
        <v>#REF!</v>
      </c>
      <c r="AJ739" s="48" t="e">
        <f ca="1">IF(INDIRECT("'["&amp;$C$1&amp;".xls]"&amp;$B739&amp;"'!$P$34")="","",IF(INDIRECT("'["&amp;$C$1&amp;".xls]"&amp;$B739&amp;"'!$O$34")="済み",INDIRECT("'["&amp;$C$1&amp;".xls]"&amp;$B739&amp;"'!$P$34"),""))</f>
        <v>#REF!</v>
      </c>
      <c r="AK739" s="48" t="e">
        <f ca="1">IF(INDIRECT("'["&amp;$C$1&amp;".xls]"&amp;$B739&amp;"'!$T25")="","",IF(INDIRECT("'["&amp;$C$1&amp;".xls]"&amp;$B739&amp;"'!$O$25")="済み",INDIRECT("'["&amp;$C$1&amp;".xls]"&amp;$B739&amp;"'!$T$25"),""))</f>
        <v>#REF!</v>
      </c>
      <c r="AL739" s="48" t="e">
        <f ca="1">IF(INDIRECT("'["&amp;$C$1&amp;".xls]"&amp;$B739&amp;"'!$T26")="","",IF(INDIRECT("'["&amp;$C$1&amp;".xls]"&amp;$B739&amp;"'!$O$26")="済み",INDIRECT("'["&amp;$C$1&amp;".xls]"&amp;$B739&amp;"'!$T$26"),""))</f>
        <v>#REF!</v>
      </c>
      <c r="AM739" s="48" t="e">
        <f ca="1">IF(INDIRECT("'["&amp;$C$1&amp;".xls]"&amp;$B739&amp;"'!$T27")="","",IF(INDIRECT("'["&amp;$C$1&amp;".xls]"&amp;$B739&amp;"'!$O$27")="済み",INDIRECT("'["&amp;$C$1&amp;".xls]"&amp;$B739&amp;"'!$T$27"),""))</f>
        <v>#REF!</v>
      </c>
      <c r="AN739" s="48" t="e">
        <f ca="1">IF(INDIRECT("'["&amp;$C$1&amp;".xls]"&amp;$B739&amp;"'!$T28")="","",IF(INDIRECT("'["&amp;$C$1&amp;".xls]"&amp;$B739&amp;"'!$O$28")="済み",INDIRECT("'["&amp;$C$1&amp;".xls]"&amp;$B739&amp;"'!$T$28"),""))</f>
        <v>#REF!</v>
      </c>
      <c r="AO739" s="48" t="e">
        <f ca="1">IF(INDIRECT("'["&amp;$C$1&amp;".xls]"&amp;$B739&amp;"'!$T29")="","",IF(INDIRECT("'["&amp;$C$1&amp;".xls]"&amp;$B739&amp;"'!$O$29")="済み",INDIRECT("'["&amp;$C$1&amp;".xls]"&amp;$B739&amp;"'!$T$29"),""))</f>
        <v>#REF!</v>
      </c>
      <c r="AP739" s="48" t="e">
        <f ca="1">IF(INDIRECT("'["&amp;$C$1&amp;".xls]"&amp;$B739&amp;"'!$T30")="","",IF(INDIRECT("'["&amp;$C$1&amp;".xls]"&amp;$B739&amp;"'!$O$30")="済み",INDIRECT("'["&amp;$C$1&amp;".xls]"&amp;$B739&amp;"'!$T$30"),""))</f>
        <v>#REF!</v>
      </c>
      <c r="AQ739" s="48" t="e">
        <f ca="1">IF(INDIRECT("'["&amp;$C$1&amp;".xls]"&amp;$B739&amp;"'!$T31")="","",IF(INDIRECT("'["&amp;$C$1&amp;".xls]"&amp;$B739&amp;"'!$O$31")="済み",INDIRECT("'["&amp;$C$1&amp;".xls]"&amp;$B739&amp;"'!$T$31"),""))</f>
        <v>#REF!</v>
      </c>
      <c r="AR739" s="48" t="e">
        <f ca="1">IF(INDIRECT("'["&amp;$C$1&amp;".xls]"&amp;$B739&amp;"'!$T32")="","",IF(INDIRECT("'["&amp;$C$1&amp;".xls]"&amp;$B739&amp;"'!$O$32")="済み",INDIRECT("'["&amp;$C$1&amp;".xls]"&amp;$B739&amp;"'!$T$32"),""))</f>
        <v>#REF!</v>
      </c>
      <c r="AS739" s="48" t="e">
        <f ca="1">IF(INDIRECT("'["&amp;$C$1&amp;".xls]"&amp;$B739&amp;"'!$T33")="","",IF(INDIRECT("'["&amp;$C$1&amp;".xls]"&amp;$B739&amp;"'!$O$33")="済み",INDIRECT("'["&amp;$C$1&amp;".xls]"&amp;$B739&amp;"'!$T$33"),""))</f>
        <v>#REF!</v>
      </c>
      <c r="AT739" s="48" t="e">
        <f ca="1">IF(INDIRECT("'["&amp;$C$1&amp;".xls]"&amp;$B739&amp;"'!$T34")="","",IF(INDIRECT("'["&amp;$C$1&amp;".xls]"&amp;$B739&amp;"'!$O$34")="済み",INDIRECT("'["&amp;$C$1&amp;".xls]"&amp;$B739&amp;"'!$T$34"),""))</f>
        <v>#REF!</v>
      </c>
      <c r="AU739" s="93" t="e">
        <f t="shared" ca="1" si="15"/>
        <v>#REF!</v>
      </c>
      <c r="AV739" s="93" t="e">
        <f ca="1">INDIRECT("'["&amp;$C$1&amp;".xls]"&amp;$B739&amp;"'!$Y$22")</f>
        <v>#REF!</v>
      </c>
      <c r="AW739" s="93" t="e">
        <f ca="1">INDIRECT("'["&amp;$C$1&amp;".xls]"&amp;$B739&amp;"'!$Y$24")</f>
        <v>#REF!</v>
      </c>
      <c r="AX739" s="93" t="e">
        <f ca="1">INDIRECT("'["&amp;$C$1&amp;".xls]"&amp;$B739&amp;"'!$Y$26")</f>
        <v>#REF!</v>
      </c>
      <c r="AY739" s="93" t="e">
        <f ca="1">INDIRECT("'["&amp;$C$1&amp;".xls]"&amp;$B739&amp;"'!$Y$28")</f>
        <v>#REF!</v>
      </c>
    </row>
    <row r="740" spans="1:52" ht="16.5" customHeight="1" x14ac:dyDescent="0.15">
      <c r="A740" s="121" t="s">
        <v>7415</v>
      </c>
      <c r="B740" s="47" t="s">
        <v>7416</v>
      </c>
      <c r="C740" s="48" t="e">
        <f t="shared" ca="1" si="0"/>
        <v>#REF!</v>
      </c>
      <c r="D740" s="62" t="e">
        <f t="shared" ca="1" si="1"/>
        <v>#REF!</v>
      </c>
      <c r="E740" s="48" t="e">
        <f t="shared" ca="1" si="2"/>
        <v>#REF!</v>
      </c>
      <c r="F740" s="61" t="e">
        <f t="shared" ca="1" si="3"/>
        <v>#REF!</v>
      </c>
      <c r="G740" s="61" t="e">
        <f ca="1">INDIRECT("'["&amp;$C$1&amp;".xls]"&amp;$B740&amp;"'!$a$20")</f>
        <v>#REF!</v>
      </c>
      <c r="H740" s="88" t="e">
        <f t="shared" ca="1" si="4"/>
        <v>#REF!</v>
      </c>
      <c r="I740" s="61" t="e">
        <f t="shared" ca="1" si="5"/>
        <v>#REF!</v>
      </c>
      <c r="J740" s="87"/>
      <c r="K740" s="62" t="e">
        <f t="shared" ca="1" si="6"/>
        <v>#REF!</v>
      </c>
      <c r="L740" s="62"/>
      <c r="M740" s="62" t="e">
        <f t="shared" ca="1" si="7"/>
        <v>#REF!</v>
      </c>
      <c r="N740" s="62" t="e">
        <f t="shared" ca="1" si="8"/>
        <v>#REF!</v>
      </c>
      <c r="O740" s="48" t="e">
        <f t="shared" ca="1" si="9"/>
        <v>#REF!</v>
      </c>
      <c r="P740" s="48" t="e">
        <f t="shared" ca="1" si="10"/>
        <v>#REF!</v>
      </c>
      <c r="Q740" s="48" t="e">
        <f t="shared" ca="1" si="11"/>
        <v>#REF!</v>
      </c>
      <c r="R740" s="48" t="s">
        <v>7417</v>
      </c>
      <c r="S740" s="48" t="e">
        <f t="shared" ca="1" si="12"/>
        <v>#REF!</v>
      </c>
      <c r="T740" s="48" t="e">
        <f t="shared" ca="1" si="13"/>
        <v>#REF!</v>
      </c>
      <c r="U740" s="48" t="e">
        <f t="shared" ca="1" si="14"/>
        <v>#REF!</v>
      </c>
      <c r="V740" s="48"/>
      <c r="W740" s="48"/>
      <c r="X740" s="48"/>
      <c r="Y740" s="48"/>
      <c r="Z740" s="61"/>
      <c r="AA740" s="48" t="e">
        <f ca="1">IF(INDIRECT("'["&amp;$C$1&amp;".xls]"&amp;$B740&amp;"'!$P$25")="","",IF(INDIRECT("'["&amp;$C$1&amp;".xls]"&amp;$B740&amp;"'!$O$25")="済み",INDIRECT("'["&amp;$C$1&amp;".xls]"&amp;$B740&amp;"'!$P$25"),""))</f>
        <v>#REF!</v>
      </c>
      <c r="AB740" s="48" t="e">
        <f ca="1">IF(INDIRECT("'["&amp;$C$1&amp;".xls]"&amp;$B740&amp;"'!$P$26")="","",IF(INDIRECT("'["&amp;$C$1&amp;".xls]"&amp;$B740&amp;"'!$O$26")="済み",INDIRECT("'["&amp;$C$1&amp;".xls]"&amp;$B740&amp;"'!$P$26"),""))</f>
        <v>#REF!</v>
      </c>
      <c r="AC740" s="48" t="e">
        <f ca="1">IF(INDIRECT("'["&amp;$C$1&amp;".xls]"&amp;$B740&amp;"'!$P$27")="","",IF(INDIRECT("'["&amp;$C$1&amp;".xls]"&amp;$B740&amp;"'!$O$27")="済み",INDIRECT("'["&amp;$C$1&amp;".xls]"&amp;$B740&amp;"'!$P$27"),""))</f>
        <v>#REF!</v>
      </c>
      <c r="AD740" s="48" t="e">
        <f ca="1">IF(INDIRECT("'["&amp;$C$1&amp;".xls]"&amp;$B740&amp;"'!$P$28")="","",IF(INDIRECT("'["&amp;$C$1&amp;".xls]"&amp;$B740&amp;"'!$O$28")="済み",INDIRECT("'["&amp;$C$1&amp;".xls]"&amp;$B740&amp;"'!$P$28"),""))</f>
        <v>#REF!</v>
      </c>
      <c r="AE740" s="48" t="e">
        <f ca="1">IF(INDIRECT("'["&amp;$C$1&amp;".xls]"&amp;$B740&amp;"'!$P$29")="","",IF(INDIRECT("'["&amp;$C$1&amp;".xls]"&amp;$B740&amp;"'!$O$29")="済み",INDIRECT("'["&amp;$C$1&amp;".xls]"&amp;$B740&amp;"'!$P$29"),""))</f>
        <v>#REF!</v>
      </c>
      <c r="AF740" s="48" t="e">
        <f ca="1">IF(INDIRECT("'["&amp;$C$1&amp;".xls]"&amp;$B740&amp;"'!$P$30")="","",IF(INDIRECT("'["&amp;$C$1&amp;".xls]"&amp;$B740&amp;"'!$O$30")="済み",INDIRECT("'["&amp;$C$1&amp;".xls]"&amp;$B740&amp;"'!$P$30"),""))</f>
        <v>#REF!</v>
      </c>
      <c r="AG740" s="48" t="e">
        <f ca="1">IF(INDIRECT("'["&amp;$C$1&amp;".xls]"&amp;$B740&amp;"'!$P$31")="","",IF(INDIRECT("'["&amp;$C$1&amp;".xls]"&amp;$B740&amp;"'!$O$31")="済み",INDIRECT("'["&amp;$C$1&amp;".xls]"&amp;$B740&amp;"'!$P$31"),""))</f>
        <v>#REF!</v>
      </c>
      <c r="AH740" s="48" t="e">
        <f ca="1">IF(INDIRECT("'["&amp;$C$1&amp;".xls]"&amp;$B740&amp;"'!$P$32")="","",IF(INDIRECT("'["&amp;$C$1&amp;".xls]"&amp;$B740&amp;"'!$O$32")="済み",INDIRECT("'["&amp;$C$1&amp;".xls]"&amp;$B740&amp;"'!$P$32"),""))</f>
        <v>#REF!</v>
      </c>
      <c r="AI740" s="48" t="e">
        <f ca="1">IF(INDIRECT("'["&amp;$C$1&amp;".xls]"&amp;$B740&amp;"'!$P$33")="","",IF(INDIRECT("'["&amp;$C$1&amp;".xls]"&amp;$B740&amp;"'!$O$33")="済み",INDIRECT("'["&amp;$C$1&amp;".xls]"&amp;$B740&amp;"'!$P$33"),""))</f>
        <v>#REF!</v>
      </c>
      <c r="AJ740" s="48" t="e">
        <f ca="1">IF(INDIRECT("'["&amp;$C$1&amp;".xls]"&amp;$B740&amp;"'!$P$34")="","",IF(INDIRECT("'["&amp;$C$1&amp;".xls]"&amp;$B740&amp;"'!$O$34")="済み",INDIRECT("'["&amp;$C$1&amp;".xls]"&amp;$B740&amp;"'!$P$34"),""))</f>
        <v>#REF!</v>
      </c>
      <c r="AK740" s="48" t="e">
        <f ca="1">IF(INDIRECT("'["&amp;$C$1&amp;".xls]"&amp;$B740&amp;"'!$T25")="","",IF(INDIRECT("'["&amp;$C$1&amp;".xls]"&amp;$B740&amp;"'!$O$25")="済み",INDIRECT("'["&amp;$C$1&amp;".xls]"&amp;$B740&amp;"'!$T$25"),""))</f>
        <v>#REF!</v>
      </c>
      <c r="AL740" s="48" t="e">
        <f ca="1">IF(INDIRECT("'["&amp;$C$1&amp;".xls]"&amp;$B740&amp;"'!$T26")="","",IF(INDIRECT("'["&amp;$C$1&amp;".xls]"&amp;$B740&amp;"'!$O$26")="済み",INDIRECT("'["&amp;$C$1&amp;".xls]"&amp;$B740&amp;"'!$T$26"),""))</f>
        <v>#REF!</v>
      </c>
      <c r="AM740" s="48" t="e">
        <f ca="1">IF(INDIRECT("'["&amp;$C$1&amp;".xls]"&amp;$B740&amp;"'!$T27")="","",IF(INDIRECT("'["&amp;$C$1&amp;".xls]"&amp;$B740&amp;"'!$O$27")="済み",INDIRECT("'["&amp;$C$1&amp;".xls]"&amp;$B740&amp;"'!$T$27"),""))</f>
        <v>#REF!</v>
      </c>
      <c r="AN740" s="48" t="e">
        <f ca="1">IF(INDIRECT("'["&amp;$C$1&amp;".xls]"&amp;$B740&amp;"'!$T28")="","",IF(INDIRECT("'["&amp;$C$1&amp;".xls]"&amp;$B740&amp;"'!$O$28")="済み",INDIRECT("'["&amp;$C$1&amp;".xls]"&amp;$B740&amp;"'!$T$28"),""))</f>
        <v>#REF!</v>
      </c>
      <c r="AO740" s="48" t="e">
        <f ca="1">IF(INDIRECT("'["&amp;$C$1&amp;".xls]"&amp;$B740&amp;"'!$T29")="","",IF(INDIRECT("'["&amp;$C$1&amp;".xls]"&amp;$B740&amp;"'!$O$29")="済み",INDIRECT("'["&amp;$C$1&amp;".xls]"&amp;$B740&amp;"'!$T$29"),""))</f>
        <v>#REF!</v>
      </c>
      <c r="AP740" s="48" t="e">
        <f ca="1">IF(INDIRECT("'["&amp;$C$1&amp;".xls]"&amp;$B740&amp;"'!$T30")="","",IF(INDIRECT("'["&amp;$C$1&amp;".xls]"&amp;$B740&amp;"'!$O$30")="済み",INDIRECT("'["&amp;$C$1&amp;".xls]"&amp;$B740&amp;"'!$T$30"),""))</f>
        <v>#REF!</v>
      </c>
      <c r="AQ740" s="48" t="e">
        <f ca="1">IF(INDIRECT("'["&amp;$C$1&amp;".xls]"&amp;$B740&amp;"'!$T31")="","",IF(INDIRECT("'["&amp;$C$1&amp;".xls]"&amp;$B740&amp;"'!$O$31")="済み",INDIRECT("'["&amp;$C$1&amp;".xls]"&amp;$B740&amp;"'!$T$31"),""))</f>
        <v>#REF!</v>
      </c>
      <c r="AR740" s="48" t="e">
        <f ca="1">IF(INDIRECT("'["&amp;$C$1&amp;".xls]"&amp;$B740&amp;"'!$T32")="","",IF(INDIRECT("'["&amp;$C$1&amp;".xls]"&amp;$B740&amp;"'!$O$32")="済み",INDIRECT("'["&amp;$C$1&amp;".xls]"&amp;$B740&amp;"'!$T$32"),""))</f>
        <v>#REF!</v>
      </c>
      <c r="AS740" s="48" t="e">
        <f ca="1">IF(INDIRECT("'["&amp;$C$1&amp;".xls]"&amp;$B740&amp;"'!$T33")="","",IF(INDIRECT("'["&amp;$C$1&amp;".xls]"&amp;$B740&amp;"'!$O$33")="済み",INDIRECT("'["&amp;$C$1&amp;".xls]"&amp;$B740&amp;"'!$T$33"),""))</f>
        <v>#REF!</v>
      </c>
      <c r="AT740" s="48" t="e">
        <f ca="1">IF(INDIRECT("'["&amp;$C$1&amp;".xls]"&amp;$B740&amp;"'!$T34")="","",IF(INDIRECT("'["&amp;$C$1&amp;".xls]"&amp;$B740&amp;"'!$O$34")="済み",INDIRECT("'["&amp;$C$1&amp;".xls]"&amp;$B740&amp;"'!$T$34"),""))</f>
        <v>#REF!</v>
      </c>
      <c r="AU740" s="93" t="e">
        <f t="shared" ca="1" si="15"/>
        <v>#REF!</v>
      </c>
      <c r="AV740" s="93" t="e">
        <f ca="1">INDIRECT("'["&amp;$C$1&amp;".xls]"&amp;$B740&amp;"'!$Y$22")</f>
        <v>#REF!</v>
      </c>
      <c r="AW740" s="93" t="e">
        <f ca="1">INDIRECT("'["&amp;$C$1&amp;".xls]"&amp;$B740&amp;"'!$Y$24")</f>
        <v>#REF!</v>
      </c>
      <c r="AX740" s="93" t="e">
        <f ca="1">INDIRECT("'["&amp;$C$1&amp;".xls]"&amp;$B740&amp;"'!$Y$26")</f>
        <v>#REF!</v>
      </c>
      <c r="AY740" s="93" t="e">
        <f ca="1">INDIRECT("'["&amp;$C$1&amp;".xls]"&amp;$B740&amp;"'!$Y$28")</f>
        <v>#REF!</v>
      </c>
    </row>
    <row r="741" spans="1:52" ht="16.5" customHeight="1" x14ac:dyDescent="0.15">
      <c r="A741" s="121" t="s">
        <v>7418</v>
      </c>
      <c r="B741" s="47" t="s">
        <v>7419</v>
      </c>
      <c r="C741" s="48" t="e">
        <f t="shared" ca="1" si="0"/>
        <v>#REF!</v>
      </c>
      <c r="D741" s="62" t="e">
        <f t="shared" ca="1" si="1"/>
        <v>#REF!</v>
      </c>
      <c r="E741" s="48" t="e">
        <f t="shared" ca="1" si="2"/>
        <v>#REF!</v>
      </c>
      <c r="F741" s="61" t="e">
        <f t="shared" ca="1" si="3"/>
        <v>#REF!</v>
      </c>
      <c r="G741" s="61" t="e">
        <f ca="1">INDIRECT("'["&amp;$C$1&amp;".xls]"&amp;$B741&amp;"'!$a$20")</f>
        <v>#REF!</v>
      </c>
      <c r="H741" s="88" t="e">
        <f t="shared" ca="1" si="4"/>
        <v>#REF!</v>
      </c>
      <c r="I741" s="61" t="e">
        <f t="shared" ca="1" si="5"/>
        <v>#REF!</v>
      </c>
      <c r="J741" s="87"/>
      <c r="K741" s="62" t="e">
        <f t="shared" ca="1" si="6"/>
        <v>#REF!</v>
      </c>
      <c r="L741" s="62"/>
      <c r="M741" s="62" t="e">
        <f t="shared" ca="1" si="7"/>
        <v>#REF!</v>
      </c>
      <c r="N741" s="62" t="e">
        <f t="shared" ca="1" si="8"/>
        <v>#REF!</v>
      </c>
      <c r="O741" s="48" t="e">
        <f t="shared" ca="1" si="9"/>
        <v>#REF!</v>
      </c>
      <c r="P741" s="48" t="e">
        <f t="shared" ca="1" si="10"/>
        <v>#REF!</v>
      </c>
      <c r="Q741" s="48" t="e">
        <f t="shared" ca="1" si="11"/>
        <v>#REF!</v>
      </c>
      <c r="R741" s="48"/>
      <c r="S741" s="48" t="e">
        <f t="shared" ca="1" si="12"/>
        <v>#REF!</v>
      </c>
      <c r="T741" s="48" t="e">
        <f t="shared" ca="1" si="13"/>
        <v>#REF!</v>
      </c>
      <c r="U741" s="48" t="e">
        <f t="shared" ca="1" si="14"/>
        <v>#REF!</v>
      </c>
      <c r="V741" s="48"/>
      <c r="W741" s="48"/>
      <c r="X741" s="48"/>
      <c r="Y741" s="48"/>
      <c r="Z741" s="61"/>
      <c r="AA741" s="48" t="e">
        <f ca="1">IF(INDIRECT("'["&amp;$C$1&amp;".xls]"&amp;$B741&amp;"'!$P$25")="","",IF(INDIRECT("'["&amp;$C$1&amp;".xls]"&amp;$B741&amp;"'!$O$25")="済み",INDIRECT("'["&amp;$C$1&amp;".xls]"&amp;$B741&amp;"'!$P$25"),""))</f>
        <v>#REF!</v>
      </c>
      <c r="AB741" s="48" t="e">
        <f ca="1">IF(INDIRECT("'["&amp;$C$1&amp;".xls]"&amp;$B741&amp;"'!$P$26")="","",IF(INDIRECT("'["&amp;$C$1&amp;".xls]"&amp;$B741&amp;"'!$O$26")="済み",INDIRECT("'["&amp;$C$1&amp;".xls]"&amp;$B741&amp;"'!$P$26"),""))</f>
        <v>#REF!</v>
      </c>
      <c r="AC741" s="48" t="e">
        <f ca="1">IF(INDIRECT("'["&amp;$C$1&amp;".xls]"&amp;$B741&amp;"'!$P$27")="","",IF(INDIRECT("'["&amp;$C$1&amp;".xls]"&amp;$B741&amp;"'!$O$27")="済み",INDIRECT("'["&amp;$C$1&amp;".xls]"&amp;$B741&amp;"'!$P$27"),""))</f>
        <v>#REF!</v>
      </c>
      <c r="AD741" s="48" t="e">
        <f ca="1">IF(INDIRECT("'["&amp;$C$1&amp;".xls]"&amp;$B741&amp;"'!$P$28")="","",IF(INDIRECT("'["&amp;$C$1&amp;".xls]"&amp;$B741&amp;"'!$O$28")="済み",INDIRECT("'["&amp;$C$1&amp;".xls]"&amp;$B741&amp;"'!$P$28"),""))</f>
        <v>#REF!</v>
      </c>
      <c r="AE741" s="48" t="e">
        <f ca="1">IF(INDIRECT("'["&amp;$C$1&amp;".xls]"&amp;$B741&amp;"'!$P$29")="","",IF(INDIRECT("'["&amp;$C$1&amp;".xls]"&amp;$B741&amp;"'!$O$29")="済み",INDIRECT("'["&amp;$C$1&amp;".xls]"&amp;$B741&amp;"'!$P$29"),""))</f>
        <v>#REF!</v>
      </c>
      <c r="AF741" s="48" t="e">
        <f ca="1">IF(INDIRECT("'["&amp;$C$1&amp;".xls]"&amp;$B741&amp;"'!$P$30")="","",IF(INDIRECT("'["&amp;$C$1&amp;".xls]"&amp;$B741&amp;"'!$O$30")="済み",INDIRECT("'["&amp;$C$1&amp;".xls]"&amp;$B741&amp;"'!$P$30"),""))</f>
        <v>#REF!</v>
      </c>
      <c r="AG741" s="48" t="e">
        <f ca="1">IF(INDIRECT("'["&amp;$C$1&amp;".xls]"&amp;$B741&amp;"'!$P$31")="","",IF(INDIRECT("'["&amp;$C$1&amp;".xls]"&amp;$B741&amp;"'!$O$31")="済み",INDIRECT("'["&amp;$C$1&amp;".xls]"&amp;$B741&amp;"'!$P$31"),""))</f>
        <v>#REF!</v>
      </c>
      <c r="AH741" s="48" t="e">
        <f ca="1">IF(INDIRECT("'["&amp;$C$1&amp;".xls]"&amp;$B741&amp;"'!$P$32")="","",IF(INDIRECT("'["&amp;$C$1&amp;".xls]"&amp;$B741&amp;"'!$O$32")="済み",INDIRECT("'["&amp;$C$1&amp;".xls]"&amp;$B741&amp;"'!$P$32"),""))</f>
        <v>#REF!</v>
      </c>
      <c r="AI741" s="48" t="e">
        <f ca="1">IF(INDIRECT("'["&amp;$C$1&amp;".xls]"&amp;$B741&amp;"'!$P$33")="","",IF(INDIRECT("'["&amp;$C$1&amp;".xls]"&amp;$B741&amp;"'!$O$33")="済み",INDIRECT("'["&amp;$C$1&amp;".xls]"&amp;$B741&amp;"'!$P$33"),""))</f>
        <v>#REF!</v>
      </c>
      <c r="AJ741" s="48" t="e">
        <f ca="1">IF(INDIRECT("'["&amp;$C$1&amp;".xls]"&amp;$B741&amp;"'!$P$34")="","",IF(INDIRECT("'["&amp;$C$1&amp;".xls]"&amp;$B741&amp;"'!$O$34")="済み",INDIRECT("'["&amp;$C$1&amp;".xls]"&amp;$B741&amp;"'!$P$34"),""))</f>
        <v>#REF!</v>
      </c>
      <c r="AK741" s="48" t="e">
        <f ca="1">IF(INDIRECT("'["&amp;$C$1&amp;".xls]"&amp;$B741&amp;"'!$T25")="","",IF(INDIRECT("'["&amp;$C$1&amp;".xls]"&amp;$B741&amp;"'!$O$25")="済み",INDIRECT("'["&amp;$C$1&amp;".xls]"&amp;$B741&amp;"'!$T$25"),""))</f>
        <v>#REF!</v>
      </c>
      <c r="AL741" s="48" t="e">
        <f ca="1">IF(INDIRECT("'["&amp;$C$1&amp;".xls]"&amp;$B741&amp;"'!$T26")="","",IF(INDIRECT("'["&amp;$C$1&amp;".xls]"&amp;$B741&amp;"'!$O$26")="済み",INDIRECT("'["&amp;$C$1&amp;".xls]"&amp;$B741&amp;"'!$T$26"),""))</f>
        <v>#REF!</v>
      </c>
      <c r="AM741" s="48" t="e">
        <f ca="1">IF(INDIRECT("'["&amp;$C$1&amp;".xls]"&amp;$B741&amp;"'!$T27")="","",IF(INDIRECT("'["&amp;$C$1&amp;".xls]"&amp;$B741&amp;"'!$O$27")="済み",INDIRECT("'["&amp;$C$1&amp;".xls]"&amp;$B741&amp;"'!$T$27"),""))</f>
        <v>#REF!</v>
      </c>
      <c r="AN741" s="48" t="e">
        <f ca="1">IF(INDIRECT("'["&amp;$C$1&amp;".xls]"&amp;$B741&amp;"'!$T28")="","",IF(INDIRECT("'["&amp;$C$1&amp;".xls]"&amp;$B741&amp;"'!$O$28")="済み",INDIRECT("'["&amp;$C$1&amp;".xls]"&amp;$B741&amp;"'!$T$28"),""))</f>
        <v>#REF!</v>
      </c>
      <c r="AO741" s="48" t="e">
        <f ca="1">IF(INDIRECT("'["&amp;$C$1&amp;".xls]"&amp;$B741&amp;"'!$T29")="","",IF(INDIRECT("'["&amp;$C$1&amp;".xls]"&amp;$B741&amp;"'!$O$29")="済み",INDIRECT("'["&amp;$C$1&amp;".xls]"&amp;$B741&amp;"'!$T$29"),""))</f>
        <v>#REF!</v>
      </c>
      <c r="AP741" s="48" t="e">
        <f ca="1">IF(INDIRECT("'["&amp;$C$1&amp;".xls]"&amp;$B741&amp;"'!$T30")="","",IF(INDIRECT("'["&amp;$C$1&amp;".xls]"&amp;$B741&amp;"'!$O$30")="済み",INDIRECT("'["&amp;$C$1&amp;".xls]"&amp;$B741&amp;"'!$T$30"),""))</f>
        <v>#REF!</v>
      </c>
      <c r="AQ741" s="48" t="e">
        <f ca="1">IF(INDIRECT("'["&amp;$C$1&amp;".xls]"&amp;$B741&amp;"'!$T31")="","",IF(INDIRECT("'["&amp;$C$1&amp;".xls]"&amp;$B741&amp;"'!$O$31")="済み",INDIRECT("'["&amp;$C$1&amp;".xls]"&amp;$B741&amp;"'!$T$31"),""))</f>
        <v>#REF!</v>
      </c>
      <c r="AR741" s="48" t="e">
        <f ca="1">IF(INDIRECT("'["&amp;$C$1&amp;".xls]"&amp;$B741&amp;"'!$T32")="","",IF(INDIRECT("'["&amp;$C$1&amp;".xls]"&amp;$B741&amp;"'!$O$32")="済み",INDIRECT("'["&amp;$C$1&amp;".xls]"&amp;$B741&amp;"'!$T$32"),""))</f>
        <v>#REF!</v>
      </c>
      <c r="AS741" s="48" t="e">
        <f ca="1">IF(INDIRECT("'["&amp;$C$1&amp;".xls]"&amp;$B741&amp;"'!$T33")="","",IF(INDIRECT("'["&amp;$C$1&amp;".xls]"&amp;$B741&amp;"'!$O$33")="済み",INDIRECT("'["&amp;$C$1&amp;".xls]"&amp;$B741&amp;"'!$T$33"),""))</f>
        <v>#REF!</v>
      </c>
      <c r="AT741" s="48" t="e">
        <f ca="1">IF(INDIRECT("'["&amp;$C$1&amp;".xls]"&amp;$B741&amp;"'!$T34")="","",IF(INDIRECT("'["&amp;$C$1&amp;".xls]"&amp;$B741&amp;"'!$O$34")="済み",INDIRECT("'["&amp;$C$1&amp;".xls]"&amp;$B741&amp;"'!$T$34"),""))</f>
        <v>#REF!</v>
      </c>
      <c r="AU741" s="93" t="e">
        <f t="shared" ca="1" si="15"/>
        <v>#REF!</v>
      </c>
      <c r="AV741" s="93" t="e">
        <f ca="1">INDIRECT("'["&amp;$C$1&amp;".xls]"&amp;$B741&amp;"'!$Y$22")</f>
        <v>#REF!</v>
      </c>
      <c r="AW741" s="93" t="e">
        <f ca="1">INDIRECT("'["&amp;$C$1&amp;".xls]"&amp;$B741&amp;"'!$Y$24")</f>
        <v>#REF!</v>
      </c>
      <c r="AX741" s="93" t="e">
        <f ca="1">INDIRECT("'["&amp;$C$1&amp;".xls]"&amp;$B741&amp;"'!$Y$26")</f>
        <v>#REF!</v>
      </c>
      <c r="AY741" s="93" t="e">
        <f ca="1">INDIRECT("'["&amp;$C$1&amp;".xls]"&amp;$B741&amp;"'!$Y$28")</f>
        <v>#REF!</v>
      </c>
    </row>
    <row r="742" spans="1:52" ht="16.5" customHeight="1" x14ac:dyDescent="0.15">
      <c r="A742" s="199" t="s">
        <v>7420</v>
      </c>
      <c r="B742" s="209" t="s">
        <v>7421</v>
      </c>
      <c r="C742" s="48" t="s">
        <v>330</v>
      </c>
      <c r="D742" s="62" t="s">
        <v>263</v>
      </c>
      <c r="E742" s="48" t="s">
        <v>6625</v>
      </c>
      <c r="F742" s="61">
        <v>42669</v>
      </c>
      <c r="G742" s="61">
        <v>0</v>
      </c>
      <c r="H742" s="125">
        <v>42683</v>
      </c>
      <c r="I742" s="61" t="s">
        <v>279</v>
      </c>
      <c r="J742" s="87"/>
      <c r="K742" s="124" t="s">
        <v>7293</v>
      </c>
      <c r="L742" s="124" t="s">
        <v>7293</v>
      </c>
      <c r="M742" s="62" t="s">
        <v>394</v>
      </c>
      <c r="N742" s="62" t="s">
        <v>7422</v>
      </c>
      <c r="O742" s="48" t="s">
        <v>555</v>
      </c>
      <c r="P742" s="48" t="s">
        <v>707</v>
      </c>
      <c r="Q742" s="48" t="s">
        <v>4300</v>
      </c>
      <c r="R742" s="48" t="s">
        <v>7417</v>
      </c>
      <c r="S742" s="48" t="s">
        <v>400</v>
      </c>
      <c r="T742" s="48" t="s">
        <v>401</v>
      </c>
      <c r="U742" s="48" t="s">
        <v>7423</v>
      </c>
      <c r="V742" s="122" t="s">
        <v>7293</v>
      </c>
      <c r="W742" s="122" t="s">
        <v>7293</v>
      </c>
      <c r="X742" s="48" t="s">
        <v>7424</v>
      </c>
      <c r="Y742" s="48" t="s">
        <v>7425</v>
      </c>
      <c r="Z742" s="61"/>
      <c r="AA742" s="48" t="s">
        <v>273</v>
      </c>
      <c r="AB742" s="48" t="s">
        <v>273</v>
      </c>
      <c r="AC742" s="48" t="s">
        <v>273</v>
      </c>
      <c r="AD742" s="48" t="s">
        <v>273</v>
      </c>
      <c r="AE742" s="48" t="s">
        <v>273</v>
      </c>
      <c r="AF742" s="48" t="s">
        <v>273</v>
      </c>
      <c r="AG742" s="48" t="s">
        <v>273</v>
      </c>
      <c r="AH742" s="48" t="s">
        <v>273</v>
      </c>
      <c r="AI742" s="48" t="s">
        <v>273</v>
      </c>
      <c r="AJ742" s="48" t="s">
        <v>273</v>
      </c>
      <c r="AK742" s="48" t="s">
        <v>273</v>
      </c>
      <c r="AL742" s="48" t="s">
        <v>273</v>
      </c>
      <c r="AM742" s="48" t="s">
        <v>273</v>
      </c>
      <c r="AN742" s="48" t="s">
        <v>273</v>
      </c>
      <c r="AO742" s="48" t="s">
        <v>273</v>
      </c>
      <c r="AP742" s="48" t="s">
        <v>273</v>
      </c>
      <c r="AQ742" s="48" t="s">
        <v>273</v>
      </c>
      <c r="AR742" s="48" t="s">
        <v>273</v>
      </c>
      <c r="AS742" s="48" t="s">
        <v>273</v>
      </c>
      <c r="AT742" s="48" t="s">
        <v>273</v>
      </c>
      <c r="AU742" s="93">
        <v>38292</v>
      </c>
      <c r="AV742" s="93" t="s">
        <v>7426</v>
      </c>
      <c r="AW742" s="93" t="s">
        <v>7427</v>
      </c>
      <c r="AX742" s="93" t="s">
        <v>273</v>
      </c>
      <c r="AY742" s="93" t="s">
        <v>6684</v>
      </c>
      <c r="AZ742" s="49" t="s">
        <v>7428</v>
      </c>
    </row>
    <row r="743" spans="1:52" ht="16.5" customHeight="1" x14ac:dyDescent="0.15">
      <c r="A743" s="121" t="s">
        <v>7429</v>
      </c>
      <c r="B743" s="47" t="s">
        <v>7430</v>
      </c>
      <c r="C743" s="48" t="e">
        <f t="shared" ca="1" si="0"/>
        <v>#REF!</v>
      </c>
      <c r="D743" s="62" t="e">
        <f t="shared" ca="1" si="1"/>
        <v>#REF!</v>
      </c>
      <c r="E743" s="48" t="e">
        <f t="shared" ca="1" si="2"/>
        <v>#REF!</v>
      </c>
      <c r="F743" s="61" t="e">
        <f t="shared" ca="1" si="3"/>
        <v>#REF!</v>
      </c>
      <c r="G743" s="61" t="e">
        <f ca="1">INDIRECT("'["&amp;$C$1&amp;".xls]"&amp;$B743&amp;"'!$a$20")</f>
        <v>#REF!</v>
      </c>
      <c r="H743" s="88" t="e">
        <f t="shared" ca="1" si="4"/>
        <v>#REF!</v>
      </c>
      <c r="I743" s="61" t="e">
        <f t="shared" ca="1" si="5"/>
        <v>#REF!</v>
      </c>
      <c r="J743" s="87"/>
      <c r="K743" s="62" t="e">
        <f t="shared" ca="1" si="6"/>
        <v>#REF!</v>
      </c>
      <c r="L743" s="62"/>
      <c r="M743" s="62" t="e">
        <f t="shared" ca="1" si="7"/>
        <v>#REF!</v>
      </c>
      <c r="N743" s="62" t="e">
        <f t="shared" ca="1" si="8"/>
        <v>#REF!</v>
      </c>
      <c r="O743" s="48" t="e">
        <f t="shared" ca="1" si="9"/>
        <v>#REF!</v>
      </c>
      <c r="P743" s="48" t="e">
        <f t="shared" ca="1" si="10"/>
        <v>#REF!</v>
      </c>
      <c r="Q743" s="48" t="e">
        <f t="shared" ca="1" si="11"/>
        <v>#REF!</v>
      </c>
      <c r="R743" s="48" t="s">
        <v>7417</v>
      </c>
      <c r="S743" s="48" t="e">
        <f t="shared" ca="1" si="12"/>
        <v>#REF!</v>
      </c>
      <c r="T743" s="48" t="e">
        <f t="shared" ca="1" si="13"/>
        <v>#REF!</v>
      </c>
      <c r="U743" s="48" t="e">
        <f t="shared" ca="1" si="14"/>
        <v>#REF!</v>
      </c>
      <c r="V743" s="48"/>
      <c r="W743" s="48"/>
      <c r="X743" s="48"/>
      <c r="Y743" s="48"/>
      <c r="Z743" s="61"/>
      <c r="AA743" s="48" t="e">
        <f ca="1">IF(INDIRECT("'["&amp;$C$1&amp;".xls]"&amp;$B743&amp;"'!$P$25")="","",IF(INDIRECT("'["&amp;$C$1&amp;".xls]"&amp;$B743&amp;"'!$O$25")="済み",INDIRECT("'["&amp;$C$1&amp;".xls]"&amp;$B743&amp;"'!$P$25"),""))</f>
        <v>#REF!</v>
      </c>
      <c r="AB743" s="48" t="e">
        <f ca="1">IF(INDIRECT("'["&amp;$C$1&amp;".xls]"&amp;$B743&amp;"'!$P$26")="","",IF(INDIRECT("'["&amp;$C$1&amp;".xls]"&amp;$B743&amp;"'!$O$26")="済み",INDIRECT("'["&amp;$C$1&amp;".xls]"&amp;$B743&amp;"'!$P$26"),""))</f>
        <v>#REF!</v>
      </c>
      <c r="AC743" s="48" t="e">
        <f ca="1">IF(INDIRECT("'["&amp;$C$1&amp;".xls]"&amp;$B743&amp;"'!$P$27")="","",IF(INDIRECT("'["&amp;$C$1&amp;".xls]"&amp;$B743&amp;"'!$O$27")="済み",INDIRECT("'["&amp;$C$1&amp;".xls]"&amp;$B743&amp;"'!$P$27"),""))</f>
        <v>#REF!</v>
      </c>
      <c r="AD743" s="48" t="e">
        <f ca="1">IF(INDIRECT("'["&amp;$C$1&amp;".xls]"&amp;$B743&amp;"'!$P$28")="","",IF(INDIRECT("'["&amp;$C$1&amp;".xls]"&amp;$B743&amp;"'!$O$28")="済み",INDIRECT("'["&amp;$C$1&amp;".xls]"&amp;$B743&amp;"'!$P$28"),""))</f>
        <v>#REF!</v>
      </c>
      <c r="AE743" s="48" t="e">
        <f ca="1">IF(INDIRECT("'["&amp;$C$1&amp;".xls]"&amp;$B743&amp;"'!$P$29")="","",IF(INDIRECT("'["&amp;$C$1&amp;".xls]"&amp;$B743&amp;"'!$O$29")="済み",INDIRECT("'["&amp;$C$1&amp;".xls]"&amp;$B743&amp;"'!$P$29"),""))</f>
        <v>#REF!</v>
      </c>
      <c r="AF743" s="48" t="e">
        <f ca="1">IF(INDIRECT("'["&amp;$C$1&amp;".xls]"&amp;$B743&amp;"'!$P$30")="","",IF(INDIRECT("'["&amp;$C$1&amp;".xls]"&amp;$B743&amp;"'!$O$30")="済み",INDIRECT("'["&amp;$C$1&amp;".xls]"&amp;$B743&amp;"'!$P$30"),""))</f>
        <v>#REF!</v>
      </c>
      <c r="AG743" s="48" t="e">
        <f ca="1">IF(INDIRECT("'["&amp;$C$1&amp;".xls]"&amp;$B743&amp;"'!$P$31")="","",IF(INDIRECT("'["&amp;$C$1&amp;".xls]"&amp;$B743&amp;"'!$O$31")="済み",INDIRECT("'["&amp;$C$1&amp;".xls]"&amp;$B743&amp;"'!$P$31"),""))</f>
        <v>#REF!</v>
      </c>
      <c r="AH743" s="48" t="e">
        <f ca="1">IF(INDIRECT("'["&amp;$C$1&amp;".xls]"&amp;$B743&amp;"'!$P$32")="","",IF(INDIRECT("'["&amp;$C$1&amp;".xls]"&amp;$B743&amp;"'!$O$32")="済み",INDIRECT("'["&amp;$C$1&amp;".xls]"&amp;$B743&amp;"'!$P$32"),""))</f>
        <v>#REF!</v>
      </c>
      <c r="AI743" s="48" t="e">
        <f ca="1">IF(INDIRECT("'["&amp;$C$1&amp;".xls]"&amp;$B743&amp;"'!$P$33")="","",IF(INDIRECT("'["&amp;$C$1&amp;".xls]"&amp;$B743&amp;"'!$O$33")="済み",INDIRECT("'["&amp;$C$1&amp;".xls]"&amp;$B743&amp;"'!$P$33"),""))</f>
        <v>#REF!</v>
      </c>
      <c r="AJ743" s="48" t="e">
        <f ca="1">IF(INDIRECT("'["&amp;$C$1&amp;".xls]"&amp;$B743&amp;"'!$P$34")="","",IF(INDIRECT("'["&amp;$C$1&amp;".xls]"&amp;$B743&amp;"'!$O$34")="済み",INDIRECT("'["&amp;$C$1&amp;".xls]"&amp;$B743&amp;"'!$P$34"),""))</f>
        <v>#REF!</v>
      </c>
      <c r="AK743" s="48" t="e">
        <f ca="1">IF(INDIRECT("'["&amp;$C$1&amp;".xls]"&amp;$B743&amp;"'!$T25")="","",IF(INDIRECT("'["&amp;$C$1&amp;".xls]"&amp;$B743&amp;"'!$O$25")="済み",INDIRECT("'["&amp;$C$1&amp;".xls]"&amp;$B743&amp;"'!$T$25"),""))</f>
        <v>#REF!</v>
      </c>
      <c r="AL743" s="48" t="e">
        <f ca="1">IF(INDIRECT("'["&amp;$C$1&amp;".xls]"&amp;$B743&amp;"'!$T26")="","",IF(INDIRECT("'["&amp;$C$1&amp;".xls]"&amp;$B743&amp;"'!$O$26")="済み",INDIRECT("'["&amp;$C$1&amp;".xls]"&amp;$B743&amp;"'!$T$26"),""))</f>
        <v>#REF!</v>
      </c>
      <c r="AM743" s="48" t="e">
        <f ca="1">IF(INDIRECT("'["&amp;$C$1&amp;".xls]"&amp;$B743&amp;"'!$T27")="","",IF(INDIRECT("'["&amp;$C$1&amp;".xls]"&amp;$B743&amp;"'!$O$27")="済み",INDIRECT("'["&amp;$C$1&amp;".xls]"&amp;$B743&amp;"'!$T$27"),""))</f>
        <v>#REF!</v>
      </c>
      <c r="AN743" s="48" t="e">
        <f ca="1">IF(INDIRECT("'["&amp;$C$1&amp;".xls]"&amp;$B743&amp;"'!$T28")="","",IF(INDIRECT("'["&amp;$C$1&amp;".xls]"&amp;$B743&amp;"'!$O$28")="済み",INDIRECT("'["&amp;$C$1&amp;".xls]"&amp;$B743&amp;"'!$T$28"),""))</f>
        <v>#REF!</v>
      </c>
      <c r="AO743" s="48" t="e">
        <f ca="1">IF(INDIRECT("'["&amp;$C$1&amp;".xls]"&amp;$B743&amp;"'!$T29")="","",IF(INDIRECT("'["&amp;$C$1&amp;".xls]"&amp;$B743&amp;"'!$O$29")="済み",INDIRECT("'["&amp;$C$1&amp;".xls]"&amp;$B743&amp;"'!$T$29"),""))</f>
        <v>#REF!</v>
      </c>
      <c r="AP743" s="48" t="e">
        <f ca="1">IF(INDIRECT("'["&amp;$C$1&amp;".xls]"&amp;$B743&amp;"'!$T30")="","",IF(INDIRECT("'["&amp;$C$1&amp;".xls]"&amp;$B743&amp;"'!$O$30")="済み",INDIRECT("'["&amp;$C$1&amp;".xls]"&amp;$B743&amp;"'!$T$30"),""))</f>
        <v>#REF!</v>
      </c>
      <c r="AQ743" s="48" t="e">
        <f ca="1">IF(INDIRECT("'["&amp;$C$1&amp;".xls]"&amp;$B743&amp;"'!$T31")="","",IF(INDIRECT("'["&amp;$C$1&amp;".xls]"&amp;$B743&amp;"'!$O$31")="済み",INDIRECT("'["&amp;$C$1&amp;".xls]"&amp;$B743&amp;"'!$T$31"),""))</f>
        <v>#REF!</v>
      </c>
      <c r="AR743" s="48" t="e">
        <f ca="1">IF(INDIRECT("'["&amp;$C$1&amp;".xls]"&amp;$B743&amp;"'!$T32")="","",IF(INDIRECT("'["&amp;$C$1&amp;".xls]"&amp;$B743&amp;"'!$O$32")="済み",INDIRECT("'["&amp;$C$1&amp;".xls]"&amp;$B743&amp;"'!$T$32"),""))</f>
        <v>#REF!</v>
      </c>
      <c r="AS743" s="48" t="e">
        <f ca="1">IF(INDIRECT("'["&amp;$C$1&amp;".xls]"&amp;$B743&amp;"'!$T33")="","",IF(INDIRECT("'["&amp;$C$1&amp;".xls]"&amp;$B743&amp;"'!$O$33")="済み",INDIRECT("'["&amp;$C$1&amp;".xls]"&amp;$B743&amp;"'!$T$33"),""))</f>
        <v>#REF!</v>
      </c>
      <c r="AT743" s="48" t="e">
        <f ca="1">IF(INDIRECT("'["&amp;$C$1&amp;".xls]"&amp;$B743&amp;"'!$T34")="","",IF(INDIRECT("'["&amp;$C$1&amp;".xls]"&amp;$B743&amp;"'!$O$34")="済み",INDIRECT("'["&amp;$C$1&amp;".xls]"&amp;$B743&amp;"'!$T$34"),""))</f>
        <v>#REF!</v>
      </c>
      <c r="AU743" s="93" t="e">
        <f t="shared" ca="1" si="15"/>
        <v>#REF!</v>
      </c>
      <c r="AV743" s="93" t="e">
        <f ca="1">INDIRECT("'["&amp;$C$1&amp;".xls]"&amp;$B743&amp;"'!$Y$22")</f>
        <v>#REF!</v>
      </c>
      <c r="AW743" s="93" t="e">
        <f ca="1">INDIRECT("'["&amp;$C$1&amp;".xls]"&amp;$B743&amp;"'!$Y$24")</f>
        <v>#REF!</v>
      </c>
      <c r="AX743" s="93" t="e">
        <f ca="1">INDIRECT("'["&amp;$C$1&amp;".xls]"&amp;$B743&amp;"'!$Y$26")</f>
        <v>#REF!</v>
      </c>
      <c r="AY743" s="93" t="e">
        <f ca="1">INDIRECT("'["&amp;$C$1&amp;".xls]"&amp;$B743&amp;"'!$Y$28")</f>
        <v>#REF!</v>
      </c>
    </row>
    <row r="744" spans="1:52" ht="16.5" customHeight="1" x14ac:dyDescent="0.15">
      <c r="A744" s="199" t="s">
        <v>7431</v>
      </c>
      <c r="B744" s="209" t="s">
        <v>7432</v>
      </c>
      <c r="C744" s="48" t="s">
        <v>330</v>
      </c>
      <c r="D744" s="62" t="s">
        <v>7433</v>
      </c>
      <c r="E744" s="48" t="s">
        <v>300</v>
      </c>
      <c r="F744" s="61">
        <v>42669</v>
      </c>
      <c r="G744" s="61">
        <v>0</v>
      </c>
      <c r="H744" s="125">
        <v>42684</v>
      </c>
      <c r="I744" s="61" t="s">
        <v>279</v>
      </c>
      <c r="J744" s="87"/>
      <c r="K744" s="62" t="s">
        <v>2506</v>
      </c>
      <c r="L744" s="124" t="s">
        <v>7293</v>
      </c>
      <c r="M744" s="62" t="s">
        <v>3893</v>
      </c>
      <c r="N744" s="62" t="s">
        <v>7434</v>
      </c>
      <c r="O744" s="48" t="s">
        <v>3895</v>
      </c>
      <c r="P744" s="48" t="s">
        <v>7435</v>
      </c>
      <c r="Q744" s="48" t="s">
        <v>7436</v>
      </c>
      <c r="R744" s="48" t="s">
        <v>7437</v>
      </c>
      <c r="S744" s="48" t="s">
        <v>7438</v>
      </c>
      <c r="T744" s="48" t="s">
        <v>7439</v>
      </c>
      <c r="U744" s="48" t="s">
        <v>7440</v>
      </c>
      <c r="V744" s="122" t="s">
        <v>7293</v>
      </c>
      <c r="W744" s="48" t="s">
        <v>3104</v>
      </c>
      <c r="X744" s="48" t="s">
        <v>7441</v>
      </c>
      <c r="Y744" s="48" t="s">
        <v>7442</v>
      </c>
      <c r="Z744" s="61"/>
      <c r="AA744" s="48" t="s">
        <v>273</v>
      </c>
      <c r="AB744" s="48" t="s">
        <v>273</v>
      </c>
      <c r="AC744" s="48" t="s">
        <v>273</v>
      </c>
      <c r="AD744" s="48" t="s">
        <v>273</v>
      </c>
      <c r="AE744" s="48" t="s">
        <v>273</v>
      </c>
      <c r="AF744" s="48" t="s">
        <v>273</v>
      </c>
      <c r="AG744" s="48" t="s">
        <v>273</v>
      </c>
      <c r="AH744" s="48" t="s">
        <v>273</v>
      </c>
      <c r="AI744" s="48" t="s">
        <v>273</v>
      </c>
      <c r="AJ744" s="48" t="s">
        <v>273</v>
      </c>
      <c r="AK744" s="48" t="s">
        <v>273</v>
      </c>
      <c r="AL744" s="48" t="s">
        <v>273</v>
      </c>
      <c r="AM744" s="48" t="s">
        <v>273</v>
      </c>
      <c r="AN744" s="48" t="s">
        <v>273</v>
      </c>
      <c r="AO744" s="48" t="s">
        <v>273</v>
      </c>
      <c r="AP744" s="48" t="s">
        <v>273</v>
      </c>
      <c r="AQ744" s="48" t="s">
        <v>273</v>
      </c>
      <c r="AR744" s="48" t="s">
        <v>273</v>
      </c>
      <c r="AS744" s="48" t="s">
        <v>273</v>
      </c>
      <c r="AT744" s="48" t="s">
        <v>273</v>
      </c>
      <c r="AU744" s="93">
        <v>39753</v>
      </c>
      <c r="AV744" s="93" t="s">
        <v>7443</v>
      </c>
      <c r="AW744" s="93" t="s">
        <v>7444</v>
      </c>
      <c r="AX744" s="93" t="s">
        <v>7445</v>
      </c>
      <c r="AY744" s="93" t="s">
        <v>6201</v>
      </c>
      <c r="AZ744" s="49" t="s">
        <v>7446</v>
      </c>
    </row>
    <row r="745" spans="1:52" ht="16.5" customHeight="1" x14ac:dyDescent="0.15">
      <c r="A745" s="199" t="s">
        <v>7447</v>
      </c>
      <c r="B745" s="209" t="s">
        <v>7448</v>
      </c>
      <c r="C745" s="48" t="s">
        <v>330</v>
      </c>
      <c r="D745" s="62" t="s">
        <v>7449</v>
      </c>
      <c r="E745" s="48" t="s">
        <v>300</v>
      </c>
      <c r="F745" s="61">
        <v>42669</v>
      </c>
      <c r="G745" s="61">
        <v>0</v>
      </c>
      <c r="H745" s="125">
        <v>42702</v>
      </c>
      <c r="I745" s="61" t="s">
        <v>279</v>
      </c>
      <c r="J745" s="87"/>
      <c r="K745" s="62" t="s">
        <v>2506</v>
      </c>
      <c r="L745" s="62">
        <v>3</v>
      </c>
      <c r="M745" s="62" t="s">
        <v>362</v>
      </c>
      <c r="N745" s="62" t="s">
        <v>7450</v>
      </c>
      <c r="O745" s="48" t="s">
        <v>263</v>
      </c>
      <c r="P745" s="48" t="s">
        <v>7451</v>
      </c>
      <c r="Q745" s="48" t="s">
        <v>3135</v>
      </c>
      <c r="R745" s="48" t="s">
        <v>3635</v>
      </c>
      <c r="S745" s="48" t="s">
        <v>3636</v>
      </c>
      <c r="T745" s="48" t="s">
        <v>3637</v>
      </c>
      <c r="U745" s="48" t="s">
        <v>7452</v>
      </c>
      <c r="V745" s="48" t="s">
        <v>7453</v>
      </c>
      <c r="W745" s="48" t="s">
        <v>7454</v>
      </c>
      <c r="X745" s="48" t="s">
        <v>7455</v>
      </c>
      <c r="Y745" s="48" t="s">
        <v>7456</v>
      </c>
      <c r="Z745" s="61"/>
      <c r="AA745" s="122" t="s">
        <v>7457</v>
      </c>
      <c r="AB745" s="122" t="s">
        <v>7458</v>
      </c>
      <c r="AC745" s="48" t="s">
        <v>273</v>
      </c>
      <c r="AD745" s="48" t="s">
        <v>273</v>
      </c>
      <c r="AE745" s="48" t="s">
        <v>273</v>
      </c>
      <c r="AF745" s="48" t="s">
        <v>273</v>
      </c>
      <c r="AG745" s="48" t="s">
        <v>273</v>
      </c>
      <c r="AH745" s="48" t="s">
        <v>273</v>
      </c>
      <c r="AI745" s="48" t="s">
        <v>273</v>
      </c>
      <c r="AJ745" s="48" t="s">
        <v>273</v>
      </c>
      <c r="AK745" s="48" t="s">
        <v>7459</v>
      </c>
      <c r="AL745" s="48" t="s">
        <v>2352</v>
      </c>
      <c r="AM745" s="48" t="s">
        <v>273</v>
      </c>
      <c r="AN745" s="48" t="s">
        <v>273</v>
      </c>
      <c r="AO745" s="48" t="s">
        <v>273</v>
      </c>
      <c r="AP745" s="48" t="s">
        <v>273</v>
      </c>
      <c r="AQ745" s="48" t="s">
        <v>273</v>
      </c>
      <c r="AR745" s="48" t="s">
        <v>273</v>
      </c>
      <c r="AS745" s="48" t="s">
        <v>273</v>
      </c>
      <c r="AT745" s="48" t="s">
        <v>273</v>
      </c>
      <c r="AU745" s="93" t="s">
        <v>263</v>
      </c>
      <c r="AV745" s="93" t="s">
        <v>5505</v>
      </c>
      <c r="AW745" s="93" t="s">
        <v>7460</v>
      </c>
      <c r="AX745" s="93" t="s">
        <v>7097</v>
      </c>
      <c r="AY745" s="93" t="s">
        <v>5312</v>
      </c>
    </row>
    <row r="746" spans="1:52" ht="16.5" customHeight="1" x14ac:dyDescent="0.15">
      <c r="A746" s="199" t="s">
        <v>7461</v>
      </c>
      <c r="B746" s="209" t="s">
        <v>7462</v>
      </c>
      <c r="C746" s="48" t="s">
        <v>7463</v>
      </c>
      <c r="D746" s="62" t="s">
        <v>7464</v>
      </c>
      <c r="E746" s="48" t="s">
        <v>264</v>
      </c>
      <c r="F746" s="61">
        <v>42669</v>
      </c>
      <c r="G746" s="61">
        <v>0</v>
      </c>
      <c r="H746" s="125">
        <v>42704</v>
      </c>
      <c r="I746" s="61" t="s">
        <v>279</v>
      </c>
      <c r="J746" s="87"/>
      <c r="K746" s="62">
        <v>0</v>
      </c>
      <c r="L746" s="62"/>
      <c r="M746" s="62" t="s">
        <v>209</v>
      </c>
      <c r="N746" s="62" t="s">
        <v>7465</v>
      </c>
      <c r="O746" s="48" t="s">
        <v>2737</v>
      </c>
      <c r="P746" s="48" t="s">
        <v>7466</v>
      </c>
      <c r="Q746" s="48" t="s">
        <v>3183</v>
      </c>
      <c r="R746" s="48"/>
      <c r="S746" s="48" t="s">
        <v>7467</v>
      </c>
      <c r="T746" s="48" t="s">
        <v>7468</v>
      </c>
      <c r="U746" s="48" t="s">
        <v>7469</v>
      </c>
      <c r="V746" s="48"/>
      <c r="W746" s="48"/>
      <c r="X746" s="48"/>
      <c r="Y746" s="48"/>
      <c r="Z746" s="61"/>
      <c r="AA746" s="48" t="s">
        <v>7470</v>
      </c>
      <c r="AB746" s="48" t="s">
        <v>273</v>
      </c>
      <c r="AC746" s="48" t="s">
        <v>273</v>
      </c>
      <c r="AD746" s="48" t="s">
        <v>273</v>
      </c>
      <c r="AE746" s="48" t="s">
        <v>273</v>
      </c>
      <c r="AF746" s="48" t="s">
        <v>273</v>
      </c>
      <c r="AG746" s="48" t="s">
        <v>273</v>
      </c>
      <c r="AH746" s="48" t="s">
        <v>273</v>
      </c>
      <c r="AI746" s="48" t="s">
        <v>273</v>
      </c>
      <c r="AJ746" s="48" t="s">
        <v>273</v>
      </c>
      <c r="AK746" s="48" t="s">
        <v>274</v>
      </c>
      <c r="AL746" s="48" t="s">
        <v>273</v>
      </c>
      <c r="AM746" s="48" t="s">
        <v>273</v>
      </c>
      <c r="AN746" s="48" t="s">
        <v>273</v>
      </c>
      <c r="AO746" s="48" t="s">
        <v>273</v>
      </c>
      <c r="AP746" s="48" t="s">
        <v>273</v>
      </c>
      <c r="AQ746" s="48" t="s">
        <v>273</v>
      </c>
      <c r="AR746" s="48" t="s">
        <v>273</v>
      </c>
      <c r="AS746" s="48" t="s">
        <v>273</v>
      </c>
      <c r="AT746" s="48" t="s">
        <v>273</v>
      </c>
      <c r="AU746" s="93">
        <v>41791</v>
      </c>
      <c r="AV746" s="93" t="s">
        <v>7471</v>
      </c>
      <c r="AW746" s="93" t="s">
        <v>7472</v>
      </c>
      <c r="AX746" s="93" t="s">
        <v>7135</v>
      </c>
      <c r="AY746" s="93" t="s">
        <v>5312</v>
      </c>
    </row>
    <row r="747" spans="1:52" ht="16.5" customHeight="1" x14ac:dyDescent="0.15">
      <c r="A747" s="199" t="s">
        <v>7473</v>
      </c>
      <c r="B747" s="209" t="s">
        <v>7474</v>
      </c>
      <c r="C747" s="48" t="s">
        <v>7475</v>
      </c>
      <c r="D747" s="62" t="s">
        <v>7476</v>
      </c>
      <c r="E747" s="48" t="s">
        <v>6625</v>
      </c>
      <c r="F747" s="61">
        <v>42670</v>
      </c>
      <c r="G747" s="61">
        <v>0</v>
      </c>
      <c r="H747" s="125">
        <v>42696</v>
      </c>
      <c r="I747" s="61" t="s">
        <v>7477</v>
      </c>
      <c r="J747" s="87"/>
      <c r="K747" s="62" t="s">
        <v>2506</v>
      </c>
      <c r="L747" s="62">
        <v>3</v>
      </c>
      <c r="M747" s="62" t="s">
        <v>2437</v>
      </c>
      <c r="N747" s="62" t="s">
        <v>7478</v>
      </c>
      <c r="O747" s="48" t="s">
        <v>2439</v>
      </c>
      <c r="P747" s="48" t="s">
        <v>267</v>
      </c>
      <c r="Q747" s="48" t="s">
        <v>1801</v>
      </c>
      <c r="R747" s="48" t="s">
        <v>7479</v>
      </c>
      <c r="S747" s="48" t="s">
        <v>7480</v>
      </c>
      <c r="T747" s="48" t="s">
        <v>7481</v>
      </c>
      <c r="U747" s="48" t="s">
        <v>7482</v>
      </c>
      <c r="V747" s="122" t="s">
        <v>7293</v>
      </c>
      <c r="W747" s="122" t="s">
        <v>7293</v>
      </c>
      <c r="X747" s="48" t="s">
        <v>7483</v>
      </c>
      <c r="Y747" s="48" t="s">
        <v>7484</v>
      </c>
      <c r="Z747" s="61"/>
      <c r="AA747" s="48" t="s">
        <v>5846</v>
      </c>
      <c r="AB747" s="48" t="s">
        <v>273</v>
      </c>
      <c r="AC747" s="48" t="s">
        <v>273</v>
      </c>
      <c r="AD747" s="48" t="s">
        <v>273</v>
      </c>
      <c r="AE747" s="48" t="s">
        <v>273</v>
      </c>
      <c r="AF747" s="48" t="s">
        <v>273</v>
      </c>
      <c r="AG747" s="48" t="s">
        <v>273</v>
      </c>
      <c r="AH747" s="48" t="s">
        <v>273</v>
      </c>
      <c r="AI747" s="48" t="s">
        <v>273</v>
      </c>
      <c r="AJ747" s="48" t="s">
        <v>273</v>
      </c>
      <c r="AK747" s="48" t="s">
        <v>2450</v>
      </c>
      <c r="AL747" s="48" t="s">
        <v>273</v>
      </c>
      <c r="AM747" s="48" t="s">
        <v>273</v>
      </c>
      <c r="AN747" s="48" t="s">
        <v>273</v>
      </c>
      <c r="AO747" s="48" t="s">
        <v>273</v>
      </c>
      <c r="AP747" s="48" t="s">
        <v>273</v>
      </c>
      <c r="AQ747" s="48" t="s">
        <v>273</v>
      </c>
      <c r="AR747" s="48" t="s">
        <v>273</v>
      </c>
      <c r="AS747" s="48" t="s">
        <v>273</v>
      </c>
      <c r="AT747" s="48" t="s">
        <v>273</v>
      </c>
      <c r="AU747" s="93">
        <v>42430</v>
      </c>
      <c r="AV747" s="93" t="s">
        <v>7485</v>
      </c>
      <c r="AW747" s="93" t="s">
        <v>7486</v>
      </c>
      <c r="AX747" s="93" t="s">
        <v>7487</v>
      </c>
      <c r="AY747" s="93" t="s">
        <v>7488</v>
      </c>
    </row>
    <row r="748" spans="1:52" ht="16.5" customHeight="1" x14ac:dyDescent="0.15">
      <c r="A748" s="121" t="s">
        <v>7489</v>
      </c>
      <c r="B748" s="47" t="s">
        <v>7490</v>
      </c>
      <c r="C748" s="48" t="e">
        <f t="shared" ca="1" si="0"/>
        <v>#REF!</v>
      </c>
      <c r="D748" s="62" t="e">
        <f t="shared" ca="1" si="1"/>
        <v>#REF!</v>
      </c>
      <c r="E748" s="48" t="e">
        <f t="shared" ca="1" si="2"/>
        <v>#REF!</v>
      </c>
      <c r="F748" s="61" t="e">
        <f t="shared" ca="1" si="3"/>
        <v>#REF!</v>
      </c>
      <c r="G748" s="61" t="e">
        <f ca="1">INDIRECT("'["&amp;$C$1&amp;".xls]"&amp;$B748&amp;"'!$a$20")</f>
        <v>#REF!</v>
      </c>
      <c r="H748" s="88" t="e">
        <f t="shared" ca="1" si="4"/>
        <v>#REF!</v>
      </c>
      <c r="I748" s="61" t="e">
        <f t="shared" ca="1" si="5"/>
        <v>#REF!</v>
      </c>
      <c r="J748" s="87"/>
      <c r="K748" s="62" t="e">
        <f t="shared" ca="1" si="6"/>
        <v>#REF!</v>
      </c>
      <c r="L748" s="62"/>
      <c r="M748" s="62" t="e">
        <f t="shared" ca="1" si="7"/>
        <v>#REF!</v>
      </c>
      <c r="N748" s="62" t="e">
        <f t="shared" ca="1" si="8"/>
        <v>#REF!</v>
      </c>
      <c r="O748" s="48" t="e">
        <f t="shared" ca="1" si="9"/>
        <v>#REF!</v>
      </c>
      <c r="P748" s="48" t="e">
        <f t="shared" ca="1" si="10"/>
        <v>#REF!</v>
      </c>
      <c r="Q748" s="48" t="e">
        <f t="shared" ca="1" si="11"/>
        <v>#REF!</v>
      </c>
      <c r="R748" s="48"/>
      <c r="S748" s="48" t="e">
        <f t="shared" ca="1" si="12"/>
        <v>#REF!</v>
      </c>
      <c r="T748" s="48" t="e">
        <f t="shared" ca="1" si="13"/>
        <v>#REF!</v>
      </c>
      <c r="U748" s="48" t="e">
        <f t="shared" ca="1" si="14"/>
        <v>#REF!</v>
      </c>
      <c r="V748" s="48"/>
      <c r="W748" s="48"/>
      <c r="X748" s="48"/>
      <c r="Y748" s="48"/>
      <c r="Z748" s="61"/>
      <c r="AA748" s="48" t="e">
        <f ca="1">IF(INDIRECT("'["&amp;$C$1&amp;".xls]"&amp;$B748&amp;"'!$P$25")="","",IF(INDIRECT("'["&amp;$C$1&amp;".xls]"&amp;$B748&amp;"'!$O$25")="済み",INDIRECT("'["&amp;$C$1&amp;".xls]"&amp;$B748&amp;"'!$P$25"),""))</f>
        <v>#REF!</v>
      </c>
      <c r="AB748" s="48" t="e">
        <f ca="1">IF(INDIRECT("'["&amp;$C$1&amp;".xls]"&amp;$B748&amp;"'!$P$26")="","",IF(INDIRECT("'["&amp;$C$1&amp;".xls]"&amp;$B748&amp;"'!$O$26")="済み",INDIRECT("'["&amp;$C$1&amp;".xls]"&amp;$B748&amp;"'!$P$26"),""))</f>
        <v>#REF!</v>
      </c>
      <c r="AC748" s="48" t="e">
        <f ca="1">IF(INDIRECT("'["&amp;$C$1&amp;".xls]"&amp;$B748&amp;"'!$P$27")="","",IF(INDIRECT("'["&amp;$C$1&amp;".xls]"&amp;$B748&amp;"'!$O$27")="済み",INDIRECT("'["&amp;$C$1&amp;".xls]"&amp;$B748&amp;"'!$P$27"),""))</f>
        <v>#REF!</v>
      </c>
      <c r="AD748" s="48" t="e">
        <f ca="1">IF(INDIRECT("'["&amp;$C$1&amp;".xls]"&amp;$B748&amp;"'!$P$28")="","",IF(INDIRECT("'["&amp;$C$1&amp;".xls]"&amp;$B748&amp;"'!$O$28")="済み",INDIRECT("'["&amp;$C$1&amp;".xls]"&amp;$B748&amp;"'!$P$28"),""))</f>
        <v>#REF!</v>
      </c>
      <c r="AE748" s="48" t="e">
        <f ca="1">IF(INDIRECT("'["&amp;$C$1&amp;".xls]"&amp;$B748&amp;"'!$P$29")="","",IF(INDIRECT("'["&amp;$C$1&amp;".xls]"&amp;$B748&amp;"'!$O$29")="済み",INDIRECT("'["&amp;$C$1&amp;".xls]"&amp;$B748&amp;"'!$P$29"),""))</f>
        <v>#REF!</v>
      </c>
      <c r="AF748" s="48" t="e">
        <f ca="1">IF(INDIRECT("'["&amp;$C$1&amp;".xls]"&amp;$B748&amp;"'!$P$30")="","",IF(INDIRECT("'["&amp;$C$1&amp;".xls]"&amp;$B748&amp;"'!$O$30")="済み",INDIRECT("'["&amp;$C$1&amp;".xls]"&amp;$B748&amp;"'!$P$30"),""))</f>
        <v>#REF!</v>
      </c>
      <c r="AG748" s="48" t="e">
        <f ca="1">IF(INDIRECT("'["&amp;$C$1&amp;".xls]"&amp;$B748&amp;"'!$P$31")="","",IF(INDIRECT("'["&amp;$C$1&amp;".xls]"&amp;$B748&amp;"'!$O$31")="済み",INDIRECT("'["&amp;$C$1&amp;".xls]"&amp;$B748&amp;"'!$P$31"),""))</f>
        <v>#REF!</v>
      </c>
      <c r="AH748" s="48" t="e">
        <f ca="1">IF(INDIRECT("'["&amp;$C$1&amp;".xls]"&amp;$B748&amp;"'!$P$32")="","",IF(INDIRECT("'["&amp;$C$1&amp;".xls]"&amp;$B748&amp;"'!$O$32")="済み",INDIRECT("'["&amp;$C$1&amp;".xls]"&amp;$B748&amp;"'!$P$32"),""))</f>
        <v>#REF!</v>
      </c>
      <c r="AI748" s="48" t="e">
        <f ca="1">IF(INDIRECT("'["&amp;$C$1&amp;".xls]"&amp;$B748&amp;"'!$P$33")="","",IF(INDIRECT("'["&amp;$C$1&amp;".xls]"&amp;$B748&amp;"'!$O$33")="済み",INDIRECT("'["&amp;$C$1&amp;".xls]"&amp;$B748&amp;"'!$P$33"),""))</f>
        <v>#REF!</v>
      </c>
      <c r="AJ748" s="48" t="e">
        <f ca="1">IF(INDIRECT("'["&amp;$C$1&amp;".xls]"&amp;$B748&amp;"'!$P$34")="","",IF(INDIRECT("'["&amp;$C$1&amp;".xls]"&amp;$B748&amp;"'!$O$34")="済み",INDIRECT("'["&amp;$C$1&amp;".xls]"&amp;$B748&amp;"'!$P$34"),""))</f>
        <v>#REF!</v>
      </c>
      <c r="AK748" s="48" t="e">
        <f ca="1">IF(INDIRECT("'["&amp;$C$1&amp;".xls]"&amp;$B748&amp;"'!$T25")="","",IF(INDIRECT("'["&amp;$C$1&amp;".xls]"&amp;$B748&amp;"'!$O$25")="済み",INDIRECT("'["&amp;$C$1&amp;".xls]"&amp;$B748&amp;"'!$T$25"),""))</f>
        <v>#REF!</v>
      </c>
      <c r="AL748" s="48" t="e">
        <f ca="1">IF(INDIRECT("'["&amp;$C$1&amp;".xls]"&amp;$B748&amp;"'!$T26")="","",IF(INDIRECT("'["&amp;$C$1&amp;".xls]"&amp;$B748&amp;"'!$O$26")="済み",INDIRECT("'["&amp;$C$1&amp;".xls]"&amp;$B748&amp;"'!$T$26"),""))</f>
        <v>#REF!</v>
      </c>
      <c r="AM748" s="48" t="e">
        <f ca="1">IF(INDIRECT("'["&amp;$C$1&amp;".xls]"&amp;$B748&amp;"'!$T27")="","",IF(INDIRECT("'["&amp;$C$1&amp;".xls]"&amp;$B748&amp;"'!$O$27")="済み",INDIRECT("'["&amp;$C$1&amp;".xls]"&amp;$B748&amp;"'!$T$27"),""))</f>
        <v>#REF!</v>
      </c>
      <c r="AN748" s="48" t="e">
        <f ca="1">IF(INDIRECT("'["&amp;$C$1&amp;".xls]"&amp;$B748&amp;"'!$T28")="","",IF(INDIRECT("'["&amp;$C$1&amp;".xls]"&amp;$B748&amp;"'!$O$28")="済み",INDIRECT("'["&amp;$C$1&amp;".xls]"&amp;$B748&amp;"'!$T$28"),""))</f>
        <v>#REF!</v>
      </c>
      <c r="AO748" s="48" t="e">
        <f ca="1">IF(INDIRECT("'["&amp;$C$1&amp;".xls]"&amp;$B748&amp;"'!$T29")="","",IF(INDIRECT("'["&amp;$C$1&amp;".xls]"&amp;$B748&amp;"'!$O$29")="済み",INDIRECT("'["&amp;$C$1&amp;".xls]"&amp;$B748&amp;"'!$T$29"),""))</f>
        <v>#REF!</v>
      </c>
      <c r="AP748" s="48" t="e">
        <f ca="1">IF(INDIRECT("'["&amp;$C$1&amp;".xls]"&amp;$B748&amp;"'!$T30")="","",IF(INDIRECT("'["&amp;$C$1&amp;".xls]"&amp;$B748&amp;"'!$O$30")="済み",INDIRECT("'["&amp;$C$1&amp;".xls]"&amp;$B748&amp;"'!$T$30"),""))</f>
        <v>#REF!</v>
      </c>
      <c r="AQ748" s="48" t="e">
        <f ca="1">IF(INDIRECT("'["&amp;$C$1&amp;".xls]"&amp;$B748&amp;"'!$T31")="","",IF(INDIRECT("'["&amp;$C$1&amp;".xls]"&amp;$B748&amp;"'!$O$31")="済み",INDIRECT("'["&amp;$C$1&amp;".xls]"&amp;$B748&amp;"'!$T$31"),""))</f>
        <v>#REF!</v>
      </c>
      <c r="AR748" s="48" t="e">
        <f ca="1">IF(INDIRECT("'["&amp;$C$1&amp;".xls]"&amp;$B748&amp;"'!$T32")="","",IF(INDIRECT("'["&amp;$C$1&amp;".xls]"&amp;$B748&amp;"'!$O$32")="済み",INDIRECT("'["&amp;$C$1&amp;".xls]"&amp;$B748&amp;"'!$T$32"),""))</f>
        <v>#REF!</v>
      </c>
      <c r="AS748" s="48" t="e">
        <f ca="1">IF(INDIRECT("'["&amp;$C$1&amp;".xls]"&amp;$B748&amp;"'!$T33")="","",IF(INDIRECT("'["&amp;$C$1&amp;".xls]"&amp;$B748&amp;"'!$O$33")="済み",INDIRECT("'["&amp;$C$1&amp;".xls]"&amp;$B748&amp;"'!$T$33"),""))</f>
        <v>#REF!</v>
      </c>
      <c r="AT748" s="48" t="e">
        <f ca="1">IF(INDIRECT("'["&amp;$C$1&amp;".xls]"&amp;$B748&amp;"'!$T34")="","",IF(INDIRECT("'["&amp;$C$1&amp;".xls]"&amp;$B748&amp;"'!$O$34")="済み",INDIRECT("'["&amp;$C$1&amp;".xls]"&amp;$B748&amp;"'!$T$34"),""))</f>
        <v>#REF!</v>
      </c>
      <c r="AU748" s="93" t="e">
        <f t="shared" ca="1" si="15"/>
        <v>#REF!</v>
      </c>
      <c r="AV748" s="93" t="e">
        <f ca="1">INDIRECT("'["&amp;$C$1&amp;".xls]"&amp;$B748&amp;"'!$Y$22")</f>
        <v>#REF!</v>
      </c>
      <c r="AW748" s="93" t="e">
        <f ca="1">INDIRECT("'["&amp;$C$1&amp;".xls]"&amp;$B748&amp;"'!$Y$24")</f>
        <v>#REF!</v>
      </c>
      <c r="AX748" s="93" t="e">
        <f ca="1">INDIRECT("'["&amp;$C$1&amp;".xls]"&amp;$B748&amp;"'!$Y$26")</f>
        <v>#REF!</v>
      </c>
      <c r="AY748" s="93" t="e">
        <f ca="1">INDIRECT("'["&amp;$C$1&amp;".xls]"&amp;$B748&amp;"'!$Y$28")</f>
        <v>#REF!</v>
      </c>
    </row>
    <row r="749" spans="1:52" ht="16.5" customHeight="1" x14ac:dyDescent="0.15">
      <c r="A749" s="199" t="s">
        <v>7491</v>
      </c>
      <c r="B749" s="209" t="s">
        <v>7492</v>
      </c>
      <c r="C749" s="48" t="s">
        <v>298</v>
      </c>
      <c r="D749" s="62" t="s">
        <v>7493</v>
      </c>
      <c r="E749" s="48" t="s">
        <v>300</v>
      </c>
      <c r="F749" s="61">
        <v>42670</v>
      </c>
      <c r="G749" s="61">
        <v>0</v>
      </c>
      <c r="H749" s="125">
        <v>42695</v>
      </c>
      <c r="I749" s="61" t="s">
        <v>279</v>
      </c>
      <c r="J749" s="87"/>
      <c r="K749" s="62" t="s">
        <v>2506</v>
      </c>
      <c r="L749" s="62">
        <v>3</v>
      </c>
      <c r="M749" s="62" t="s">
        <v>425</v>
      </c>
      <c r="N749" s="62" t="s">
        <v>7494</v>
      </c>
      <c r="O749" s="48" t="s">
        <v>809</v>
      </c>
      <c r="P749" s="48" t="s">
        <v>4505</v>
      </c>
      <c r="Q749" s="48" t="s">
        <v>2025</v>
      </c>
      <c r="R749" s="48" t="s">
        <v>7495</v>
      </c>
      <c r="S749" s="130" t="s">
        <v>7496</v>
      </c>
      <c r="T749" s="130" t="s">
        <v>2028</v>
      </c>
      <c r="U749" s="48" t="s">
        <v>7497</v>
      </c>
      <c r="V749" s="48" t="s">
        <v>3970</v>
      </c>
      <c r="W749" s="48" t="s">
        <v>7498</v>
      </c>
      <c r="X749" s="48" t="s">
        <v>7499</v>
      </c>
      <c r="Y749" s="48" t="s">
        <v>7500</v>
      </c>
      <c r="Z749" s="61"/>
      <c r="AA749" s="48" t="s">
        <v>820</v>
      </c>
      <c r="AB749" s="48" t="s">
        <v>273</v>
      </c>
      <c r="AC749" s="48" t="s">
        <v>273</v>
      </c>
      <c r="AD749" s="48" t="s">
        <v>273</v>
      </c>
      <c r="AE749" s="48" t="s">
        <v>273</v>
      </c>
      <c r="AF749" s="48" t="s">
        <v>273</v>
      </c>
      <c r="AG749" s="48" t="s">
        <v>273</v>
      </c>
      <c r="AH749" s="48" t="s">
        <v>273</v>
      </c>
      <c r="AI749" s="48" t="s">
        <v>273</v>
      </c>
      <c r="AJ749" s="48" t="s">
        <v>273</v>
      </c>
      <c r="AK749" s="48" t="s">
        <v>821</v>
      </c>
      <c r="AL749" s="48" t="s">
        <v>273</v>
      </c>
      <c r="AM749" s="48" t="s">
        <v>273</v>
      </c>
      <c r="AN749" s="48" t="s">
        <v>273</v>
      </c>
      <c r="AO749" s="48" t="s">
        <v>273</v>
      </c>
      <c r="AP749" s="48" t="s">
        <v>273</v>
      </c>
      <c r="AQ749" s="48" t="s">
        <v>273</v>
      </c>
      <c r="AR749" s="48" t="s">
        <v>273</v>
      </c>
      <c r="AS749" s="48" t="s">
        <v>273</v>
      </c>
      <c r="AT749" s="48" t="s">
        <v>273</v>
      </c>
      <c r="AU749" s="93">
        <v>41214</v>
      </c>
      <c r="AV749" s="93" t="s">
        <v>7501</v>
      </c>
      <c r="AW749" s="93" t="s">
        <v>7502</v>
      </c>
      <c r="AX749" s="93" t="s">
        <v>7503</v>
      </c>
      <c r="AY749" s="93" t="s">
        <v>5312</v>
      </c>
    </row>
    <row r="750" spans="1:52" ht="16.5" customHeight="1" x14ac:dyDescent="0.15">
      <c r="A750" s="199" t="s">
        <v>7504</v>
      </c>
      <c r="B750" s="209" t="s">
        <v>7505</v>
      </c>
      <c r="C750" s="48" t="s">
        <v>330</v>
      </c>
      <c r="D750" s="62" t="s">
        <v>7506</v>
      </c>
      <c r="E750" s="48" t="s">
        <v>6625</v>
      </c>
      <c r="F750" s="61">
        <v>42670</v>
      </c>
      <c r="G750" s="61">
        <v>0</v>
      </c>
      <c r="H750" s="125">
        <v>42688</v>
      </c>
      <c r="I750" s="61" t="s">
        <v>279</v>
      </c>
      <c r="J750" s="87"/>
      <c r="K750" s="62" t="s">
        <v>2506</v>
      </c>
      <c r="L750" s="124" t="s">
        <v>7293</v>
      </c>
      <c r="M750" s="62" t="s">
        <v>2422</v>
      </c>
      <c r="N750" s="62" t="s">
        <v>7507</v>
      </c>
      <c r="O750" s="48" t="s">
        <v>2424</v>
      </c>
      <c r="P750" s="48" t="s">
        <v>5887</v>
      </c>
      <c r="Q750" s="48" t="s">
        <v>5888</v>
      </c>
      <c r="R750" s="48" t="s">
        <v>7508</v>
      </c>
      <c r="S750" s="48" t="s">
        <v>5890</v>
      </c>
      <c r="T750" s="48" t="s">
        <v>7273</v>
      </c>
      <c r="U750" s="48" t="s">
        <v>5892</v>
      </c>
      <c r="V750" s="122" t="s">
        <v>7293</v>
      </c>
      <c r="W750" s="122" t="s">
        <v>7293</v>
      </c>
      <c r="X750" s="48" t="s">
        <v>7509</v>
      </c>
      <c r="Y750" s="48" t="s">
        <v>7510</v>
      </c>
      <c r="Z750" s="61"/>
      <c r="AA750" s="48" t="s">
        <v>273</v>
      </c>
      <c r="AB750" s="48" t="s">
        <v>273</v>
      </c>
      <c r="AC750" s="48" t="s">
        <v>273</v>
      </c>
      <c r="AD750" s="48" t="s">
        <v>273</v>
      </c>
      <c r="AE750" s="48" t="s">
        <v>273</v>
      </c>
      <c r="AF750" s="48" t="s">
        <v>273</v>
      </c>
      <c r="AG750" s="48" t="s">
        <v>273</v>
      </c>
      <c r="AH750" s="48" t="s">
        <v>273</v>
      </c>
      <c r="AI750" s="48" t="s">
        <v>273</v>
      </c>
      <c r="AJ750" s="48" t="s">
        <v>273</v>
      </c>
      <c r="AK750" s="48" t="s">
        <v>273</v>
      </c>
      <c r="AL750" s="48" t="s">
        <v>273</v>
      </c>
      <c r="AM750" s="48" t="s">
        <v>273</v>
      </c>
      <c r="AN750" s="48" t="s">
        <v>273</v>
      </c>
      <c r="AO750" s="48" t="s">
        <v>273</v>
      </c>
      <c r="AP750" s="48" t="s">
        <v>273</v>
      </c>
      <c r="AQ750" s="48" t="s">
        <v>273</v>
      </c>
      <c r="AR750" s="48" t="s">
        <v>273</v>
      </c>
      <c r="AS750" s="48" t="s">
        <v>273</v>
      </c>
      <c r="AT750" s="48" t="s">
        <v>273</v>
      </c>
      <c r="AU750" s="93">
        <v>38384</v>
      </c>
      <c r="AV750" s="93" t="s">
        <v>7511</v>
      </c>
      <c r="AW750" s="93" t="s">
        <v>7512</v>
      </c>
      <c r="AX750" s="93" t="s">
        <v>7513</v>
      </c>
      <c r="AY750" s="93" t="s">
        <v>6201</v>
      </c>
      <c r="AZ750" s="49" t="s">
        <v>7514</v>
      </c>
    </row>
    <row r="751" spans="1:52" ht="16.5" customHeight="1" x14ac:dyDescent="0.15">
      <c r="A751" s="211" t="s">
        <v>7515</v>
      </c>
      <c r="B751" s="47" t="s">
        <v>7516</v>
      </c>
      <c r="C751" s="48" t="e">
        <f t="shared" ca="1" si="0"/>
        <v>#REF!</v>
      </c>
      <c r="D751" s="62" t="e">
        <f t="shared" ca="1" si="1"/>
        <v>#REF!</v>
      </c>
      <c r="E751" s="48" t="e">
        <f t="shared" ca="1" si="2"/>
        <v>#REF!</v>
      </c>
      <c r="F751" s="61" t="e">
        <f t="shared" ca="1" si="3"/>
        <v>#REF!</v>
      </c>
      <c r="G751" s="61" t="e">
        <f ca="1">INDIRECT("'["&amp;$C$1&amp;".xls]"&amp;$B751&amp;"'!$a$20")</f>
        <v>#REF!</v>
      </c>
      <c r="H751" s="88" t="e">
        <f t="shared" ca="1" si="4"/>
        <v>#REF!</v>
      </c>
      <c r="I751" s="61" t="e">
        <f t="shared" ca="1" si="5"/>
        <v>#REF!</v>
      </c>
      <c r="J751" s="87"/>
      <c r="K751" s="62" t="s">
        <v>2506</v>
      </c>
      <c r="L751" s="62">
        <v>3</v>
      </c>
      <c r="M751" s="62" t="e">
        <f t="shared" ca="1" si="7"/>
        <v>#REF!</v>
      </c>
      <c r="N751" s="62" t="e">
        <f t="shared" ca="1" si="8"/>
        <v>#REF!</v>
      </c>
      <c r="O751" s="48" t="e">
        <f t="shared" ca="1" si="9"/>
        <v>#REF!</v>
      </c>
      <c r="P751" s="48" t="e">
        <f t="shared" ca="1" si="10"/>
        <v>#REF!</v>
      </c>
      <c r="Q751" s="48" t="e">
        <f t="shared" ca="1" si="11"/>
        <v>#REF!</v>
      </c>
      <c r="R751" s="48" t="s">
        <v>7517</v>
      </c>
      <c r="S751" s="48" t="e">
        <f t="shared" ca="1" si="12"/>
        <v>#REF!</v>
      </c>
      <c r="T751" s="48" t="e">
        <f t="shared" ca="1" si="13"/>
        <v>#REF!</v>
      </c>
      <c r="U751" s="48" t="e">
        <f t="shared" ca="1" si="14"/>
        <v>#REF!</v>
      </c>
      <c r="V751" s="48" t="s">
        <v>7518</v>
      </c>
      <c r="W751" s="122" t="s">
        <v>7293</v>
      </c>
      <c r="X751" s="48" t="s">
        <v>7519</v>
      </c>
      <c r="Y751" s="48" t="s">
        <v>7520</v>
      </c>
      <c r="Z751" s="61"/>
      <c r="AA751" s="48" t="e">
        <f ca="1">IF(INDIRECT("'["&amp;$C$1&amp;".xls]"&amp;$B751&amp;"'!$P$25")="","",IF(INDIRECT("'["&amp;$C$1&amp;".xls]"&amp;$B751&amp;"'!$O$25")="済み",INDIRECT("'["&amp;$C$1&amp;".xls]"&amp;$B751&amp;"'!$P$25"),""))</f>
        <v>#REF!</v>
      </c>
      <c r="AB751" s="48" t="e">
        <f ca="1">IF(INDIRECT("'["&amp;$C$1&amp;".xls]"&amp;$B751&amp;"'!$P$26")="","",IF(INDIRECT("'["&amp;$C$1&amp;".xls]"&amp;$B751&amp;"'!$O$26")="済み",INDIRECT("'["&amp;$C$1&amp;".xls]"&amp;$B751&amp;"'!$P$26"),""))</f>
        <v>#REF!</v>
      </c>
      <c r="AC751" s="48" t="e">
        <f ca="1">IF(INDIRECT("'["&amp;$C$1&amp;".xls]"&amp;$B751&amp;"'!$P$27")="","",IF(INDIRECT("'["&amp;$C$1&amp;".xls]"&amp;$B751&amp;"'!$O$27")="済み",INDIRECT("'["&amp;$C$1&amp;".xls]"&amp;$B751&amp;"'!$P$27"),""))</f>
        <v>#REF!</v>
      </c>
      <c r="AD751" s="48" t="e">
        <f ca="1">IF(INDIRECT("'["&amp;$C$1&amp;".xls]"&amp;$B751&amp;"'!$P$28")="","",IF(INDIRECT("'["&amp;$C$1&amp;".xls]"&amp;$B751&amp;"'!$O$28")="済み",INDIRECT("'["&amp;$C$1&amp;".xls]"&amp;$B751&amp;"'!$P$28"),""))</f>
        <v>#REF!</v>
      </c>
      <c r="AE751" s="48" t="e">
        <f ca="1">IF(INDIRECT("'["&amp;$C$1&amp;".xls]"&amp;$B751&amp;"'!$P$29")="","",IF(INDIRECT("'["&amp;$C$1&amp;".xls]"&amp;$B751&amp;"'!$O$29")="済み",INDIRECT("'["&amp;$C$1&amp;".xls]"&amp;$B751&amp;"'!$P$29"),""))</f>
        <v>#REF!</v>
      </c>
      <c r="AF751" s="48" t="e">
        <f ca="1">IF(INDIRECT("'["&amp;$C$1&amp;".xls]"&amp;$B751&amp;"'!$P$30")="","",IF(INDIRECT("'["&amp;$C$1&amp;".xls]"&amp;$B751&amp;"'!$O$30")="済み",INDIRECT("'["&amp;$C$1&amp;".xls]"&amp;$B751&amp;"'!$P$30"),""))</f>
        <v>#REF!</v>
      </c>
      <c r="AG751" s="48" t="e">
        <f ca="1">IF(INDIRECT("'["&amp;$C$1&amp;".xls]"&amp;$B751&amp;"'!$P$31")="","",IF(INDIRECT("'["&amp;$C$1&amp;".xls]"&amp;$B751&amp;"'!$O$31")="済み",INDIRECT("'["&amp;$C$1&amp;".xls]"&amp;$B751&amp;"'!$P$31"),""))</f>
        <v>#REF!</v>
      </c>
      <c r="AH751" s="48" t="e">
        <f ca="1">IF(INDIRECT("'["&amp;$C$1&amp;".xls]"&amp;$B751&amp;"'!$P$32")="","",IF(INDIRECT("'["&amp;$C$1&amp;".xls]"&amp;$B751&amp;"'!$O$32")="済み",INDIRECT("'["&amp;$C$1&amp;".xls]"&amp;$B751&amp;"'!$P$32"),""))</f>
        <v>#REF!</v>
      </c>
      <c r="AI751" s="48" t="e">
        <f ca="1">IF(INDIRECT("'["&amp;$C$1&amp;".xls]"&amp;$B751&amp;"'!$P$33")="","",IF(INDIRECT("'["&amp;$C$1&amp;".xls]"&amp;$B751&amp;"'!$O$33")="済み",INDIRECT("'["&amp;$C$1&amp;".xls]"&amp;$B751&amp;"'!$P$33"),""))</f>
        <v>#REF!</v>
      </c>
      <c r="AJ751" s="48" t="e">
        <f ca="1">IF(INDIRECT("'["&amp;$C$1&amp;".xls]"&amp;$B751&amp;"'!$P$34")="","",IF(INDIRECT("'["&amp;$C$1&amp;".xls]"&amp;$B751&amp;"'!$O$34")="済み",INDIRECT("'["&amp;$C$1&amp;".xls]"&amp;$B751&amp;"'!$P$34"),""))</f>
        <v>#REF!</v>
      </c>
      <c r="AK751" s="48" t="e">
        <f ca="1">IF(INDIRECT("'["&amp;$C$1&amp;".xls]"&amp;$B751&amp;"'!$T25")="","",IF(INDIRECT("'["&amp;$C$1&amp;".xls]"&amp;$B751&amp;"'!$O$25")="済み",INDIRECT("'["&amp;$C$1&amp;".xls]"&amp;$B751&amp;"'!$T$25"),""))</f>
        <v>#REF!</v>
      </c>
      <c r="AL751" s="48" t="e">
        <f ca="1">IF(INDIRECT("'["&amp;$C$1&amp;".xls]"&amp;$B751&amp;"'!$T26")="","",IF(INDIRECT("'["&amp;$C$1&amp;".xls]"&amp;$B751&amp;"'!$O$26")="済み",INDIRECT("'["&amp;$C$1&amp;".xls]"&amp;$B751&amp;"'!$T$26"),""))</f>
        <v>#REF!</v>
      </c>
      <c r="AM751" s="48" t="e">
        <f ca="1">IF(INDIRECT("'["&amp;$C$1&amp;".xls]"&amp;$B751&amp;"'!$T27")="","",IF(INDIRECT("'["&amp;$C$1&amp;".xls]"&amp;$B751&amp;"'!$O$27")="済み",INDIRECT("'["&amp;$C$1&amp;".xls]"&amp;$B751&amp;"'!$T$27"),""))</f>
        <v>#REF!</v>
      </c>
      <c r="AN751" s="48" t="e">
        <f ca="1">IF(INDIRECT("'["&amp;$C$1&amp;".xls]"&amp;$B751&amp;"'!$T28")="","",IF(INDIRECT("'["&amp;$C$1&amp;".xls]"&amp;$B751&amp;"'!$O$28")="済み",INDIRECT("'["&amp;$C$1&amp;".xls]"&amp;$B751&amp;"'!$T$28"),""))</f>
        <v>#REF!</v>
      </c>
      <c r="AO751" s="48" t="e">
        <f ca="1">IF(INDIRECT("'["&amp;$C$1&amp;".xls]"&amp;$B751&amp;"'!$T29")="","",IF(INDIRECT("'["&amp;$C$1&amp;".xls]"&amp;$B751&amp;"'!$O$29")="済み",INDIRECT("'["&amp;$C$1&amp;".xls]"&amp;$B751&amp;"'!$T$29"),""))</f>
        <v>#REF!</v>
      </c>
      <c r="AP751" s="48" t="e">
        <f ca="1">IF(INDIRECT("'["&amp;$C$1&amp;".xls]"&amp;$B751&amp;"'!$T30")="","",IF(INDIRECT("'["&amp;$C$1&amp;".xls]"&amp;$B751&amp;"'!$O$30")="済み",INDIRECT("'["&amp;$C$1&amp;".xls]"&amp;$B751&amp;"'!$T$30"),""))</f>
        <v>#REF!</v>
      </c>
      <c r="AQ751" s="48" t="e">
        <f ca="1">IF(INDIRECT("'["&amp;$C$1&amp;".xls]"&amp;$B751&amp;"'!$T31")="","",IF(INDIRECT("'["&amp;$C$1&amp;".xls]"&amp;$B751&amp;"'!$O$31")="済み",INDIRECT("'["&amp;$C$1&amp;".xls]"&amp;$B751&amp;"'!$T$31"),""))</f>
        <v>#REF!</v>
      </c>
      <c r="AR751" s="48" t="e">
        <f ca="1">IF(INDIRECT("'["&amp;$C$1&amp;".xls]"&amp;$B751&amp;"'!$T32")="","",IF(INDIRECT("'["&amp;$C$1&amp;".xls]"&amp;$B751&amp;"'!$O$32")="済み",INDIRECT("'["&amp;$C$1&amp;".xls]"&amp;$B751&amp;"'!$T$32"),""))</f>
        <v>#REF!</v>
      </c>
      <c r="AS751" s="48" t="e">
        <f ca="1">IF(INDIRECT("'["&amp;$C$1&amp;".xls]"&amp;$B751&amp;"'!$T33")="","",IF(INDIRECT("'["&amp;$C$1&amp;".xls]"&amp;$B751&amp;"'!$O$33")="済み",INDIRECT("'["&amp;$C$1&amp;".xls]"&amp;$B751&amp;"'!$T$33"),""))</f>
        <v>#REF!</v>
      </c>
      <c r="AT751" s="48" t="e">
        <f ca="1">IF(INDIRECT("'["&amp;$C$1&amp;".xls]"&amp;$B751&amp;"'!$T34")="","",IF(INDIRECT("'["&amp;$C$1&amp;".xls]"&amp;$B751&amp;"'!$O$34")="済み",INDIRECT("'["&amp;$C$1&amp;".xls]"&amp;$B751&amp;"'!$T$34"),""))</f>
        <v>#REF!</v>
      </c>
      <c r="AU751" s="93" t="e">
        <f t="shared" ca="1" si="15"/>
        <v>#REF!</v>
      </c>
      <c r="AV751" s="93" t="e">
        <f t="shared" ref="AV751:AV812" ca="1" si="16">INDIRECT("'["&amp;$C$1&amp;".xls]"&amp;$B751&amp;"'!$Y$22")</f>
        <v>#REF!</v>
      </c>
      <c r="AW751" s="93" t="e">
        <f t="shared" ref="AW751:AW812" ca="1" si="17">INDIRECT("'["&amp;$C$1&amp;".xls]"&amp;$B751&amp;"'!$Y$24")</f>
        <v>#REF!</v>
      </c>
      <c r="AX751" s="93" t="e">
        <f t="shared" ref="AX751:AX812" ca="1" si="18">INDIRECT("'["&amp;$C$1&amp;".xls]"&amp;$B751&amp;"'!$Y$26")</f>
        <v>#REF!</v>
      </c>
      <c r="AY751" s="93" t="e">
        <f t="shared" ref="AY751:AY812" ca="1" si="19">INDIRECT("'["&amp;$C$1&amp;".xls]"&amp;$B751&amp;"'!$Y$28")</f>
        <v>#REF!</v>
      </c>
    </row>
    <row r="752" spans="1:52" ht="16.5" customHeight="1" x14ac:dyDescent="0.15">
      <c r="A752" s="199" t="s">
        <v>7521</v>
      </c>
      <c r="B752" s="209" t="s">
        <v>7522</v>
      </c>
      <c r="C752" s="48" t="s">
        <v>330</v>
      </c>
      <c r="D752" s="62" t="s">
        <v>7523</v>
      </c>
      <c r="E752" s="48" t="s">
        <v>300</v>
      </c>
      <c r="F752" s="61">
        <v>42670</v>
      </c>
      <c r="G752" s="61">
        <v>0</v>
      </c>
      <c r="H752" s="125">
        <v>42691</v>
      </c>
      <c r="I752" s="61" t="s">
        <v>279</v>
      </c>
      <c r="J752" s="87"/>
      <c r="K752" s="124" t="s">
        <v>7293</v>
      </c>
      <c r="L752" s="124" t="s">
        <v>7293</v>
      </c>
      <c r="M752" s="62" t="s">
        <v>442</v>
      </c>
      <c r="N752" s="62" t="s">
        <v>7524</v>
      </c>
      <c r="O752" s="48" t="s">
        <v>570</v>
      </c>
      <c r="P752" s="48" t="s">
        <v>7525</v>
      </c>
      <c r="Q752" s="48" t="s">
        <v>880</v>
      </c>
      <c r="R752" s="48" t="s">
        <v>7526</v>
      </c>
      <c r="S752" s="48" t="s">
        <v>7527</v>
      </c>
      <c r="T752" s="48" t="s">
        <v>7528</v>
      </c>
      <c r="U752" s="48" t="s">
        <v>3691</v>
      </c>
      <c r="V752" s="48" t="s">
        <v>7529</v>
      </c>
      <c r="W752" s="48" t="s">
        <v>7530</v>
      </c>
      <c r="X752" s="48" t="s">
        <v>7531</v>
      </c>
      <c r="Y752" s="48" t="s">
        <v>3693</v>
      </c>
      <c r="Z752" s="61"/>
      <c r="AA752" s="48" t="s">
        <v>273</v>
      </c>
      <c r="AB752" s="48" t="s">
        <v>273</v>
      </c>
      <c r="AC752" s="48" t="s">
        <v>273</v>
      </c>
      <c r="AD752" s="48" t="s">
        <v>273</v>
      </c>
      <c r="AE752" s="48" t="s">
        <v>273</v>
      </c>
      <c r="AF752" s="48" t="s">
        <v>273</v>
      </c>
      <c r="AG752" s="48" t="s">
        <v>273</v>
      </c>
      <c r="AH752" s="48" t="s">
        <v>273</v>
      </c>
      <c r="AI752" s="48" t="s">
        <v>273</v>
      </c>
      <c r="AJ752" s="48" t="s">
        <v>273</v>
      </c>
      <c r="AK752" s="48" t="s">
        <v>273</v>
      </c>
      <c r="AL752" s="48" t="s">
        <v>273</v>
      </c>
      <c r="AM752" s="48" t="s">
        <v>273</v>
      </c>
      <c r="AN752" s="48" t="s">
        <v>273</v>
      </c>
      <c r="AO752" s="48" t="s">
        <v>273</v>
      </c>
      <c r="AP752" s="48" t="s">
        <v>273</v>
      </c>
      <c r="AQ752" s="48" t="s">
        <v>273</v>
      </c>
      <c r="AR752" s="48" t="s">
        <v>273</v>
      </c>
      <c r="AS752" s="48" t="s">
        <v>273</v>
      </c>
      <c r="AT752" s="48" t="s">
        <v>273</v>
      </c>
      <c r="AU752" s="93">
        <v>39814</v>
      </c>
      <c r="AV752" s="93" t="s">
        <v>7532</v>
      </c>
      <c r="AW752" s="93" t="s">
        <v>7533</v>
      </c>
      <c r="AX752" s="93" t="s">
        <v>273</v>
      </c>
      <c r="AY752" s="93" t="s">
        <v>6284</v>
      </c>
      <c r="AZ752" s="49" t="s">
        <v>7534</v>
      </c>
    </row>
    <row r="753" spans="1:52" ht="16.5" customHeight="1" x14ac:dyDescent="0.15">
      <c r="A753" s="121" t="s">
        <v>7535</v>
      </c>
      <c r="B753" s="47" t="s">
        <v>7536</v>
      </c>
      <c r="C753" s="48" t="e">
        <f t="shared" ca="1" si="0"/>
        <v>#REF!</v>
      </c>
      <c r="D753" s="62" t="e">
        <f t="shared" ca="1" si="1"/>
        <v>#REF!</v>
      </c>
      <c r="E753" s="48" t="e">
        <f t="shared" ca="1" si="2"/>
        <v>#REF!</v>
      </c>
      <c r="F753" s="61" t="e">
        <f t="shared" ca="1" si="3"/>
        <v>#REF!</v>
      </c>
      <c r="G753" s="61" t="e">
        <f ca="1">INDIRECT("'["&amp;$C$1&amp;".xls]"&amp;$B753&amp;"'!$a$20")</f>
        <v>#REF!</v>
      </c>
      <c r="H753" s="88" t="e">
        <f t="shared" ca="1" si="4"/>
        <v>#REF!</v>
      </c>
      <c r="I753" s="61" t="e">
        <f t="shared" ca="1" si="5"/>
        <v>#REF!</v>
      </c>
      <c r="J753" s="87"/>
      <c r="K753" s="62" t="e">
        <f t="shared" ca="1" si="6"/>
        <v>#REF!</v>
      </c>
      <c r="L753" s="62"/>
      <c r="M753" s="62" t="e">
        <f t="shared" ca="1" si="7"/>
        <v>#REF!</v>
      </c>
      <c r="N753" s="62" t="e">
        <f t="shared" ca="1" si="8"/>
        <v>#REF!</v>
      </c>
      <c r="O753" s="48" t="e">
        <f t="shared" ca="1" si="9"/>
        <v>#REF!</v>
      </c>
      <c r="P753" s="48" t="e">
        <f t="shared" ca="1" si="10"/>
        <v>#REF!</v>
      </c>
      <c r="Q753" s="48" t="e">
        <f t="shared" ca="1" si="11"/>
        <v>#REF!</v>
      </c>
      <c r="R753" s="48"/>
      <c r="S753" s="48" t="e">
        <f t="shared" ca="1" si="12"/>
        <v>#REF!</v>
      </c>
      <c r="T753" s="48" t="e">
        <f t="shared" ca="1" si="13"/>
        <v>#REF!</v>
      </c>
      <c r="U753" s="48" t="e">
        <f t="shared" ca="1" si="14"/>
        <v>#REF!</v>
      </c>
      <c r="V753" s="48"/>
      <c r="W753" s="48"/>
      <c r="X753" s="48"/>
      <c r="Y753" s="48"/>
      <c r="Z753" s="61"/>
      <c r="AA753" s="48" t="e">
        <f ca="1">IF(INDIRECT("'["&amp;$C$1&amp;".xls]"&amp;$B753&amp;"'!$P$25")="","",IF(INDIRECT("'["&amp;$C$1&amp;".xls]"&amp;$B753&amp;"'!$O$25")="済み",INDIRECT("'["&amp;$C$1&amp;".xls]"&amp;$B753&amp;"'!$P$25"),""))</f>
        <v>#REF!</v>
      </c>
      <c r="AB753" s="48" t="e">
        <f ca="1">IF(INDIRECT("'["&amp;$C$1&amp;".xls]"&amp;$B753&amp;"'!$P$26")="","",IF(INDIRECT("'["&amp;$C$1&amp;".xls]"&amp;$B753&amp;"'!$O$26")="済み",INDIRECT("'["&amp;$C$1&amp;".xls]"&amp;$B753&amp;"'!$P$26"),""))</f>
        <v>#REF!</v>
      </c>
      <c r="AC753" s="48" t="e">
        <f ca="1">IF(INDIRECT("'["&amp;$C$1&amp;".xls]"&amp;$B753&amp;"'!$P$27")="","",IF(INDIRECT("'["&amp;$C$1&amp;".xls]"&amp;$B753&amp;"'!$O$27")="済み",INDIRECT("'["&amp;$C$1&amp;".xls]"&amp;$B753&amp;"'!$P$27"),""))</f>
        <v>#REF!</v>
      </c>
      <c r="AD753" s="48" t="e">
        <f ca="1">IF(INDIRECT("'["&amp;$C$1&amp;".xls]"&amp;$B753&amp;"'!$P$28")="","",IF(INDIRECT("'["&amp;$C$1&amp;".xls]"&amp;$B753&amp;"'!$O$28")="済み",INDIRECT("'["&amp;$C$1&amp;".xls]"&amp;$B753&amp;"'!$P$28"),""))</f>
        <v>#REF!</v>
      </c>
      <c r="AE753" s="48" t="e">
        <f ca="1">IF(INDIRECT("'["&amp;$C$1&amp;".xls]"&amp;$B753&amp;"'!$P$29")="","",IF(INDIRECT("'["&amp;$C$1&amp;".xls]"&amp;$B753&amp;"'!$O$29")="済み",INDIRECT("'["&amp;$C$1&amp;".xls]"&amp;$B753&amp;"'!$P$29"),""))</f>
        <v>#REF!</v>
      </c>
      <c r="AF753" s="48" t="e">
        <f ca="1">IF(INDIRECT("'["&amp;$C$1&amp;".xls]"&amp;$B753&amp;"'!$P$30")="","",IF(INDIRECT("'["&amp;$C$1&amp;".xls]"&amp;$B753&amp;"'!$O$30")="済み",INDIRECT("'["&amp;$C$1&amp;".xls]"&amp;$B753&amp;"'!$P$30"),""))</f>
        <v>#REF!</v>
      </c>
      <c r="AG753" s="48" t="e">
        <f ca="1">IF(INDIRECT("'["&amp;$C$1&amp;".xls]"&amp;$B753&amp;"'!$P$31")="","",IF(INDIRECT("'["&amp;$C$1&amp;".xls]"&amp;$B753&amp;"'!$O$31")="済み",INDIRECT("'["&amp;$C$1&amp;".xls]"&amp;$B753&amp;"'!$P$31"),""))</f>
        <v>#REF!</v>
      </c>
      <c r="AH753" s="48" t="e">
        <f ca="1">IF(INDIRECT("'["&amp;$C$1&amp;".xls]"&amp;$B753&amp;"'!$P$32")="","",IF(INDIRECT("'["&amp;$C$1&amp;".xls]"&amp;$B753&amp;"'!$O$32")="済み",INDIRECT("'["&amp;$C$1&amp;".xls]"&amp;$B753&amp;"'!$P$32"),""))</f>
        <v>#REF!</v>
      </c>
      <c r="AI753" s="48" t="e">
        <f ca="1">IF(INDIRECT("'["&amp;$C$1&amp;".xls]"&amp;$B753&amp;"'!$P$33")="","",IF(INDIRECT("'["&amp;$C$1&amp;".xls]"&amp;$B753&amp;"'!$O$33")="済み",INDIRECT("'["&amp;$C$1&amp;".xls]"&amp;$B753&amp;"'!$P$33"),""))</f>
        <v>#REF!</v>
      </c>
      <c r="AJ753" s="48" t="e">
        <f ca="1">IF(INDIRECT("'["&amp;$C$1&amp;".xls]"&amp;$B753&amp;"'!$P$34")="","",IF(INDIRECT("'["&amp;$C$1&amp;".xls]"&amp;$B753&amp;"'!$O$34")="済み",INDIRECT("'["&amp;$C$1&amp;".xls]"&amp;$B753&amp;"'!$P$34"),""))</f>
        <v>#REF!</v>
      </c>
      <c r="AK753" s="48" t="e">
        <f ca="1">IF(INDIRECT("'["&amp;$C$1&amp;".xls]"&amp;$B753&amp;"'!$T25")="","",IF(INDIRECT("'["&amp;$C$1&amp;".xls]"&amp;$B753&amp;"'!$O$25")="済み",INDIRECT("'["&amp;$C$1&amp;".xls]"&amp;$B753&amp;"'!$T$25"),""))</f>
        <v>#REF!</v>
      </c>
      <c r="AL753" s="48" t="e">
        <f ca="1">IF(INDIRECT("'["&amp;$C$1&amp;".xls]"&amp;$B753&amp;"'!$T26")="","",IF(INDIRECT("'["&amp;$C$1&amp;".xls]"&amp;$B753&amp;"'!$O$26")="済み",INDIRECT("'["&amp;$C$1&amp;".xls]"&amp;$B753&amp;"'!$T$26"),""))</f>
        <v>#REF!</v>
      </c>
      <c r="AM753" s="48" t="e">
        <f ca="1">IF(INDIRECT("'["&amp;$C$1&amp;".xls]"&amp;$B753&amp;"'!$T27")="","",IF(INDIRECT("'["&amp;$C$1&amp;".xls]"&amp;$B753&amp;"'!$O$27")="済み",INDIRECT("'["&amp;$C$1&amp;".xls]"&amp;$B753&amp;"'!$T$27"),""))</f>
        <v>#REF!</v>
      </c>
      <c r="AN753" s="48" t="e">
        <f ca="1">IF(INDIRECT("'["&amp;$C$1&amp;".xls]"&amp;$B753&amp;"'!$T28")="","",IF(INDIRECT("'["&amp;$C$1&amp;".xls]"&amp;$B753&amp;"'!$O$28")="済み",INDIRECT("'["&amp;$C$1&amp;".xls]"&amp;$B753&amp;"'!$T$28"),""))</f>
        <v>#REF!</v>
      </c>
      <c r="AO753" s="48" t="e">
        <f ca="1">IF(INDIRECT("'["&amp;$C$1&amp;".xls]"&amp;$B753&amp;"'!$T29")="","",IF(INDIRECT("'["&amp;$C$1&amp;".xls]"&amp;$B753&amp;"'!$O$29")="済み",INDIRECT("'["&amp;$C$1&amp;".xls]"&amp;$B753&amp;"'!$T$29"),""))</f>
        <v>#REF!</v>
      </c>
      <c r="AP753" s="48" t="e">
        <f ca="1">IF(INDIRECT("'["&amp;$C$1&amp;".xls]"&amp;$B753&amp;"'!$T30")="","",IF(INDIRECT("'["&amp;$C$1&amp;".xls]"&amp;$B753&amp;"'!$O$30")="済み",INDIRECT("'["&amp;$C$1&amp;".xls]"&amp;$B753&amp;"'!$T$30"),""))</f>
        <v>#REF!</v>
      </c>
      <c r="AQ753" s="48" t="e">
        <f ca="1">IF(INDIRECT("'["&amp;$C$1&amp;".xls]"&amp;$B753&amp;"'!$T31")="","",IF(INDIRECT("'["&amp;$C$1&amp;".xls]"&amp;$B753&amp;"'!$O$31")="済み",INDIRECT("'["&amp;$C$1&amp;".xls]"&amp;$B753&amp;"'!$T$31"),""))</f>
        <v>#REF!</v>
      </c>
      <c r="AR753" s="48" t="e">
        <f ca="1">IF(INDIRECT("'["&amp;$C$1&amp;".xls]"&amp;$B753&amp;"'!$T32")="","",IF(INDIRECT("'["&amp;$C$1&amp;".xls]"&amp;$B753&amp;"'!$O$32")="済み",INDIRECT("'["&amp;$C$1&amp;".xls]"&amp;$B753&amp;"'!$T$32"),""))</f>
        <v>#REF!</v>
      </c>
      <c r="AS753" s="48" t="e">
        <f ca="1">IF(INDIRECT("'["&amp;$C$1&amp;".xls]"&amp;$B753&amp;"'!$T33")="","",IF(INDIRECT("'["&amp;$C$1&amp;".xls]"&amp;$B753&amp;"'!$O$33")="済み",INDIRECT("'["&amp;$C$1&amp;".xls]"&amp;$B753&amp;"'!$T$33"),""))</f>
        <v>#REF!</v>
      </c>
      <c r="AT753" s="48" t="e">
        <f ca="1">IF(INDIRECT("'["&amp;$C$1&amp;".xls]"&amp;$B753&amp;"'!$T34")="","",IF(INDIRECT("'["&amp;$C$1&amp;".xls]"&amp;$B753&amp;"'!$O$34")="済み",INDIRECT("'["&amp;$C$1&amp;".xls]"&amp;$B753&amp;"'!$T$34"),""))</f>
        <v>#REF!</v>
      </c>
      <c r="AU753" s="93" t="e">
        <f t="shared" ca="1" si="15"/>
        <v>#REF!</v>
      </c>
      <c r="AV753" s="93" t="e">
        <f t="shared" ca="1" si="16"/>
        <v>#REF!</v>
      </c>
      <c r="AW753" s="93" t="e">
        <f t="shared" ca="1" si="17"/>
        <v>#REF!</v>
      </c>
      <c r="AX753" s="93" t="e">
        <f t="shared" ca="1" si="18"/>
        <v>#REF!</v>
      </c>
      <c r="AY753" s="93" t="e">
        <f t="shared" ca="1" si="19"/>
        <v>#REF!</v>
      </c>
    </row>
    <row r="754" spans="1:52" ht="16.5" customHeight="1" x14ac:dyDescent="0.15">
      <c r="A754" s="199" t="s">
        <v>7537</v>
      </c>
      <c r="B754" s="209" t="s">
        <v>7538</v>
      </c>
      <c r="C754" s="48" t="s">
        <v>330</v>
      </c>
      <c r="D754" s="62" t="s">
        <v>7539</v>
      </c>
      <c r="E754" s="48" t="s">
        <v>6625</v>
      </c>
      <c r="F754" s="61">
        <v>42671</v>
      </c>
      <c r="G754" s="61">
        <v>0</v>
      </c>
      <c r="H754" s="125">
        <v>42683</v>
      </c>
      <c r="I754" s="61" t="s">
        <v>279</v>
      </c>
      <c r="J754" s="87"/>
      <c r="K754" s="124" t="s">
        <v>7293</v>
      </c>
      <c r="L754" s="124" t="s">
        <v>7293</v>
      </c>
      <c r="M754" s="62" t="s">
        <v>2422</v>
      </c>
      <c r="N754" s="62" t="s">
        <v>7540</v>
      </c>
      <c r="O754" s="48" t="s">
        <v>2424</v>
      </c>
      <c r="P754" s="48" t="s">
        <v>7541</v>
      </c>
      <c r="Q754" s="48" t="s">
        <v>3395</v>
      </c>
      <c r="R754" s="48" t="s">
        <v>7542</v>
      </c>
      <c r="S754" s="48" t="s">
        <v>7543</v>
      </c>
      <c r="T754" s="48" t="s">
        <v>7544</v>
      </c>
      <c r="U754" s="48" t="s">
        <v>7545</v>
      </c>
      <c r="V754" s="122" t="s">
        <v>7293</v>
      </c>
      <c r="W754" s="122" t="s">
        <v>7293</v>
      </c>
      <c r="X754" s="48" t="s">
        <v>7546</v>
      </c>
      <c r="Y754" s="48" t="s">
        <v>7547</v>
      </c>
      <c r="Z754" s="61"/>
      <c r="AA754" s="48" t="s">
        <v>273</v>
      </c>
      <c r="AB754" s="48" t="s">
        <v>273</v>
      </c>
      <c r="AC754" s="48" t="s">
        <v>273</v>
      </c>
      <c r="AD754" s="48" t="s">
        <v>273</v>
      </c>
      <c r="AE754" s="48" t="s">
        <v>273</v>
      </c>
      <c r="AF754" s="48" t="s">
        <v>273</v>
      </c>
      <c r="AG754" s="48" t="s">
        <v>273</v>
      </c>
      <c r="AH754" s="48" t="s">
        <v>273</v>
      </c>
      <c r="AI754" s="48" t="s">
        <v>273</v>
      </c>
      <c r="AJ754" s="48" t="s">
        <v>273</v>
      </c>
      <c r="AK754" s="48" t="s">
        <v>273</v>
      </c>
      <c r="AL754" s="48" t="s">
        <v>273</v>
      </c>
      <c r="AM754" s="48" t="s">
        <v>273</v>
      </c>
      <c r="AN754" s="48" t="s">
        <v>273</v>
      </c>
      <c r="AO754" s="48" t="s">
        <v>273</v>
      </c>
      <c r="AP754" s="48" t="s">
        <v>273</v>
      </c>
      <c r="AQ754" s="48" t="s">
        <v>273</v>
      </c>
      <c r="AR754" s="48" t="s">
        <v>273</v>
      </c>
      <c r="AS754" s="48" t="s">
        <v>273</v>
      </c>
      <c r="AT754" s="48" t="s">
        <v>273</v>
      </c>
      <c r="AU754" s="93">
        <v>38473</v>
      </c>
      <c r="AV754" s="93" t="s">
        <v>7548</v>
      </c>
      <c r="AW754" s="93" t="s">
        <v>7549</v>
      </c>
      <c r="AX754" s="93" t="s">
        <v>7550</v>
      </c>
      <c r="AY754" s="93" t="s">
        <v>7551</v>
      </c>
    </row>
    <row r="755" spans="1:52" ht="16.5" customHeight="1" x14ac:dyDescent="0.15">
      <c r="A755" s="121" t="s">
        <v>7552</v>
      </c>
      <c r="B755" s="47" t="s">
        <v>7553</v>
      </c>
      <c r="C755" s="48" t="e">
        <f t="shared" ca="1" si="0"/>
        <v>#REF!</v>
      </c>
      <c r="D755" s="62" t="e">
        <f t="shared" ca="1" si="1"/>
        <v>#REF!</v>
      </c>
      <c r="E755" s="48" t="e">
        <f t="shared" ca="1" si="2"/>
        <v>#REF!</v>
      </c>
      <c r="F755" s="61" t="e">
        <f t="shared" ca="1" si="3"/>
        <v>#REF!</v>
      </c>
      <c r="G755" s="61" t="e">
        <f ca="1">INDIRECT("'["&amp;$C$1&amp;".xls]"&amp;$B755&amp;"'!$a$20")</f>
        <v>#REF!</v>
      </c>
      <c r="H755" s="88" t="e">
        <f t="shared" ca="1" si="4"/>
        <v>#REF!</v>
      </c>
      <c r="I755" s="61" t="e">
        <f t="shared" ca="1" si="5"/>
        <v>#REF!</v>
      </c>
      <c r="J755" s="87"/>
      <c r="K755" s="62" t="e">
        <f t="shared" ca="1" si="6"/>
        <v>#REF!</v>
      </c>
      <c r="L755" s="62"/>
      <c r="M755" s="62" t="e">
        <f t="shared" ca="1" si="7"/>
        <v>#REF!</v>
      </c>
      <c r="N755" s="62" t="e">
        <f t="shared" ca="1" si="8"/>
        <v>#REF!</v>
      </c>
      <c r="O755" s="48" t="e">
        <f t="shared" ca="1" si="9"/>
        <v>#REF!</v>
      </c>
      <c r="P755" s="48" t="e">
        <f t="shared" ca="1" si="10"/>
        <v>#REF!</v>
      </c>
      <c r="Q755" s="48" t="e">
        <f t="shared" ca="1" si="11"/>
        <v>#REF!</v>
      </c>
      <c r="R755" s="48"/>
      <c r="S755" s="48" t="e">
        <f t="shared" ca="1" si="12"/>
        <v>#REF!</v>
      </c>
      <c r="T755" s="48" t="e">
        <f t="shared" ca="1" si="13"/>
        <v>#REF!</v>
      </c>
      <c r="U755" s="48" t="e">
        <f t="shared" ca="1" si="14"/>
        <v>#REF!</v>
      </c>
      <c r="V755" s="48"/>
      <c r="W755" s="48"/>
      <c r="X755" s="48"/>
      <c r="Y755" s="48"/>
      <c r="Z755" s="61"/>
      <c r="AA755" s="48" t="e">
        <f ca="1">IF(INDIRECT("'["&amp;$C$1&amp;".xls]"&amp;$B755&amp;"'!$P$25")="","",IF(INDIRECT("'["&amp;$C$1&amp;".xls]"&amp;$B755&amp;"'!$O$25")="済み",INDIRECT("'["&amp;$C$1&amp;".xls]"&amp;$B755&amp;"'!$P$25"),""))</f>
        <v>#REF!</v>
      </c>
      <c r="AB755" s="48" t="e">
        <f ca="1">IF(INDIRECT("'["&amp;$C$1&amp;".xls]"&amp;$B755&amp;"'!$P$26")="","",IF(INDIRECT("'["&amp;$C$1&amp;".xls]"&amp;$B755&amp;"'!$O$26")="済み",INDIRECT("'["&amp;$C$1&amp;".xls]"&amp;$B755&amp;"'!$P$26"),""))</f>
        <v>#REF!</v>
      </c>
      <c r="AC755" s="48" t="e">
        <f ca="1">IF(INDIRECT("'["&amp;$C$1&amp;".xls]"&amp;$B755&amp;"'!$P$27")="","",IF(INDIRECT("'["&amp;$C$1&amp;".xls]"&amp;$B755&amp;"'!$O$27")="済み",INDIRECT("'["&amp;$C$1&amp;".xls]"&amp;$B755&amp;"'!$P$27"),""))</f>
        <v>#REF!</v>
      </c>
      <c r="AD755" s="48" t="e">
        <f ca="1">IF(INDIRECT("'["&amp;$C$1&amp;".xls]"&amp;$B755&amp;"'!$P$28")="","",IF(INDIRECT("'["&amp;$C$1&amp;".xls]"&amp;$B755&amp;"'!$O$28")="済み",INDIRECT("'["&amp;$C$1&amp;".xls]"&amp;$B755&amp;"'!$P$28"),""))</f>
        <v>#REF!</v>
      </c>
      <c r="AE755" s="48" t="e">
        <f ca="1">IF(INDIRECT("'["&amp;$C$1&amp;".xls]"&amp;$B755&amp;"'!$P$29")="","",IF(INDIRECT("'["&amp;$C$1&amp;".xls]"&amp;$B755&amp;"'!$O$29")="済み",INDIRECT("'["&amp;$C$1&amp;".xls]"&amp;$B755&amp;"'!$P$29"),""))</f>
        <v>#REF!</v>
      </c>
      <c r="AF755" s="48" t="e">
        <f ca="1">IF(INDIRECT("'["&amp;$C$1&amp;".xls]"&amp;$B755&amp;"'!$P$30")="","",IF(INDIRECT("'["&amp;$C$1&amp;".xls]"&amp;$B755&amp;"'!$O$30")="済み",INDIRECT("'["&amp;$C$1&amp;".xls]"&amp;$B755&amp;"'!$P$30"),""))</f>
        <v>#REF!</v>
      </c>
      <c r="AG755" s="48" t="e">
        <f ca="1">IF(INDIRECT("'["&amp;$C$1&amp;".xls]"&amp;$B755&amp;"'!$P$31")="","",IF(INDIRECT("'["&amp;$C$1&amp;".xls]"&amp;$B755&amp;"'!$O$31")="済み",INDIRECT("'["&amp;$C$1&amp;".xls]"&amp;$B755&amp;"'!$P$31"),""))</f>
        <v>#REF!</v>
      </c>
      <c r="AH755" s="48" t="e">
        <f ca="1">IF(INDIRECT("'["&amp;$C$1&amp;".xls]"&amp;$B755&amp;"'!$P$32")="","",IF(INDIRECT("'["&amp;$C$1&amp;".xls]"&amp;$B755&amp;"'!$O$32")="済み",INDIRECT("'["&amp;$C$1&amp;".xls]"&amp;$B755&amp;"'!$P$32"),""))</f>
        <v>#REF!</v>
      </c>
      <c r="AI755" s="48" t="e">
        <f ca="1">IF(INDIRECT("'["&amp;$C$1&amp;".xls]"&amp;$B755&amp;"'!$P$33")="","",IF(INDIRECT("'["&amp;$C$1&amp;".xls]"&amp;$B755&amp;"'!$O$33")="済み",INDIRECT("'["&amp;$C$1&amp;".xls]"&amp;$B755&amp;"'!$P$33"),""))</f>
        <v>#REF!</v>
      </c>
      <c r="AJ755" s="48" t="e">
        <f ca="1">IF(INDIRECT("'["&amp;$C$1&amp;".xls]"&amp;$B755&amp;"'!$P$34")="","",IF(INDIRECT("'["&amp;$C$1&amp;".xls]"&amp;$B755&amp;"'!$O$34")="済み",INDIRECT("'["&amp;$C$1&amp;".xls]"&amp;$B755&amp;"'!$P$34"),""))</f>
        <v>#REF!</v>
      </c>
      <c r="AK755" s="48" t="e">
        <f ca="1">IF(INDIRECT("'["&amp;$C$1&amp;".xls]"&amp;$B755&amp;"'!$T25")="","",IF(INDIRECT("'["&amp;$C$1&amp;".xls]"&amp;$B755&amp;"'!$O$25")="済み",INDIRECT("'["&amp;$C$1&amp;".xls]"&amp;$B755&amp;"'!$T$25"),""))</f>
        <v>#REF!</v>
      </c>
      <c r="AL755" s="48" t="e">
        <f ca="1">IF(INDIRECT("'["&amp;$C$1&amp;".xls]"&amp;$B755&amp;"'!$T26")="","",IF(INDIRECT("'["&amp;$C$1&amp;".xls]"&amp;$B755&amp;"'!$O$26")="済み",INDIRECT("'["&amp;$C$1&amp;".xls]"&amp;$B755&amp;"'!$T$26"),""))</f>
        <v>#REF!</v>
      </c>
      <c r="AM755" s="48" t="e">
        <f ca="1">IF(INDIRECT("'["&amp;$C$1&amp;".xls]"&amp;$B755&amp;"'!$T27")="","",IF(INDIRECT("'["&amp;$C$1&amp;".xls]"&amp;$B755&amp;"'!$O$27")="済み",INDIRECT("'["&amp;$C$1&amp;".xls]"&amp;$B755&amp;"'!$T$27"),""))</f>
        <v>#REF!</v>
      </c>
      <c r="AN755" s="48" t="e">
        <f ca="1">IF(INDIRECT("'["&amp;$C$1&amp;".xls]"&amp;$B755&amp;"'!$T28")="","",IF(INDIRECT("'["&amp;$C$1&amp;".xls]"&amp;$B755&amp;"'!$O$28")="済み",INDIRECT("'["&amp;$C$1&amp;".xls]"&amp;$B755&amp;"'!$T$28"),""))</f>
        <v>#REF!</v>
      </c>
      <c r="AO755" s="48" t="e">
        <f ca="1">IF(INDIRECT("'["&amp;$C$1&amp;".xls]"&amp;$B755&amp;"'!$T29")="","",IF(INDIRECT("'["&amp;$C$1&amp;".xls]"&amp;$B755&amp;"'!$O$29")="済み",INDIRECT("'["&amp;$C$1&amp;".xls]"&amp;$B755&amp;"'!$T$29"),""))</f>
        <v>#REF!</v>
      </c>
      <c r="AP755" s="48" t="e">
        <f ca="1">IF(INDIRECT("'["&amp;$C$1&amp;".xls]"&amp;$B755&amp;"'!$T30")="","",IF(INDIRECT("'["&amp;$C$1&amp;".xls]"&amp;$B755&amp;"'!$O$30")="済み",INDIRECT("'["&amp;$C$1&amp;".xls]"&amp;$B755&amp;"'!$T$30"),""))</f>
        <v>#REF!</v>
      </c>
      <c r="AQ755" s="48" t="e">
        <f ca="1">IF(INDIRECT("'["&amp;$C$1&amp;".xls]"&amp;$B755&amp;"'!$T31")="","",IF(INDIRECT("'["&amp;$C$1&amp;".xls]"&amp;$B755&amp;"'!$O$31")="済み",INDIRECT("'["&amp;$C$1&amp;".xls]"&amp;$B755&amp;"'!$T$31"),""))</f>
        <v>#REF!</v>
      </c>
      <c r="AR755" s="48" t="e">
        <f ca="1">IF(INDIRECT("'["&amp;$C$1&amp;".xls]"&amp;$B755&amp;"'!$T32")="","",IF(INDIRECT("'["&amp;$C$1&amp;".xls]"&amp;$B755&amp;"'!$O$32")="済み",INDIRECT("'["&amp;$C$1&amp;".xls]"&amp;$B755&amp;"'!$T$32"),""))</f>
        <v>#REF!</v>
      </c>
      <c r="AS755" s="48" t="e">
        <f ca="1">IF(INDIRECT("'["&amp;$C$1&amp;".xls]"&amp;$B755&amp;"'!$T33")="","",IF(INDIRECT("'["&amp;$C$1&amp;".xls]"&amp;$B755&amp;"'!$O$33")="済み",INDIRECT("'["&amp;$C$1&amp;".xls]"&amp;$B755&amp;"'!$T$33"),""))</f>
        <v>#REF!</v>
      </c>
      <c r="AT755" s="48" t="e">
        <f ca="1">IF(INDIRECT("'["&amp;$C$1&amp;".xls]"&amp;$B755&amp;"'!$T34")="","",IF(INDIRECT("'["&amp;$C$1&amp;".xls]"&amp;$B755&amp;"'!$O$34")="済み",INDIRECT("'["&amp;$C$1&amp;".xls]"&amp;$B755&amp;"'!$T$34"),""))</f>
        <v>#REF!</v>
      </c>
      <c r="AU755" s="93" t="e">
        <f t="shared" ca="1" si="15"/>
        <v>#REF!</v>
      </c>
      <c r="AV755" s="93" t="e">
        <f t="shared" ca="1" si="16"/>
        <v>#REF!</v>
      </c>
      <c r="AW755" s="93" t="e">
        <f t="shared" ca="1" si="17"/>
        <v>#REF!</v>
      </c>
      <c r="AX755" s="93" t="e">
        <f t="shared" ca="1" si="18"/>
        <v>#REF!</v>
      </c>
      <c r="AY755" s="93" t="e">
        <f t="shared" ca="1" si="19"/>
        <v>#REF!</v>
      </c>
    </row>
    <row r="756" spans="1:52" ht="16.5" customHeight="1" x14ac:dyDescent="0.15">
      <c r="A756" s="121" t="s">
        <v>7554</v>
      </c>
      <c r="B756" s="47" t="s">
        <v>7555</v>
      </c>
      <c r="C756" s="48" t="e">
        <f t="shared" ca="1" si="0"/>
        <v>#REF!</v>
      </c>
      <c r="D756" s="62" t="e">
        <f t="shared" ca="1" si="1"/>
        <v>#REF!</v>
      </c>
      <c r="E756" s="48" t="e">
        <f t="shared" ca="1" si="2"/>
        <v>#REF!</v>
      </c>
      <c r="F756" s="61" t="e">
        <f t="shared" ca="1" si="3"/>
        <v>#REF!</v>
      </c>
      <c r="G756" s="61" t="e">
        <f ca="1">INDIRECT("'["&amp;$C$1&amp;".xls]"&amp;$B756&amp;"'!$a$20")</f>
        <v>#REF!</v>
      </c>
      <c r="H756" s="88" t="e">
        <f t="shared" ca="1" si="4"/>
        <v>#REF!</v>
      </c>
      <c r="I756" s="61" t="e">
        <f t="shared" ca="1" si="5"/>
        <v>#REF!</v>
      </c>
      <c r="J756" s="87"/>
      <c r="K756" s="62" t="e">
        <f t="shared" ca="1" si="6"/>
        <v>#REF!</v>
      </c>
      <c r="L756" s="62"/>
      <c r="M756" s="62" t="e">
        <f t="shared" ca="1" si="7"/>
        <v>#REF!</v>
      </c>
      <c r="N756" s="62" t="e">
        <f t="shared" ca="1" si="8"/>
        <v>#REF!</v>
      </c>
      <c r="O756" s="48" t="e">
        <f t="shared" ca="1" si="9"/>
        <v>#REF!</v>
      </c>
      <c r="P756" s="48" t="e">
        <f t="shared" ca="1" si="10"/>
        <v>#REF!</v>
      </c>
      <c r="Q756" s="48" t="e">
        <f t="shared" ca="1" si="11"/>
        <v>#REF!</v>
      </c>
      <c r="R756" s="48"/>
      <c r="S756" s="48" t="e">
        <f t="shared" ca="1" si="12"/>
        <v>#REF!</v>
      </c>
      <c r="T756" s="48" t="e">
        <f t="shared" ca="1" si="13"/>
        <v>#REF!</v>
      </c>
      <c r="U756" s="48" t="e">
        <f t="shared" ca="1" si="14"/>
        <v>#REF!</v>
      </c>
      <c r="V756" s="48"/>
      <c r="W756" s="48"/>
      <c r="X756" s="48"/>
      <c r="Y756" s="48"/>
      <c r="Z756" s="61"/>
      <c r="AA756" s="48" t="e">
        <f ca="1">IF(INDIRECT("'["&amp;$C$1&amp;".xls]"&amp;$B756&amp;"'!$P$25")="","",IF(INDIRECT("'["&amp;$C$1&amp;".xls]"&amp;$B756&amp;"'!$O$25")="済み",INDIRECT("'["&amp;$C$1&amp;".xls]"&amp;$B756&amp;"'!$P$25"),""))</f>
        <v>#REF!</v>
      </c>
      <c r="AB756" s="48" t="e">
        <f ca="1">IF(INDIRECT("'["&amp;$C$1&amp;".xls]"&amp;$B756&amp;"'!$P$26")="","",IF(INDIRECT("'["&amp;$C$1&amp;".xls]"&amp;$B756&amp;"'!$O$26")="済み",INDIRECT("'["&amp;$C$1&amp;".xls]"&amp;$B756&amp;"'!$P$26"),""))</f>
        <v>#REF!</v>
      </c>
      <c r="AC756" s="48" t="e">
        <f ca="1">IF(INDIRECT("'["&amp;$C$1&amp;".xls]"&amp;$B756&amp;"'!$P$27")="","",IF(INDIRECT("'["&amp;$C$1&amp;".xls]"&amp;$B756&amp;"'!$O$27")="済み",INDIRECT("'["&amp;$C$1&amp;".xls]"&amp;$B756&amp;"'!$P$27"),""))</f>
        <v>#REF!</v>
      </c>
      <c r="AD756" s="48" t="e">
        <f ca="1">IF(INDIRECT("'["&amp;$C$1&amp;".xls]"&amp;$B756&amp;"'!$P$28")="","",IF(INDIRECT("'["&amp;$C$1&amp;".xls]"&amp;$B756&amp;"'!$O$28")="済み",INDIRECT("'["&amp;$C$1&amp;".xls]"&amp;$B756&amp;"'!$P$28"),""))</f>
        <v>#REF!</v>
      </c>
      <c r="AE756" s="48" t="e">
        <f ca="1">IF(INDIRECT("'["&amp;$C$1&amp;".xls]"&amp;$B756&amp;"'!$P$29")="","",IF(INDIRECT("'["&amp;$C$1&amp;".xls]"&amp;$B756&amp;"'!$O$29")="済み",INDIRECT("'["&amp;$C$1&amp;".xls]"&amp;$B756&amp;"'!$P$29"),""))</f>
        <v>#REF!</v>
      </c>
      <c r="AF756" s="48" t="e">
        <f ca="1">IF(INDIRECT("'["&amp;$C$1&amp;".xls]"&amp;$B756&amp;"'!$P$30")="","",IF(INDIRECT("'["&amp;$C$1&amp;".xls]"&amp;$B756&amp;"'!$O$30")="済み",INDIRECT("'["&amp;$C$1&amp;".xls]"&amp;$B756&amp;"'!$P$30"),""))</f>
        <v>#REF!</v>
      </c>
      <c r="AG756" s="48" t="e">
        <f ca="1">IF(INDIRECT("'["&amp;$C$1&amp;".xls]"&amp;$B756&amp;"'!$P$31")="","",IF(INDIRECT("'["&amp;$C$1&amp;".xls]"&amp;$B756&amp;"'!$O$31")="済み",INDIRECT("'["&amp;$C$1&amp;".xls]"&amp;$B756&amp;"'!$P$31"),""))</f>
        <v>#REF!</v>
      </c>
      <c r="AH756" s="48" t="e">
        <f ca="1">IF(INDIRECT("'["&amp;$C$1&amp;".xls]"&amp;$B756&amp;"'!$P$32")="","",IF(INDIRECT("'["&amp;$C$1&amp;".xls]"&amp;$B756&amp;"'!$O$32")="済み",INDIRECT("'["&amp;$C$1&amp;".xls]"&amp;$B756&amp;"'!$P$32"),""))</f>
        <v>#REF!</v>
      </c>
      <c r="AI756" s="48" t="e">
        <f ca="1">IF(INDIRECT("'["&amp;$C$1&amp;".xls]"&amp;$B756&amp;"'!$P$33")="","",IF(INDIRECT("'["&amp;$C$1&amp;".xls]"&amp;$B756&amp;"'!$O$33")="済み",INDIRECT("'["&amp;$C$1&amp;".xls]"&amp;$B756&amp;"'!$P$33"),""))</f>
        <v>#REF!</v>
      </c>
      <c r="AJ756" s="48" t="e">
        <f ca="1">IF(INDIRECT("'["&amp;$C$1&amp;".xls]"&amp;$B756&amp;"'!$P$34")="","",IF(INDIRECT("'["&amp;$C$1&amp;".xls]"&amp;$B756&amp;"'!$O$34")="済み",INDIRECT("'["&amp;$C$1&amp;".xls]"&amp;$B756&amp;"'!$P$34"),""))</f>
        <v>#REF!</v>
      </c>
      <c r="AK756" s="48" t="e">
        <f ca="1">IF(INDIRECT("'["&amp;$C$1&amp;".xls]"&amp;$B756&amp;"'!$T25")="","",IF(INDIRECT("'["&amp;$C$1&amp;".xls]"&amp;$B756&amp;"'!$O$25")="済み",INDIRECT("'["&amp;$C$1&amp;".xls]"&amp;$B756&amp;"'!$T$25"),""))</f>
        <v>#REF!</v>
      </c>
      <c r="AL756" s="48" t="e">
        <f ca="1">IF(INDIRECT("'["&amp;$C$1&amp;".xls]"&amp;$B756&amp;"'!$T26")="","",IF(INDIRECT("'["&amp;$C$1&amp;".xls]"&amp;$B756&amp;"'!$O$26")="済み",INDIRECT("'["&amp;$C$1&amp;".xls]"&amp;$B756&amp;"'!$T$26"),""))</f>
        <v>#REF!</v>
      </c>
      <c r="AM756" s="48" t="e">
        <f ca="1">IF(INDIRECT("'["&amp;$C$1&amp;".xls]"&amp;$B756&amp;"'!$T27")="","",IF(INDIRECT("'["&amp;$C$1&amp;".xls]"&amp;$B756&amp;"'!$O$27")="済み",INDIRECT("'["&amp;$C$1&amp;".xls]"&amp;$B756&amp;"'!$T$27"),""))</f>
        <v>#REF!</v>
      </c>
      <c r="AN756" s="48" t="e">
        <f ca="1">IF(INDIRECT("'["&amp;$C$1&amp;".xls]"&amp;$B756&amp;"'!$T28")="","",IF(INDIRECT("'["&amp;$C$1&amp;".xls]"&amp;$B756&amp;"'!$O$28")="済み",INDIRECT("'["&amp;$C$1&amp;".xls]"&amp;$B756&amp;"'!$T$28"),""))</f>
        <v>#REF!</v>
      </c>
      <c r="AO756" s="48" t="e">
        <f ca="1">IF(INDIRECT("'["&amp;$C$1&amp;".xls]"&amp;$B756&amp;"'!$T29")="","",IF(INDIRECT("'["&amp;$C$1&amp;".xls]"&amp;$B756&amp;"'!$O$29")="済み",INDIRECT("'["&amp;$C$1&amp;".xls]"&amp;$B756&amp;"'!$T$29"),""))</f>
        <v>#REF!</v>
      </c>
      <c r="AP756" s="48" t="e">
        <f ca="1">IF(INDIRECT("'["&amp;$C$1&amp;".xls]"&amp;$B756&amp;"'!$T30")="","",IF(INDIRECT("'["&amp;$C$1&amp;".xls]"&amp;$B756&amp;"'!$O$30")="済み",INDIRECT("'["&amp;$C$1&amp;".xls]"&amp;$B756&amp;"'!$T$30"),""))</f>
        <v>#REF!</v>
      </c>
      <c r="AQ756" s="48" t="e">
        <f ca="1">IF(INDIRECT("'["&amp;$C$1&amp;".xls]"&amp;$B756&amp;"'!$T31")="","",IF(INDIRECT("'["&amp;$C$1&amp;".xls]"&amp;$B756&amp;"'!$O$31")="済み",INDIRECT("'["&amp;$C$1&amp;".xls]"&amp;$B756&amp;"'!$T$31"),""))</f>
        <v>#REF!</v>
      </c>
      <c r="AR756" s="48" t="e">
        <f ca="1">IF(INDIRECT("'["&amp;$C$1&amp;".xls]"&amp;$B756&amp;"'!$T32")="","",IF(INDIRECT("'["&amp;$C$1&amp;".xls]"&amp;$B756&amp;"'!$O$32")="済み",INDIRECT("'["&amp;$C$1&amp;".xls]"&amp;$B756&amp;"'!$T$32"),""))</f>
        <v>#REF!</v>
      </c>
      <c r="AS756" s="48" t="e">
        <f ca="1">IF(INDIRECT("'["&amp;$C$1&amp;".xls]"&amp;$B756&amp;"'!$T33")="","",IF(INDIRECT("'["&amp;$C$1&amp;".xls]"&amp;$B756&amp;"'!$O$33")="済み",INDIRECT("'["&amp;$C$1&amp;".xls]"&amp;$B756&amp;"'!$T$33"),""))</f>
        <v>#REF!</v>
      </c>
      <c r="AT756" s="48" t="e">
        <f ca="1">IF(INDIRECT("'["&amp;$C$1&amp;".xls]"&amp;$B756&amp;"'!$T34")="","",IF(INDIRECT("'["&amp;$C$1&amp;".xls]"&amp;$B756&amp;"'!$O$34")="済み",INDIRECT("'["&amp;$C$1&amp;".xls]"&amp;$B756&amp;"'!$T$34"),""))</f>
        <v>#REF!</v>
      </c>
      <c r="AU756" s="93" t="e">
        <f t="shared" ca="1" si="15"/>
        <v>#REF!</v>
      </c>
      <c r="AV756" s="93" t="e">
        <f t="shared" ca="1" si="16"/>
        <v>#REF!</v>
      </c>
      <c r="AW756" s="93" t="e">
        <f t="shared" ca="1" si="17"/>
        <v>#REF!</v>
      </c>
      <c r="AX756" s="93" t="e">
        <f t="shared" ca="1" si="18"/>
        <v>#REF!</v>
      </c>
      <c r="AY756" s="93" t="e">
        <f t="shared" ca="1" si="19"/>
        <v>#REF!</v>
      </c>
    </row>
    <row r="757" spans="1:52" ht="16.5" customHeight="1" x14ac:dyDescent="0.15">
      <c r="A757" s="211" t="s">
        <v>7556</v>
      </c>
      <c r="B757" s="47" t="s">
        <v>7557</v>
      </c>
      <c r="C757" s="48" t="e">
        <f t="shared" ca="1" si="0"/>
        <v>#REF!</v>
      </c>
      <c r="D757" s="62" t="e">
        <f t="shared" ca="1" si="1"/>
        <v>#REF!</v>
      </c>
      <c r="E757" s="48" t="e">
        <f t="shared" ca="1" si="2"/>
        <v>#REF!</v>
      </c>
      <c r="F757" s="61" t="e">
        <f t="shared" ca="1" si="3"/>
        <v>#REF!</v>
      </c>
      <c r="G757" s="61" t="e">
        <f ca="1">INDIRECT("'["&amp;$C$1&amp;".xls]"&amp;$B757&amp;"'!$a$20")</f>
        <v>#REF!</v>
      </c>
      <c r="H757" s="88" t="e">
        <f t="shared" ca="1" si="4"/>
        <v>#REF!</v>
      </c>
      <c r="I757" s="61" t="e">
        <f t="shared" ca="1" si="5"/>
        <v>#REF!</v>
      </c>
      <c r="J757" s="87"/>
      <c r="K757" s="62" t="s">
        <v>2506</v>
      </c>
      <c r="L757" s="62">
        <v>3</v>
      </c>
      <c r="M757" s="62" t="e">
        <f t="shared" ca="1" si="7"/>
        <v>#REF!</v>
      </c>
      <c r="N757" s="62" t="e">
        <f t="shared" ca="1" si="8"/>
        <v>#REF!</v>
      </c>
      <c r="O757" s="48" t="e">
        <f t="shared" ca="1" si="9"/>
        <v>#REF!</v>
      </c>
      <c r="P757" s="48" t="e">
        <f t="shared" ca="1" si="10"/>
        <v>#REF!</v>
      </c>
      <c r="Q757" s="48" t="e">
        <f t="shared" ca="1" si="11"/>
        <v>#REF!</v>
      </c>
      <c r="R757" s="48" t="s">
        <v>7558</v>
      </c>
      <c r="S757" s="48" t="e">
        <f t="shared" ca="1" si="12"/>
        <v>#REF!</v>
      </c>
      <c r="T757" s="48" t="e">
        <f t="shared" ca="1" si="13"/>
        <v>#REF!</v>
      </c>
      <c r="U757" s="48" t="e">
        <f t="shared" ca="1" si="14"/>
        <v>#REF!</v>
      </c>
      <c r="V757" s="48" t="s">
        <v>7559</v>
      </c>
      <c r="W757" s="48" t="s">
        <v>7560</v>
      </c>
      <c r="X757" s="48" t="s">
        <v>7561</v>
      </c>
      <c r="Y757" s="48" t="s">
        <v>7562</v>
      </c>
      <c r="Z757" s="61"/>
      <c r="AA757" s="48" t="e">
        <f ca="1">IF(INDIRECT("'["&amp;$C$1&amp;".xls]"&amp;$B757&amp;"'!$P$25")="","",IF(INDIRECT("'["&amp;$C$1&amp;".xls]"&amp;$B757&amp;"'!$O$25")="済み",INDIRECT("'["&amp;$C$1&amp;".xls]"&amp;$B757&amp;"'!$P$25"),""))</f>
        <v>#REF!</v>
      </c>
      <c r="AB757" s="48" t="e">
        <f ca="1">IF(INDIRECT("'["&amp;$C$1&amp;".xls]"&amp;$B757&amp;"'!$P$26")="","",IF(INDIRECT("'["&amp;$C$1&amp;".xls]"&amp;$B757&amp;"'!$O$26")="済み",INDIRECT("'["&amp;$C$1&amp;".xls]"&amp;$B757&amp;"'!$P$26"),""))</f>
        <v>#REF!</v>
      </c>
      <c r="AC757" s="48" t="e">
        <f ca="1">IF(INDIRECT("'["&amp;$C$1&amp;".xls]"&amp;$B757&amp;"'!$P$27")="","",IF(INDIRECT("'["&amp;$C$1&amp;".xls]"&amp;$B757&amp;"'!$O$27")="済み",INDIRECT("'["&amp;$C$1&amp;".xls]"&amp;$B757&amp;"'!$P$27"),""))</f>
        <v>#REF!</v>
      </c>
      <c r="AD757" s="48" t="e">
        <f ca="1">IF(INDIRECT("'["&amp;$C$1&amp;".xls]"&amp;$B757&amp;"'!$P$28")="","",IF(INDIRECT("'["&amp;$C$1&amp;".xls]"&amp;$B757&amp;"'!$O$28")="済み",INDIRECT("'["&amp;$C$1&amp;".xls]"&amp;$B757&amp;"'!$P$28"),""))</f>
        <v>#REF!</v>
      </c>
      <c r="AE757" s="48" t="e">
        <f ca="1">IF(INDIRECT("'["&amp;$C$1&amp;".xls]"&amp;$B757&amp;"'!$P$29")="","",IF(INDIRECT("'["&amp;$C$1&amp;".xls]"&amp;$B757&amp;"'!$O$29")="済み",INDIRECT("'["&amp;$C$1&amp;".xls]"&amp;$B757&amp;"'!$P$29"),""))</f>
        <v>#REF!</v>
      </c>
      <c r="AF757" s="48" t="e">
        <f ca="1">IF(INDIRECT("'["&amp;$C$1&amp;".xls]"&amp;$B757&amp;"'!$P$30")="","",IF(INDIRECT("'["&amp;$C$1&amp;".xls]"&amp;$B757&amp;"'!$O$30")="済み",INDIRECT("'["&amp;$C$1&amp;".xls]"&amp;$B757&amp;"'!$P$30"),""))</f>
        <v>#REF!</v>
      </c>
      <c r="AG757" s="48" t="e">
        <f ca="1">IF(INDIRECT("'["&amp;$C$1&amp;".xls]"&amp;$B757&amp;"'!$P$31")="","",IF(INDIRECT("'["&amp;$C$1&amp;".xls]"&amp;$B757&amp;"'!$O$31")="済み",INDIRECT("'["&amp;$C$1&amp;".xls]"&amp;$B757&amp;"'!$P$31"),""))</f>
        <v>#REF!</v>
      </c>
      <c r="AH757" s="48" t="e">
        <f ca="1">IF(INDIRECT("'["&amp;$C$1&amp;".xls]"&amp;$B757&amp;"'!$P$32")="","",IF(INDIRECT("'["&amp;$C$1&amp;".xls]"&amp;$B757&amp;"'!$O$32")="済み",INDIRECT("'["&amp;$C$1&amp;".xls]"&amp;$B757&amp;"'!$P$32"),""))</f>
        <v>#REF!</v>
      </c>
      <c r="AI757" s="48" t="e">
        <f ca="1">IF(INDIRECT("'["&amp;$C$1&amp;".xls]"&amp;$B757&amp;"'!$P$33")="","",IF(INDIRECT("'["&amp;$C$1&amp;".xls]"&amp;$B757&amp;"'!$O$33")="済み",INDIRECT("'["&amp;$C$1&amp;".xls]"&amp;$B757&amp;"'!$P$33"),""))</f>
        <v>#REF!</v>
      </c>
      <c r="AJ757" s="48" t="e">
        <f ca="1">IF(INDIRECT("'["&amp;$C$1&amp;".xls]"&amp;$B757&amp;"'!$P$34")="","",IF(INDIRECT("'["&amp;$C$1&amp;".xls]"&amp;$B757&amp;"'!$O$34")="済み",INDIRECT("'["&amp;$C$1&amp;".xls]"&amp;$B757&amp;"'!$P$34"),""))</f>
        <v>#REF!</v>
      </c>
      <c r="AK757" s="48" t="e">
        <f ca="1">IF(INDIRECT("'["&amp;$C$1&amp;".xls]"&amp;$B757&amp;"'!$T25")="","",IF(INDIRECT("'["&amp;$C$1&amp;".xls]"&amp;$B757&amp;"'!$O$25")="済み",INDIRECT("'["&amp;$C$1&amp;".xls]"&amp;$B757&amp;"'!$T$25"),""))</f>
        <v>#REF!</v>
      </c>
      <c r="AL757" s="48" t="e">
        <f ca="1">IF(INDIRECT("'["&amp;$C$1&amp;".xls]"&amp;$B757&amp;"'!$T26")="","",IF(INDIRECT("'["&amp;$C$1&amp;".xls]"&amp;$B757&amp;"'!$O$26")="済み",INDIRECT("'["&amp;$C$1&amp;".xls]"&amp;$B757&amp;"'!$T$26"),""))</f>
        <v>#REF!</v>
      </c>
      <c r="AM757" s="48" t="e">
        <f ca="1">IF(INDIRECT("'["&amp;$C$1&amp;".xls]"&amp;$B757&amp;"'!$T27")="","",IF(INDIRECT("'["&amp;$C$1&amp;".xls]"&amp;$B757&amp;"'!$O$27")="済み",INDIRECT("'["&amp;$C$1&amp;".xls]"&amp;$B757&amp;"'!$T$27"),""))</f>
        <v>#REF!</v>
      </c>
      <c r="AN757" s="48" t="e">
        <f ca="1">IF(INDIRECT("'["&amp;$C$1&amp;".xls]"&amp;$B757&amp;"'!$T28")="","",IF(INDIRECT("'["&amp;$C$1&amp;".xls]"&amp;$B757&amp;"'!$O$28")="済み",INDIRECT("'["&amp;$C$1&amp;".xls]"&amp;$B757&amp;"'!$T$28"),""))</f>
        <v>#REF!</v>
      </c>
      <c r="AO757" s="48" t="e">
        <f ca="1">IF(INDIRECT("'["&amp;$C$1&amp;".xls]"&amp;$B757&amp;"'!$T29")="","",IF(INDIRECT("'["&amp;$C$1&amp;".xls]"&amp;$B757&amp;"'!$O$29")="済み",INDIRECT("'["&amp;$C$1&amp;".xls]"&amp;$B757&amp;"'!$T$29"),""))</f>
        <v>#REF!</v>
      </c>
      <c r="AP757" s="48" t="e">
        <f ca="1">IF(INDIRECT("'["&amp;$C$1&amp;".xls]"&amp;$B757&amp;"'!$T30")="","",IF(INDIRECT("'["&amp;$C$1&amp;".xls]"&amp;$B757&amp;"'!$O$30")="済み",INDIRECT("'["&amp;$C$1&amp;".xls]"&amp;$B757&amp;"'!$T$30"),""))</f>
        <v>#REF!</v>
      </c>
      <c r="AQ757" s="48" t="e">
        <f ca="1">IF(INDIRECT("'["&amp;$C$1&amp;".xls]"&amp;$B757&amp;"'!$T31")="","",IF(INDIRECT("'["&amp;$C$1&amp;".xls]"&amp;$B757&amp;"'!$O$31")="済み",INDIRECT("'["&amp;$C$1&amp;".xls]"&amp;$B757&amp;"'!$T$31"),""))</f>
        <v>#REF!</v>
      </c>
      <c r="AR757" s="48" t="e">
        <f ca="1">IF(INDIRECT("'["&amp;$C$1&amp;".xls]"&amp;$B757&amp;"'!$T32")="","",IF(INDIRECT("'["&amp;$C$1&amp;".xls]"&amp;$B757&amp;"'!$O$32")="済み",INDIRECT("'["&amp;$C$1&amp;".xls]"&amp;$B757&amp;"'!$T$32"),""))</f>
        <v>#REF!</v>
      </c>
      <c r="AS757" s="48" t="e">
        <f ca="1">IF(INDIRECT("'["&amp;$C$1&amp;".xls]"&amp;$B757&amp;"'!$T33")="","",IF(INDIRECT("'["&amp;$C$1&amp;".xls]"&amp;$B757&amp;"'!$O$33")="済み",INDIRECT("'["&amp;$C$1&amp;".xls]"&amp;$B757&amp;"'!$T$33"),""))</f>
        <v>#REF!</v>
      </c>
      <c r="AT757" s="48" t="e">
        <f ca="1">IF(INDIRECT("'["&amp;$C$1&amp;".xls]"&amp;$B757&amp;"'!$T34")="","",IF(INDIRECT("'["&amp;$C$1&amp;".xls]"&amp;$B757&amp;"'!$O$34")="済み",INDIRECT("'["&amp;$C$1&amp;".xls]"&amp;$B757&amp;"'!$T$34"),""))</f>
        <v>#REF!</v>
      </c>
      <c r="AU757" s="93" t="e">
        <f t="shared" ca="1" si="15"/>
        <v>#REF!</v>
      </c>
      <c r="AV757" s="93" t="e">
        <f t="shared" ca="1" si="16"/>
        <v>#REF!</v>
      </c>
      <c r="AW757" s="93" t="e">
        <f t="shared" ca="1" si="17"/>
        <v>#REF!</v>
      </c>
      <c r="AX757" s="93" t="e">
        <f t="shared" ca="1" si="18"/>
        <v>#REF!</v>
      </c>
      <c r="AY757" s="93" t="e">
        <f t="shared" ca="1" si="19"/>
        <v>#REF!</v>
      </c>
    </row>
    <row r="758" spans="1:52" ht="16.5" customHeight="1" x14ac:dyDescent="0.15">
      <c r="A758" s="199" t="s">
        <v>7563</v>
      </c>
      <c r="B758" s="209" t="s">
        <v>7564</v>
      </c>
      <c r="C758" s="48" t="s">
        <v>330</v>
      </c>
      <c r="D758" s="62" t="s">
        <v>7565</v>
      </c>
      <c r="E758" s="48" t="s">
        <v>300</v>
      </c>
      <c r="F758" s="61">
        <v>42674</v>
      </c>
      <c r="G758" s="61">
        <v>0</v>
      </c>
      <c r="H758" s="125">
        <v>42699</v>
      </c>
      <c r="I758" s="61" t="s">
        <v>279</v>
      </c>
      <c r="J758" s="87"/>
      <c r="K758" s="62" t="s">
        <v>2506</v>
      </c>
      <c r="L758" s="62">
        <v>3</v>
      </c>
      <c r="M758" s="62" t="s">
        <v>2667</v>
      </c>
      <c r="N758" s="62" t="s">
        <v>7566</v>
      </c>
      <c r="O758" s="48" t="s">
        <v>263</v>
      </c>
      <c r="P758" s="48" t="s">
        <v>3622</v>
      </c>
      <c r="Q758" s="48" t="s">
        <v>7567</v>
      </c>
      <c r="R758" s="48" t="s">
        <v>7568</v>
      </c>
      <c r="S758" s="48" t="s">
        <v>7569</v>
      </c>
      <c r="T758" s="48" t="s">
        <v>7570</v>
      </c>
      <c r="U758" s="48" t="s">
        <v>7571</v>
      </c>
      <c r="V758" s="48" t="s">
        <v>7572</v>
      </c>
      <c r="W758" s="48" t="s">
        <v>7518</v>
      </c>
      <c r="X758" s="48" t="s">
        <v>7573</v>
      </c>
      <c r="Y758" s="48" t="s">
        <v>7574</v>
      </c>
      <c r="Z758" s="61"/>
      <c r="AA758" s="122" t="s">
        <v>7575</v>
      </c>
      <c r="AB758" s="122" t="s">
        <v>7576</v>
      </c>
      <c r="AC758" s="122" t="s">
        <v>7577</v>
      </c>
      <c r="AD758" s="48" t="s">
        <v>7578</v>
      </c>
      <c r="AE758" s="48" t="s">
        <v>273</v>
      </c>
      <c r="AF758" s="48" t="s">
        <v>273</v>
      </c>
      <c r="AG758" s="48" t="s">
        <v>273</v>
      </c>
      <c r="AH758" s="48" t="s">
        <v>273</v>
      </c>
      <c r="AI758" s="48" t="s">
        <v>273</v>
      </c>
      <c r="AJ758" s="48" t="s">
        <v>273</v>
      </c>
      <c r="AK758" s="48" t="s">
        <v>7579</v>
      </c>
      <c r="AL758" s="48" t="s">
        <v>7580</v>
      </c>
      <c r="AM758" s="48" t="s">
        <v>2352</v>
      </c>
      <c r="AN758" s="48" t="s">
        <v>7581</v>
      </c>
      <c r="AO758" s="48" t="s">
        <v>273</v>
      </c>
      <c r="AP758" s="48" t="s">
        <v>273</v>
      </c>
      <c r="AQ758" s="48" t="s">
        <v>273</v>
      </c>
      <c r="AR758" s="48" t="s">
        <v>273</v>
      </c>
      <c r="AS758" s="48" t="s">
        <v>273</v>
      </c>
      <c r="AT758" s="48" t="s">
        <v>273</v>
      </c>
      <c r="AU758" s="93" t="s">
        <v>263</v>
      </c>
      <c r="AV758" s="93" t="s">
        <v>5505</v>
      </c>
      <c r="AW758" s="93" t="s">
        <v>7582</v>
      </c>
      <c r="AX758" s="93" t="s">
        <v>7583</v>
      </c>
      <c r="AY758" s="93" t="s">
        <v>5312</v>
      </c>
    </row>
    <row r="759" spans="1:52" ht="16.5" customHeight="1" x14ac:dyDescent="0.15">
      <c r="A759" s="199" t="s">
        <v>7584</v>
      </c>
      <c r="B759" s="209" t="s">
        <v>7585</v>
      </c>
      <c r="C759" s="48" t="s">
        <v>330</v>
      </c>
      <c r="D759" s="62" t="s">
        <v>7586</v>
      </c>
      <c r="E759" s="48" t="s">
        <v>300</v>
      </c>
      <c r="F759" s="61">
        <v>42674</v>
      </c>
      <c r="G759" s="61">
        <v>0</v>
      </c>
      <c r="H759" s="125">
        <v>42696</v>
      </c>
      <c r="I759" s="61" t="s">
        <v>279</v>
      </c>
      <c r="J759" s="87"/>
      <c r="K759" s="62" t="s">
        <v>2506</v>
      </c>
      <c r="L759" s="124" t="s">
        <v>7293</v>
      </c>
      <c r="M759" s="62" t="s">
        <v>924</v>
      </c>
      <c r="N759" s="62" t="s">
        <v>7587</v>
      </c>
      <c r="O759" s="48" t="s">
        <v>1202</v>
      </c>
      <c r="P759" s="48" t="s">
        <v>571</v>
      </c>
      <c r="Q759" s="48" t="s">
        <v>7588</v>
      </c>
      <c r="R759" s="48" t="s">
        <v>7589</v>
      </c>
      <c r="S759" s="48" t="s">
        <v>574</v>
      </c>
      <c r="T759" s="48" t="s">
        <v>575</v>
      </c>
      <c r="U759" s="48" t="s">
        <v>4427</v>
      </c>
      <c r="V759" s="122" t="s">
        <v>7293</v>
      </c>
      <c r="W759" s="122" t="s">
        <v>7293</v>
      </c>
      <c r="X759" s="48" t="s">
        <v>7590</v>
      </c>
      <c r="Y759" s="48" t="s">
        <v>7591</v>
      </c>
      <c r="Z759" s="61"/>
      <c r="AA759" s="48" t="s">
        <v>273</v>
      </c>
      <c r="AB759" s="48" t="s">
        <v>273</v>
      </c>
      <c r="AC759" s="48" t="s">
        <v>273</v>
      </c>
      <c r="AD759" s="48" t="s">
        <v>273</v>
      </c>
      <c r="AE759" s="48" t="s">
        <v>273</v>
      </c>
      <c r="AF759" s="48" t="s">
        <v>273</v>
      </c>
      <c r="AG759" s="48" t="s">
        <v>273</v>
      </c>
      <c r="AH759" s="48" t="s">
        <v>273</v>
      </c>
      <c r="AI759" s="48" t="s">
        <v>273</v>
      </c>
      <c r="AJ759" s="48" t="s">
        <v>273</v>
      </c>
      <c r="AK759" s="48" t="s">
        <v>273</v>
      </c>
      <c r="AL759" s="48" t="s">
        <v>273</v>
      </c>
      <c r="AM759" s="48" t="s">
        <v>273</v>
      </c>
      <c r="AN759" s="48" t="s">
        <v>273</v>
      </c>
      <c r="AO759" s="48" t="s">
        <v>273</v>
      </c>
      <c r="AP759" s="48" t="s">
        <v>273</v>
      </c>
      <c r="AQ759" s="48" t="s">
        <v>273</v>
      </c>
      <c r="AR759" s="48" t="s">
        <v>273</v>
      </c>
      <c r="AS759" s="48" t="s">
        <v>273</v>
      </c>
      <c r="AT759" s="48" t="s">
        <v>273</v>
      </c>
      <c r="AU759" s="93">
        <v>37500</v>
      </c>
      <c r="AV759" s="93" t="s">
        <v>7592</v>
      </c>
      <c r="AW759" s="93" t="s">
        <v>7593</v>
      </c>
      <c r="AX759" s="93" t="s">
        <v>273</v>
      </c>
      <c r="AY759" s="93" t="s">
        <v>5312</v>
      </c>
    </row>
    <row r="760" spans="1:52" ht="16.5" customHeight="1" x14ac:dyDescent="0.15">
      <c r="A760" s="199" t="s">
        <v>7594</v>
      </c>
      <c r="B760" s="209" t="s">
        <v>7595</v>
      </c>
      <c r="C760" s="48" t="s">
        <v>330</v>
      </c>
      <c r="D760" s="62" t="s">
        <v>7596</v>
      </c>
      <c r="E760" s="48" t="s">
        <v>300</v>
      </c>
      <c r="F760" s="61">
        <v>42674</v>
      </c>
      <c r="G760" s="61">
        <v>0</v>
      </c>
      <c r="H760" s="125">
        <v>42695</v>
      </c>
      <c r="I760" s="61" t="s">
        <v>279</v>
      </c>
      <c r="J760" s="87"/>
      <c r="K760" s="124" t="s">
        <v>7293</v>
      </c>
      <c r="L760" s="124" t="s">
        <v>7293</v>
      </c>
      <c r="M760" s="62">
        <v>180</v>
      </c>
      <c r="N760" s="62" t="s">
        <v>7597</v>
      </c>
      <c r="O760" s="48" t="s">
        <v>1528</v>
      </c>
      <c r="P760" s="48" t="s">
        <v>5530</v>
      </c>
      <c r="Q760" s="48" t="s">
        <v>7598</v>
      </c>
      <c r="R760" s="48" t="s">
        <v>7599</v>
      </c>
      <c r="S760" s="48" t="s">
        <v>7600</v>
      </c>
      <c r="T760" s="48" t="s">
        <v>7601</v>
      </c>
      <c r="U760" s="48" t="s">
        <v>7602</v>
      </c>
      <c r="V760" s="48" t="s">
        <v>7603</v>
      </c>
      <c r="W760" s="48" t="s">
        <v>7604</v>
      </c>
      <c r="X760" s="48" t="s">
        <v>7605</v>
      </c>
      <c r="Y760" s="48" t="s">
        <v>7599</v>
      </c>
      <c r="Z760" s="61"/>
      <c r="AA760" s="48" t="s">
        <v>273</v>
      </c>
      <c r="AB760" s="48" t="s">
        <v>273</v>
      </c>
      <c r="AC760" s="48" t="s">
        <v>273</v>
      </c>
      <c r="AD760" s="48" t="s">
        <v>273</v>
      </c>
      <c r="AE760" s="48" t="s">
        <v>273</v>
      </c>
      <c r="AF760" s="48" t="s">
        <v>273</v>
      </c>
      <c r="AG760" s="48" t="s">
        <v>273</v>
      </c>
      <c r="AH760" s="48" t="s">
        <v>273</v>
      </c>
      <c r="AI760" s="48" t="s">
        <v>273</v>
      </c>
      <c r="AJ760" s="48" t="s">
        <v>273</v>
      </c>
      <c r="AK760" s="48" t="s">
        <v>273</v>
      </c>
      <c r="AL760" s="48" t="s">
        <v>273</v>
      </c>
      <c r="AM760" s="48" t="s">
        <v>273</v>
      </c>
      <c r="AN760" s="48" t="s">
        <v>273</v>
      </c>
      <c r="AO760" s="48" t="s">
        <v>273</v>
      </c>
      <c r="AP760" s="48" t="s">
        <v>273</v>
      </c>
      <c r="AQ760" s="48" t="s">
        <v>273</v>
      </c>
      <c r="AR760" s="48" t="s">
        <v>273</v>
      </c>
      <c r="AS760" s="48" t="s">
        <v>273</v>
      </c>
      <c r="AT760" s="48" t="s">
        <v>273</v>
      </c>
      <c r="AU760" s="93">
        <v>36739</v>
      </c>
      <c r="AV760" s="93" t="s">
        <v>7606</v>
      </c>
      <c r="AW760" s="93" t="s">
        <v>7607</v>
      </c>
      <c r="AX760" s="93" t="s">
        <v>273</v>
      </c>
      <c r="AY760" s="93" t="s">
        <v>7608</v>
      </c>
      <c r="AZ760" s="49" t="s">
        <v>7609</v>
      </c>
    </row>
    <row r="761" spans="1:52" ht="16.5" customHeight="1" x14ac:dyDescent="0.15">
      <c r="A761" s="199" t="s">
        <v>7610</v>
      </c>
      <c r="B761" s="209" t="s">
        <v>7611</v>
      </c>
      <c r="C761" s="48" t="s">
        <v>7612</v>
      </c>
      <c r="D761" s="62" t="s">
        <v>7613</v>
      </c>
      <c r="E761" s="48" t="s">
        <v>264</v>
      </c>
      <c r="F761" s="61">
        <v>42674</v>
      </c>
      <c r="G761" s="61">
        <v>0</v>
      </c>
      <c r="H761" s="125">
        <v>42704</v>
      </c>
      <c r="I761" s="61" t="s">
        <v>279</v>
      </c>
      <c r="J761" s="87"/>
      <c r="K761" s="62" t="s">
        <v>2506</v>
      </c>
      <c r="L761" s="62">
        <v>3</v>
      </c>
      <c r="M761" s="62" t="s">
        <v>209</v>
      </c>
      <c r="N761" s="62" t="s">
        <v>7614</v>
      </c>
      <c r="O761" s="48" t="s">
        <v>1994</v>
      </c>
      <c r="P761" s="48" t="s">
        <v>7615</v>
      </c>
      <c r="Q761" s="48" t="s">
        <v>3991</v>
      </c>
      <c r="R761" s="48"/>
      <c r="S761" s="48" t="s">
        <v>4480</v>
      </c>
      <c r="T761" s="48" t="s">
        <v>4481</v>
      </c>
      <c r="U761" s="48" t="s">
        <v>7616</v>
      </c>
      <c r="V761" s="48"/>
      <c r="W761" s="48"/>
      <c r="X761" s="48"/>
      <c r="Y761" s="48"/>
      <c r="Z761" s="61"/>
      <c r="AA761" s="48" t="s">
        <v>327</v>
      </c>
      <c r="AB761" s="48" t="s">
        <v>273</v>
      </c>
      <c r="AC761" s="48" t="s">
        <v>273</v>
      </c>
      <c r="AD761" s="48" t="s">
        <v>273</v>
      </c>
      <c r="AE761" s="48" t="s">
        <v>273</v>
      </c>
      <c r="AF761" s="48" t="s">
        <v>273</v>
      </c>
      <c r="AG761" s="48" t="s">
        <v>273</v>
      </c>
      <c r="AH761" s="48" t="s">
        <v>273</v>
      </c>
      <c r="AI761" s="48" t="s">
        <v>273</v>
      </c>
      <c r="AJ761" s="48" t="s">
        <v>273</v>
      </c>
      <c r="AK761" s="48" t="s">
        <v>274</v>
      </c>
      <c r="AL761" s="48" t="s">
        <v>273</v>
      </c>
      <c r="AM761" s="48" t="s">
        <v>273</v>
      </c>
      <c r="AN761" s="48" t="s">
        <v>273</v>
      </c>
      <c r="AO761" s="48" t="s">
        <v>273</v>
      </c>
      <c r="AP761" s="48" t="s">
        <v>273</v>
      </c>
      <c r="AQ761" s="48" t="s">
        <v>273</v>
      </c>
      <c r="AR761" s="48" t="s">
        <v>273</v>
      </c>
      <c r="AS761" s="48" t="s">
        <v>273</v>
      </c>
      <c r="AT761" s="48" t="s">
        <v>273</v>
      </c>
      <c r="AU761" s="93">
        <v>41487</v>
      </c>
      <c r="AV761" s="93" t="s">
        <v>7617</v>
      </c>
      <c r="AW761" s="93" t="s">
        <v>7618</v>
      </c>
      <c r="AX761" s="93" t="s">
        <v>7135</v>
      </c>
      <c r="AY761" s="93" t="s">
        <v>5312</v>
      </c>
    </row>
    <row r="762" spans="1:52" ht="16.5" customHeight="1" x14ac:dyDescent="0.15">
      <c r="A762" s="121" t="s">
        <v>7619</v>
      </c>
      <c r="B762" s="47" t="s">
        <v>7620</v>
      </c>
      <c r="C762" s="48" t="e">
        <f t="shared" ca="1" si="0"/>
        <v>#REF!</v>
      </c>
      <c r="D762" s="62" t="e">
        <f t="shared" ca="1" si="1"/>
        <v>#REF!</v>
      </c>
      <c r="E762" s="48" t="e">
        <f t="shared" ca="1" si="2"/>
        <v>#REF!</v>
      </c>
      <c r="F762" s="61" t="e">
        <f t="shared" ca="1" si="3"/>
        <v>#REF!</v>
      </c>
      <c r="G762" s="61" t="e">
        <f ca="1">INDIRECT("'["&amp;$C$1&amp;".xls]"&amp;$B762&amp;"'!$a$20")</f>
        <v>#REF!</v>
      </c>
      <c r="H762" s="88" t="e">
        <f t="shared" ca="1" si="4"/>
        <v>#REF!</v>
      </c>
      <c r="I762" s="61" t="e">
        <f t="shared" ca="1" si="5"/>
        <v>#REF!</v>
      </c>
      <c r="J762" s="87"/>
      <c r="K762" s="62" t="e">
        <f t="shared" ca="1" si="6"/>
        <v>#REF!</v>
      </c>
      <c r="L762" s="62"/>
      <c r="M762" s="62" t="e">
        <f t="shared" ca="1" si="7"/>
        <v>#REF!</v>
      </c>
      <c r="N762" s="62" t="e">
        <f t="shared" ca="1" si="8"/>
        <v>#REF!</v>
      </c>
      <c r="O762" s="48" t="e">
        <f t="shared" ca="1" si="9"/>
        <v>#REF!</v>
      </c>
      <c r="P762" s="48" t="e">
        <f t="shared" ca="1" si="10"/>
        <v>#REF!</v>
      </c>
      <c r="Q762" s="48" t="e">
        <f t="shared" ca="1" si="11"/>
        <v>#REF!</v>
      </c>
      <c r="R762" s="48"/>
      <c r="S762" s="48" t="e">
        <f t="shared" ca="1" si="12"/>
        <v>#REF!</v>
      </c>
      <c r="T762" s="48" t="e">
        <f t="shared" ca="1" si="13"/>
        <v>#REF!</v>
      </c>
      <c r="U762" s="48" t="e">
        <f t="shared" ca="1" si="14"/>
        <v>#REF!</v>
      </c>
      <c r="V762" s="48"/>
      <c r="W762" s="48"/>
      <c r="X762" s="48"/>
      <c r="Y762" s="48"/>
      <c r="Z762" s="61"/>
      <c r="AA762" s="48" t="e">
        <f ca="1">IF(INDIRECT("'["&amp;$C$1&amp;".xls]"&amp;$B762&amp;"'!$P$25")="","",IF(INDIRECT("'["&amp;$C$1&amp;".xls]"&amp;$B762&amp;"'!$O$25")="済み",INDIRECT("'["&amp;$C$1&amp;".xls]"&amp;$B762&amp;"'!$P$25"),""))</f>
        <v>#REF!</v>
      </c>
      <c r="AB762" s="48" t="e">
        <f ca="1">IF(INDIRECT("'["&amp;$C$1&amp;".xls]"&amp;$B762&amp;"'!$P$26")="","",IF(INDIRECT("'["&amp;$C$1&amp;".xls]"&amp;$B762&amp;"'!$O$26")="済み",INDIRECT("'["&amp;$C$1&amp;".xls]"&amp;$B762&amp;"'!$P$26"),""))</f>
        <v>#REF!</v>
      </c>
      <c r="AC762" s="48" t="e">
        <f ca="1">IF(INDIRECT("'["&amp;$C$1&amp;".xls]"&amp;$B762&amp;"'!$P$27")="","",IF(INDIRECT("'["&amp;$C$1&amp;".xls]"&amp;$B762&amp;"'!$O$27")="済み",INDIRECT("'["&amp;$C$1&amp;".xls]"&amp;$B762&amp;"'!$P$27"),""))</f>
        <v>#REF!</v>
      </c>
      <c r="AD762" s="48" t="e">
        <f ca="1">IF(INDIRECT("'["&amp;$C$1&amp;".xls]"&amp;$B762&amp;"'!$P$28")="","",IF(INDIRECT("'["&amp;$C$1&amp;".xls]"&amp;$B762&amp;"'!$O$28")="済み",INDIRECT("'["&amp;$C$1&amp;".xls]"&amp;$B762&amp;"'!$P$28"),""))</f>
        <v>#REF!</v>
      </c>
      <c r="AE762" s="48" t="e">
        <f ca="1">IF(INDIRECT("'["&amp;$C$1&amp;".xls]"&amp;$B762&amp;"'!$P$29")="","",IF(INDIRECT("'["&amp;$C$1&amp;".xls]"&amp;$B762&amp;"'!$O$29")="済み",INDIRECT("'["&amp;$C$1&amp;".xls]"&amp;$B762&amp;"'!$P$29"),""))</f>
        <v>#REF!</v>
      </c>
      <c r="AF762" s="48" t="e">
        <f ca="1">IF(INDIRECT("'["&amp;$C$1&amp;".xls]"&amp;$B762&amp;"'!$P$30")="","",IF(INDIRECT("'["&amp;$C$1&amp;".xls]"&amp;$B762&amp;"'!$O$30")="済み",INDIRECT("'["&amp;$C$1&amp;".xls]"&amp;$B762&amp;"'!$P$30"),""))</f>
        <v>#REF!</v>
      </c>
      <c r="AG762" s="48" t="e">
        <f ca="1">IF(INDIRECT("'["&amp;$C$1&amp;".xls]"&amp;$B762&amp;"'!$P$31")="","",IF(INDIRECT("'["&amp;$C$1&amp;".xls]"&amp;$B762&amp;"'!$O$31")="済み",INDIRECT("'["&amp;$C$1&amp;".xls]"&amp;$B762&amp;"'!$P$31"),""))</f>
        <v>#REF!</v>
      </c>
      <c r="AH762" s="48" t="e">
        <f ca="1">IF(INDIRECT("'["&amp;$C$1&amp;".xls]"&amp;$B762&amp;"'!$P$32")="","",IF(INDIRECT("'["&amp;$C$1&amp;".xls]"&amp;$B762&amp;"'!$O$32")="済み",INDIRECT("'["&amp;$C$1&amp;".xls]"&amp;$B762&amp;"'!$P$32"),""))</f>
        <v>#REF!</v>
      </c>
      <c r="AI762" s="48" t="e">
        <f ca="1">IF(INDIRECT("'["&amp;$C$1&amp;".xls]"&amp;$B762&amp;"'!$P$33")="","",IF(INDIRECT("'["&amp;$C$1&amp;".xls]"&amp;$B762&amp;"'!$O$33")="済み",INDIRECT("'["&amp;$C$1&amp;".xls]"&amp;$B762&amp;"'!$P$33"),""))</f>
        <v>#REF!</v>
      </c>
      <c r="AJ762" s="48" t="e">
        <f ca="1">IF(INDIRECT("'["&amp;$C$1&amp;".xls]"&amp;$B762&amp;"'!$P$34")="","",IF(INDIRECT("'["&amp;$C$1&amp;".xls]"&amp;$B762&amp;"'!$O$34")="済み",INDIRECT("'["&amp;$C$1&amp;".xls]"&amp;$B762&amp;"'!$P$34"),""))</f>
        <v>#REF!</v>
      </c>
      <c r="AK762" s="48" t="e">
        <f ca="1">IF(INDIRECT("'["&amp;$C$1&amp;".xls]"&amp;$B762&amp;"'!$T25")="","",IF(INDIRECT("'["&amp;$C$1&amp;".xls]"&amp;$B762&amp;"'!$O$25")="済み",INDIRECT("'["&amp;$C$1&amp;".xls]"&amp;$B762&amp;"'!$T$25"),""))</f>
        <v>#REF!</v>
      </c>
      <c r="AL762" s="48" t="e">
        <f ca="1">IF(INDIRECT("'["&amp;$C$1&amp;".xls]"&amp;$B762&amp;"'!$T26")="","",IF(INDIRECT("'["&amp;$C$1&amp;".xls]"&amp;$B762&amp;"'!$O$26")="済み",INDIRECT("'["&amp;$C$1&amp;".xls]"&amp;$B762&amp;"'!$T$26"),""))</f>
        <v>#REF!</v>
      </c>
      <c r="AM762" s="48" t="e">
        <f ca="1">IF(INDIRECT("'["&amp;$C$1&amp;".xls]"&amp;$B762&amp;"'!$T27")="","",IF(INDIRECT("'["&amp;$C$1&amp;".xls]"&amp;$B762&amp;"'!$O$27")="済み",INDIRECT("'["&amp;$C$1&amp;".xls]"&amp;$B762&amp;"'!$T$27"),""))</f>
        <v>#REF!</v>
      </c>
      <c r="AN762" s="48" t="e">
        <f ca="1">IF(INDIRECT("'["&amp;$C$1&amp;".xls]"&amp;$B762&amp;"'!$T28")="","",IF(INDIRECT("'["&amp;$C$1&amp;".xls]"&amp;$B762&amp;"'!$O$28")="済み",INDIRECT("'["&amp;$C$1&amp;".xls]"&amp;$B762&amp;"'!$T$28"),""))</f>
        <v>#REF!</v>
      </c>
      <c r="AO762" s="48" t="e">
        <f ca="1">IF(INDIRECT("'["&amp;$C$1&amp;".xls]"&amp;$B762&amp;"'!$T29")="","",IF(INDIRECT("'["&amp;$C$1&amp;".xls]"&amp;$B762&amp;"'!$O$29")="済み",INDIRECT("'["&amp;$C$1&amp;".xls]"&amp;$B762&amp;"'!$T$29"),""))</f>
        <v>#REF!</v>
      </c>
      <c r="AP762" s="48" t="e">
        <f ca="1">IF(INDIRECT("'["&amp;$C$1&amp;".xls]"&amp;$B762&amp;"'!$T30")="","",IF(INDIRECT("'["&amp;$C$1&amp;".xls]"&amp;$B762&amp;"'!$O$30")="済み",INDIRECT("'["&amp;$C$1&amp;".xls]"&amp;$B762&amp;"'!$T$30"),""))</f>
        <v>#REF!</v>
      </c>
      <c r="AQ762" s="48" t="e">
        <f ca="1">IF(INDIRECT("'["&amp;$C$1&amp;".xls]"&amp;$B762&amp;"'!$T31")="","",IF(INDIRECT("'["&amp;$C$1&amp;".xls]"&amp;$B762&amp;"'!$O$31")="済み",INDIRECT("'["&amp;$C$1&amp;".xls]"&amp;$B762&amp;"'!$T$31"),""))</f>
        <v>#REF!</v>
      </c>
      <c r="AR762" s="48" t="e">
        <f ca="1">IF(INDIRECT("'["&amp;$C$1&amp;".xls]"&amp;$B762&amp;"'!$T32")="","",IF(INDIRECT("'["&amp;$C$1&amp;".xls]"&amp;$B762&amp;"'!$O$32")="済み",INDIRECT("'["&amp;$C$1&amp;".xls]"&amp;$B762&amp;"'!$T$32"),""))</f>
        <v>#REF!</v>
      </c>
      <c r="AS762" s="48" t="e">
        <f ca="1">IF(INDIRECT("'["&amp;$C$1&amp;".xls]"&amp;$B762&amp;"'!$T33")="","",IF(INDIRECT("'["&amp;$C$1&amp;".xls]"&amp;$B762&amp;"'!$O$33")="済み",INDIRECT("'["&amp;$C$1&amp;".xls]"&amp;$B762&amp;"'!$T$33"),""))</f>
        <v>#REF!</v>
      </c>
      <c r="AT762" s="48" t="e">
        <f ca="1">IF(INDIRECT("'["&amp;$C$1&amp;".xls]"&amp;$B762&amp;"'!$T34")="","",IF(INDIRECT("'["&amp;$C$1&amp;".xls]"&amp;$B762&amp;"'!$O$34")="済み",INDIRECT("'["&amp;$C$1&amp;".xls]"&amp;$B762&amp;"'!$T$34"),""))</f>
        <v>#REF!</v>
      </c>
      <c r="AU762" s="93" t="e">
        <f t="shared" ca="1" si="15"/>
        <v>#REF!</v>
      </c>
      <c r="AV762" s="93" t="e">
        <f t="shared" ca="1" si="16"/>
        <v>#REF!</v>
      </c>
      <c r="AW762" s="93" t="e">
        <f t="shared" ca="1" si="17"/>
        <v>#REF!</v>
      </c>
      <c r="AX762" s="93" t="e">
        <f t="shared" ca="1" si="18"/>
        <v>#REF!</v>
      </c>
      <c r="AY762" s="93" t="e">
        <f t="shared" ca="1" si="19"/>
        <v>#REF!</v>
      </c>
    </row>
    <row r="763" spans="1:52" ht="16.5" customHeight="1" x14ac:dyDescent="0.15">
      <c r="A763" s="121" t="s">
        <v>7621</v>
      </c>
      <c r="B763" s="47" t="s">
        <v>7622</v>
      </c>
      <c r="C763" s="48" t="e">
        <f t="shared" ca="1" si="0"/>
        <v>#REF!</v>
      </c>
      <c r="D763" s="62" t="e">
        <f t="shared" ca="1" si="1"/>
        <v>#REF!</v>
      </c>
      <c r="E763" s="48" t="e">
        <f t="shared" ca="1" si="2"/>
        <v>#REF!</v>
      </c>
      <c r="F763" s="61" t="e">
        <f t="shared" ca="1" si="3"/>
        <v>#REF!</v>
      </c>
      <c r="G763" s="61" t="e">
        <f t="shared" ref="G763:G826" ca="1" si="20">INDIRECT("'["&amp;$C$1&amp;".xls]"&amp;$B763&amp;"'!$a$20")</f>
        <v>#REF!</v>
      </c>
      <c r="H763" s="88" t="e">
        <f t="shared" ca="1" si="4"/>
        <v>#REF!</v>
      </c>
      <c r="I763" s="61" t="e">
        <f t="shared" ca="1" si="5"/>
        <v>#REF!</v>
      </c>
      <c r="J763" s="87"/>
      <c r="K763" s="62" t="e">
        <f t="shared" ca="1" si="6"/>
        <v>#REF!</v>
      </c>
      <c r="L763" s="62"/>
      <c r="M763" s="62" t="e">
        <f t="shared" ca="1" si="7"/>
        <v>#REF!</v>
      </c>
      <c r="N763" s="62" t="e">
        <f t="shared" ca="1" si="8"/>
        <v>#REF!</v>
      </c>
      <c r="O763" s="48" t="e">
        <f t="shared" ca="1" si="9"/>
        <v>#REF!</v>
      </c>
      <c r="P763" s="48" t="e">
        <f t="shared" ca="1" si="10"/>
        <v>#REF!</v>
      </c>
      <c r="Q763" s="48" t="e">
        <f t="shared" ca="1" si="11"/>
        <v>#REF!</v>
      </c>
      <c r="R763" s="48"/>
      <c r="S763" s="48" t="e">
        <f t="shared" ca="1" si="12"/>
        <v>#REF!</v>
      </c>
      <c r="T763" s="48" t="e">
        <f t="shared" ca="1" si="13"/>
        <v>#REF!</v>
      </c>
      <c r="U763" s="48" t="e">
        <f t="shared" ca="1" si="14"/>
        <v>#REF!</v>
      </c>
      <c r="V763" s="48"/>
      <c r="W763" s="48"/>
      <c r="X763" s="48"/>
      <c r="Y763" s="48"/>
      <c r="Z763" s="61"/>
      <c r="AA763" s="48" t="e">
        <f ca="1">IF(INDIRECT("'["&amp;$C$1&amp;".xls]"&amp;$B763&amp;"'!$P$25")="","",IF(INDIRECT("'["&amp;$C$1&amp;".xls]"&amp;$B763&amp;"'!$O$25")="済み",INDIRECT("'["&amp;$C$1&amp;".xls]"&amp;$B763&amp;"'!$P$25"),""))</f>
        <v>#REF!</v>
      </c>
      <c r="AB763" s="48" t="e">
        <f ca="1">IF(INDIRECT("'["&amp;$C$1&amp;".xls]"&amp;$B763&amp;"'!$P$26")="","",IF(INDIRECT("'["&amp;$C$1&amp;".xls]"&amp;$B763&amp;"'!$O$26")="済み",INDIRECT("'["&amp;$C$1&amp;".xls]"&amp;$B763&amp;"'!$P$26"),""))</f>
        <v>#REF!</v>
      </c>
      <c r="AC763" s="48" t="e">
        <f ca="1">IF(INDIRECT("'["&amp;$C$1&amp;".xls]"&amp;$B763&amp;"'!$P$27")="","",IF(INDIRECT("'["&amp;$C$1&amp;".xls]"&amp;$B763&amp;"'!$O$27")="済み",INDIRECT("'["&amp;$C$1&amp;".xls]"&amp;$B763&amp;"'!$P$27"),""))</f>
        <v>#REF!</v>
      </c>
      <c r="AD763" s="48" t="e">
        <f ca="1">IF(INDIRECT("'["&amp;$C$1&amp;".xls]"&amp;$B763&amp;"'!$P$28")="","",IF(INDIRECT("'["&amp;$C$1&amp;".xls]"&amp;$B763&amp;"'!$O$28")="済み",INDIRECT("'["&amp;$C$1&amp;".xls]"&amp;$B763&amp;"'!$P$28"),""))</f>
        <v>#REF!</v>
      </c>
      <c r="AE763" s="48" t="e">
        <f ca="1">IF(INDIRECT("'["&amp;$C$1&amp;".xls]"&amp;$B763&amp;"'!$P$29")="","",IF(INDIRECT("'["&amp;$C$1&amp;".xls]"&amp;$B763&amp;"'!$O$29")="済み",INDIRECT("'["&amp;$C$1&amp;".xls]"&amp;$B763&amp;"'!$P$29"),""))</f>
        <v>#REF!</v>
      </c>
      <c r="AF763" s="48" t="e">
        <f ca="1">IF(INDIRECT("'["&amp;$C$1&amp;".xls]"&amp;$B763&amp;"'!$P$30")="","",IF(INDIRECT("'["&amp;$C$1&amp;".xls]"&amp;$B763&amp;"'!$O$30")="済み",INDIRECT("'["&amp;$C$1&amp;".xls]"&amp;$B763&amp;"'!$P$30"),""))</f>
        <v>#REF!</v>
      </c>
      <c r="AG763" s="48" t="e">
        <f ca="1">IF(INDIRECT("'["&amp;$C$1&amp;".xls]"&amp;$B763&amp;"'!$P$31")="","",IF(INDIRECT("'["&amp;$C$1&amp;".xls]"&amp;$B763&amp;"'!$O$31")="済み",INDIRECT("'["&amp;$C$1&amp;".xls]"&amp;$B763&amp;"'!$P$31"),""))</f>
        <v>#REF!</v>
      </c>
      <c r="AH763" s="48" t="e">
        <f ca="1">IF(INDIRECT("'["&amp;$C$1&amp;".xls]"&amp;$B763&amp;"'!$P$32")="","",IF(INDIRECT("'["&amp;$C$1&amp;".xls]"&amp;$B763&amp;"'!$O$32")="済み",INDIRECT("'["&amp;$C$1&amp;".xls]"&amp;$B763&amp;"'!$P$32"),""))</f>
        <v>#REF!</v>
      </c>
      <c r="AI763" s="48" t="e">
        <f ca="1">IF(INDIRECT("'["&amp;$C$1&amp;".xls]"&amp;$B763&amp;"'!$P$33")="","",IF(INDIRECT("'["&amp;$C$1&amp;".xls]"&amp;$B763&amp;"'!$O$33")="済み",INDIRECT("'["&amp;$C$1&amp;".xls]"&amp;$B763&amp;"'!$P$33"),""))</f>
        <v>#REF!</v>
      </c>
      <c r="AJ763" s="48" t="e">
        <f ca="1">IF(INDIRECT("'["&amp;$C$1&amp;".xls]"&amp;$B763&amp;"'!$P$34")="","",IF(INDIRECT("'["&amp;$C$1&amp;".xls]"&amp;$B763&amp;"'!$O$34")="済み",INDIRECT("'["&amp;$C$1&amp;".xls]"&amp;$B763&amp;"'!$P$34"),""))</f>
        <v>#REF!</v>
      </c>
      <c r="AK763" s="48" t="e">
        <f ca="1">IF(INDIRECT("'["&amp;$C$1&amp;".xls]"&amp;$B763&amp;"'!$T25")="","",IF(INDIRECT("'["&amp;$C$1&amp;".xls]"&amp;$B763&amp;"'!$O$25")="済み",INDIRECT("'["&amp;$C$1&amp;".xls]"&amp;$B763&amp;"'!$T$25"),""))</f>
        <v>#REF!</v>
      </c>
      <c r="AL763" s="48" t="e">
        <f ca="1">IF(INDIRECT("'["&amp;$C$1&amp;".xls]"&amp;$B763&amp;"'!$T26")="","",IF(INDIRECT("'["&amp;$C$1&amp;".xls]"&amp;$B763&amp;"'!$O$26")="済み",INDIRECT("'["&amp;$C$1&amp;".xls]"&amp;$B763&amp;"'!$T$26"),""))</f>
        <v>#REF!</v>
      </c>
      <c r="AM763" s="48" t="e">
        <f ca="1">IF(INDIRECT("'["&amp;$C$1&amp;".xls]"&amp;$B763&amp;"'!$T27")="","",IF(INDIRECT("'["&amp;$C$1&amp;".xls]"&amp;$B763&amp;"'!$O$27")="済み",INDIRECT("'["&amp;$C$1&amp;".xls]"&amp;$B763&amp;"'!$T$27"),""))</f>
        <v>#REF!</v>
      </c>
      <c r="AN763" s="48" t="e">
        <f ca="1">IF(INDIRECT("'["&amp;$C$1&amp;".xls]"&amp;$B763&amp;"'!$T28")="","",IF(INDIRECT("'["&amp;$C$1&amp;".xls]"&amp;$B763&amp;"'!$O$28")="済み",INDIRECT("'["&amp;$C$1&amp;".xls]"&amp;$B763&amp;"'!$T$28"),""))</f>
        <v>#REF!</v>
      </c>
      <c r="AO763" s="48" t="e">
        <f ca="1">IF(INDIRECT("'["&amp;$C$1&amp;".xls]"&amp;$B763&amp;"'!$T29")="","",IF(INDIRECT("'["&amp;$C$1&amp;".xls]"&amp;$B763&amp;"'!$O$29")="済み",INDIRECT("'["&amp;$C$1&amp;".xls]"&amp;$B763&amp;"'!$T$29"),""))</f>
        <v>#REF!</v>
      </c>
      <c r="AP763" s="48" t="e">
        <f ca="1">IF(INDIRECT("'["&amp;$C$1&amp;".xls]"&amp;$B763&amp;"'!$T30")="","",IF(INDIRECT("'["&amp;$C$1&amp;".xls]"&amp;$B763&amp;"'!$O$30")="済み",INDIRECT("'["&amp;$C$1&amp;".xls]"&amp;$B763&amp;"'!$T$30"),""))</f>
        <v>#REF!</v>
      </c>
      <c r="AQ763" s="48" t="e">
        <f ca="1">IF(INDIRECT("'["&amp;$C$1&amp;".xls]"&amp;$B763&amp;"'!$T31")="","",IF(INDIRECT("'["&amp;$C$1&amp;".xls]"&amp;$B763&amp;"'!$O$31")="済み",INDIRECT("'["&amp;$C$1&amp;".xls]"&amp;$B763&amp;"'!$T$31"),""))</f>
        <v>#REF!</v>
      </c>
      <c r="AR763" s="48" t="e">
        <f ca="1">IF(INDIRECT("'["&amp;$C$1&amp;".xls]"&amp;$B763&amp;"'!$T32")="","",IF(INDIRECT("'["&amp;$C$1&amp;".xls]"&amp;$B763&amp;"'!$O$32")="済み",INDIRECT("'["&amp;$C$1&amp;".xls]"&amp;$B763&amp;"'!$T$32"),""))</f>
        <v>#REF!</v>
      </c>
      <c r="AS763" s="48" t="e">
        <f ca="1">IF(INDIRECT("'["&amp;$C$1&amp;".xls]"&amp;$B763&amp;"'!$T33")="","",IF(INDIRECT("'["&amp;$C$1&amp;".xls]"&amp;$B763&amp;"'!$O$33")="済み",INDIRECT("'["&amp;$C$1&amp;".xls]"&amp;$B763&amp;"'!$T$33"),""))</f>
        <v>#REF!</v>
      </c>
      <c r="AT763" s="48" t="e">
        <f ca="1">IF(INDIRECT("'["&amp;$C$1&amp;".xls]"&amp;$B763&amp;"'!$T34")="","",IF(INDIRECT("'["&amp;$C$1&amp;".xls]"&amp;$B763&amp;"'!$O$34")="済み",INDIRECT("'["&amp;$C$1&amp;".xls]"&amp;$B763&amp;"'!$T$34"),""))</f>
        <v>#REF!</v>
      </c>
      <c r="AU763" s="93" t="e">
        <f t="shared" ca="1" si="15"/>
        <v>#REF!</v>
      </c>
      <c r="AV763" s="93" t="e">
        <f t="shared" ca="1" si="16"/>
        <v>#REF!</v>
      </c>
      <c r="AW763" s="93" t="e">
        <f t="shared" ca="1" si="17"/>
        <v>#REF!</v>
      </c>
      <c r="AX763" s="93" t="e">
        <f t="shared" ca="1" si="18"/>
        <v>#REF!</v>
      </c>
      <c r="AY763" s="93" t="e">
        <f t="shared" ca="1" si="19"/>
        <v>#REF!</v>
      </c>
    </row>
    <row r="764" spans="1:52" ht="16.5" customHeight="1" x14ac:dyDescent="0.15">
      <c r="A764" s="121" t="s">
        <v>7623</v>
      </c>
      <c r="B764" s="47" t="s">
        <v>7624</v>
      </c>
      <c r="C764" s="48" t="e">
        <f t="shared" ca="1" si="0"/>
        <v>#REF!</v>
      </c>
      <c r="D764" s="62" t="e">
        <f t="shared" ca="1" si="1"/>
        <v>#REF!</v>
      </c>
      <c r="E764" s="48" t="e">
        <f t="shared" ca="1" si="2"/>
        <v>#REF!</v>
      </c>
      <c r="F764" s="61" t="e">
        <f t="shared" ca="1" si="3"/>
        <v>#REF!</v>
      </c>
      <c r="G764" s="61" t="e">
        <f t="shared" ca="1" si="20"/>
        <v>#REF!</v>
      </c>
      <c r="H764" s="88" t="e">
        <f t="shared" ca="1" si="4"/>
        <v>#REF!</v>
      </c>
      <c r="I764" s="61" t="e">
        <f t="shared" ca="1" si="5"/>
        <v>#REF!</v>
      </c>
      <c r="J764" s="87"/>
      <c r="K764" s="62" t="e">
        <f t="shared" ca="1" si="6"/>
        <v>#REF!</v>
      </c>
      <c r="L764" s="62"/>
      <c r="M764" s="62" t="e">
        <f t="shared" ca="1" si="7"/>
        <v>#REF!</v>
      </c>
      <c r="N764" s="62" t="e">
        <f t="shared" ca="1" si="8"/>
        <v>#REF!</v>
      </c>
      <c r="O764" s="48" t="e">
        <f t="shared" ca="1" si="9"/>
        <v>#REF!</v>
      </c>
      <c r="P764" s="48" t="e">
        <f t="shared" ca="1" si="10"/>
        <v>#REF!</v>
      </c>
      <c r="Q764" s="48" t="e">
        <f t="shared" ca="1" si="11"/>
        <v>#REF!</v>
      </c>
      <c r="R764" s="48"/>
      <c r="S764" s="48" t="e">
        <f t="shared" ca="1" si="12"/>
        <v>#REF!</v>
      </c>
      <c r="T764" s="48" t="e">
        <f t="shared" ca="1" si="13"/>
        <v>#REF!</v>
      </c>
      <c r="U764" s="48" t="e">
        <f t="shared" ca="1" si="14"/>
        <v>#REF!</v>
      </c>
      <c r="V764" s="48"/>
      <c r="W764" s="48"/>
      <c r="X764" s="48"/>
      <c r="Y764" s="48"/>
      <c r="Z764" s="61"/>
      <c r="AA764" s="48" t="e">
        <f ca="1">IF(INDIRECT("'["&amp;$C$1&amp;".xls]"&amp;$B764&amp;"'!$P$25")="","",IF(INDIRECT("'["&amp;$C$1&amp;".xls]"&amp;$B764&amp;"'!$O$25")="済み",INDIRECT("'["&amp;$C$1&amp;".xls]"&amp;$B764&amp;"'!$P$25"),""))</f>
        <v>#REF!</v>
      </c>
      <c r="AB764" s="48" t="e">
        <f ca="1">IF(INDIRECT("'["&amp;$C$1&amp;".xls]"&amp;$B764&amp;"'!$P$26")="","",IF(INDIRECT("'["&amp;$C$1&amp;".xls]"&amp;$B764&amp;"'!$O$26")="済み",INDIRECT("'["&amp;$C$1&amp;".xls]"&amp;$B764&amp;"'!$P$26"),""))</f>
        <v>#REF!</v>
      </c>
      <c r="AC764" s="48" t="e">
        <f ca="1">IF(INDIRECT("'["&amp;$C$1&amp;".xls]"&amp;$B764&amp;"'!$P$27")="","",IF(INDIRECT("'["&amp;$C$1&amp;".xls]"&amp;$B764&amp;"'!$O$27")="済み",INDIRECT("'["&amp;$C$1&amp;".xls]"&amp;$B764&amp;"'!$P$27"),""))</f>
        <v>#REF!</v>
      </c>
      <c r="AD764" s="48" t="e">
        <f ca="1">IF(INDIRECT("'["&amp;$C$1&amp;".xls]"&amp;$B764&amp;"'!$P$28")="","",IF(INDIRECT("'["&amp;$C$1&amp;".xls]"&amp;$B764&amp;"'!$O$28")="済み",INDIRECT("'["&amp;$C$1&amp;".xls]"&amp;$B764&amp;"'!$P$28"),""))</f>
        <v>#REF!</v>
      </c>
      <c r="AE764" s="48" t="e">
        <f ca="1">IF(INDIRECT("'["&amp;$C$1&amp;".xls]"&amp;$B764&amp;"'!$P$29")="","",IF(INDIRECT("'["&amp;$C$1&amp;".xls]"&amp;$B764&amp;"'!$O$29")="済み",INDIRECT("'["&amp;$C$1&amp;".xls]"&amp;$B764&amp;"'!$P$29"),""))</f>
        <v>#REF!</v>
      </c>
      <c r="AF764" s="48" t="e">
        <f ca="1">IF(INDIRECT("'["&amp;$C$1&amp;".xls]"&amp;$B764&amp;"'!$P$30")="","",IF(INDIRECT("'["&amp;$C$1&amp;".xls]"&amp;$B764&amp;"'!$O$30")="済み",INDIRECT("'["&amp;$C$1&amp;".xls]"&amp;$B764&amp;"'!$P$30"),""))</f>
        <v>#REF!</v>
      </c>
      <c r="AG764" s="48" t="e">
        <f ca="1">IF(INDIRECT("'["&amp;$C$1&amp;".xls]"&amp;$B764&amp;"'!$P$31")="","",IF(INDIRECT("'["&amp;$C$1&amp;".xls]"&amp;$B764&amp;"'!$O$31")="済み",INDIRECT("'["&amp;$C$1&amp;".xls]"&amp;$B764&amp;"'!$P$31"),""))</f>
        <v>#REF!</v>
      </c>
      <c r="AH764" s="48" t="e">
        <f ca="1">IF(INDIRECT("'["&amp;$C$1&amp;".xls]"&amp;$B764&amp;"'!$P$32")="","",IF(INDIRECT("'["&amp;$C$1&amp;".xls]"&amp;$B764&amp;"'!$O$32")="済み",INDIRECT("'["&amp;$C$1&amp;".xls]"&amp;$B764&amp;"'!$P$32"),""))</f>
        <v>#REF!</v>
      </c>
      <c r="AI764" s="48" t="e">
        <f ca="1">IF(INDIRECT("'["&amp;$C$1&amp;".xls]"&amp;$B764&amp;"'!$P$33")="","",IF(INDIRECT("'["&amp;$C$1&amp;".xls]"&amp;$B764&amp;"'!$O$33")="済み",INDIRECT("'["&amp;$C$1&amp;".xls]"&amp;$B764&amp;"'!$P$33"),""))</f>
        <v>#REF!</v>
      </c>
      <c r="AJ764" s="48" t="e">
        <f ca="1">IF(INDIRECT("'["&amp;$C$1&amp;".xls]"&amp;$B764&amp;"'!$P$34")="","",IF(INDIRECT("'["&amp;$C$1&amp;".xls]"&amp;$B764&amp;"'!$O$34")="済み",INDIRECT("'["&amp;$C$1&amp;".xls]"&amp;$B764&amp;"'!$P$34"),""))</f>
        <v>#REF!</v>
      </c>
      <c r="AK764" s="48" t="e">
        <f ca="1">IF(INDIRECT("'["&amp;$C$1&amp;".xls]"&amp;$B764&amp;"'!$T25")="","",IF(INDIRECT("'["&amp;$C$1&amp;".xls]"&amp;$B764&amp;"'!$O$25")="済み",INDIRECT("'["&amp;$C$1&amp;".xls]"&amp;$B764&amp;"'!$T$25"),""))</f>
        <v>#REF!</v>
      </c>
      <c r="AL764" s="48" t="e">
        <f ca="1">IF(INDIRECT("'["&amp;$C$1&amp;".xls]"&amp;$B764&amp;"'!$T26")="","",IF(INDIRECT("'["&amp;$C$1&amp;".xls]"&amp;$B764&amp;"'!$O$26")="済み",INDIRECT("'["&amp;$C$1&amp;".xls]"&amp;$B764&amp;"'!$T$26"),""))</f>
        <v>#REF!</v>
      </c>
      <c r="AM764" s="48" t="e">
        <f ca="1">IF(INDIRECT("'["&amp;$C$1&amp;".xls]"&amp;$B764&amp;"'!$T27")="","",IF(INDIRECT("'["&amp;$C$1&amp;".xls]"&amp;$B764&amp;"'!$O$27")="済み",INDIRECT("'["&amp;$C$1&amp;".xls]"&amp;$B764&amp;"'!$T$27"),""))</f>
        <v>#REF!</v>
      </c>
      <c r="AN764" s="48" t="e">
        <f ca="1">IF(INDIRECT("'["&amp;$C$1&amp;".xls]"&amp;$B764&amp;"'!$T28")="","",IF(INDIRECT("'["&amp;$C$1&amp;".xls]"&amp;$B764&amp;"'!$O$28")="済み",INDIRECT("'["&amp;$C$1&amp;".xls]"&amp;$B764&amp;"'!$T$28"),""))</f>
        <v>#REF!</v>
      </c>
      <c r="AO764" s="48" t="e">
        <f ca="1">IF(INDIRECT("'["&amp;$C$1&amp;".xls]"&amp;$B764&amp;"'!$T29")="","",IF(INDIRECT("'["&amp;$C$1&amp;".xls]"&amp;$B764&amp;"'!$O$29")="済み",INDIRECT("'["&amp;$C$1&amp;".xls]"&amp;$B764&amp;"'!$T$29"),""))</f>
        <v>#REF!</v>
      </c>
      <c r="AP764" s="48" t="e">
        <f ca="1">IF(INDIRECT("'["&amp;$C$1&amp;".xls]"&amp;$B764&amp;"'!$T30")="","",IF(INDIRECT("'["&amp;$C$1&amp;".xls]"&amp;$B764&amp;"'!$O$30")="済み",INDIRECT("'["&amp;$C$1&amp;".xls]"&amp;$B764&amp;"'!$T$30"),""))</f>
        <v>#REF!</v>
      </c>
      <c r="AQ764" s="48" t="e">
        <f ca="1">IF(INDIRECT("'["&amp;$C$1&amp;".xls]"&amp;$B764&amp;"'!$T31")="","",IF(INDIRECT("'["&amp;$C$1&amp;".xls]"&amp;$B764&amp;"'!$O$31")="済み",INDIRECT("'["&amp;$C$1&amp;".xls]"&amp;$B764&amp;"'!$T$31"),""))</f>
        <v>#REF!</v>
      </c>
      <c r="AR764" s="48" t="e">
        <f ca="1">IF(INDIRECT("'["&amp;$C$1&amp;".xls]"&amp;$B764&amp;"'!$T32")="","",IF(INDIRECT("'["&amp;$C$1&amp;".xls]"&amp;$B764&amp;"'!$O$32")="済み",INDIRECT("'["&amp;$C$1&amp;".xls]"&amp;$B764&amp;"'!$T$32"),""))</f>
        <v>#REF!</v>
      </c>
      <c r="AS764" s="48" t="e">
        <f ca="1">IF(INDIRECT("'["&amp;$C$1&amp;".xls]"&amp;$B764&amp;"'!$T33")="","",IF(INDIRECT("'["&amp;$C$1&amp;".xls]"&amp;$B764&amp;"'!$O$33")="済み",INDIRECT("'["&amp;$C$1&amp;".xls]"&amp;$B764&amp;"'!$T$33"),""))</f>
        <v>#REF!</v>
      </c>
      <c r="AT764" s="48" t="e">
        <f ca="1">IF(INDIRECT("'["&amp;$C$1&amp;".xls]"&amp;$B764&amp;"'!$T34")="","",IF(INDIRECT("'["&amp;$C$1&amp;".xls]"&amp;$B764&amp;"'!$O$34")="済み",INDIRECT("'["&amp;$C$1&amp;".xls]"&amp;$B764&amp;"'!$T$34"),""))</f>
        <v>#REF!</v>
      </c>
      <c r="AU764" s="93" t="e">
        <f t="shared" ca="1" si="15"/>
        <v>#REF!</v>
      </c>
      <c r="AV764" s="93" t="e">
        <f t="shared" ca="1" si="16"/>
        <v>#REF!</v>
      </c>
      <c r="AW764" s="93" t="e">
        <f t="shared" ca="1" si="17"/>
        <v>#REF!</v>
      </c>
      <c r="AX764" s="93" t="e">
        <f t="shared" ca="1" si="18"/>
        <v>#REF!</v>
      </c>
      <c r="AY764" s="93" t="e">
        <f t="shared" ca="1" si="19"/>
        <v>#REF!</v>
      </c>
    </row>
    <row r="765" spans="1:52" ht="16.5" customHeight="1" x14ac:dyDescent="0.15">
      <c r="A765" s="121" t="s">
        <v>7625</v>
      </c>
      <c r="B765" s="47" t="s">
        <v>7626</v>
      </c>
      <c r="C765" s="48" t="e">
        <f t="shared" ca="1" si="0"/>
        <v>#REF!</v>
      </c>
      <c r="D765" s="62" t="e">
        <f t="shared" ca="1" si="1"/>
        <v>#REF!</v>
      </c>
      <c r="E765" s="48" t="e">
        <f t="shared" ca="1" si="2"/>
        <v>#REF!</v>
      </c>
      <c r="F765" s="61" t="e">
        <f t="shared" ca="1" si="3"/>
        <v>#REF!</v>
      </c>
      <c r="G765" s="61" t="e">
        <f t="shared" ca="1" si="20"/>
        <v>#REF!</v>
      </c>
      <c r="H765" s="88" t="e">
        <f t="shared" ca="1" si="4"/>
        <v>#REF!</v>
      </c>
      <c r="I765" s="61" t="e">
        <f t="shared" ca="1" si="5"/>
        <v>#REF!</v>
      </c>
      <c r="J765" s="87"/>
      <c r="K765" s="62" t="e">
        <f t="shared" ca="1" si="6"/>
        <v>#REF!</v>
      </c>
      <c r="L765" s="62"/>
      <c r="M765" s="62" t="e">
        <f t="shared" ca="1" si="7"/>
        <v>#REF!</v>
      </c>
      <c r="N765" s="62" t="e">
        <f t="shared" ca="1" si="8"/>
        <v>#REF!</v>
      </c>
      <c r="O765" s="48" t="e">
        <f t="shared" ca="1" si="9"/>
        <v>#REF!</v>
      </c>
      <c r="P765" s="48" t="e">
        <f t="shared" ca="1" si="10"/>
        <v>#REF!</v>
      </c>
      <c r="Q765" s="48" t="e">
        <f t="shared" ca="1" si="11"/>
        <v>#REF!</v>
      </c>
      <c r="R765" s="48" t="s">
        <v>7417</v>
      </c>
      <c r="S765" s="48" t="e">
        <f t="shared" ca="1" si="12"/>
        <v>#REF!</v>
      </c>
      <c r="T765" s="48" t="e">
        <f t="shared" ca="1" si="13"/>
        <v>#REF!</v>
      </c>
      <c r="U765" s="48" t="e">
        <f t="shared" ca="1" si="14"/>
        <v>#REF!</v>
      </c>
      <c r="V765" s="48"/>
      <c r="W765" s="48"/>
      <c r="X765" s="48"/>
      <c r="Y765" s="48"/>
      <c r="Z765" s="61"/>
      <c r="AA765" s="48" t="e">
        <f ca="1">IF(INDIRECT("'["&amp;$C$1&amp;".xls]"&amp;$B765&amp;"'!$P$25")="","",IF(INDIRECT("'["&amp;$C$1&amp;".xls]"&amp;$B765&amp;"'!$O$25")="済み",INDIRECT("'["&amp;$C$1&amp;".xls]"&amp;$B765&amp;"'!$P$25"),""))</f>
        <v>#REF!</v>
      </c>
      <c r="AB765" s="48" t="e">
        <f ca="1">IF(INDIRECT("'["&amp;$C$1&amp;".xls]"&amp;$B765&amp;"'!$P$26")="","",IF(INDIRECT("'["&amp;$C$1&amp;".xls]"&amp;$B765&amp;"'!$O$26")="済み",INDIRECT("'["&amp;$C$1&amp;".xls]"&amp;$B765&amp;"'!$P$26"),""))</f>
        <v>#REF!</v>
      </c>
      <c r="AC765" s="48" t="e">
        <f ca="1">IF(INDIRECT("'["&amp;$C$1&amp;".xls]"&amp;$B765&amp;"'!$P$27")="","",IF(INDIRECT("'["&amp;$C$1&amp;".xls]"&amp;$B765&amp;"'!$O$27")="済み",INDIRECT("'["&amp;$C$1&amp;".xls]"&amp;$B765&amp;"'!$P$27"),""))</f>
        <v>#REF!</v>
      </c>
      <c r="AD765" s="48" t="e">
        <f ca="1">IF(INDIRECT("'["&amp;$C$1&amp;".xls]"&amp;$B765&amp;"'!$P$28")="","",IF(INDIRECT("'["&amp;$C$1&amp;".xls]"&amp;$B765&amp;"'!$O$28")="済み",INDIRECT("'["&amp;$C$1&amp;".xls]"&amp;$B765&amp;"'!$P$28"),""))</f>
        <v>#REF!</v>
      </c>
      <c r="AE765" s="48" t="e">
        <f ca="1">IF(INDIRECT("'["&amp;$C$1&amp;".xls]"&amp;$B765&amp;"'!$P$29")="","",IF(INDIRECT("'["&amp;$C$1&amp;".xls]"&amp;$B765&amp;"'!$O$29")="済み",INDIRECT("'["&amp;$C$1&amp;".xls]"&amp;$B765&amp;"'!$P$29"),""))</f>
        <v>#REF!</v>
      </c>
      <c r="AF765" s="48" t="e">
        <f ca="1">IF(INDIRECT("'["&amp;$C$1&amp;".xls]"&amp;$B765&amp;"'!$P$30")="","",IF(INDIRECT("'["&amp;$C$1&amp;".xls]"&amp;$B765&amp;"'!$O$30")="済み",INDIRECT("'["&amp;$C$1&amp;".xls]"&amp;$B765&amp;"'!$P$30"),""))</f>
        <v>#REF!</v>
      </c>
      <c r="AG765" s="48" t="e">
        <f ca="1">IF(INDIRECT("'["&amp;$C$1&amp;".xls]"&amp;$B765&amp;"'!$P$31")="","",IF(INDIRECT("'["&amp;$C$1&amp;".xls]"&amp;$B765&amp;"'!$O$31")="済み",INDIRECT("'["&amp;$C$1&amp;".xls]"&amp;$B765&amp;"'!$P$31"),""))</f>
        <v>#REF!</v>
      </c>
      <c r="AH765" s="48" t="e">
        <f ca="1">IF(INDIRECT("'["&amp;$C$1&amp;".xls]"&amp;$B765&amp;"'!$P$32")="","",IF(INDIRECT("'["&amp;$C$1&amp;".xls]"&amp;$B765&amp;"'!$O$32")="済み",INDIRECT("'["&amp;$C$1&amp;".xls]"&amp;$B765&amp;"'!$P$32"),""))</f>
        <v>#REF!</v>
      </c>
      <c r="AI765" s="48" t="e">
        <f ca="1">IF(INDIRECT("'["&amp;$C$1&amp;".xls]"&amp;$B765&amp;"'!$P$33")="","",IF(INDIRECT("'["&amp;$C$1&amp;".xls]"&amp;$B765&amp;"'!$O$33")="済み",INDIRECT("'["&amp;$C$1&amp;".xls]"&amp;$B765&amp;"'!$P$33"),""))</f>
        <v>#REF!</v>
      </c>
      <c r="AJ765" s="48" t="e">
        <f ca="1">IF(INDIRECT("'["&amp;$C$1&amp;".xls]"&amp;$B765&amp;"'!$P$34")="","",IF(INDIRECT("'["&amp;$C$1&amp;".xls]"&amp;$B765&amp;"'!$O$34")="済み",INDIRECT("'["&amp;$C$1&amp;".xls]"&amp;$B765&amp;"'!$P$34"),""))</f>
        <v>#REF!</v>
      </c>
      <c r="AK765" s="48" t="e">
        <f ca="1">IF(INDIRECT("'["&amp;$C$1&amp;".xls]"&amp;$B765&amp;"'!$T25")="","",IF(INDIRECT("'["&amp;$C$1&amp;".xls]"&amp;$B765&amp;"'!$O$25")="済み",INDIRECT("'["&amp;$C$1&amp;".xls]"&amp;$B765&amp;"'!$T$25"),""))</f>
        <v>#REF!</v>
      </c>
      <c r="AL765" s="48" t="e">
        <f ca="1">IF(INDIRECT("'["&amp;$C$1&amp;".xls]"&amp;$B765&amp;"'!$T26")="","",IF(INDIRECT("'["&amp;$C$1&amp;".xls]"&amp;$B765&amp;"'!$O$26")="済み",INDIRECT("'["&amp;$C$1&amp;".xls]"&amp;$B765&amp;"'!$T$26"),""))</f>
        <v>#REF!</v>
      </c>
      <c r="AM765" s="48" t="e">
        <f ca="1">IF(INDIRECT("'["&amp;$C$1&amp;".xls]"&amp;$B765&amp;"'!$T27")="","",IF(INDIRECT("'["&amp;$C$1&amp;".xls]"&amp;$B765&amp;"'!$O$27")="済み",INDIRECT("'["&amp;$C$1&amp;".xls]"&amp;$B765&amp;"'!$T$27"),""))</f>
        <v>#REF!</v>
      </c>
      <c r="AN765" s="48" t="e">
        <f ca="1">IF(INDIRECT("'["&amp;$C$1&amp;".xls]"&amp;$B765&amp;"'!$T28")="","",IF(INDIRECT("'["&amp;$C$1&amp;".xls]"&amp;$B765&amp;"'!$O$28")="済み",INDIRECT("'["&amp;$C$1&amp;".xls]"&amp;$B765&amp;"'!$T$28"),""))</f>
        <v>#REF!</v>
      </c>
      <c r="AO765" s="48" t="e">
        <f ca="1">IF(INDIRECT("'["&amp;$C$1&amp;".xls]"&amp;$B765&amp;"'!$T29")="","",IF(INDIRECT("'["&amp;$C$1&amp;".xls]"&amp;$B765&amp;"'!$O$29")="済み",INDIRECT("'["&amp;$C$1&amp;".xls]"&amp;$B765&amp;"'!$T$29"),""))</f>
        <v>#REF!</v>
      </c>
      <c r="AP765" s="48" t="e">
        <f ca="1">IF(INDIRECT("'["&amp;$C$1&amp;".xls]"&amp;$B765&amp;"'!$T30")="","",IF(INDIRECT("'["&amp;$C$1&amp;".xls]"&amp;$B765&amp;"'!$O$30")="済み",INDIRECT("'["&amp;$C$1&amp;".xls]"&amp;$B765&amp;"'!$T$30"),""))</f>
        <v>#REF!</v>
      </c>
      <c r="AQ765" s="48" t="e">
        <f ca="1">IF(INDIRECT("'["&amp;$C$1&amp;".xls]"&amp;$B765&amp;"'!$T31")="","",IF(INDIRECT("'["&amp;$C$1&amp;".xls]"&amp;$B765&amp;"'!$O$31")="済み",INDIRECT("'["&amp;$C$1&amp;".xls]"&amp;$B765&amp;"'!$T$31"),""))</f>
        <v>#REF!</v>
      </c>
      <c r="AR765" s="48" t="e">
        <f ca="1">IF(INDIRECT("'["&amp;$C$1&amp;".xls]"&amp;$B765&amp;"'!$T32")="","",IF(INDIRECT("'["&amp;$C$1&amp;".xls]"&amp;$B765&amp;"'!$O$32")="済み",INDIRECT("'["&amp;$C$1&amp;".xls]"&amp;$B765&amp;"'!$T$32"),""))</f>
        <v>#REF!</v>
      </c>
      <c r="AS765" s="48" t="e">
        <f ca="1">IF(INDIRECT("'["&amp;$C$1&amp;".xls]"&amp;$B765&amp;"'!$T33")="","",IF(INDIRECT("'["&amp;$C$1&amp;".xls]"&amp;$B765&amp;"'!$O$33")="済み",INDIRECT("'["&amp;$C$1&amp;".xls]"&amp;$B765&amp;"'!$T$33"),""))</f>
        <v>#REF!</v>
      </c>
      <c r="AT765" s="48" t="e">
        <f ca="1">IF(INDIRECT("'["&amp;$C$1&amp;".xls]"&amp;$B765&amp;"'!$T34")="","",IF(INDIRECT("'["&amp;$C$1&amp;".xls]"&amp;$B765&amp;"'!$O$34")="済み",INDIRECT("'["&amp;$C$1&amp;".xls]"&amp;$B765&amp;"'!$T$34"),""))</f>
        <v>#REF!</v>
      </c>
      <c r="AU765" s="93" t="e">
        <f t="shared" ca="1" si="15"/>
        <v>#REF!</v>
      </c>
      <c r="AV765" s="93" t="e">
        <f t="shared" ca="1" si="16"/>
        <v>#REF!</v>
      </c>
      <c r="AW765" s="93" t="e">
        <f t="shared" ca="1" si="17"/>
        <v>#REF!</v>
      </c>
      <c r="AX765" s="93" t="e">
        <f t="shared" ca="1" si="18"/>
        <v>#REF!</v>
      </c>
      <c r="AY765" s="93" t="e">
        <f t="shared" ca="1" si="19"/>
        <v>#REF!</v>
      </c>
    </row>
    <row r="766" spans="1:52" ht="16.5" customHeight="1" x14ac:dyDescent="0.15">
      <c r="A766" s="199" t="s">
        <v>7627</v>
      </c>
      <c r="B766" s="209" t="s">
        <v>7628</v>
      </c>
      <c r="C766" s="48" t="s">
        <v>7629</v>
      </c>
      <c r="D766" s="62" t="s">
        <v>7630</v>
      </c>
      <c r="E766" s="48" t="s">
        <v>264</v>
      </c>
      <c r="F766" s="61">
        <v>42675</v>
      </c>
      <c r="G766" s="61">
        <v>0</v>
      </c>
      <c r="H766" s="125">
        <v>42696</v>
      </c>
      <c r="I766" s="61" t="s">
        <v>279</v>
      </c>
      <c r="J766" s="87"/>
      <c r="K766" s="62" t="s">
        <v>2506</v>
      </c>
      <c r="L766" s="62">
        <v>3</v>
      </c>
      <c r="M766" s="62" t="s">
        <v>209</v>
      </c>
      <c r="N766" s="62" t="s">
        <v>7631</v>
      </c>
      <c r="O766" s="48" t="s">
        <v>2737</v>
      </c>
      <c r="P766" s="48" t="s">
        <v>1481</v>
      </c>
      <c r="Q766" s="48" t="s">
        <v>2953</v>
      </c>
      <c r="R766" s="48"/>
      <c r="S766" s="48" t="s">
        <v>269</v>
      </c>
      <c r="T766" s="48" t="s">
        <v>270</v>
      </c>
      <c r="U766" s="48" t="s">
        <v>6651</v>
      </c>
      <c r="V766" s="48"/>
      <c r="W766" s="48"/>
      <c r="X766" s="48"/>
      <c r="Y766" s="48"/>
      <c r="Z766" s="61"/>
      <c r="AA766" s="48" t="s">
        <v>4652</v>
      </c>
      <c r="AB766" s="48" t="s">
        <v>7632</v>
      </c>
      <c r="AC766" s="48" t="s">
        <v>1391</v>
      </c>
      <c r="AD766" s="48" t="s">
        <v>273</v>
      </c>
      <c r="AE766" s="48" t="s">
        <v>273</v>
      </c>
      <c r="AF766" s="48" t="s">
        <v>273</v>
      </c>
      <c r="AG766" s="48" t="s">
        <v>273</v>
      </c>
      <c r="AH766" s="48" t="s">
        <v>273</v>
      </c>
      <c r="AI766" s="48" t="s">
        <v>273</v>
      </c>
      <c r="AJ766" s="48" t="s">
        <v>273</v>
      </c>
      <c r="AK766" s="48" t="s">
        <v>4653</v>
      </c>
      <c r="AL766" s="48" t="s">
        <v>7633</v>
      </c>
      <c r="AM766" s="48" t="s">
        <v>1394</v>
      </c>
      <c r="AN766" s="48" t="s">
        <v>273</v>
      </c>
      <c r="AO766" s="48" t="s">
        <v>273</v>
      </c>
      <c r="AP766" s="48" t="s">
        <v>273</v>
      </c>
      <c r="AQ766" s="48" t="s">
        <v>273</v>
      </c>
      <c r="AR766" s="48" t="s">
        <v>273</v>
      </c>
      <c r="AS766" s="48" t="s">
        <v>273</v>
      </c>
      <c r="AT766" s="48" t="s">
        <v>273</v>
      </c>
      <c r="AU766" s="93">
        <v>41852</v>
      </c>
      <c r="AV766" s="93" t="s">
        <v>7634</v>
      </c>
      <c r="AW766" s="93" t="s">
        <v>7635</v>
      </c>
      <c r="AX766" s="93" t="s">
        <v>7636</v>
      </c>
      <c r="AY766" s="93" t="s">
        <v>6505</v>
      </c>
    </row>
    <row r="767" spans="1:52" ht="16.5" customHeight="1" x14ac:dyDescent="0.15">
      <c r="A767" s="199" t="s">
        <v>7637</v>
      </c>
      <c r="B767" s="209" t="s">
        <v>7638</v>
      </c>
      <c r="C767" s="48" t="s">
        <v>7639</v>
      </c>
      <c r="D767" s="62" t="s">
        <v>7640</v>
      </c>
      <c r="E767" s="48" t="s">
        <v>264</v>
      </c>
      <c r="F767" s="61">
        <v>42675</v>
      </c>
      <c r="G767" s="61">
        <v>0</v>
      </c>
      <c r="H767" s="125">
        <v>42704</v>
      </c>
      <c r="I767" s="61" t="s">
        <v>279</v>
      </c>
      <c r="J767" s="87"/>
      <c r="K767" s="62" t="s">
        <v>2506</v>
      </c>
      <c r="L767" s="62">
        <v>3</v>
      </c>
      <c r="M767" s="62" t="s">
        <v>209</v>
      </c>
      <c r="N767" s="62" t="s">
        <v>7641</v>
      </c>
      <c r="O767" s="48" t="s">
        <v>3919</v>
      </c>
      <c r="P767" s="48" t="s">
        <v>7642</v>
      </c>
      <c r="Q767" s="48" t="s">
        <v>3029</v>
      </c>
      <c r="R767" s="48" t="s">
        <v>7643</v>
      </c>
      <c r="S767" s="48" t="s">
        <v>7644</v>
      </c>
      <c r="T767" s="48" t="s">
        <v>7645</v>
      </c>
      <c r="U767" s="48" t="s">
        <v>7646</v>
      </c>
      <c r="V767" s="122" t="s">
        <v>7293</v>
      </c>
      <c r="W767" s="48" t="s">
        <v>1536</v>
      </c>
      <c r="X767" s="48" t="s">
        <v>7647</v>
      </c>
      <c r="Y767" s="48" t="s">
        <v>7648</v>
      </c>
      <c r="Z767" s="61"/>
      <c r="AA767" s="48" t="s">
        <v>7470</v>
      </c>
      <c r="AB767" s="48" t="s">
        <v>273</v>
      </c>
      <c r="AC767" s="48" t="s">
        <v>273</v>
      </c>
      <c r="AD767" s="48" t="s">
        <v>273</v>
      </c>
      <c r="AE767" s="48" t="s">
        <v>273</v>
      </c>
      <c r="AF767" s="48" t="s">
        <v>273</v>
      </c>
      <c r="AG767" s="48" t="s">
        <v>273</v>
      </c>
      <c r="AH767" s="48" t="s">
        <v>273</v>
      </c>
      <c r="AI767" s="48" t="s">
        <v>273</v>
      </c>
      <c r="AJ767" s="48" t="s">
        <v>273</v>
      </c>
      <c r="AK767" s="48" t="s">
        <v>7649</v>
      </c>
      <c r="AL767" s="48" t="s">
        <v>273</v>
      </c>
      <c r="AM767" s="48" t="s">
        <v>273</v>
      </c>
      <c r="AN767" s="48" t="s">
        <v>273</v>
      </c>
      <c r="AO767" s="48" t="s">
        <v>273</v>
      </c>
      <c r="AP767" s="48" t="s">
        <v>273</v>
      </c>
      <c r="AQ767" s="48" t="s">
        <v>273</v>
      </c>
      <c r="AR767" s="48" t="s">
        <v>273</v>
      </c>
      <c r="AS767" s="48" t="s">
        <v>273</v>
      </c>
      <c r="AT767" s="48" t="s">
        <v>273</v>
      </c>
      <c r="AU767" s="93">
        <v>42401</v>
      </c>
      <c r="AV767" s="93" t="s">
        <v>7650</v>
      </c>
      <c r="AW767" s="93" t="s">
        <v>7651</v>
      </c>
      <c r="AX767" s="93" t="s">
        <v>7135</v>
      </c>
      <c r="AY767" s="93" t="s">
        <v>5312</v>
      </c>
    </row>
    <row r="768" spans="1:52" ht="16.5" customHeight="1" x14ac:dyDescent="0.15">
      <c r="A768" s="121" t="s">
        <v>7652</v>
      </c>
      <c r="B768" s="47" t="s">
        <v>7653</v>
      </c>
      <c r="C768" s="48" t="e">
        <f t="shared" ca="1" si="0"/>
        <v>#REF!</v>
      </c>
      <c r="D768" s="62" t="e">
        <f t="shared" ca="1" si="1"/>
        <v>#REF!</v>
      </c>
      <c r="E768" s="48" t="e">
        <f t="shared" ca="1" si="2"/>
        <v>#REF!</v>
      </c>
      <c r="F768" s="61" t="e">
        <f t="shared" ca="1" si="3"/>
        <v>#REF!</v>
      </c>
      <c r="G768" s="61" t="e">
        <f t="shared" ca="1" si="20"/>
        <v>#REF!</v>
      </c>
      <c r="H768" s="88" t="e">
        <f t="shared" ca="1" si="4"/>
        <v>#REF!</v>
      </c>
      <c r="I768" s="61" t="e">
        <f t="shared" ca="1" si="5"/>
        <v>#REF!</v>
      </c>
      <c r="J768" s="87"/>
      <c r="K768" s="62" t="e">
        <f t="shared" ca="1" si="6"/>
        <v>#REF!</v>
      </c>
      <c r="L768" s="62"/>
      <c r="M768" s="62" t="e">
        <f t="shared" ca="1" si="7"/>
        <v>#REF!</v>
      </c>
      <c r="N768" s="62" t="e">
        <f t="shared" ca="1" si="8"/>
        <v>#REF!</v>
      </c>
      <c r="O768" s="48" t="e">
        <f t="shared" ca="1" si="9"/>
        <v>#REF!</v>
      </c>
      <c r="P768" s="48" t="e">
        <f t="shared" ca="1" si="10"/>
        <v>#REF!</v>
      </c>
      <c r="Q768" s="48" t="e">
        <f t="shared" ca="1" si="11"/>
        <v>#REF!</v>
      </c>
      <c r="R768" s="48" t="s">
        <v>7417</v>
      </c>
      <c r="S768" s="48" t="e">
        <f t="shared" ca="1" si="12"/>
        <v>#REF!</v>
      </c>
      <c r="T768" s="48" t="e">
        <f t="shared" ca="1" si="13"/>
        <v>#REF!</v>
      </c>
      <c r="U768" s="48" t="e">
        <f t="shared" ca="1" si="14"/>
        <v>#REF!</v>
      </c>
      <c r="V768" s="48"/>
      <c r="W768" s="48"/>
      <c r="X768" s="48"/>
      <c r="Y768" s="48"/>
      <c r="Z768" s="61"/>
      <c r="AA768" s="48" t="e">
        <f ca="1">IF(INDIRECT("'["&amp;$C$1&amp;".xls]"&amp;$B768&amp;"'!$P$25")="","",IF(INDIRECT("'["&amp;$C$1&amp;".xls]"&amp;$B768&amp;"'!$O$25")="済み",INDIRECT("'["&amp;$C$1&amp;".xls]"&amp;$B768&amp;"'!$P$25"),""))</f>
        <v>#REF!</v>
      </c>
      <c r="AB768" s="48" t="e">
        <f ca="1">IF(INDIRECT("'["&amp;$C$1&amp;".xls]"&amp;$B768&amp;"'!$P$26")="","",IF(INDIRECT("'["&amp;$C$1&amp;".xls]"&amp;$B768&amp;"'!$O$26")="済み",INDIRECT("'["&amp;$C$1&amp;".xls]"&amp;$B768&amp;"'!$P$26"),""))</f>
        <v>#REF!</v>
      </c>
      <c r="AC768" s="48" t="e">
        <f ca="1">IF(INDIRECT("'["&amp;$C$1&amp;".xls]"&amp;$B768&amp;"'!$P$27")="","",IF(INDIRECT("'["&amp;$C$1&amp;".xls]"&amp;$B768&amp;"'!$O$27")="済み",INDIRECT("'["&amp;$C$1&amp;".xls]"&amp;$B768&amp;"'!$P$27"),""))</f>
        <v>#REF!</v>
      </c>
      <c r="AD768" s="48" t="e">
        <f ca="1">IF(INDIRECT("'["&amp;$C$1&amp;".xls]"&amp;$B768&amp;"'!$P$28")="","",IF(INDIRECT("'["&amp;$C$1&amp;".xls]"&amp;$B768&amp;"'!$O$28")="済み",INDIRECT("'["&amp;$C$1&amp;".xls]"&amp;$B768&amp;"'!$P$28"),""))</f>
        <v>#REF!</v>
      </c>
      <c r="AE768" s="48" t="e">
        <f ca="1">IF(INDIRECT("'["&amp;$C$1&amp;".xls]"&amp;$B768&amp;"'!$P$29")="","",IF(INDIRECT("'["&amp;$C$1&amp;".xls]"&amp;$B768&amp;"'!$O$29")="済み",INDIRECT("'["&amp;$C$1&amp;".xls]"&amp;$B768&amp;"'!$P$29"),""))</f>
        <v>#REF!</v>
      </c>
      <c r="AF768" s="48" t="e">
        <f ca="1">IF(INDIRECT("'["&amp;$C$1&amp;".xls]"&amp;$B768&amp;"'!$P$30")="","",IF(INDIRECT("'["&amp;$C$1&amp;".xls]"&amp;$B768&amp;"'!$O$30")="済み",INDIRECT("'["&amp;$C$1&amp;".xls]"&amp;$B768&amp;"'!$P$30"),""))</f>
        <v>#REF!</v>
      </c>
      <c r="AG768" s="48" t="e">
        <f ca="1">IF(INDIRECT("'["&amp;$C$1&amp;".xls]"&amp;$B768&amp;"'!$P$31")="","",IF(INDIRECT("'["&amp;$C$1&amp;".xls]"&amp;$B768&amp;"'!$O$31")="済み",INDIRECT("'["&amp;$C$1&amp;".xls]"&amp;$B768&amp;"'!$P$31"),""))</f>
        <v>#REF!</v>
      </c>
      <c r="AH768" s="48" t="e">
        <f ca="1">IF(INDIRECT("'["&amp;$C$1&amp;".xls]"&amp;$B768&amp;"'!$P$32")="","",IF(INDIRECT("'["&amp;$C$1&amp;".xls]"&amp;$B768&amp;"'!$O$32")="済み",INDIRECT("'["&amp;$C$1&amp;".xls]"&amp;$B768&amp;"'!$P$32"),""))</f>
        <v>#REF!</v>
      </c>
      <c r="AI768" s="48" t="e">
        <f ca="1">IF(INDIRECT("'["&amp;$C$1&amp;".xls]"&amp;$B768&amp;"'!$P$33")="","",IF(INDIRECT("'["&amp;$C$1&amp;".xls]"&amp;$B768&amp;"'!$O$33")="済み",INDIRECT("'["&amp;$C$1&amp;".xls]"&amp;$B768&amp;"'!$P$33"),""))</f>
        <v>#REF!</v>
      </c>
      <c r="AJ768" s="48" t="e">
        <f ca="1">IF(INDIRECT("'["&amp;$C$1&amp;".xls]"&amp;$B768&amp;"'!$P$34")="","",IF(INDIRECT("'["&amp;$C$1&amp;".xls]"&amp;$B768&amp;"'!$O$34")="済み",INDIRECT("'["&amp;$C$1&amp;".xls]"&amp;$B768&amp;"'!$P$34"),""))</f>
        <v>#REF!</v>
      </c>
      <c r="AK768" s="48" t="e">
        <f ca="1">IF(INDIRECT("'["&amp;$C$1&amp;".xls]"&amp;$B768&amp;"'!$T25")="","",IF(INDIRECT("'["&amp;$C$1&amp;".xls]"&amp;$B768&amp;"'!$O$25")="済み",INDIRECT("'["&amp;$C$1&amp;".xls]"&amp;$B768&amp;"'!$T$25"),""))</f>
        <v>#REF!</v>
      </c>
      <c r="AL768" s="48" t="e">
        <f ca="1">IF(INDIRECT("'["&amp;$C$1&amp;".xls]"&amp;$B768&amp;"'!$T26")="","",IF(INDIRECT("'["&amp;$C$1&amp;".xls]"&amp;$B768&amp;"'!$O$26")="済み",INDIRECT("'["&amp;$C$1&amp;".xls]"&amp;$B768&amp;"'!$T$26"),""))</f>
        <v>#REF!</v>
      </c>
      <c r="AM768" s="48" t="e">
        <f ca="1">IF(INDIRECT("'["&amp;$C$1&amp;".xls]"&amp;$B768&amp;"'!$T27")="","",IF(INDIRECT("'["&amp;$C$1&amp;".xls]"&amp;$B768&amp;"'!$O$27")="済み",INDIRECT("'["&amp;$C$1&amp;".xls]"&amp;$B768&amp;"'!$T$27"),""))</f>
        <v>#REF!</v>
      </c>
      <c r="AN768" s="48" t="e">
        <f ca="1">IF(INDIRECT("'["&amp;$C$1&amp;".xls]"&amp;$B768&amp;"'!$T28")="","",IF(INDIRECT("'["&amp;$C$1&amp;".xls]"&amp;$B768&amp;"'!$O$28")="済み",INDIRECT("'["&amp;$C$1&amp;".xls]"&amp;$B768&amp;"'!$T$28"),""))</f>
        <v>#REF!</v>
      </c>
      <c r="AO768" s="48" t="e">
        <f ca="1">IF(INDIRECT("'["&amp;$C$1&amp;".xls]"&amp;$B768&amp;"'!$T29")="","",IF(INDIRECT("'["&amp;$C$1&amp;".xls]"&amp;$B768&amp;"'!$O$29")="済み",INDIRECT("'["&amp;$C$1&amp;".xls]"&amp;$B768&amp;"'!$T$29"),""))</f>
        <v>#REF!</v>
      </c>
      <c r="AP768" s="48" t="e">
        <f ca="1">IF(INDIRECT("'["&amp;$C$1&amp;".xls]"&amp;$B768&amp;"'!$T30")="","",IF(INDIRECT("'["&amp;$C$1&amp;".xls]"&amp;$B768&amp;"'!$O$30")="済み",INDIRECT("'["&amp;$C$1&amp;".xls]"&amp;$B768&amp;"'!$T$30"),""))</f>
        <v>#REF!</v>
      </c>
      <c r="AQ768" s="48" t="e">
        <f ca="1">IF(INDIRECT("'["&amp;$C$1&amp;".xls]"&amp;$B768&amp;"'!$T31")="","",IF(INDIRECT("'["&amp;$C$1&amp;".xls]"&amp;$B768&amp;"'!$O$31")="済み",INDIRECT("'["&amp;$C$1&amp;".xls]"&amp;$B768&amp;"'!$T$31"),""))</f>
        <v>#REF!</v>
      </c>
      <c r="AR768" s="48" t="e">
        <f ca="1">IF(INDIRECT("'["&amp;$C$1&amp;".xls]"&amp;$B768&amp;"'!$T32")="","",IF(INDIRECT("'["&amp;$C$1&amp;".xls]"&amp;$B768&amp;"'!$O$32")="済み",INDIRECT("'["&amp;$C$1&amp;".xls]"&amp;$B768&amp;"'!$T$32"),""))</f>
        <v>#REF!</v>
      </c>
      <c r="AS768" s="48" t="e">
        <f ca="1">IF(INDIRECT("'["&amp;$C$1&amp;".xls]"&amp;$B768&amp;"'!$T33")="","",IF(INDIRECT("'["&amp;$C$1&amp;".xls]"&amp;$B768&amp;"'!$O$33")="済み",INDIRECT("'["&amp;$C$1&amp;".xls]"&amp;$B768&amp;"'!$T$33"),""))</f>
        <v>#REF!</v>
      </c>
      <c r="AT768" s="48" t="e">
        <f ca="1">IF(INDIRECT("'["&amp;$C$1&amp;".xls]"&amp;$B768&amp;"'!$T34")="","",IF(INDIRECT("'["&amp;$C$1&amp;".xls]"&amp;$B768&amp;"'!$O$34")="済み",INDIRECT("'["&amp;$C$1&amp;".xls]"&amp;$B768&amp;"'!$T$34"),""))</f>
        <v>#REF!</v>
      </c>
      <c r="AU768" s="93" t="e">
        <f t="shared" ca="1" si="15"/>
        <v>#REF!</v>
      </c>
      <c r="AV768" s="93" t="e">
        <f t="shared" ca="1" si="16"/>
        <v>#REF!</v>
      </c>
      <c r="AW768" s="93" t="e">
        <f t="shared" ca="1" si="17"/>
        <v>#REF!</v>
      </c>
      <c r="AX768" s="93" t="e">
        <f t="shared" ca="1" si="18"/>
        <v>#REF!</v>
      </c>
      <c r="AY768" s="93" t="e">
        <f t="shared" ca="1" si="19"/>
        <v>#REF!</v>
      </c>
    </row>
    <row r="769" spans="1:52" ht="16.5" customHeight="1" x14ac:dyDescent="0.15">
      <c r="A769" s="199" t="s">
        <v>7654</v>
      </c>
      <c r="B769" s="209" t="s">
        <v>7655</v>
      </c>
      <c r="C769" s="48" t="s">
        <v>298</v>
      </c>
      <c r="D769" s="62" t="s">
        <v>263</v>
      </c>
      <c r="E769" s="48" t="s">
        <v>6625</v>
      </c>
      <c r="F769" s="61">
        <v>42676</v>
      </c>
      <c r="G769" s="61">
        <v>0</v>
      </c>
      <c r="H769" s="125">
        <v>42691</v>
      </c>
      <c r="I769" s="61">
        <v>39716</v>
      </c>
      <c r="J769" s="87"/>
      <c r="K769" s="62" t="s">
        <v>2506</v>
      </c>
      <c r="L769" s="62">
        <v>3</v>
      </c>
      <c r="M769" s="62" t="s">
        <v>394</v>
      </c>
      <c r="N769" s="62" t="s">
        <v>7656</v>
      </c>
      <c r="O769" s="48" t="s">
        <v>396</v>
      </c>
      <c r="P769" s="48" t="s">
        <v>5033</v>
      </c>
      <c r="Q769" s="48" t="s">
        <v>504</v>
      </c>
      <c r="R769" s="48" t="s">
        <v>7417</v>
      </c>
      <c r="S769" s="48" t="s">
        <v>400</v>
      </c>
      <c r="T769" s="48" t="s">
        <v>401</v>
      </c>
      <c r="U769" s="48" t="s">
        <v>7657</v>
      </c>
      <c r="V769" s="48"/>
      <c r="W769" s="48"/>
      <c r="X769" s="48" t="s">
        <v>7658</v>
      </c>
      <c r="Y769" s="48" t="s">
        <v>7659</v>
      </c>
      <c r="Z769" s="61"/>
      <c r="AA769" s="48" t="s">
        <v>561</v>
      </c>
      <c r="AB769" s="48" t="s">
        <v>782</v>
      </c>
      <c r="AC769" s="48" t="s">
        <v>273</v>
      </c>
      <c r="AD769" s="48" t="s">
        <v>273</v>
      </c>
      <c r="AE769" s="48" t="s">
        <v>273</v>
      </c>
      <c r="AF769" s="48" t="s">
        <v>273</v>
      </c>
      <c r="AG769" s="48" t="s">
        <v>273</v>
      </c>
      <c r="AH769" s="48" t="s">
        <v>273</v>
      </c>
      <c r="AI769" s="48" t="s">
        <v>273</v>
      </c>
      <c r="AJ769" s="48" t="s">
        <v>273</v>
      </c>
      <c r="AK769" s="48" t="s">
        <v>563</v>
      </c>
      <c r="AL769" s="48" t="s">
        <v>786</v>
      </c>
      <c r="AM769" s="48" t="s">
        <v>273</v>
      </c>
      <c r="AN769" s="48" t="s">
        <v>273</v>
      </c>
      <c r="AO769" s="48" t="s">
        <v>273</v>
      </c>
      <c r="AP769" s="48" t="s">
        <v>273</v>
      </c>
      <c r="AQ769" s="48" t="s">
        <v>273</v>
      </c>
      <c r="AR769" s="48" t="s">
        <v>273</v>
      </c>
      <c r="AS769" s="48" t="s">
        <v>273</v>
      </c>
      <c r="AT769" s="48" t="s">
        <v>273</v>
      </c>
      <c r="AU769" s="93">
        <v>39630</v>
      </c>
      <c r="AV769" s="93" t="s">
        <v>7660</v>
      </c>
      <c r="AW769" s="93" t="s">
        <v>7661</v>
      </c>
      <c r="AX769" s="93" t="s">
        <v>7662</v>
      </c>
      <c r="AY769" s="93" t="s">
        <v>5312</v>
      </c>
    </row>
    <row r="770" spans="1:52" ht="16.5" customHeight="1" x14ac:dyDescent="0.15">
      <c r="A770" s="211" t="s">
        <v>7663</v>
      </c>
      <c r="B770" s="212" t="s">
        <v>7664</v>
      </c>
      <c r="C770" s="48" t="s">
        <v>330</v>
      </c>
      <c r="D770" s="62" t="s">
        <v>263</v>
      </c>
      <c r="E770" s="48" t="s">
        <v>6625</v>
      </c>
      <c r="F770" s="61">
        <v>42676</v>
      </c>
      <c r="G770" s="61">
        <v>0</v>
      </c>
      <c r="H770" s="125">
        <v>42709</v>
      </c>
      <c r="I770" s="61">
        <v>39477</v>
      </c>
      <c r="J770" s="87"/>
      <c r="K770" s="62" t="s">
        <v>2506</v>
      </c>
      <c r="L770" s="62">
        <v>3</v>
      </c>
      <c r="M770" s="62" t="s">
        <v>394</v>
      </c>
      <c r="N770" s="62" t="s">
        <v>7665</v>
      </c>
      <c r="O770" s="48" t="s">
        <v>396</v>
      </c>
      <c r="P770" s="48" t="s">
        <v>556</v>
      </c>
      <c r="Q770" s="48" t="s">
        <v>6689</v>
      </c>
      <c r="R770" s="48" t="s">
        <v>7417</v>
      </c>
      <c r="S770" s="48" t="s">
        <v>400</v>
      </c>
      <c r="T770" s="48" t="s">
        <v>401</v>
      </c>
      <c r="U770" s="48" t="s">
        <v>7666</v>
      </c>
      <c r="V770" s="122" t="s">
        <v>7293</v>
      </c>
      <c r="W770" s="122" t="s">
        <v>7293</v>
      </c>
      <c r="X770" s="48" t="s">
        <v>7667</v>
      </c>
      <c r="Y770" s="48" t="s">
        <v>7668</v>
      </c>
      <c r="Z770" s="61"/>
      <c r="AA770" s="48" t="s">
        <v>7669</v>
      </c>
      <c r="AB770" s="48" t="s">
        <v>562</v>
      </c>
      <c r="AC770" s="48" t="s">
        <v>273</v>
      </c>
      <c r="AD770" s="48" t="s">
        <v>273</v>
      </c>
      <c r="AE770" s="48" t="s">
        <v>273</v>
      </c>
      <c r="AF770" s="48" t="s">
        <v>273</v>
      </c>
      <c r="AG770" s="48" t="s">
        <v>273</v>
      </c>
      <c r="AH770" s="48" t="s">
        <v>273</v>
      </c>
      <c r="AI770" s="48" t="s">
        <v>273</v>
      </c>
      <c r="AJ770" s="48" t="s">
        <v>273</v>
      </c>
      <c r="AK770" s="48" t="s">
        <v>7670</v>
      </c>
      <c r="AL770" s="48" t="s">
        <v>564</v>
      </c>
      <c r="AM770" s="48" t="s">
        <v>273</v>
      </c>
      <c r="AN770" s="48" t="s">
        <v>273</v>
      </c>
      <c r="AO770" s="48" t="s">
        <v>273</v>
      </c>
      <c r="AP770" s="48" t="s">
        <v>273</v>
      </c>
      <c r="AQ770" s="48" t="s">
        <v>273</v>
      </c>
      <c r="AR770" s="48" t="s">
        <v>273</v>
      </c>
      <c r="AS770" s="48" t="s">
        <v>273</v>
      </c>
      <c r="AT770" s="48" t="s">
        <v>273</v>
      </c>
      <c r="AU770" s="93">
        <v>39114</v>
      </c>
      <c r="AV770" s="93" t="s">
        <v>7671</v>
      </c>
      <c r="AW770" s="93" t="s">
        <v>7672</v>
      </c>
      <c r="AX770" s="93" t="s">
        <v>7673</v>
      </c>
      <c r="AY770" s="93" t="s">
        <v>5312</v>
      </c>
    </row>
    <row r="771" spans="1:52" ht="16.5" customHeight="1" x14ac:dyDescent="0.15">
      <c r="A771" s="121" t="s">
        <v>7674</v>
      </c>
      <c r="B771" s="47" t="s">
        <v>7675</v>
      </c>
      <c r="C771" s="48" t="e">
        <f t="shared" ca="1" si="0"/>
        <v>#REF!</v>
      </c>
      <c r="D771" s="62" t="e">
        <f t="shared" ca="1" si="1"/>
        <v>#REF!</v>
      </c>
      <c r="E771" s="48" t="e">
        <f t="shared" ca="1" si="2"/>
        <v>#REF!</v>
      </c>
      <c r="F771" s="61" t="e">
        <f t="shared" ca="1" si="3"/>
        <v>#REF!</v>
      </c>
      <c r="G771" s="61" t="e">
        <f t="shared" ca="1" si="20"/>
        <v>#REF!</v>
      </c>
      <c r="H771" s="88" t="e">
        <f t="shared" ca="1" si="4"/>
        <v>#REF!</v>
      </c>
      <c r="I771" s="61" t="e">
        <f t="shared" ca="1" si="5"/>
        <v>#REF!</v>
      </c>
      <c r="J771" s="87"/>
      <c r="K771" s="62" t="e">
        <f t="shared" ca="1" si="6"/>
        <v>#REF!</v>
      </c>
      <c r="L771" s="62"/>
      <c r="M771" s="62" t="e">
        <f t="shared" ca="1" si="7"/>
        <v>#REF!</v>
      </c>
      <c r="N771" s="62" t="e">
        <f t="shared" ca="1" si="8"/>
        <v>#REF!</v>
      </c>
      <c r="O771" s="48" t="e">
        <f t="shared" ca="1" si="9"/>
        <v>#REF!</v>
      </c>
      <c r="P771" s="48" t="e">
        <f t="shared" ca="1" si="10"/>
        <v>#REF!</v>
      </c>
      <c r="Q771" s="48" t="e">
        <f t="shared" ca="1" si="11"/>
        <v>#REF!</v>
      </c>
      <c r="R771" s="48"/>
      <c r="S771" s="48" t="e">
        <f t="shared" ca="1" si="12"/>
        <v>#REF!</v>
      </c>
      <c r="T771" s="48" t="e">
        <f t="shared" ca="1" si="13"/>
        <v>#REF!</v>
      </c>
      <c r="U771" s="48" t="e">
        <f t="shared" ca="1" si="14"/>
        <v>#REF!</v>
      </c>
      <c r="V771" s="48"/>
      <c r="W771" s="48"/>
      <c r="X771" s="48"/>
      <c r="Y771" s="48"/>
      <c r="Z771" s="61"/>
      <c r="AA771" s="48" t="e">
        <f ca="1">IF(INDIRECT("'["&amp;$C$1&amp;".xls]"&amp;$B771&amp;"'!$P$25")="","",IF(INDIRECT("'["&amp;$C$1&amp;".xls]"&amp;$B771&amp;"'!$O$25")="済み",INDIRECT("'["&amp;$C$1&amp;".xls]"&amp;$B771&amp;"'!$P$25"),""))</f>
        <v>#REF!</v>
      </c>
      <c r="AB771" s="48" t="e">
        <f ca="1">IF(INDIRECT("'["&amp;$C$1&amp;".xls]"&amp;$B771&amp;"'!$P$26")="","",IF(INDIRECT("'["&amp;$C$1&amp;".xls]"&amp;$B771&amp;"'!$O$26")="済み",INDIRECT("'["&amp;$C$1&amp;".xls]"&amp;$B771&amp;"'!$P$26"),""))</f>
        <v>#REF!</v>
      </c>
      <c r="AC771" s="48" t="e">
        <f ca="1">IF(INDIRECT("'["&amp;$C$1&amp;".xls]"&amp;$B771&amp;"'!$P$27")="","",IF(INDIRECT("'["&amp;$C$1&amp;".xls]"&amp;$B771&amp;"'!$O$27")="済み",INDIRECT("'["&amp;$C$1&amp;".xls]"&amp;$B771&amp;"'!$P$27"),""))</f>
        <v>#REF!</v>
      </c>
      <c r="AD771" s="48" t="e">
        <f ca="1">IF(INDIRECT("'["&amp;$C$1&amp;".xls]"&amp;$B771&amp;"'!$P$28")="","",IF(INDIRECT("'["&amp;$C$1&amp;".xls]"&amp;$B771&amp;"'!$O$28")="済み",INDIRECT("'["&amp;$C$1&amp;".xls]"&amp;$B771&amp;"'!$P$28"),""))</f>
        <v>#REF!</v>
      </c>
      <c r="AE771" s="48" t="e">
        <f ca="1">IF(INDIRECT("'["&amp;$C$1&amp;".xls]"&amp;$B771&amp;"'!$P$29")="","",IF(INDIRECT("'["&amp;$C$1&amp;".xls]"&amp;$B771&amp;"'!$O$29")="済み",INDIRECT("'["&amp;$C$1&amp;".xls]"&amp;$B771&amp;"'!$P$29"),""))</f>
        <v>#REF!</v>
      </c>
      <c r="AF771" s="48" t="e">
        <f ca="1">IF(INDIRECT("'["&amp;$C$1&amp;".xls]"&amp;$B771&amp;"'!$P$30")="","",IF(INDIRECT("'["&amp;$C$1&amp;".xls]"&amp;$B771&amp;"'!$O$30")="済み",INDIRECT("'["&amp;$C$1&amp;".xls]"&amp;$B771&amp;"'!$P$30"),""))</f>
        <v>#REF!</v>
      </c>
      <c r="AG771" s="48" t="e">
        <f ca="1">IF(INDIRECT("'["&amp;$C$1&amp;".xls]"&amp;$B771&amp;"'!$P$31")="","",IF(INDIRECT("'["&amp;$C$1&amp;".xls]"&amp;$B771&amp;"'!$O$31")="済み",INDIRECT("'["&amp;$C$1&amp;".xls]"&amp;$B771&amp;"'!$P$31"),""))</f>
        <v>#REF!</v>
      </c>
      <c r="AH771" s="48" t="e">
        <f ca="1">IF(INDIRECT("'["&amp;$C$1&amp;".xls]"&amp;$B771&amp;"'!$P$32")="","",IF(INDIRECT("'["&amp;$C$1&amp;".xls]"&amp;$B771&amp;"'!$O$32")="済み",INDIRECT("'["&amp;$C$1&amp;".xls]"&amp;$B771&amp;"'!$P$32"),""))</f>
        <v>#REF!</v>
      </c>
      <c r="AI771" s="48" t="e">
        <f ca="1">IF(INDIRECT("'["&amp;$C$1&amp;".xls]"&amp;$B771&amp;"'!$P$33")="","",IF(INDIRECT("'["&amp;$C$1&amp;".xls]"&amp;$B771&amp;"'!$O$33")="済み",INDIRECT("'["&amp;$C$1&amp;".xls]"&amp;$B771&amp;"'!$P$33"),""))</f>
        <v>#REF!</v>
      </c>
      <c r="AJ771" s="48" t="e">
        <f ca="1">IF(INDIRECT("'["&amp;$C$1&amp;".xls]"&amp;$B771&amp;"'!$P$34")="","",IF(INDIRECT("'["&amp;$C$1&amp;".xls]"&amp;$B771&amp;"'!$O$34")="済み",INDIRECT("'["&amp;$C$1&amp;".xls]"&amp;$B771&amp;"'!$P$34"),""))</f>
        <v>#REF!</v>
      </c>
      <c r="AK771" s="48" t="e">
        <f ca="1">IF(INDIRECT("'["&amp;$C$1&amp;".xls]"&amp;$B771&amp;"'!$T25")="","",IF(INDIRECT("'["&amp;$C$1&amp;".xls]"&amp;$B771&amp;"'!$O$25")="済み",INDIRECT("'["&amp;$C$1&amp;".xls]"&amp;$B771&amp;"'!$T$25"),""))</f>
        <v>#REF!</v>
      </c>
      <c r="AL771" s="48" t="e">
        <f ca="1">IF(INDIRECT("'["&amp;$C$1&amp;".xls]"&amp;$B771&amp;"'!$T26")="","",IF(INDIRECT("'["&amp;$C$1&amp;".xls]"&amp;$B771&amp;"'!$O$26")="済み",INDIRECT("'["&amp;$C$1&amp;".xls]"&amp;$B771&amp;"'!$T$26"),""))</f>
        <v>#REF!</v>
      </c>
      <c r="AM771" s="48" t="e">
        <f ca="1">IF(INDIRECT("'["&amp;$C$1&amp;".xls]"&amp;$B771&amp;"'!$T27")="","",IF(INDIRECT("'["&amp;$C$1&amp;".xls]"&amp;$B771&amp;"'!$O$27")="済み",INDIRECT("'["&amp;$C$1&amp;".xls]"&amp;$B771&amp;"'!$T$27"),""))</f>
        <v>#REF!</v>
      </c>
      <c r="AN771" s="48" t="e">
        <f ca="1">IF(INDIRECT("'["&amp;$C$1&amp;".xls]"&amp;$B771&amp;"'!$T28")="","",IF(INDIRECT("'["&amp;$C$1&amp;".xls]"&amp;$B771&amp;"'!$O$28")="済み",INDIRECT("'["&amp;$C$1&amp;".xls]"&amp;$B771&amp;"'!$T$28"),""))</f>
        <v>#REF!</v>
      </c>
      <c r="AO771" s="48" t="e">
        <f ca="1">IF(INDIRECT("'["&amp;$C$1&amp;".xls]"&amp;$B771&amp;"'!$T29")="","",IF(INDIRECT("'["&amp;$C$1&amp;".xls]"&amp;$B771&amp;"'!$O$29")="済み",INDIRECT("'["&amp;$C$1&amp;".xls]"&amp;$B771&amp;"'!$T$29"),""))</f>
        <v>#REF!</v>
      </c>
      <c r="AP771" s="48" t="e">
        <f ca="1">IF(INDIRECT("'["&amp;$C$1&amp;".xls]"&amp;$B771&amp;"'!$T30")="","",IF(INDIRECT("'["&amp;$C$1&amp;".xls]"&amp;$B771&amp;"'!$O$30")="済み",INDIRECT("'["&amp;$C$1&amp;".xls]"&amp;$B771&amp;"'!$T$30"),""))</f>
        <v>#REF!</v>
      </c>
      <c r="AQ771" s="48" t="e">
        <f ca="1">IF(INDIRECT("'["&amp;$C$1&amp;".xls]"&amp;$B771&amp;"'!$T31")="","",IF(INDIRECT("'["&amp;$C$1&amp;".xls]"&amp;$B771&amp;"'!$O$31")="済み",INDIRECT("'["&amp;$C$1&amp;".xls]"&amp;$B771&amp;"'!$T$31"),""))</f>
        <v>#REF!</v>
      </c>
      <c r="AR771" s="48" t="e">
        <f ca="1">IF(INDIRECT("'["&amp;$C$1&amp;".xls]"&amp;$B771&amp;"'!$T32")="","",IF(INDIRECT("'["&amp;$C$1&amp;".xls]"&amp;$B771&amp;"'!$O$32")="済み",INDIRECT("'["&amp;$C$1&amp;".xls]"&amp;$B771&amp;"'!$T$32"),""))</f>
        <v>#REF!</v>
      </c>
      <c r="AS771" s="48" t="e">
        <f ca="1">IF(INDIRECT("'["&amp;$C$1&amp;".xls]"&amp;$B771&amp;"'!$T33")="","",IF(INDIRECT("'["&amp;$C$1&amp;".xls]"&amp;$B771&amp;"'!$O$33")="済み",INDIRECT("'["&amp;$C$1&amp;".xls]"&amp;$B771&amp;"'!$T$33"),""))</f>
        <v>#REF!</v>
      </c>
      <c r="AT771" s="48" t="e">
        <f ca="1">IF(INDIRECT("'["&amp;$C$1&amp;".xls]"&amp;$B771&amp;"'!$T34")="","",IF(INDIRECT("'["&amp;$C$1&amp;".xls]"&amp;$B771&amp;"'!$O$34")="済み",INDIRECT("'["&amp;$C$1&amp;".xls]"&amp;$B771&amp;"'!$T$34"),""))</f>
        <v>#REF!</v>
      </c>
      <c r="AU771" s="93" t="e">
        <f t="shared" ca="1" si="15"/>
        <v>#REF!</v>
      </c>
      <c r="AV771" s="93" t="e">
        <f t="shared" ca="1" si="16"/>
        <v>#REF!</v>
      </c>
      <c r="AW771" s="93" t="e">
        <f t="shared" ca="1" si="17"/>
        <v>#REF!</v>
      </c>
      <c r="AX771" s="93" t="e">
        <f t="shared" ca="1" si="18"/>
        <v>#REF!</v>
      </c>
      <c r="AY771" s="93" t="e">
        <f t="shared" ca="1" si="19"/>
        <v>#REF!</v>
      </c>
    </row>
    <row r="772" spans="1:52" ht="16.5" customHeight="1" x14ac:dyDescent="0.15">
      <c r="A772" s="199" t="s">
        <v>7676</v>
      </c>
      <c r="B772" s="209" t="s">
        <v>7677</v>
      </c>
      <c r="C772" s="48" t="s">
        <v>330</v>
      </c>
      <c r="D772" s="62" t="s">
        <v>7678</v>
      </c>
      <c r="E772" s="48" t="s">
        <v>300</v>
      </c>
      <c r="F772" s="61">
        <v>42678</v>
      </c>
      <c r="G772" s="61">
        <v>0</v>
      </c>
      <c r="H772" s="125">
        <v>42685</v>
      </c>
      <c r="I772" s="61" t="s">
        <v>279</v>
      </c>
      <c r="J772" s="87"/>
      <c r="K772" s="124" t="s">
        <v>7293</v>
      </c>
      <c r="L772" s="124" t="s">
        <v>7293</v>
      </c>
      <c r="M772" s="62" t="s">
        <v>215</v>
      </c>
      <c r="N772" s="62" t="s">
        <v>7679</v>
      </c>
      <c r="O772" s="48" t="s">
        <v>1633</v>
      </c>
      <c r="P772" s="48" t="s">
        <v>3581</v>
      </c>
      <c r="Q772" s="48" t="s">
        <v>7680</v>
      </c>
      <c r="R772" s="48" t="s">
        <v>7681</v>
      </c>
      <c r="S772" s="48" t="s">
        <v>1019</v>
      </c>
      <c r="T772" s="48" t="s">
        <v>1020</v>
      </c>
      <c r="U772" s="48" t="s">
        <v>7682</v>
      </c>
      <c r="V772" s="122" t="s">
        <v>7293</v>
      </c>
      <c r="W772" s="48" t="s">
        <v>7683</v>
      </c>
      <c r="X772" s="48" t="s">
        <v>7684</v>
      </c>
      <c r="Y772" s="48" t="s">
        <v>7685</v>
      </c>
      <c r="Z772" s="61"/>
      <c r="AA772" s="48" t="s">
        <v>273</v>
      </c>
      <c r="AB772" s="48" t="s">
        <v>273</v>
      </c>
      <c r="AC772" s="48" t="s">
        <v>273</v>
      </c>
      <c r="AD772" s="48" t="s">
        <v>273</v>
      </c>
      <c r="AE772" s="48" t="s">
        <v>273</v>
      </c>
      <c r="AF772" s="48" t="s">
        <v>273</v>
      </c>
      <c r="AG772" s="48" t="s">
        <v>273</v>
      </c>
      <c r="AH772" s="48" t="s">
        <v>273</v>
      </c>
      <c r="AI772" s="48" t="s">
        <v>273</v>
      </c>
      <c r="AJ772" s="48" t="s">
        <v>273</v>
      </c>
      <c r="AK772" s="48" t="s">
        <v>273</v>
      </c>
      <c r="AL772" s="48" t="s">
        <v>273</v>
      </c>
      <c r="AM772" s="48" t="s">
        <v>273</v>
      </c>
      <c r="AN772" s="48" t="s">
        <v>273</v>
      </c>
      <c r="AO772" s="48" t="s">
        <v>273</v>
      </c>
      <c r="AP772" s="48" t="s">
        <v>273</v>
      </c>
      <c r="AQ772" s="48" t="s">
        <v>273</v>
      </c>
      <c r="AR772" s="48" t="s">
        <v>273</v>
      </c>
      <c r="AS772" s="48" t="s">
        <v>273</v>
      </c>
      <c r="AT772" s="48" t="s">
        <v>273</v>
      </c>
      <c r="AU772" s="93">
        <v>36557</v>
      </c>
      <c r="AV772" s="93" t="s">
        <v>7686</v>
      </c>
      <c r="AW772" s="93" t="s">
        <v>7687</v>
      </c>
      <c r="AX772" s="93" t="s">
        <v>273</v>
      </c>
      <c r="AY772" s="93" t="s">
        <v>7688</v>
      </c>
    </row>
    <row r="773" spans="1:52" ht="16.5" customHeight="1" x14ac:dyDescent="0.15">
      <c r="A773" s="121" t="s">
        <v>7689</v>
      </c>
      <c r="B773" s="47" t="s">
        <v>7690</v>
      </c>
      <c r="C773" s="48" t="e">
        <f t="shared" ca="1" si="0"/>
        <v>#REF!</v>
      </c>
      <c r="D773" s="62" t="e">
        <f t="shared" ca="1" si="1"/>
        <v>#REF!</v>
      </c>
      <c r="E773" s="48" t="e">
        <f t="shared" ca="1" si="2"/>
        <v>#REF!</v>
      </c>
      <c r="F773" s="61" t="e">
        <f t="shared" ca="1" si="3"/>
        <v>#REF!</v>
      </c>
      <c r="G773" s="61" t="e">
        <f t="shared" ca="1" si="20"/>
        <v>#REF!</v>
      </c>
      <c r="H773" s="88" t="e">
        <f t="shared" ca="1" si="4"/>
        <v>#REF!</v>
      </c>
      <c r="I773" s="61" t="e">
        <f t="shared" ca="1" si="5"/>
        <v>#REF!</v>
      </c>
      <c r="J773" s="87"/>
      <c r="K773" s="62" t="e">
        <f t="shared" ca="1" si="6"/>
        <v>#REF!</v>
      </c>
      <c r="L773" s="62"/>
      <c r="M773" s="62" t="e">
        <f t="shared" ca="1" si="7"/>
        <v>#REF!</v>
      </c>
      <c r="N773" s="62" t="e">
        <f t="shared" ca="1" si="8"/>
        <v>#REF!</v>
      </c>
      <c r="O773" s="48" t="e">
        <f t="shared" ca="1" si="9"/>
        <v>#REF!</v>
      </c>
      <c r="P773" s="48" t="e">
        <f t="shared" ca="1" si="10"/>
        <v>#REF!</v>
      </c>
      <c r="Q773" s="48" t="e">
        <f t="shared" ca="1" si="11"/>
        <v>#REF!</v>
      </c>
      <c r="R773" s="48"/>
      <c r="S773" s="48" t="e">
        <f t="shared" ca="1" si="12"/>
        <v>#REF!</v>
      </c>
      <c r="T773" s="48" t="e">
        <f t="shared" ca="1" si="13"/>
        <v>#REF!</v>
      </c>
      <c r="U773" s="48" t="e">
        <f t="shared" ca="1" si="14"/>
        <v>#REF!</v>
      </c>
      <c r="V773" s="48"/>
      <c r="W773" s="48"/>
      <c r="X773" s="48"/>
      <c r="Y773" s="48"/>
      <c r="Z773" s="61"/>
      <c r="AA773" s="48" t="e">
        <f ca="1">IF(INDIRECT("'["&amp;$C$1&amp;".xls]"&amp;$B773&amp;"'!$P$25")="","",IF(INDIRECT("'["&amp;$C$1&amp;".xls]"&amp;$B773&amp;"'!$O$25")="済み",INDIRECT("'["&amp;$C$1&amp;".xls]"&amp;$B773&amp;"'!$P$25"),""))</f>
        <v>#REF!</v>
      </c>
      <c r="AB773" s="48" t="e">
        <f ca="1">IF(INDIRECT("'["&amp;$C$1&amp;".xls]"&amp;$B773&amp;"'!$P$26")="","",IF(INDIRECT("'["&amp;$C$1&amp;".xls]"&amp;$B773&amp;"'!$O$26")="済み",INDIRECT("'["&amp;$C$1&amp;".xls]"&amp;$B773&amp;"'!$P$26"),""))</f>
        <v>#REF!</v>
      </c>
      <c r="AC773" s="48" t="e">
        <f ca="1">IF(INDIRECT("'["&amp;$C$1&amp;".xls]"&amp;$B773&amp;"'!$P$27")="","",IF(INDIRECT("'["&amp;$C$1&amp;".xls]"&amp;$B773&amp;"'!$O$27")="済み",INDIRECT("'["&amp;$C$1&amp;".xls]"&amp;$B773&amp;"'!$P$27"),""))</f>
        <v>#REF!</v>
      </c>
      <c r="AD773" s="48" t="e">
        <f ca="1">IF(INDIRECT("'["&amp;$C$1&amp;".xls]"&amp;$B773&amp;"'!$P$28")="","",IF(INDIRECT("'["&amp;$C$1&amp;".xls]"&amp;$B773&amp;"'!$O$28")="済み",INDIRECT("'["&amp;$C$1&amp;".xls]"&amp;$B773&amp;"'!$P$28"),""))</f>
        <v>#REF!</v>
      </c>
      <c r="AE773" s="48" t="e">
        <f ca="1">IF(INDIRECT("'["&amp;$C$1&amp;".xls]"&amp;$B773&amp;"'!$P$29")="","",IF(INDIRECT("'["&amp;$C$1&amp;".xls]"&amp;$B773&amp;"'!$O$29")="済み",INDIRECT("'["&amp;$C$1&amp;".xls]"&amp;$B773&amp;"'!$P$29"),""))</f>
        <v>#REF!</v>
      </c>
      <c r="AF773" s="48" t="e">
        <f ca="1">IF(INDIRECT("'["&amp;$C$1&amp;".xls]"&amp;$B773&amp;"'!$P$30")="","",IF(INDIRECT("'["&amp;$C$1&amp;".xls]"&amp;$B773&amp;"'!$O$30")="済み",INDIRECT("'["&amp;$C$1&amp;".xls]"&amp;$B773&amp;"'!$P$30"),""))</f>
        <v>#REF!</v>
      </c>
      <c r="AG773" s="48" t="e">
        <f ca="1">IF(INDIRECT("'["&amp;$C$1&amp;".xls]"&amp;$B773&amp;"'!$P$31")="","",IF(INDIRECT("'["&amp;$C$1&amp;".xls]"&amp;$B773&amp;"'!$O$31")="済み",INDIRECT("'["&amp;$C$1&amp;".xls]"&amp;$B773&amp;"'!$P$31"),""))</f>
        <v>#REF!</v>
      </c>
      <c r="AH773" s="48" t="e">
        <f ca="1">IF(INDIRECT("'["&amp;$C$1&amp;".xls]"&amp;$B773&amp;"'!$P$32")="","",IF(INDIRECT("'["&amp;$C$1&amp;".xls]"&amp;$B773&amp;"'!$O$32")="済み",INDIRECT("'["&amp;$C$1&amp;".xls]"&amp;$B773&amp;"'!$P$32"),""))</f>
        <v>#REF!</v>
      </c>
      <c r="AI773" s="48" t="e">
        <f ca="1">IF(INDIRECT("'["&amp;$C$1&amp;".xls]"&amp;$B773&amp;"'!$P$33")="","",IF(INDIRECT("'["&amp;$C$1&amp;".xls]"&amp;$B773&amp;"'!$O$33")="済み",INDIRECT("'["&amp;$C$1&amp;".xls]"&amp;$B773&amp;"'!$P$33"),""))</f>
        <v>#REF!</v>
      </c>
      <c r="AJ773" s="48" t="e">
        <f ca="1">IF(INDIRECT("'["&amp;$C$1&amp;".xls]"&amp;$B773&amp;"'!$P$34")="","",IF(INDIRECT("'["&amp;$C$1&amp;".xls]"&amp;$B773&amp;"'!$O$34")="済み",INDIRECT("'["&amp;$C$1&amp;".xls]"&amp;$B773&amp;"'!$P$34"),""))</f>
        <v>#REF!</v>
      </c>
      <c r="AK773" s="48" t="e">
        <f ca="1">IF(INDIRECT("'["&amp;$C$1&amp;".xls]"&amp;$B773&amp;"'!$T25")="","",IF(INDIRECT("'["&amp;$C$1&amp;".xls]"&amp;$B773&amp;"'!$O$25")="済み",INDIRECT("'["&amp;$C$1&amp;".xls]"&amp;$B773&amp;"'!$T$25"),""))</f>
        <v>#REF!</v>
      </c>
      <c r="AL773" s="48" t="e">
        <f ca="1">IF(INDIRECT("'["&amp;$C$1&amp;".xls]"&amp;$B773&amp;"'!$T26")="","",IF(INDIRECT("'["&amp;$C$1&amp;".xls]"&amp;$B773&amp;"'!$O$26")="済み",INDIRECT("'["&amp;$C$1&amp;".xls]"&amp;$B773&amp;"'!$T$26"),""))</f>
        <v>#REF!</v>
      </c>
      <c r="AM773" s="48" t="e">
        <f ca="1">IF(INDIRECT("'["&amp;$C$1&amp;".xls]"&amp;$B773&amp;"'!$T27")="","",IF(INDIRECT("'["&amp;$C$1&amp;".xls]"&amp;$B773&amp;"'!$O$27")="済み",INDIRECT("'["&amp;$C$1&amp;".xls]"&amp;$B773&amp;"'!$T$27"),""))</f>
        <v>#REF!</v>
      </c>
      <c r="AN773" s="48" t="e">
        <f ca="1">IF(INDIRECT("'["&amp;$C$1&amp;".xls]"&amp;$B773&amp;"'!$T28")="","",IF(INDIRECT("'["&amp;$C$1&amp;".xls]"&amp;$B773&amp;"'!$O$28")="済み",INDIRECT("'["&amp;$C$1&amp;".xls]"&amp;$B773&amp;"'!$T$28"),""))</f>
        <v>#REF!</v>
      </c>
      <c r="AO773" s="48" t="e">
        <f ca="1">IF(INDIRECT("'["&amp;$C$1&amp;".xls]"&amp;$B773&amp;"'!$T29")="","",IF(INDIRECT("'["&amp;$C$1&amp;".xls]"&amp;$B773&amp;"'!$O$29")="済み",INDIRECT("'["&amp;$C$1&amp;".xls]"&amp;$B773&amp;"'!$T$29"),""))</f>
        <v>#REF!</v>
      </c>
      <c r="AP773" s="48" t="e">
        <f ca="1">IF(INDIRECT("'["&amp;$C$1&amp;".xls]"&amp;$B773&amp;"'!$T30")="","",IF(INDIRECT("'["&amp;$C$1&amp;".xls]"&amp;$B773&amp;"'!$O$30")="済み",INDIRECT("'["&amp;$C$1&amp;".xls]"&amp;$B773&amp;"'!$T$30"),""))</f>
        <v>#REF!</v>
      </c>
      <c r="AQ773" s="48" t="e">
        <f ca="1">IF(INDIRECT("'["&amp;$C$1&amp;".xls]"&amp;$B773&amp;"'!$T31")="","",IF(INDIRECT("'["&amp;$C$1&amp;".xls]"&amp;$B773&amp;"'!$O$31")="済み",INDIRECT("'["&amp;$C$1&amp;".xls]"&amp;$B773&amp;"'!$T$31"),""))</f>
        <v>#REF!</v>
      </c>
      <c r="AR773" s="48" t="e">
        <f ca="1">IF(INDIRECT("'["&amp;$C$1&amp;".xls]"&amp;$B773&amp;"'!$T32")="","",IF(INDIRECT("'["&amp;$C$1&amp;".xls]"&amp;$B773&amp;"'!$O$32")="済み",INDIRECT("'["&amp;$C$1&amp;".xls]"&amp;$B773&amp;"'!$T$32"),""))</f>
        <v>#REF!</v>
      </c>
      <c r="AS773" s="48" t="e">
        <f ca="1">IF(INDIRECT("'["&amp;$C$1&amp;".xls]"&amp;$B773&amp;"'!$T33")="","",IF(INDIRECT("'["&amp;$C$1&amp;".xls]"&amp;$B773&amp;"'!$O$33")="済み",INDIRECT("'["&amp;$C$1&amp;".xls]"&amp;$B773&amp;"'!$T$33"),""))</f>
        <v>#REF!</v>
      </c>
      <c r="AT773" s="48" t="e">
        <f ca="1">IF(INDIRECT("'["&amp;$C$1&amp;".xls]"&amp;$B773&amp;"'!$T34")="","",IF(INDIRECT("'["&amp;$C$1&amp;".xls]"&amp;$B773&amp;"'!$O$34")="済み",INDIRECT("'["&amp;$C$1&amp;".xls]"&amp;$B773&amp;"'!$T$34"),""))</f>
        <v>#REF!</v>
      </c>
      <c r="AU773" s="93" t="e">
        <f t="shared" ca="1" si="15"/>
        <v>#REF!</v>
      </c>
      <c r="AV773" s="93" t="e">
        <f t="shared" ca="1" si="16"/>
        <v>#REF!</v>
      </c>
      <c r="AW773" s="93" t="e">
        <f t="shared" ca="1" si="17"/>
        <v>#REF!</v>
      </c>
      <c r="AX773" s="93" t="e">
        <f t="shared" ca="1" si="18"/>
        <v>#REF!</v>
      </c>
      <c r="AY773" s="93" t="e">
        <f t="shared" ca="1" si="19"/>
        <v>#REF!</v>
      </c>
    </row>
    <row r="774" spans="1:52" ht="16.5" customHeight="1" x14ac:dyDescent="0.15">
      <c r="A774" s="121" t="s">
        <v>7691</v>
      </c>
      <c r="B774" s="47" t="s">
        <v>7692</v>
      </c>
      <c r="C774" s="48" t="e">
        <f t="shared" ca="1" si="0"/>
        <v>#REF!</v>
      </c>
      <c r="D774" s="62" t="e">
        <f t="shared" ca="1" si="1"/>
        <v>#REF!</v>
      </c>
      <c r="E774" s="48" t="e">
        <f t="shared" ca="1" si="2"/>
        <v>#REF!</v>
      </c>
      <c r="F774" s="61" t="e">
        <f t="shared" ca="1" si="3"/>
        <v>#REF!</v>
      </c>
      <c r="G774" s="61" t="e">
        <f t="shared" ca="1" si="20"/>
        <v>#REF!</v>
      </c>
      <c r="H774" s="88" t="e">
        <f t="shared" ca="1" si="4"/>
        <v>#REF!</v>
      </c>
      <c r="I774" s="61" t="e">
        <f t="shared" ca="1" si="5"/>
        <v>#REF!</v>
      </c>
      <c r="J774" s="87"/>
      <c r="K774" s="62" t="e">
        <f t="shared" ca="1" si="6"/>
        <v>#REF!</v>
      </c>
      <c r="L774" s="62"/>
      <c r="M774" s="62" t="e">
        <f t="shared" ca="1" si="7"/>
        <v>#REF!</v>
      </c>
      <c r="N774" s="62" t="e">
        <f t="shared" ca="1" si="8"/>
        <v>#REF!</v>
      </c>
      <c r="O774" s="48" t="e">
        <f t="shared" ca="1" si="9"/>
        <v>#REF!</v>
      </c>
      <c r="P774" s="48" t="e">
        <f t="shared" ca="1" si="10"/>
        <v>#REF!</v>
      </c>
      <c r="Q774" s="48" t="e">
        <f t="shared" ca="1" si="11"/>
        <v>#REF!</v>
      </c>
      <c r="R774" s="48"/>
      <c r="S774" s="48" t="e">
        <f t="shared" ca="1" si="12"/>
        <v>#REF!</v>
      </c>
      <c r="T774" s="48" t="e">
        <f t="shared" ca="1" si="13"/>
        <v>#REF!</v>
      </c>
      <c r="U774" s="48" t="e">
        <f t="shared" ca="1" si="14"/>
        <v>#REF!</v>
      </c>
      <c r="V774" s="48"/>
      <c r="W774" s="48"/>
      <c r="X774" s="48"/>
      <c r="Y774" s="48"/>
      <c r="Z774" s="61"/>
      <c r="AA774" s="48" t="e">
        <f ca="1">IF(INDIRECT("'["&amp;$C$1&amp;".xls]"&amp;$B774&amp;"'!$P$25")="","",IF(INDIRECT("'["&amp;$C$1&amp;".xls]"&amp;$B774&amp;"'!$O$25")="済み",INDIRECT("'["&amp;$C$1&amp;".xls]"&amp;$B774&amp;"'!$P$25"),""))</f>
        <v>#REF!</v>
      </c>
      <c r="AB774" s="48" t="e">
        <f ca="1">IF(INDIRECT("'["&amp;$C$1&amp;".xls]"&amp;$B774&amp;"'!$P$26")="","",IF(INDIRECT("'["&amp;$C$1&amp;".xls]"&amp;$B774&amp;"'!$O$26")="済み",INDIRECT("'["&amp;$C$1&amp;".xls]"&amp;$B774&amp;"'!$P$26"),""))</f>
        <v>#REF!</v>
      </c>
      <c r="AC774" s="48" t="e">
        <f ca="1">IF(INDIRECT("'["&amp;$C$1&amp;".xls]"&amp;$B774&amp;"'!$P$27")="","",IF(INDIRECT("'["&amp;$C$1&amp;".xls]"&amp;$B774&amp;"'!$O$27")="済み",INDIRECT("'["&amp;$C$1&amp;".xls]"&amp;$B774&amp;"'!$P$27"),""))</f>
        <v>#REF!</v>
      </c>
      <c r="AD774" s="48" t="e">
        <f ca="1">IF(INDIRECT("'["&amp;$C$1&amp;".xls]"&amp;$B774&amp;"'!$P$28")="","",IF(INDIRECT("'["&amp;$C$1&amp;".xls]"&amp;$B774&amp;"'!$O$28")="済み",INDIRECT("'["&amp;$C$1&amp;".xls]"&amp;$B774&amp;"'!$P$28"),""))</f>
        <v>#REF!</v>
      </c>
      <c r="AE774" s="48" t="e">
        <f ca="1">IF(INDIRECT("'["&amp;$C$1&amp;".xls]"&amp;$B774&amp;"'!$P$29")="","",IF(INDIRECT("'["&amp;$C$1&amp;".xls]"&amp;$B774&amp;"'!$O$29")="済み",INDIRECT("'["&amp;$C$1&amp;".xls]"&amp;$B774&amp;"'!$P$29"),""))</f>
        <v>#REF!</v>
      </c>
      <c r="AF774" s="48" t="e">
        <f ca="1">IF(INDIRECT("'["&amp;$C$1&amp;".xls]"&amp;$B774&amp;"'!$P$30")="","",IF(INDIRECT("'["&amp;$C$1&amp;".xls]"&amp;$B774&amp;"'!$O$30")="済み",INDIRECT("'["&amp;$C$1&amp;".xls]"&amp;$B774&amp;"'!$P$30"),""))</f>
        <v>#REF!</v>
      </c>
      <c r="AG774" s="48" t="e">
        <f ca="1">IF(INDIRECT("'["&amp;$C$1&amp;".xls]"&amp;$B774&amp;"'!$P$31")="","",IF(INDIRECT("'["&amp;$C$1&amp;".xls]"&amp;$B774&amp;"'!$O$31")="済み",INDIRECT("'["&amp;$C$1&amp;".xls]"&amp;$B774&amp;"'!$P$31"),""))</f>
        <v>#REF!</v>
      </c>
      <c r="AH774" s="48" t="e">
        <f ca="1">IF(INDIRECT("'["&amp;$C$1&amp;".xls]"&amp;$B774&amp;"'!$P$32")="","",IF(INDIRECT("'["&amp;$C$1&amp;".xls]"&amp;$B774&amp;"'!$O$32")="済み",INDIRECT("'["&amp;$C$1&amp;".xls]"&amp;$B774&amp;"'!$P$32"),""))</f>
        <v>#REF!</v>
      </c>
      <c r="AI774" s="48" t="e">
        <f ca="1">IF(INDIRECT("'["&amp;$C$1&amp;".xls]"&amp;$B774&amp;"'!$P$33")="","",IF(INDIRECT("'["&amp;$C$1&amp;".xls]"&amp;$B774&amp;"'!$O$33")="済み",INDIRECT("'["&amp;$C$1&amp;".xls]"&amp;$B774&amp;"'!$P$33"),""))</f>
        <v>#REF!</v>
      </c>
      <c r="AJ774" s="48" t="e">
        <f ca="1">IF(INDIRECT("'["&amp;$C$1&amp;".xls]"&amp;$B774&amp;"'!$P$34")="","",IF(INDIRECT("'["&amp;$C$1&amp;".xls]"&amp;$B774&amp;"'!$O$34")="済み",INDIRECT("'["&amp;$C$1&amp;".xls]"&amp;$B774&amp;"'!$P$34"),""))</f>
        <v>#REF!</v>
      </c>
      <c r="AK774" s="48" t="e">
        <f ca="1">IF(INDIRECT("'["&amp;$C$1&amp;".xls]"&amp;$B774&amp;"'!$T25")="","",IF(INDIRECT("'["&amp;$C$1&amp;".xls]"&amp;$B774&amp;"'!$O$25")="済み",INDIRECT("'["&amp;$C$1&amp;".xls]"&amp;$B774&amp;"'!$T$25"),""))</f>
        <v>#REF!</v>
      </c>
      <c r="AL774" s="48" t="e">
        <f ca="1">IF(INDIRECT("'["&amp;$C$1&amp;".xls]"&amp;$B774&amp;"'!$T26")="","",IF(INDIRECT("'["&amp;$C$1&amp;".xls]"&amp;$B774&amp;"'!$O$26")="済み",INDIRECT("'["&amp;$C$1&amp;".xls]"&amp;$B774&amp;"'!$T$26"),""))</f>
        <v>#REF!</v>
      </c>
      <c r="AM774" s="48" t="e">
        <f ca="1">IF(INDIRECT("'["&amp;$C$1&amp;".xls]"&amp;$B774&amp;"'!$T27")="","",IF(INDIRECT("'["&amp;$C$1&amp;".xls]"&amp;$B774&amp;"'!$O$27")="済み",INDIRECT("'["&amp;$C$1&amp;".xls]"&amp;$B774&amp;"'!$T$27"),""))</f>
        <v>#REF!</v>
      </c>
      <c r="AN774" s="48" t="e">
        <f ca="1">IF(INDIRECT("'["&amp;$C$1&amp;".xls]"&amp;$B774&amp;"'!$T28")="","",IF(INDIRECT("'["&amp;$C$1&amp;".xls]"&amp;$B774&amp;"'!$O$28")="済み",INDIRECT("'["&amp;$C$1&amp;".xls]"&amp;$B774&amp;"'!$T$28"),""))</f>
        <v>#REF!</v>
      </c>
      <c r="AO774" s="48" t="e">
        <f ca="1">IF(INDIRECT("'["&amp;$C$1&amp;".xls]"&amp;$B774&amp;"'!$T29")="","",IF(INDIRECT("'["&amp;$C$1&amp;".xls]"&amp;$B774&amp;"'!$O$29")="済み",INDIRECT("'["&amp;$C$1&amp;".xls]"&amp;$B774&amp;"'!$T$29"),""))</f>
        <v>#REF!</v>
      </c>
      <c r="AP774" s="48" t="e">
        <f ca="1">IF(INDIRECT("'["&amp;$C$1&amp;".xls]"&amp;$B774&amp;"'!$T30")="","",IF(INDIRECT("'["&amp;$C$1&amp;".xls]"&amp;$B774&amp;"'!$O$30")="済み",INDIRECT("'["&amp;$C$1&amp;".xls]"&amp;$B774&amp;"'!$T$30"),""))</f>
        <v>#REF!</v>
      </c>
      <c r="AQ774" s="48" t="e">
        <f ca="1">IF(INDIRECT("'["&amp;$C$1&amp;".xls]"&amp;$B774&amp;"'!$T31")="","",IF(INDIRECT("'["&amp;$C$1&amp;".xls]"&amp;$B774&amp;"'!$O$31")="済み",INDIRECT("'["&amp;$C$1&amp;".xls]"&amp;$B774&amp;"'!$T$31"),""))</f>
        <v>#REF!</v>
      </c>
      <c r="AR774" s="48" t="e">
        <f ca="1">IF(INDIRECT("'["&amp;$C$1&amp;".xls]"&amp;$B774&amp;"'!$T32")="","",IF(INDIRECT("'["&amp;$C$1&amp;".xls]"&amp;$B774&amp;"'!$O$32")="済み",INDIRECT("'["&amp;$C$1&amp;".xls]"&amp;$B774&amp;"'!$T$32"),""))</f>
        <v>#REF!</v>
      </c>
      <c r="AS774" s="48" t="e">
        <f ca="1">IF(INDIRECT("'["&amp;$C$1&amp;".xls]"&amp;$B774&amp;"'!$T33")="","",IF(INDIRECT("'["&amp;$C$1&amp;".xls]"&amp;$B774&amp;"'!$O$33")="済み",INDIRECT("'["&amp;$C$1&amp;".xls]"&amp;$B774&amp;"'!$T$33"),""))</f>
        <v>#REF!</v>
      </c>
      <c r="AT774" s="48" t="e">
        <f ca="1">IF(INDIRECT("'["&amp;$C$1&amp;".xls]"&amp;$B774&amp;"'!$T34")="","",IF(INDIRECT("'["&amp;$C$1&amp;".xls]"&amp;$B774&amp;"'!$O$34")="済み",INDIRECT("'["&amp;$C$1&amp;".xls]"&amp;$B774&amp;"'!$T$34"),""))</f>
        <v>#REF!</v>
      </c>
      <c r="AU774" s="93" t="e">
        <f t="shared" ca="1" si="15"/>
        <v>#REF!</v>
      </c>
      <c r="AV774" s="93" t="e">
        <f t="shared" ca="1" si="16"/>
        <v>#REF!</v>
      </c>
      <c r="AW774" s="93" t="e">
        <f t="shared" ca="1" si="17"/>
        <v>#REF!</v>
      </c>
      <c r="AX774" s="93" t="e">
        <f t="shared" ca="1" si="18"/>
        <v>#REF!</v>
      </c>
      <c r="AY774" s="93" t="e">
        <f t="shared" ca="1" si="19"/>
        <v>#REF!</v>
      </c>
    </row>
    <row r="775" spans="1:52" ht="16.5" customHeight="1" x14ac:dyDescent="0.15">
      <c r="A775" s="211" t="s">
        <v>7693</v>
      </c>
      <c r="B775" s="212" t="s">
        <v>7694</v>
      </c>
      <c r="C775" s="48" t="s">
        <v>330</v>
      </c>
      <c r="D775" s="62" t="s">
        <v>7695</v>
      </c>
      <c r="E775" s="48" t="s">
        <v>300</v>
      </c>
      <c r="F775" s="61">
        <v>42681</v>
      </c>
      <c r="G775" s="61">
        <v>0</v>
      </c>
      <c r="H775" s="125">
        <v>42710</v>
      </c>
      <c r="I775" s="61" t="s">
        <v>279</v>
      </c>
      <c r="J775" s="87"/>
      <c r="K775" s="62" t="s">
        <v>2506</v>
      </c>
      <c r="L775" s="62">
        <v>3</v>
      </c>
      <c r="M775" s="62" t="s">
        <v>362</v>
      </c>
      <c r="N775" s="62" t="s">
        <v>7696</v>
      </c>
      <c r="O775" s="48" t="s">
        <v>263</v>
      </c>
      <c r="P775" s="48" t="s">
        <v>4</v>
      </c>
      <c r="Q775" s="48" t="s">
        <v>5</v>
      </c>
      <c r="R775" s="48" t="s">
        <v>7697</v>
      </c>
      <c r="S775" s="48" t="s">
        <v>6227</v>
      </c>
      <c r="T775" s="48" t="s">
        <v>6228</v>
      </c>
      <c r="U775" s="48" t="s">
        <v>4398</v>
      </c>
      <c r="V775" s="122" t="s">
        <v>7293</v>
      </c>
      <c r="W775" s="122" t="s">
        <v>7293</v>
      </c>
      <c r="X775" s="48" t="s">
        <v>7698</v>
      </c>
      <c r="Y775" s="48" t="s">
        <v>7699</v>
      </c>
      <c r="Z775" s="61"/>
      <c r="AA775" s="122" t="s">
        <v>7700</v>
      </c>
      <c r="AB775" s="122" t="s">
        <v>7458</v>
      </c>
      <c r="AC775" s="48" t="s">
        <v>273</v>
      </c>
      <c r="AD775" s="48" t="s">
        <v>273</v>
      </c>
      <c r="AE775" s="48" t="s">
        <v>273</v>
      </c>
      <c r="AF775" s="48" t="s">
        <v>273</v>
      </c>
      <c r="AG775" s="48" t="s">
        <v>273</v>
      </c>
      <c r="AH775" s="48" t="s">
        <v>273</v>
      </c>
      <c r="AI775" s="48" t="s">
        <v>273</v>
      </c>
      <c r="AJ775" s="48" t="s">
        <v>273</v>
      </c>
      <c r="AK775" s="48" t="s">
        <v>7701</v>
      </c>
      <c r="AL775" s="48" t="s">
        <v>2352</v>
      </c>
      <c r="AM775" s="48" t="s">
        <v>273</v>
      </c>
      <c r="AN775" s="48" t="s">
        <v>273</v>
      </c>
      <c r="AO775" s="48" t="s">
        <v>273</v>
      </c>
      <c r="AP775" s="48" t="s">
        <v>273</v>
      </c>
      <c r="AQ775" s="48" t="s">
        <v>273</v>
      </c>
      <c r="AR775" s="48" t="s">
        <v>273</v>
      </c>
      <c r="AS775" s="48" t="s">
        <v>273</v>
      </c>
      <c r="AT775" s="48" t="s">
        <v>273</v>
      </c>
      <c r="AU775" s="93" t="s">
        <v>263</v>
      </c>
      <c r="AV775" s="93" t="s">
        <v>7702</v>
      </c>
      <c r="AW775" s="93" t="s">
        <v>7703</v>
      </c>
      <c r="AX775" s="93" t="s">
        <v>7704</v>
      </c>
      <c r="AY775" s="93" t="s">
        <v>5312</v>
      </c>
    </row>
    <row r="776" spans="1:52" ht="16.5" customHeight="1" x14ac:dyDescent="0.15">
      <c r="A776" s="199" t="s">
        <v>7705</v>
      </c>
      <c r="B776" s="209" t="s">
        <v>7706</v>
      </c>
      <c r="C776" s="48" t="s">
        <v>330</v>
      </c>
      <c r="D776" s="62" t="s">
        <v>7707</v>
      </c>
      <c r="E776" s="48" t="s">
        <v>300</v>
      </c>
      <c r="F776" s="61">
        <v>42681</v>
      </c>
      <c r="G776" s="61">
        <v>0</v>
      </c>
      <c r="H776" s="125">
        <v>42692</v>
      </c>
      <c r="I776" s="61">
        <v>40830</v>
      </c>
      <c r="J776" s="87"/>
      <c r="K776" s="124" t="s">
        <v>7293</v>
      </c>
      <c r="L776" s="124" t="s">
        <v>7293</v>
      </c>
      <c r="M776" s="62" t="s">
        <v>333</v>
      </c>
      <c r="N776" s="62" t="s">
        <v>7708</v>
      </c>
      <c r="O776" s="48" t="s">
        <v>335</v>
      </c>
      <c r="P776" s="48" t="s">
        <v>7709</v>
      </c>
      <c r="Q776" s="48" t="s">
        <v>398</v>
      </c>
      <c r="R776" s="48" t="s">
        <v>7710</v>
      </c>
      <c r="S776" s="48" t="s">
        <v>7711</v>
      </c>
      <c r="T776" s="48" t="s">
        <v>7712</v>
      </c>
      <c r="U776" s="48" t="s">
        <v>7713</v>
      </c>
      <c r="V776" s="48" t="s">
        <v>7714</v>
      </c>
      <c r="W776" s="48" t="s">
        <v>3401</v>
      </c>
      <c r="X776" s="48" t="s">
        <v>7715</v>
      </c>
      <c r="Y776" s="48" t="s">
        <v>7716</v>
      </c>
      <c r="Z776" s="61"/>
      <c r="AA776" s="48" t="s">
        <v>273</v>
      </c>
      <c r="AB776" s="48" t="s">
        <v>273</v>
      </c>
      <c r="AC776" s="48" t="s">
        <v>273</v>
      </c>
      <c r="AD776" s="48" t="s">
        <v>273</v>
      </c>
      <c r="AE776" s="48" t="s">
        <v>273</v>
      </c>
      <c r="AF776" s="48" t="s">
        <v>273</v>
      </c>
      <c r="AG776" s="48" t="s">
        <v>273</v>
      </c>
      <c r="AH776" s="48" t="s">
        <v>273</v>
      </c>
      <c r="AI776" s="48" t="s">
        <v>273</v>
      </c>
      <c r="AJ776" s="48" t="s">
        <v>273</v>
      </c>
      <c r="AK776" s="48" t="s">
        <v>273</v>
      </c>
      <c r="AL776" s="48" t="s">
        <v>273</v>
      </c>
      <c r="AM776" s="48" t="s">
        <v>273</v>
      </c>
      <c r="AN776" s="48" t="s">
        <v>273</v>
      </c>
      <c r="AO776" s="48" t="s">
        <v>273</v>
      </c>
      <c r="AP776" s="48" t="s">
        <v>273</v>
      </c>
      <c r="AQ776" s="48" t="s">
        <v>273</v>
      </c>
      <c r="AR776" s="48" t="s">
        <v>273</v>
      </c>
      <c r="AS776" s="48" t="s">
        <v>273</v>
      </c>
      <c r="AT776" s="48" t="s">
        <v>273</v>
      </c>
      <c r="AU776" s="93">
        <v>40725</v>
      </c>
      <c r="AV776" s="93" t="s">
        <v>7717</v>
      </c>
      <c r="AW776" s="93" t="s">
        <v>7718</v>
      </c>
      <c r="AX776" s="93" t="s">
        <v>7719</v>
      </c>
      <c r="AY776" s="93" t="s">
        <v>7720</v>
      </c>
      <c r="AZ776" s="49" t="s">
        <v>7721</v>
      </c>
    </row>
    <row r="777" spans="1:52" ht="16.5" customHeight="1" x14ac:dyDescent="0.15">
      <c r="A777" s="121" t="s">
        <v>7722</v>
      </c>
      <c r="B777" s="47" t="s">
        <v>7723</v>
      </c>
      <c r="C777" s="48" t="e">
        <f t="shared" ca="1" si="0"/>
        <v>#REF!</v>
      </c>
      <c r="D777" s="62" t="e">
        <f t="shared" ca="1" si="1"/>
        <v>#REF!</v>
      </c>
      <c r="E777" s="48" t="e">
        <f t="shared" ca="1" si="2"/>
        <v>#REF!</v>
      </c>
      <c r="F777" s="61" t="e">
        <f t="shared" ca="1" si="3"/>
        <v>#REF!</v>
      </c>
      <c r="G777" s="61" t="e">
        <f t="shared" ca="1" si="20"/>
        <v>#REF!</v>
      </c>
      <c r="H777" s="88" t="e">
        <f t="shared" ca="1" si="4"/>
        <v>#REF!</v>
      </c>
      <c r="I777" s="61" t="e">
        <f t="shared" ca="1" si="5"/>
        <v>#REF!</v>
      </c>
      <c r="J777" s="87"/>
      <c r="K777" s="62" t="e">
        <f t="shared" ca="1" si="6"/>
        <v>#REF!</v>
      </c>
      <c r="L777" s="62"/>
      <c r="M777" s="62" t="e">
        <f t="shared" ca="1" si="7"/>
        <v>#REF!</v>
      </c>
      <c r="N777" s="62" t="e">
        <f t="shared" ca="1" si="8"/>
        <v>#REF!</v>
      </c>
      <c r="O777" s="48" t="e">
        <f t="shared" ca="1" si="9"/>
        <v>#REF!</v>
      </c>
      <c r="P777" s="48" t="e">
        <f t="shared" ca="1" si="10"/>
        <v>#REF!</v>
      </c>
      <c r="Q777" s="48" t="e">
        <f t="shared" ca="1" si="11"/>
        <v>#REF!</v>
      </c>
      <c r="R777" s="48"/>
      <c r="S777" s="48" t="e">
        <f t="shared" ca="1" si="12"/>
        <v>#REF!</v>
      </c>
      <c r="T777" s="48" t="e">
        <f t="shared" ca="1" si="13"/>
        <v>#REF!</v>
      </c>
      <c r="U777" s="48" t="e">
        <f t="shared" ca="1" si="14"/>
        <v>#REF!</v>
      </c>
      <c r="V777" s="48"/>
      <c r="W777" s="48"/>
      <c r="X777" s="48"/>
      <c r="Y777" s="48"/>
      <c r="Z777" s="61"/>
      <c r="AA777" s="48" t="e">
        <f ca="1">IF(INDIRECT("'["&amp;$C$1&amp;".xls]"&amp;$B777&amp;"'!$P$25")="","",IF(INDIRECT("'["&amp;$C$1&amp;".xls]"&amp;$B777&amp;"'!$O$25")="済み",INDIRECT("'["&amp;$C$1&amp;".xls]"&amp;$B777&amp;"'!$P$25"),""))</f>
        <v>#REF!</v>
      </c>
      <c r="AB777" s="48" t="e">
        <f ca="1">IF(INDIRECT("'["&amp;$C$1&amp;".xls]"&amp;$B777&amp;"'!$P$26")="","",IF(INDIRECT("'["&amp;$C$1&amp;".xls]"&amp;$B777&amp;"'!$O$26")="済み",INDIRECT("'["&amp;$C$1&amp;".xls]"&amp;$B777&amp;"'!$P$26"),""))</f>
        <v>#REF!</v>
      </c>
      <c r="AC777" s="48" t="e">
        <f ca="1">IF(INDIRECT("'["&amp;$C$1&amp;".xls]"&amp;$B777&amp;"'!$P$27")="","",IF(INDIRECT("'["&amp;$C$1&amp;".xls]"&amp;$B777&amp;"'!$O$27")="済み",INDIRECT("'["&amp;$C$1&amp;".xls]"&amp;$B777&amp;"'!$P$27"),""))</f>
        <v>#REF!</v>
      </c>
      <c r="AD777" s="48" t="e">
        <f ca="1">IF(INDIRECT("'["&amp;$C$1&amp;".xls]"&amp;$B777&amp;"'!$P$28")="","",IF(INDIRECT("'["&amp;$C$1&amp;".xls]"&amp;$B777&amp;"'!$O$28")="済み",INDIRECT("'["&amp;$C$1&amp;".xls]"&amp;$B777&amp;"'!$P$28"),""))</f>
        <v>#REF!</v>
      </c>
      <c r="AE777" s="48" t="e">
        <f ca="1">IF(INDIRECT("'["&amp;$C$1&amp;".xls]"&amp;$B777&amp;"'!$P$29")="","",IF(INDIRECT("'["&amp;$C$1&amp;".xls]"&amp;$B777&amp;"'!$O$29")="済み",INDIRECT("'["&amp;$C$1&amp;".xls]"&amp;$B777&amp;"'!$P$29"),""))</f>
        <v>#REF!</v>
      </c>
      <c r="AF777" s="48" t="e">
        <f ca="1">IF(INDIRECT("'["&amp;$C$1&amp;".xls]"&amp;$B777&amp;"'!$P$30")="","",IF(INDIRECT("'["&amp;$C$1&amp;".xls]"&amp;$B777&amp;"'!$O$30")="済み",INDIRECT("'["&amp;$C$1&amp;".xls]"&amp;$B777&amp;"'!$P$30"),""))</f>
        <v>#REF!</v>
      </c>
      <c r="AG777" s="48" t="e">
        <f ca="1">IF(INDIRECT("'["&amp;$C$1&amp;".xls]"&amp;$B777&amp;"'!$P$31")="","",IF(INDIRECT("'["&amp;$C$1&amp;".xls]"&amp;$B777&amp;"'!$O$31")="済み",INDIRECT("'["&amp;$C$1&amp;".xls]"&amp;$B777&amp;"'!$P$31"),""))</f>
        <v>#REF!</v>
      </c>
      <c r="AH777" s="48" t="e">
        <f ca="1">IF(INDIRECT("'["&amp;$C$1&amp;".xls]"&amp;$B777&amp;"'!$P$32")="","",IF(INDIRECT("'["&amp;$C$1&amp;".xls]"&amp;$B777&amp;"'!$O$32")="済み",INDIRECT("'["&amp;$C$1&amp;".xls]"&amp;$B777&amp;"'!$P$32"),""))</f>
        <v>#REF!</v>
      </c>
      <c r="AI777" s="48" t="e">
        <f ca="1">IF(INDIRECT("'["&amp;$C$1&amp;".xls]"&amp;$B777&amp;"'!$P$33")="","",IF(INDIRECT("'["&amp;$C$1&amp;".xls]"&amp;$B777&amp;"'!$O$33")="済み",INDIRECT("'["&amp;$C$1&amp;".xls]"&amp;$B777&amp;"'!$P$33"),""))</f>
        <v>#REF!</v>
      </c>
      <c r="AJ777" s="48" t="e">
        <f ca="1">IF(INDIRECT("'["&amp;$C$1&amp;".xls]"&amp;$B777&amp;"'!$P$34")="","",IF(INDIRECT("'["&amp;$C$1&amp;".xls]"&amp;$B777&amp;"'!$O$34")="済み",INDIRECT("'["&amp;$C$1&amp;".xls]"&amp;$B777&amp;"'!$P$34"),""))</f>
        <v>#REF!</v>
      </c>
      <c r="AK777" s="48" t="e">
        <f ca="1">IF(INDIRECT("'["&amp;$C$1&amp;".xls]"&amp;$B777&amp;"'!$T25")="","",IF(INDIRECT("'["&amp;$C$1&amp;".xls]"&amp;$B777&amp;"'!$O$25")="済み",INDIRECT("'["&amp;$C$1&amp;".xls]"&amp;$B777&amp;"'!$T$25"),""))</f>
        <v>#REF!</v>
      </c>
      <c r="AL777" s="48" t="e">
        <f ca="1">IF(INDIRECT("'["&amp;$C$1&amp;".xls]"&amp;$B777&amp;"'!$T26")="","",IF(INDIRECT("'["&amp;$C$1&amp;".xls]"&amp;$B777&amp;"'!$O$26")="済み",INDIRECT("'["&amp;$C$1&amp;".xls]"&amp;$B777&amp;"'!$T$26"),""))</f>
        <v>#REF!</v>
      </c>
      <c r="AM777" s="48" t="e">
        <f ca="1">IF(INDIRECT("'["&amp;$C$1&amp;".xls]"&amp;$B777&amp;"'!$T27")="","",IF(INDIRECT("'["&amp;$C$1&amp;".xls]"&amp;$B777&amp;"'!$O$27")="済み",INDIRECT("'["&amp;$C$1&amp;".xls]"&amp;$B777&amp;"'!$T$27"),""))</f>
        <v>#REF!</v>
      </c>
      <c r="AN777" s="48" t="e">
        <f ca="1">IF(INDIRECT("'["&amp;$C$1&amp;".xls]"&amp;$B777&amp;"'!$T28")="","",IF(INDIRECT("'["&amp;$C$1&amp;".xls]"&amp;$B777&amp;"'!$O$28")="済み",INDIRECT("'["&amp;$C$1&amp;".xls]"&amp;$B777&amp;"'!$T$28"),""))</f>
        <v>#REF!</v>
      </c>
      <c r="AO777" s="48" t="e">
        <f ca="1">IF(INDIRECT("'["&amp;$C$1&amp;".xls]"&amp;$B777&amp;"'!$T29")="","",IF(INDIRECT("'["&amp;$C$1&amp;".xls]"&amp;$B777&amp;"'!$O$29")="済み",INDIRECT("'["&amp;$C$1&amp;".xls]"&amp;$B777&amp;"'!$T$29"),""))</f>
        <v>#REF!</v>
      </c>
      <c r="AP777" s="48" t="e">
        <f ca="1">IF(INDIRECT("'["&amp;$C$1&amp;".xls]"&amp;$B777&amp;"'!$T30")="","",IF(INDIRECT("'["&amp;$C$1&amp;".xls]"&amp;$B777&amp;"'!$O$30")="済み",INDIRECT("'["&amp;$C$1&amp;".xls]"&amp;$B777&amp;"'!$T$30"),""))</f>
        <v>#REF!</v>
      </c>
      <c r="AQ777" s="48" t="e">
        <f ca="1">IF(INDIRECT("'["&amp;$C$1&amp;".xls]"&amp;$B777&amp;"'!$T31")="","",IF(INDIRECT("'["&amp;$C$1&amp;".xls]"&amp;$B777&amp;"'!$O$31")="済み",INDIRECT("'["&amp;$C$1&amp;".xls]"&amp;$B777&amp;"'!$T$31"),""))</f>
        <v>#REF!</v>
      </c>
      <c r="AR777" s="48" t="e">
        <f ca="1">IF(INDIRECT("'["&amp;$C$1&amp;".xls]"&amp;$B777&amp;"'!$T32")="","",IF(INDIRECT("'["&amp;$C$1&amp;".xls]"&amp;$B777&amp;"'!$O$32")="済み",INDIRECT("'["&amp;$C$1&amp;".xls]"&amp;$B777&amp;"'!$T$32"),""))</f>
        <v>#REF!</v>
      </c>
      <c r="AS777" s="48" t="e">
        <f ca="1">IF(INDIRECT("'["&amp;$C$1&amp;".xls]"&amp;$B777&amp;"'!$T33")="","",IF(INDIRECT("'["&amp;$C$1&amp;".xls]"&amp;$B777&amp;"'!$O$33")="済み",INDIRECT("'["&amp;$C$1&amp;".xls]"&amp;$B777&amp;"'!$T$33"),""))</f>
        <v>#REF!</v>
      </c>
      <c r="AT777" s="48" t="e">
        <f ca="1">IF(INDIRECT("'["&amp;$C$1&amp;".xls]"&amp;$B777&amp;"'!$T34")="","",IF(INDIRECT("'["&amp;$C$1&amp;".xls]"&amp;$B777&amp;"'!$O$34")="済み",INDIRECT("'["&amp;$C$1&amp;".xls]"&amp;$B777&amp;"'!$T$34"),""))</f>
        <v>#REF!</v>
      </c>
      <c r="AU777" s="93" t="e">
        <f t="shared" ca="1" si="15"/>
        <v>#REF!</v>
      </c>
      <c r="AV777" s="93" t="e">
        <f t="shared" ca="1" si="16"/>
        <v>#REF!</v>
      </c>
      <c r="AW777" s="93" t="e">
        <f t="shared" ca="1" si="17"/>
        <v>#REF!</v>
      </c>
      <c r="AX777" s="93" t="e">
        <f t="shared" ca="1" si="18"/>
        <v>#REF!</v>
      </c>
      <c r="AY777" s="93" t="e">
        <f t="shared" ca="1" si="19"/>
        <v>#REF!</v>
      </c>
    </row>
    <row r="778" spans="1:52" ht="16.5" customHeight="1" x14ac:dyDescent="0.15">
      <c r="A778" s="211" t="s">
        <v>7724</v>
      </c>
      <c r="B778" s="212" t="s">
        <v>7725</v>
      </c>
      <c r="C778" s="48" t="s">
        <v>298</v>
      </c>
      <c r="D778" s="62" t="s">
        <v>7726</v>
      </c>
      <c r="E778" s="48" t="s">
        <v>300</v>
      </c>
      <c r="F778" s="61">
        <v>42682</v>
      </c>
      <c r="G778" s="61">
        <v>0</v>
      </c>
      <c r="H778" s="125">
        <v>42710</v>
      </c>
      <c r="I778" s="61" t="s">
        <v>279</v>
      </c>
      <c r="J778" s="87"/>
      <c r="K778" s="62" t="s">
        <v>2506</v>
      </c>
      <c r="L778" s="62">
        <v>3</v>
      </c>
      <c r="M778" s="62" t="s">
        <v>409</v>
      </c>
      <c r="N778" s="62" t="s">
        <v>7727</v>
      </c>
      <c r="O778" s="48" t="s">
        <v>606</v>
      </c>
      <c r="P778" s="48" t="s">
        <v>1124</v>
      </c>
      <c r="Q778" s="48" t="s">
        <v>1125</v>
      </c>
      <c r="R778" s="48" t="s">
        <v>7728</v>
      </c>
      <c r="S778" s="48" t="s">
        <v>1127</v>
      </c>
      <c r="T778" s="48" t="s">
        <v>1128</v>
      </c>
      <c r="U778" s="48" t="s">
        <v>7729</v>
      </c>
      <c r="V778" s="122" t="s">
        <v>7293</v>
      </c>
      <c r="W778" s="122" t="s">
        <v>7293</v>
      </c>
      <c r="X778" s="48" t="s">
        <v>7730</v>
      </c>
      <c r="Y778" s="48" t="s">
        <v>7731</v>
      </c>
      <c r="Z778" s="61"/>
      <c r="AA778" s="48" t="s">
        <v>978</v>
      </c>
      <c r="AB778" s="48" t="s">
        <v>273</v>
      </c>
      <c r="AC778" s="48" t="s">
        <v>273</v>
      </c>
      <c r="AD778" s="48" t="s">
        <v>273</v>
      </c>
      <c r="AE778" s="48" t="s">
        <v>273</v>
      </c>
      <c r="AF778" s="48" t="s">
        <v>273</v>
      </c>
      <c r="AG778" s="48" t="s">
        <v>273</v>
      </c>
      <c r="AH778" s="48" t="s">
        <v>273</v>
      </c>
      <c r="AI778" s="48" t="s">
        <v>273</v>
      </c>
      <c r="AJ778" s="48" t="s">
        <v>273</v>
      </c>
      <c r="AK778" s="48" t="s">
        <v>600</v>
      </c>
      <c r="AL778" s="48" t="s">
        <v>273</v>
      </c>
      <c r="AM778" s="48" t="s">
        <v>273</v>
      </c>
      <c r="AN778" s="48" t="s">
        <v>273</v>
      </c>
      <c r="AO778" s="48" t="s">
        <v>273</v>
      </c>
      <c r="AP778" s="48" t="s">
        <v>273</v>
      </c>
      <c r="AQ778" s="48" t="s">
        <v>273</v>
      </c>
      <c r="AR778" s="48" t="s">
        <v>273</v>
      </c>
      <c r="AS778" s="48" t="s">
        <v>273</v>
      </c>
      <c r="AT778" s="48" t="s">
        <v>273</v>
      </c>
      <c r="AU778" s="93">
        <v>40452</v>
      </c>
      <c r="AV778" s="93" t="s">
        <v>7732</v>
      </c>
      <c r="AW778" s="93" t="s">
        <v>7733</v>
      </c>
      <c r="AX778" s="93" t="s">
        <v>7734</v>
      </c>
      <c r="AY778" s="93" t="s">
        <v>5312</v>
      </c>
    </row>
    <row r="779" spans="1:52" ht="16.5" customHeight="1" x14ac:dyDescent="0.15">
      <c r="A779" s="199" t="s">
        <v>7735</v>
      </c>
      <c r="B779" s="209" t="s">
        <v>7736</v>
      </c>
      <c r="C779" s="48" t="s">
        <v>330</v>
      </c>
      <c r="D779" s="62" t="s">
        <v>263</v>
      </c>
      <c r="E779" s="48" t="s">
        <v>264</v>
      </c>
      <c r="F779" s="61">
        <v>42682</v>
      </c>
      <c r="G779" s="61">
        <v>0</v>
      </c>
      <c r="H779" s="125">
        <v>42704</v>
      </c>
      <c r="I779" s="61">
        <v>41372</v>
      </c>
      <c r="J779" s="87"/>
      <c r="K779" s="62">
        <v>0</v>
      </c>
      <c r="L779" s="62"/>
      <c r="M779" s="62" t="s">
        <v>471</v>
      </c>
      <c r="N779" s="62" t="s">
        <v>3205</v>
      </c>
      <c r="O779" s="48" t="s">
        <v>502</v>
      </c>
      <c r="P779" s="48" t="s">
        <v>696</v>
      </c>
      <c r="Q779" s="48" t="s">
        <v>2999</v>
      </c>
      <c r="R779" s="48" t="s">
        <v>7417</v>
      </c>
      <c r="S779" s="48" t="s">
        <v>400</v>
      </c>
      <c r="T779" s="48" t="s">
        <v>401</v>
      </c>
      <c r="U779" s="48" t="s">
        <v>7737</v>
      </c>
      <c r="V779" s="48"/>
      <c r="W779" s="48"/>
      <c r="X779" s="48"/>
      <c r="Y779" s="48"/>
      <c r="Z779" s="61"/>
      <c r="AA779" s="48" t="s">
        <v>273</v>
      </c>
      <c r="AB779" s="48" t="s">
        <v>273</v>
      </c>
      <c r="AC779" s="48" t="s">
        <v>273</v>
      </c>
      <c r="AD779" s="48" t="s">
        <v>273</v>
      </c>
      <c r="AE779" s="48" t="s">
        <v>273</v>
      </c>
      <c r="AF779" s="48" t="s">
        <v>273</v>
      </c>
      <c r="AG779" s="48" t="s">
        <v>273</v>
      </c>
      <c r="AH779" s="48" t="s">
        <v>273</v>
      </c>
      <c r="AI779" s="48" t="s">
        <v>273</v>
      </c>
      <c r="AJ779" s="48" t="s">
        <v>273</v>
      </c>
      <c r="AK779" s="48" t="s">
        <v>273</v>
      </c>
      <c r="AL779" s="48" t="s">
        <v>273</v>
      </c>
      <c r="AM779" s="48" t="s">
        <v>273</v>
      </c>
      <c r="AN779" s="48" t="s">
        <v>273</v>
      </c>
      <c r="AO779" s="48" t="s">
        <v>273</v>
      </c>
      <c r="AP779" s="48" t="s">
        <v>273</v>
      </c>
      <c r="AQ779" s="48" t="s">
        <v>273</v>
      </c>
      <c r="AR779" s="48" t="s">
        <v>273</v>
      </c>
      <c r="AS779" s="48" t="s">
        <v>273</v>
      </c>
      <c r="AT779" s="48" t="s">
        <v>273</v>
      </c>
      <c r="AU779" s="93">
        <v>41244</v>
      </c>
      <c r="AV779" s="93" t="s">
        <v>7738</v>
      </c>
      <c r="AW779" s="93" t="s">
        <v>7739</v>
      </c>
      <c r="AX779" s="93" t="s">
        <v>7740</v>
      </c>
      <c r="AY779" s="93" t="s">
        <v>5312</v>
      </c>
    </row>
    <row r="780" spans="1:52" ht="16.5" customHeight="1" x14ac:dyDescent="0.15">
      <c r="A780" s="121" t="s">
        <v>7741</v>
      </c>
      <c r="B780" s="47" t="s">
        <v>7742</v>
      </c>
      <c r="C780" s="48" t="e">
        <f t="shared" ca="1" si="0"/>
        <v>#REF!</v>
      </c>
      <c r="D780" s="62" t="e">
        <f t="shared" ca="1" si="1"/>
        <v>#REF!</v>
      </c>
      <c r="E780" s="48" t="e">
        <f t="shared" ca="1" si="2"/>
        <v>#REF!</v>
      </c>
      <c r="F780" s="61" t="e">
        <f t="shared" ca="1" si="3"/>
        <v>#REF!</v>
      </c>
      <c r="G780" s="61" t="e">
        <f t="shared" ca="1" si="20"/>
        <v>#REF!</v>
      </c>
      <c r="H780" s="88" t="e">
        <f t="shared" ca="1" si="4"/>
        <v>#REF!</v>
      </c>
      <c r="I780" s="61" t="e">
        <f t="shared" ca="1" si="5"/>
        <v>#REF!</v>
      </c>
      <c r="J780" s="87"/>
      <c r="K780" s="62" t="e">
        <f t="shared" ca="1" si="6"/>
        <v>#REF!</v>
      </c>
      <c r="L780" s="62"/>
      <c r="M780" s="62" t="e">
        <f t="shared" ca="1" si="7"/>
        <v>#REF!</v>
      </c>
      <c r="N780" s="62" t="e">
        <f t="shared" ca="1" si="8"/>
        <v>#REF!</v>
      </c>
      <c r="O780" s="48" t="e">
        <f t="shared" ca="1" si="9"/>
        <v>#REF!</v>
      </c>
      <c r="P780" s="48" t="e">
        <f t="shared" ca="1" si="10"/>
        <v>#REF!</v>
      </c>
      <c r="Q780" s="48" t="e">
        <f t="shared" ca="1" si="11"/>
        <v>#REF!</v>
      </c>
      <c r="R780" s="48"/>
      <c r="S780" s="48" t="e">
        <f t="shared" ca="1" si="12"/>
        <v>#REF!</v>
      </c>
      <c r="T780" s="48" t="e">
        <f t="shared" ca="1" si="13"/>
        <v>#REF!</v>
      </c>
      <c r="U780" s="48" t="e">
        <f t="shared" ca="1" si="14"/>
        <v>#REF!</v>
      </c>
      <c r="V780" s="48"/>
      <c r="W780" s="48"/>
      <c r="X780" s="48"/>
      <c r="Y780" s="48"/>
      <c r="Z780" s="61"/>
      <c r="AA780" s="48" t="e">
        <f t="shared" ref="AA780:AA843" ca="1" si="21">IF(INDIRECT("'["&amp;$C$1&amp;".xls]"&amp;$B780&amp;"'!$P$25")="","",IF(INDIRECT("'["&amp;$C$1&amp;".xls]"&amp;$B780&amp;"'!$O$25")="済み",INDIRECT("'["&amp;$C$1&amp;".xls]"&amp;$B780&amp;"'!$P$25"),""))</f>
        <v>#REF!</v>
      </c>
      <c r="AB780" s="48" t="e">
        <f t="shared" ref="AB780:AB843" ca="1" si="22">IF(INDIRECT("'["&amp;$C$1&amp;".xls]"&amp;$B780&amp;"'!$P$26")="","",IF(INDIRECT("'["&amp;$C$1&amp;".xls]"&amp;$B780&amp;"'!$O$26")="済み",INDIRECT("'["&amp;$C$1&amp;".xls]"&amp;$B780&amp;"'!$P$26"),""))</f>
        <v>#REF!</v>
      </c>
      <c r="AC780" s="48" t="e">
        <f t="shared" ref="AC780:AC843" ca="1" si="23">IF(INDIRECT("'["&amp;$C$1&amp;".xls]"&amp;$B780&amp;"'!$P$27")="","",IF(INDIRECT("'["&amp;$C$1&amp;".xls]"&amp;$B780&amp;"'!$O$27")="済み",INDIRECT("'["&amp;$C$1&amp;".xls]"&amp;$B780&amp;"'!$P$27"),""))</f>
        <v>#REF!</v>
      </c>
      <c r="AD780" s="48" t="e">
        <f t="shared" ref="AD780:AD843" ca="1" si="24">IF(INDIRECT("'["&amp;$C$1&amp;".xls]"&amp;$B780&amp;"'!$P$28")="","",IF(INDIRECT("'["&amp;$C$1&amp;".xls]"&amp;$B780&amp;"'!$O$28")="済み",INDIRECT("'["&amp;$C$1&amp;".xls]"&amp;$B780&amp;"'!$P$28"),""))</f>
        <v>#REF!</v>
      </c>
      <c r="AE780" s="48" t="e">
        <f t="shared" ref="AE780:AE843" ca="1" si="25">IF(INDIRECT("'["&amp;$C$1&amp;".xls]"&amp;$B780&amp;"'!$P$29")="","",IF(INDIRECT("'["&amp;$C$1&amp;".xls]"&amp;$B780&amp;"'!$O$29")="済み",INDIRECT("'["&amp;$C$1&amp;".xls]"&amp;$B780&amp;"'!$P$29"),""))</f>
        <v>#REF!</v>
      </c>
      <c r="AF780" s="48" t="e">
        <f t="shared" ref="AF780:AF843" ca="1" si="26">IF(INDIRECT("'["&amp;$C$1&amp;".xls]"&amp;$B780&amp;"'!$P$30")="","",IF(INDIRECT("'["&amp;$C$1&amp;".xls]"&amp;$B780&amp;"'!$O$30")="済み",INDIRECT("'["&amp;$C$1&amp;".xls]"&amp;$B780&amp;"'!$P$30"),""))</f>
        <v>#REF!</v>
      </c>
      <c r="AG780" s="48" t="e">
        <f t="shared" ref="AG780:AG843" ca="1" si="27">IF(INDIRECT("'["&amp;$C$1&amp;".xls]"&amp;$B780&amp;"'!$P$31")="","",IF(INDIRECT("'["&amp;$C$1&amp;".xls]"&amp;$B780&amp;"'!$O$31")="済み",INDIRECT("'["&amp;$C$1&amp;".xls]"&amp;$B780&amp;"'!$P$31"),""))</f>
        <v>#REF!</v>
      </c>
      <c r="AH780" s="48" t="e">
        <f t="shared" ref="AH780:AH843" ca="1" si="28">IF(INDIRECT("'["&amp;$C$1&amp;".xls]"&amp;$B780&amp;"'!$P$32")="","",IF(INDIRECT("'["&amp;$C$1&amp;".xls]"&amp;$B780&amp;"'!$O$32")="済み",INDIRECT("'["&amp;$C$1&amp;".xls]"&amp;$B780&amp;"'!$P$32"),""))</f>
        <v>#REF!</v>
      </c>
      <c r="AI780" s="48" t="e">
        <f t="shared" ref="AI780:AI843" ca="1" si="29">IF(INDIRECT("'["&amp;$C$1&amp;".xls]"&amp;$B780&amp;"'!$P$33")="","",IF(INDIRECT("'["&amp;$C$1&amp;".xls]"&amp;$B780&amp;"'!$O$33")="済み",INDIRECT("'["&amp;$C$1&amp;".xls]"&amp;$B780&amp;"'!$P$33"),""))</f>
        <v>#REF!</v>
      </c>
      <c r="AJ780" s="48" t="e">
        <f t="shared" ref="AJ780:AJ843" ca="1" si="30">IF(INDIRECT("'["&amp;$C$1&amp;".xls]"&amp;$B780&amp;"'!$P$34")="","",IF(INDIRECT("'["&amp;$C$1&amp;".xls]"&amp;$B780&amp;"'!$O$34")="済み",INDIRECT("'["&amp;$C$1&amp;".xls]"&amp;$B780&amp;"'!$P$34"),""))</f>
        <v>#REF!</v>
      </c>
      <c r="AK780" s="48" t="e">
        <f t="shared" ref="AK780:AK843" ca="1" si="31">IF(INDIRECT("'["&amp;$C$1&amp;".xls]"&amp;$B780&amp;"'!$T25")="","",IF(INDIRECT("'["&amp;$C$1&amp;".xls]"&amp;$B780&amp;"'!$O$25")="済み",INDIRECT("'["&amp;$C$1&amp;".xls]"&amp;$B780&amp;"'!$T$25"),""))</f>
        <v>#REF!</v>
      </c>
      <c r="AL780" s="48" t="e">
        <f t="shared" ref="AL780:AL843" ca="1" si="32">IF(INDIRECT("'["&amp;$C$1&amp;".xls]"&amp;$B780&amp;"'!$T26")="","",IF(INDIRECT("'["&amp;$C$1&amp;".xls]"&amp;$B780&amp;"'!$O$26")="済み",INDIRECT("'["&amp;$C$1&amp;".xls]"&amp;$B780&amp;"'!$T$26"),""))</f>
        <v>#REF!</v>
      </c>
      <c r="AM780" s="48" t="e">
        <f t="shared" ref="AM780:AM843" ca="1" si="33">IF(INDIRECT("'["&amp;$C$1&amp;".xls]"&amp;$B780&amp;"'!$T27")="","",IF(INDIRECT("'["&amp;$C$1&amp;".xls]"&amp;$B780&amp;"'!$O$27")="済み",INDIRECT("'["&amp;$C$1&amp;".xls]"&amp;$B780&amp;"'!$T$27"),""))</f>
        <v>#REF!</v>
      </c>
      <c r="AN780" s="48" t="e">
        <f t="shared" ref="AN780:AN843" ca="1" si="34">IF(INDIRECT("'["&amp;$C$1&amp;".xls]"&amp;$B780&amp;"'!$T28")="","",IF(INDIRECT("'["&amp;$C$1&amp;".xls]"&amp;$B780&amp;"'!$O$28")="済み",INDIRECT("'["&amp;$C$1&amp;".xls]"&amp;$B780&amp;"'!$T$28"),""))</f>
        <v>#REF!</v>
      </c>
      <c r="AO780" s="48" t="e">
        <f t="shared" ref="AO780:AO843" ca="1" si="35">IF(INDIRECT("'["&amp;$C$1&amp;".xls]"&amp;$B780&amp;"'!$T29")="","",IF(INDIRECT("'["&amp;$C$1&amp;".xls]"&amp;$B780&amp;"'!$O$29")="済み",INDIRECT("'["&amp;$C$1&amp;".xls]"&amp;$B780&amp;"'!$T$29"),""))</f>
        <v>#REF!</v>
      </c>
      <c r="AP780" s="48" t="e">
        <f t="shared" ref="AP780:AP843" ca="1" si="36">IF(INDIRECT("'["&amp;$C$1&amp;".xls]"&amp;$B780&amp;"'!$T30")="","",IF(INDIRECT("'["&amp;$C$1&amp;".xls]"&amp;$B780&amp;"'!$O$30")="済み",INDIRECT("'["&amp;$C$1&amp;".xls]"&amp;$B780&amp;"'!$T$30"),""))</f>
        <v>#REF!</v>
      </c>
      <c r="AQ780" s="48" t="e">
        <f t="shared" ref="AQ780:AQ843" ca="1" si="37">IF(INDIRECT("'["&amp;$C$1&amp;".xls]"&amp;$B780&amp;"'!$T31")="","",IF(INDIRECT("'["&amp;$C$1&amp;".xls]"&amp;$B780&amp;"'!$O$31")="済み",INDIRECT("'["&amp;$C$1&amp;".xls]"&amp;$B780&amp;"'!$T$31"),""))</f>
        <v>#REF!</v>
      </c>
      <c r="AR780" s="48" t="e">
        <f t="shared" ref="AR780:AR843" ca="1" si="38">IF(INDIRECT("'["&amp;$C$1&amp;".xls]"&amp;$B780&amp;"'!$T32")="","",IF(INDIRECT("'["&amp;$C$1&amp;".xls]"&amp;$B780&amp;"'!$O$32")="済み",INDIRECT("'["&amp;$C$1&amp;".xls]"&amp;$B780&amp;"'!$T$32"),""))</f>
        <v>#REF!</v>
      </c>
      <c r="AS780" s="48" t="e">
        <f t="shared" ref="AS780:AS843" ca="1" si="39">IF(INDIRECT("'["&amp;$C$1&amp;".xls]"&amp;$B780&amp;"'!$T33")="","",IF(INDIRECT("'["&amp;$C$1&amp;".xls]"&amp;$B780&amp;"'!$O$33")="済み",INDIRECT("'["&amp;$C$1&amp;".xls]"&amp;$B780&amp;"'!$T$33"),""))</f>
        <v>#REF!</v>
      </c>
      <c r="AT780" s="48" t="e">
        <f t="shared" ref="AT780:AT843" ca="1" si="40">IF(INDIRECT("'["&amp;$C$1&amp;".xls]"&amp;$B780&amp;"'!$T34")="","",IF(INDIRECT("'["&amp;$C$1&amp;".xls]"&amp;$B780&amp;"'!$O$34")="済み",INDIRECT("'["&amp;$C$1&amp;".xls]"&amp;$B780&amp;"'!$T$34"),""))</f>
        <v>#REF!</v>
      </c>
      <c r="AU780" s="93" t="e">
        <f t="shared" ca="1" si="15"/>
        <v>#REF!</v>
      </c>
      <c r="AV780" s="93" t="e">
        <f t="shared" ca="1" si="16"/>
        <v>#REF!</v>
      </c>
      <c r="AW780" s="93" t="e">
        <f t="shared" ca="1" si="17"/>
        <v>#REF!</v>
      </c>
      <c r="AX780" s="93" t="e">
        <f t="shared" ca="1" si="18"/>
        <v>#REF!</v>
      </c>
      <c r="AY780" s="93" t="e">
        <f t="shared" ca="1" si="19"/>
        <v>#REF!</v>
      </c>
    </row>
    <row r="781" spans="1:52" ht="16.5" customHeight="1" x14ac:dyDescent="0.15">
      <c r="A781" s="121" t="s">
        <v>7743</v>
      </c>
      <c r="B781" s="47" t="s">
        <v>7744</v>
      </c>
      <c r="C781" s="48" t="e">
        <f t="shared" ca="1" si="0"/>
        <v>#REF!</v>
      </c>
      <c r="D781" s="62" t="e">
        <f t="shared" ca="1" si="1"/>
        <v>#REF!</v>
      </c>
      <c r="E781" s="48" t="e">
        <f t="shared" ca="1" si="2"/>
        <v>#REF!</v>
      </c>
      <c r="F781" s="61" t="e">
        <f t="shared" ca="1" si="3"/>
        <v>#REF!</v>
      </c>
      <c r="G781" s="61" t="e">
        <f t="shared" ca="1" si="20"/>
        <v>#REF!</v>
      </c>
      <c r="H781" s="88" t="e">
        <f t="shared" ca="1" si="4"/>
        <v>#REF!</v>
      </c>
      <c r="I781" s="61" t="e">
        <f t="shared" ca="1" si="5"/>
        <v>#REF!</v>
      </c>
      <c r="J781" s="87"/>
      <c r="K781" s="62" t="e">
        <f t="shared" ca="1" si="6"/>
        <v>#REF!</v>
      </c>
      <c r="L781" s="62"/>
      <c r="M781" s="62" t="e">
        <f t="shared" ca="1" si="7"/>
        <v>#REF!</v>
      </c>
      <c r="N781" s="62" t="e">
        <f t="shared" ca="1" si="8"/>
        <v>#REF!</v>
      </c>
      <c r="O781" s="48" t="e">
        <f t="shared" ca="1" si="9"/>
        <v>#REF!</v>
      </c>
      <c r="P781" s="48" t="e">
        <f t="shared" ca="1" si="10"/>
        <v>#REF!</v>
      </c>
      <c r="Q781" s="48" t="e">
        <f t="shared" ca="1" si="11"/>
        <v>#REF!</v>
      </c>
      <c r="R781" s="48"/>
      <c r="S781" s="48" t="e">
        <f t="shared" ca="1" si="12"/>
        <v>#REF!</v>
      </c>
      <c r="T781" s="48" t="e">
        <f t="shared" ca="1" si="13"/>
        <v>#REF!</v>
      </c>
      <c r="U781" s="48" t="e">
        <f t="shared" ca="1" si="14"/>
        <v>#REF!</v>
      </c>
      <c r="V781" s="48"/>
      <c r="W781" s="48"/>
      <c r="X781" s="48"/>
      <c r="Y781" s="48"/>
      <c r="Z781" s="61"/>
      <c r="AA781" s="48" t="e">
        <f t="shared" ca="1" si="21"/>
        <v>#REF!</v>
      </c>
      <c r="AB781" s="48" t="e">
        <f t="shared" ca="1" si="22"/>
        <v>#REF!</v>
      </c>
      <c r="AC781" s="48" t="e">
        <f t="shared" ca="1" si="23"/>
        <v>#REF!</v>
      </c>
      <c r="AD781" s="48" t="e">
        <f t="shared" ca="1" si="24"/>
        <v>#REF!</v>
      </c>
      <c r="AE781" s="48" t="e">
        <f t="shared" ca="1" si="25"/>
        <v>#REF!</v>
      </c>
      <c r="AF781" s="48" t="e">
        <f t="shared" ca="1" si="26"/>
        <v>#REF!</v>
      </c>
      <c r="AG781" s="48" t="e">
        <f t="shared" ca="1" si="27"/>
        <v>#REF!</v>
      </c>
      <c r="AH781" s="48" t="e">
        <f t="shared" ca="1" si="28"/>
        <v>#REF!</v>
      </c>
      <c r="AI781" s="48" t="e">
        <f t="shared" ca="1" si="29"/>
        <v>#REF!</v>
      </c>
      <c r="AJ781" s="48" t="e">
        <f t="shared" ca="1" si="30"/>
        <v>#REF!</v>
      </c>
      <c r="AK781" s="48" t="e">
        <f t="shared" ca="1" si="31"/>
        <v>#REF!</v>
      </c>
      <c r="AL781" s="48" t="e">
        <f t="shared" ca="1" si="32"/>
        <v>#REF!</v>
      </c>
      <c r="AM781" s="48" t="e">
        <f t="shared" ca="1" si="33"/>
        <v>#REF!</v>
      </c>
      <c r="AN781" s="48" t="e">
        <f t="shared" ca="1" si="34"/>
        <v>#REF!</v>
      </c>
      <c r="AO781" s="48" t="e">
        <f t="shared" ca="1" si="35"/>
        <v>#REF!</v>
      </c>
      <c r="AP781" s="48" t="e">
        <f t="shared" ca="1" si="36"/>
        <v>#REF!</v>
      </c>
      <c r="AQ781" s="48" t="e">
        <f t="shared" ca="1" si="37"/>
        <v>#REF!</v>
      </c>
      <c r="AR781" s="48" t="e">
        <f t="shared" ca="1" si="38"/>
        <v>#REF!</v>
      </c>
      <c r="AS781" s="48" t="e">
        <f t="shared" ca="1" si="39"/>
        <v>#REF!</v>
      </c>
      <c r="AT781" s="48" t="e">
        <f t="shared" ca="1" si="40"/>
        <v>#REF!</v>
      </c>
      <c r="AU781" s="93" t="e">
        <f t="shared" ca="1" si="15"/>
        <v>#REF!</v>
      </c>
      <c r="AV781" s="93" t="e">
        <f t="shared" ca="1" si="16"/>
        <v>#REF!</v>
      </c>
      <c r="AW781" s="93" t="e">
        <f t="shared" ca="1" si="17"/>
        <v>#REF!</v>
      </c>
      <c r="AX781" s="93" t="e">
        <f t="shared" ca="1" si="18"/>
        <v>#REF!</v>
      </c>
      <c r="AY781" s="93" t="e">
        <f t="shared" ca="1" si="19"/>
        <v>#REF!</v>
      </c>
    </row>
    <row r="782" spans="1:52" ht="16.5" customHeight="1" x14ac:dyDescent="0.15">
      <c r="A782" s="121" t="s">
        <v>7745</v>
      </c>
      <c r="B782" s="47" t="s">
        <v>7746</v>
      </c>
      <c r="C782" s="48" t="e">
        <f t="shared" ca="1" si="0"/>
        <v>#REF!</v>
      </c>
      <c r="D782" s="62" t="e">
        <f t="shared" ca="1" si="1"/>
        <v>#REF!</v>
      </c>
      <c r="E782" s="48" t="e">
        <f t="shared" ca="1" si="2"/>
        <v>#REF!</v>
      </c>
      <c r="F782" s="61" t="e">
        <f t="shared" ca="1" si="3"/>
        <v>#REF!</v>
      </c>
      <c r="G782" s="61" t="e">
        <f t="shared" ca="1" si="20"/>
        <v>#REF!</v>
      </c>
      <c r="H782" s="88" t="e">
        <f t="shared" ca="1" si="4"/>
        <v>#REF!</v>
      </c>
      <c r="I782" s="61" t="e">
        <f t="shared" ca="1" si="5"/>
        <v>#REF!</v>
      </c>
      <c r="J782" s="87"/>
      <c r="K782" s="62" t="e">
        <f t="shared" ca="1" si="6"/>
        <v>#REF!</v>
      </c>
      <c r="L782" s="62"/>
      <c r="M782" s="62" t="e">
        <f t="shared" ca="1" si="7"/>
        <v>#REF!</v>
      </c>
      <c r="N782" s="62" t="e">
        <f t="shared" ca="1" si="8"/>
        <v>#REF!</v>
      </c>
      <c r="O782" s="48" t="e">
        <f t="shared" ca="1" si="9"/>
        <v>#REF!</v>
      </c>
      <c r="P782" s="48" t="e">
        <f t="shared" ca="1" si="10"/>
        <v>#REF!</v>
      </c>
      <c r="Q782" s="48" t="e">
        <f t="shared" ca="1" si="11"/>
        <v>#REF!</v>
      </c>
      <c r="R782" s="48"/>
      <c r="S782" s="48" t="e">
        <f t="shared" ca="1" si="12"/>
        <v>#REF!</v>
      </c>
      <c r="T782" s="48" t="e">
        <f t="shared" ca="1" si="13"/>
        <v>#REF!</v>
      </c>
      <c r="U782" s="48" t="e">
        <f t="shared" ca="1" si="14"/>
        <v>#REF!</v>
      </c>
      <c r="V782" s="48"/>
      <c r="W782" s="48"/>
      <c r="X782" s="48"/>
      <c r="Y782" s="48"/>
      <c r="Z782" s="61"/>
      <c r="AA782" s="48" t="e">
        <f t="shared" ca="1" si="21"/>
        <v>#REF!</v>
      </c>
      <c r="AB782" s="48" t="e">
        <f t="shared" ca="1" si="22"/>
        <v>#REF!</v>
      </c>
      <c r="AC782" s="48" t="e">
        <f t="shared" ca="1" si="23"/>
        <v>#REF!</v>
      </c>
      <c r="AD782" s="48" t="e">
        <f t="shared" ca="1" si="24"/>
        <v>#REF!</v>
      </c>
      <c r="AE782" s="48" t="e">
        <f t="shared" ca="1" si="25"/>
        <v>#REF!</v>
      </c>
      <c r="AF782" s="48" t="e">
        <f t="shared" ca="1" si="26"/>
        <v>#REF!</v>
      </c>
      <c r="AG782" s="48" t="e">
        <f t="shared" ca="1" si="27"/>
        <v>#REF!</v>
      </c>
      <c r="AH782" s="48" t="e">
        <f t="shared" ca="1" si="28"/>
        <v>#REF!</v>
      </c>
      <c r="AI782" s="48" t="e">
        <f t="shared" ca="1" si="29"/>
        <v>#REF!</v>
      </c>
      <c r="AJ782" s="48" t="e">
        <f t="shared" ca="1" si="30"/>
        <v>#REF!</v>
      </c>
      <c r="AK782" s="48" t="e">
        <f t="shared" ca="1" si="31"/>
        <v>#REF!</v>
      </c>
      <c r="AL782" s="48" t="e">
        <f t="shared" ca="1" si="32"/>
        <v>#REF!</v>
      </c>
      <c r="AM782" s="48" t="e">
        <f t="shared" ca="1" si="33"/>
        <v>#REF!</v>
      </c>
      <c r="AN782" s="48" t="e">
        <f t="shared" ca="1" si="34"/>
        <v>#REF!</v>
      </c>
      <c r="AO782" s="48" t="e">
        <f t="shared" ca="1" si="35"/>
        <v>#REF!</v>
      </c>
      <c r="AP782" s="48" t="e">
        <f t="shared" ca="1" si="36"/>
        <v>#REF!</v>
      </c>
      <c r="AQ782" s="48" t="e">
        <f t="shared" ca="1" si="37"/>
        <v>#REF!</v>
      </c>
      <c r="AR782" s="48" t="e">
        <f t="shared" ca="1" si="38"/>
        <v>#REF!</v>
      </c>
      <c r="AS782" s="48" t="e">
        <f t="shared" ca="1" si="39"/>
        <v>#REF!</v>
      </c>
      <c r="AT782" s="48" t="e">
        <f t="shared" ca="1" si="40"/>
        <v>#REF!</v>
      </c>
      <c r="AU782" s="93" t="e">
        <f t="shared" ca="1" si="15"/>
        <v>#REF!</v>
      </c>
      <c r="AV782" s="93" t="e">
        <f t="shared" ca="1" si="16"/>
        <v>#REF!</v>
      </c>
      <c r="AW782" s="93" t="e">
        <f t="shared" ca="1" si="17"/>
        <v>#REF!</v>
      </c>
      <c r="AX782" s="93" t="e">
        <f t="shared" ca="1" si="18"/>
        <v>#REF!</v>
      </c>
      <c r="AY782" s="93" t="e">
        <f t="shared" ca="1" si="19"/>
        <v>#REF!</v>
      </c>
    </row>
    <row r="783" spans="1:52" ht="16.5" customHeight="1" x14ac:dyDescent="0.15">
      <c r="A783" s="121" t="s">
        <v>7747</v>
      </c>
      <c r="B783" s="47" t="s">
        <v>7748</v>
      </c>
      <c r="C783" s="48" t="e">
        <f t="shared" ca="1" si="0"/>
        <v>#REF!</v>
      </c>
      <c r="D783" s="62" t="e">
        <f t="shared" ca="1" si="1"/>
        <v>#REF!</v>
      </c>
      <c r="E783" s="48" t="e">
        <f t="shared" ca="1" si="2"/>
        <v>#REF!</v>
      </c>
      <c r="F783" s="61" t="e">
        <f t="shared" ca="1" si="3"/>
        <v>#REF!</v>
      </c>
      <c r="G783" s="61" t="e">
        <f t="shared" ca="1" si="20"/>
        <v>#REF!</v>
      </c>
      <c r="H783" s="88" t="e">
        <f t="shared" ca="1" si="4"/>
        <v>#REF!</v>
      </c>
      <c r="I783" s="61" t="e">
        <f t="shared" ca="1" si="5"/>
        <v>#REF!</v>
      </c>
      <c r="J783" s="87"/>
      <c r="K783" s="62" t="e">
        <f t="shared" ca="1" si="6"/>
        <v>#REF!</v>
      </c>
      <c r="L783" s="62"/>
      <c r="M783" s="62" t="e">
        <f t="shared" ca="1" si="7"/>
        <v>#REF!</v>
      </c>
      <c r="N783" s="62" t="e">
        <f t="shared" ca="1" si="8"/>
        <v>#REF!</v>
      </c>
      <c r="O783" s="48" t="e">
        <f t="shared" ca="1" si="9"/>
        <v>#REF!</v>
      </c>
      <c r="P783" s="48" t="e">
        <f t="shared" ca="1" si="10"/>
        <v>#REF!</v>
      </c>
      <c r="Q783" s="48" t="e">
        <f t="shared" ca="1" si="11"/>
        <v>#REF!</v>
      </c>
      <c r="R783" s="48"/>
      <c r="S783" s="48" t="e">
        <f t="shared" ca="1" si="12"/>
        <v>#REF!</v>
      </c>
      <c r="T783" s="48" t="e">
        <f t="shared" ca="1" si="13"/>
        <v>#REF!</v>
      </c>
      <c r="U783" s="48" t="e">
        <f t="shared" ca="1" si="14"/>
        <v>#REF!</v>
      </c>
      <c r="V783" s="48"/>
      <c r="W783" s="48"/>
      <c r="X783" s="48"/>
      <c r="Y783" s="48"/>
      <c r="Z783" s="61"/>
      <c r="AA783" s="48" t="e">
        <f t="shared" ca="1" si="21"/>
        <v>#REF!</v>
      </c>
      <c r="AB783" s="48" t="e">
        <f t="shared" ca="1" si="22"/>
        <v>#REF!</v>
      </c>
      <c r="AC783" s="48" t="e">
        <f t="shared" ca="1" si="23"/>
        <v>#REF!</v>
      </c>
      <c r="AD783" s="48" t="e">
        <f t="shared" ca="1" si="24"/>
        <v>#REF!</v>
      </c>
      <c r="AE783" s="48" t="e">
        <f t="shared" ca="1" si="25"/>
        <v>#REF!</v>
      </c>
      <c r="AF783" s="48" t="e">
        <f t="shared" ca="1" si="26"/>
        <v>#REF!</v>
      </c>
      <c r="AG783" s="48" t="e">
        <f t="shared" ca="1" si="27"/>
        <v>#REF!</v>
      </c>
      <c r="AH783" s="48" t="e">
        <f t="shared" ca="1" si="28"/>
        <v>#REF!</v>
      </c>
      <c r="AI783" s="48" t="e">
        <f t="shared" ca="1" si="29"/>
        <v>#REF!</v>
      </c>
      <c r="AJ783" s="48" t="e">
        <f t="shared" ca="1" si="30"/>
        <v>#REF!</v>
      </c>
      <c r="AK783" s="48" t="e">
        <f t="shared" ca="1" si="31"/>
        <v>#REF!</v>
      </c>
      <c r="AL783" s="48" t="e">
        <f t="shared" ca="1" si="32"/>
        <v>#REF!</v>
      </c>
      <c r="AM783" s="48" t="e">
        <f t="shared" ca="1" si="33"/>
        <v>#REF!</v>
      </c>
      <c r="AN783" s="48" t="e">
        <f t="shared" ca="1" si="34"/>
        <v>#REF!</v>
      </c>
      <c r="AO783" s="48" t="e">
        <f t="shared" ca="1" si="35"/>
        <v>#REF!</v>
      </c>
      <c r="AP783" s="48" t="e">
        <f t="shared" ca="1" si="36"/>
        <v>#REF!</v>
      </c>
      <c r="AQ783" s="48" t="e">
        <f t="shared" ca="1" si="37"/>
        <v>#REF!</v>
      </c>
      <c r="AR783" s="48" t="e">
        <f t="shared" ca="1" si="38"/>
        <v>#REF!</v>
      </c>
      <c r="AS783" s="48" t="e">
        <f t="shared" ca="1" si="39"/>
        <v>#REF!</v>
      </c>
      <c r="AT783" s="48" t="e">
        <f t="shared" ca="1" si="40"/>
        <v>#REF!</v>
      </c>
      <c r="AU783" s="93" t="e">
        <f t="shared" ca="1" si="15"/>
        <v>#REF!</v>
      </c>
      <c r="AV783" s="93" t="e">
        <f t="shared" ca="1" si="16"/>
        <v>#REF!</v>
      </c>
      <c r="AW783" s="93" t="e">
        <f t="shared" ca="1" si="17"/>
        <v>#REF!</v>
      </c>
      <c r="AX783" s="93" t="e">
        <f t="shared" ca="1" si="18"/>
        <v>#REF!</v>
      </c>
      <c r="AY783" s="93" t="e">
        <f t="shared" ca="1" si="19"/>
        <v>#REF!</v>
      </c>
    </row>
    <row r="784" spans="1:52" ht="16.5" customHeight="1" x14ac:dyDescent="0.15">
      <c r="A784" s="121" t="s">
        <v>7749</v>
      </c>
      <c r="B784" s="47" t="s">
        <v>7750</v>
      </c>
      <c r="C784" s="48" t="e">
        <f t="shared" ca="1" si="0"/>
        <v>#REF!</v>
      </c>
      <c r="D784" s="62" t="e">
        <f t="shared" ca="1" si="1"/>
        <v>#REF!</v>
      </c>
      <c r="E784" s="48" t="e">
        <f t="shared" ca="1" si="2"/>
        <v>#REF!</v>
      </c>
      <c r="F784" s="61" t="e">
        <f t="shared" ca="1" si="3"/>
        <v>#REF!</v>
      </c>
      <c r="G784" s="61" t="e">
        <f t="shared" ca="1" si="20"/>
        <v>#REF!</v>
      </c>
      <c r="H784" s="88" t="e">
        <f t="shared" ca="1" si="4"/>
        <v>#REF!</v>
      </c>
      <c r="I784" s="61" t="e">
        <f t="shared" ca="1" si="5"/>
        <v>#REF!</v>
      </c>
      <c r="J784" s="87"/>
      <c r="K784" s="62" t="e">
        <f t="shared" ca="1" si="6"/>
        <v>#REF!</v>
      </c>
      <c r="L784" s="62"/>
      <c r="M784" s="62" t="e">
        <f t="shared" ca="1" si="7"/>
        <v>#REF!</v>
      </c>
      <c r="N784" s="62" t="e">
        <f t="shared" ca="1" si="8"/>
        <v>#REF!</v>
      </c>
      <c r="O784" s="48" t="e">
        <f t="shared" ca="1" si="9"/>
        <v>#REF!</v>
      </c>
      <c r="P784" s="48" t="e">
        <f t="shared" ca="1" si="10"/>
        <v>#REF!</v>
      </c>
      <c r="Q784" s="48" t="e">
        <f t="shared" ca="1" si="11"/>
        <v>#REF!</v>
      </c>
      <c r="R784" s="48"/>
      <c r="S784" s="48" t="e">
        <f t="shared" ca="1" si="12"/>
        <v>#REF!</v>
      </c>
      <c r="T784" s="48" t="e">
        <f t="shared" ca="1" si="13"/>
        <v>#REF!</v>
      </c>
      <c r="U784" s="48" t="e">
        <f t="shared" ca="1" si="14"/>
        <v>#REF!</v>
      </c>
      <c r="V784" s="48"/>
      <c r="W784" s="48"/>
      <c r="X784" s="48"/>
      <c r="Y784" s="48"/>
      <c r="Z784" s="61"/>
      <c r="AA784" s="48" t="e">
        <f t="shared" ca="1" si="21"/>
        <v>#REF!</v>
      </c>
      <c r="AB784" s="48" t="e">
        <f t="shared" ca="1" si="22"/>
        <v>#REF!</v>
      </c>
      <c r="AC784" s="48" t="e">
        <f t="shared" ca="1" si="23"/>
        <v>#REF!</v>
      </c>
      <c r="AD784" s="48" t="e">
        <f t="shared" ca="1" si="24"/>
        <v>#REF!</v>
      </c>
      <c r="AE784" s="48" t="e">
        <f t="shared" ca="1" si="25"/>
        <v>#REF!</v>
      </c>
      <c r="AF784" s="48" t="e">
        <f t="shared" ca="1" si="26"/>
        <v>#REF!</v>
      </c>
      <c r="AG784" s="48" t="e">
        <f t="shared" ca="1" si="27"/>
        <v>#REF!</v>
      </c>
      <c r="AH784" s="48" t="e">
        <f t="shared" ca="1" si="28"/>
        <v>#REF!</v>
      </c>
      <c r="AI784" s="48" t="e">
        <f t="shared" ca="1" si="29"/>
        <v>#REF!</v>
      </c>
      <c r="AJ784" s="48" t="e">
        <f t="shared" ca="1" si="30"/>
        <v>#REF!</v>
      </c>
      <c r="AK784" s="48" t="e">
        <f t="shared" ca="1" si="31"/>
        <v>#REF!</v>
      </c>
      <c r="AL784" s="48" t="e">
        <f t="shared" ca="1" si="32"/>
        <v>#REF!</v>
      </c>
      <c r="AM784" s="48" t="e">
        <f t="shared" ca="1" si="33"/>
        <v>#REF!</v>
      </c>
      <c r="AN784" s="48" t="e">
        <f t="shared" ca="1" si="34"/>
        <v>#REF!</v>
      </c>
      <c r="AO784" s="48" t="e">
        <f t="shared" ca="1" si="35"/>
        <v>#REF!</v>
      </c>
      <c r="AP784" s="48" t="e">
        <f t="shared" ca="1" si="36"/>
        <v>#REF!</v>
      </c>
      <c r="AQ784" s="48" t="e">
        <f t="shared" ca="1" si="37"/>
        <v>#REF!</v>
      </c>
      <c r="AR784" s="48" t="e">
        <f t="shared" ca="1" si="38"/>
        <v>#REF!</v>
      </c>
      <c r="AS784" s="48" t="e">
        <f t="shared" ca="1" si="39"/>
        <v>#REF!</v>
      </c>
      <c r="AT784" s="48" t="e">
        <f t="shared" ca="1" si="40"/>
        <v>#REF!</v>
      </c>
      <c r="AU784" s="93" t="e">
        <f t="shared" ca="1" si="15"/>
        <v>#REF!</v>
      </c>
      <c r="AV784" s="93" t="e">
        <f t="shared" ca="1" si="16"/>
        <v>#REF!</v>
      </c>
      <c r="AW784" s="93" t="e">
        <f t="shared" ca="1" si="17"/>
        <v>#REF!</v>
      </c>
      <c r="AX784" s="93" t="e">
        <f t="shared" ca="1" si="18"/>
        <v>#REF!</v>
      </c>
      <c r="AY784" s="93" t="e">
        <f t="shared" ca="1" si="19"/>
        <v>#REF!</v>
      </c>
    </row>
    <row r="785" spans="1:52" ht="16.5" customHeight="1" x14ac:dyDescent="0.15">
      <c r="A785" s="121" t="s">
        <v>7751</v>
      </c>
      <c r="B785" s="47" t="s">
        <v>7752</v>
      </c>
      <c r="C785" s="48" t="e">
        <f t="shared" ca="1" si="0"/>
        <v>#REF!</v>
      </c>
      <c r="D785" s="62" t="e">
        <f t="shared" ca="1" si="1"/>
        <v>#REF!</v>
      </c>
      <c r="E785" s="48" t="e">
        <f t="shared" ca="1" si="2"/>
        <v>#REF!</v>
      </c>
      <c r="F785" s="61" t="e">
        <f t="shared" ca="1" si="3"/>
        <v>#REF!</v>
      </c>
      <c r="G785" s="61" t="e">
        <f t="shared" ca="1" si="20"/>
        <v>#REF!</v>
      </c>
      <c r="H785" s="88" t="e">
        <f t="shared" ca="1" si="4"/>
        <v>#REF!</v>
      </c>
      <c r="I785" s="61" t="e">
        <f t="shared" ca="1" si="5"/>
        <v>#REF!</v>
      </c>
      <c r="J785" s="87"/>
      <c r="K785" s="62" t="e">
        <f t="shared" ca="1" si="6"/>
        <v>#REF!</v>
      </c>
      <c r="L785" s="62"/>
      <c r="M785" s="62" t="e">
        <f t="shared" ca="1" si="7"/>
        <v>#REF!</v>
      </c>
      <c r="N785" s="62" t="e">
        <f t="shared" ca="1" si="8"/>
        <v>#REF!</v>
      </c>
      <c r="O785" s="48" t="e">
        <f t="shared" ca="1" si="9"/>
        <v>#REF!</v>
      </c>
      <c r="P785" s="48" t="e">
        <f t="shared" ca="1" si="10"/>
        <v>#REF!</v>
      </c>
      <c r="Q785" s="48" t="e">
        <f t="shared" ca="1" si="11"/>
        <v>#REF!</v>
      </c>
      <c r="R785" s="48"/>
      <c r="S785" s="48" t="e">
        <f t="shared" ca="1" si="12"/>
        <v>#REF!</v>
      </c>
      <c r="T785" s="48" t="e">
        <f t="shared" ca="1" si="13"/>
        <v>#REF!</v>
      </c>
      <c r="U785" s="48" t="e">
        <f t="shared" ca="1" si="14"/>
        <v>#REF!</v>
      </c>
      <c r="V785" s="48"/>
      <c r="W785" s="48"/>
      <c r="X785" s="48"/>
      <c r="Y785" s="48"/>
      <c r="Z785" s="61"/>
      <c r="AA785" s="48" t="e">
        <f t="shared" ca="1" si="21"/>
        <v>#REF!</v>
      </c>
      <c r="AB785" s="48" t="e">
        <f t="shared" ca="1" si="22"/>
        <v>#REF!</v>
      </c>
      <c r="AC785" s="48" t="e">
        <f t="shared" ca="1" si="23"/>
        <v>#REF!</v>
      </c>
      <c r="AD785" s="48" t="e">
        <f t="shared" ca="1" si="24"/>
        <v>#REF!</v>
      </c>
      <c r="AE785" s="48" t="e">
        <f t="shared" ca="1" si="25"/>
        <v>#REF!</v>
      </c>
      <c r="AF785" s="48" t="e">
        <f t="shared" ca="1" si="26"/>
        <v>#REF!</v>
      </c>
      <c r="AG785" s="48" t="e">
        <f t="shared" ca="1" si="27"/>
        <v>#REF!</v>
      </c>
      <c r="AH785" s="48" t="e">
        <f t="shared" ca="1" si="28"/>
        <v>#REF!</v>
      </c>
      <c r="AI785" s="48" t="e">
        <f t="shared" ca="1" si="29"/>
        <v>#REF!</v>
      </c>
      <c r="AJ785" s="48" t="e">
        <f t="shared" ca="1" si="30"/>
        <v>#REF!</v>
      </c>
      <c r="AK785" s="48" t="e">
        <f t="shared" ca="1" si="31"/>
        <v>#REF!</v>
      </c>
      <c r="AL785" s="48" t="e">
        <f t="shared" ca="1" si="32"/>
        <v>#REF!</v>
      </c>
      <c r="AM785" s="48" t="e">
        <f t="shared" ca="1" si="33"/>
        <v>#REF!</v>
      </c>
      <c r="AN785" s="48" t="e">
        <f t="shared" ca="1" si="34"/>
        <v>#REF!</v>
      </c>
      <c r="AO785" s="48" t="e">
        <f t="shared" ca="1" si="35"/>
        <v>#REF!</v>
      </c>
      <c r="AP785" s="48" t="e">
        <f t="shared" ca="1" si="36"/>
        <v>#REF!</v>
      </c>
      <c r="AQ785" s="48" t="e">
        <f t="shared" ca="1" si="37"/>
        <v>#REF!</v>
      </c>
      <c r="AR785" s="48" t="e">
        <f t="shared" ca="1" si="38"/>
        <v>#REF!</v>
      </c>
      <c r="AS785" s="48" t="e">
        <f t="shared" ca="1" si="39"/>
        <v>#REF!</v>
      </c>
      <c r="AT785" s="48" t="e">
        <f t="shared" ca="1" si="40"/>
        <v>#REF!</v>
      </c>
      <c r="AU785" s="93" t="e">
        <f t="shared" ca="1" si="15"/>
        <v>#REF!</v>
      </c>
      <c r="AV785" s="93" t="e">
        <f t="shared" ca="1" si="16"/>
        <v>#REF!</v>
      </c>
      <c r="AW785" s="93" t="e">
        <f t="shared" ca="1" si="17"/>
        <v>#REF!</v>
      </c>
      <c r="AX785" s="93" t="e">
        <f t="shared" ca="1" si="18"/>
        <v>#REF!</v>
      </c>
      <c r="AY785" s="93" t="e">
        <f t="shared" ca="1" si="19"/>
        <v>#REF!</v>
      </c>
    </row>
    <row r="786" spans="1:52" ht="16.5" customHeight="1" x14ac:dyDescent="0.15">
      <c r="A786" s="121" t="s">
        <v>7753</v>
      </c>
      <c r="B786" s="47" t="s">
        <v>7754</v>
      </c>
      <c r="C786" s="48" t="e">
        <f t="shared" ca="1" si="0"/>
        <v>#REF!</v>
      </c>
      <c r="D786" s="62" t="e">
        <f t="shared" ca="1" si="1"/>
        <v>#REF!</v>
      </c>
      <c r="E786" s="48" t="e">
        <f t="shared" ca="1" si="2"/>
        <v>#REF!</v>
      </c>
      <c r="F786" s="61" t="e">
        <f t="shared" ca="1" si="3"/>
        <v>#REF!</v>
      </c>
      <c r="G786" s="61" t="e">
        <f t="shared" ca="1" si="20"/>
        <v>#REF!</v>
      </c>
      <c r="H786" s="88" t="e">
        <f t="shared" ca="1" si="4"/>
        <v>#REF!</v>
      </c>
      <c r="I786" s="61" t="e">
        <f t="shared" ca="1" si="5"/>
        <v>#REF!</v>
      </c>
      <c r="J786" s="87"/>
      <c r="K786" s="62" t="e">
        <f t="shared" ca="1" si="6"/>
        <v>#REF!</v>
      </c>
      <c r="L786" s="62"/>
      <c r="M786" s="62" t="e">
        <f t="shared" ca="1" si="7"/>
        <v>#REF!</v>
      </c>
      <c r="N786" s="62" t="e">
        <f t="shared" ca="1" si="8"/>
        <v>#REF!</v>
      </c>
      <c r="O786" s="48" t="e">
        <f t="shared" ca="1" si="9"/>
        <v>#REF!</v>
      </c>
      <c r="P786" s="48" t="e">
        <f t="shared" ca="1" si="10"/>
        <v>#REF!</v>
      </c>
      <c r="Q786" s="48" t="e">
        <f t="shared" ca="1" si="11"/>
        <v>#REF!</v>
      </c>
      <c r="R786" s="48"/>
      <c r="S786" s="48" t="e">
        <f t="shared" ca="1" si="12"/>
        <v>#REF!</v>
      </c>
      <c r="T786" s="48" t="e">
        <f t="shared" ca="1" si="13"/>
        <v>#REF!</v>
      </c>
      <c r="U786" s="48" t="e">
        <f t="shared" ca="1" si="14"/>
        <v>#REF!</v>
      </c>
      <c r="V786" s="48"/>
      <c r="W786" s="48"/>
      <c r="X786" s="48"/>
      <c r="Y786" s="48"/>
      <c r="Z786" s="61"/>
      <c r="AA786" s="48" t="e">
        <f t="shared" ca="1" si="21"/>
        <v>#REF!</v>
      </c>
      <c r="AB786" s="48" t="e">
        <f t="shared" ca="1" si="22"/>
        <v>#REF!</v>
      </c>
      <c r="AC786" s="48" t="e">
        <f t="shared" ca="1" si="23"/>
        <v>#REF!</v>
      </c>
      <c r="AD786" s="48" t="e">
        <f t="shared" ca="1" si="24"/>
        <v>#REF!</v>
      </c>
      <c r="AE786" s="48" t="e">
        <f t="shared" ca="1" si="25"/>
        <v>#REF!</v>
      </c>
      <c r="AF786" s="48" t="e">
        <f t="shared" ca="1" si="26"/>
        <v>#REF!</v>
      </c>
      <c r="AG786" s="48" t="e">
        <f t="shared" ca="1" si="27"/>
        <v>#REF!</v>
      </c>
      <c r="AH786" s="48" t="e">
        <f t="shared" ca="1" si="28"/>
        <v>#REF!</v>
      </c>
      <c r="AI786" s="48" t="e">
        <f t="shared" ca="1" si="29"/>
        <v>#REF!</v>
      </c>
      <c r="AJ786" s="48" t="e">
        <f t="shared" ca="1" si="30"/>
        <v>#REF!</v>
      </c>
      <c r="AK786" s="48" t="e">
        <f t="shared" ca="1" si="31"/>
        <v>#REF!</v>
      </c>
      <c r="AL786" s="48" t="e">
        <f t="shared" ca="1" si="32"/>
        <v>#REF!</v>
      </c>
      <c r="AM786" s="48" t="e">
        <f t="shared" ca="1" si="33"/>
        <v>#REF!</v>
      </c>
      <c r="AN786" s="48" t="e">
        <f t="shared" ca="1" si="34"/>
        <v>#REF!</v>
      </c>
      <c r="AO786" s="48" t="e">
        <f t="shared" ca="1" si="35"/>
        <v>#REF!</v>
      </c>
      <c r="AP786" s="48" t="e">
        <f t="shared" ca="1" si="36"/>
        <v>#REF!</v>
      </c>
      <c r="AQ786" s="48" t="e">
        <f t="shared" ca="1" si="37"/>
        <v>#REF!</v>
      </c>
      <c r="AR786" s="48" t="e">
        <f t="shared" ca="1" si="38"/>
        <v>#REF!</v>
      </c>
      <c r="AS786" s="48" t="e">
        <f t="shared" ca="1" si="39"/>
        <v>#REF!</v>
      </c>
      <c r="AT786" s="48" t="e">
        <f t="shared" ca="1" si="40"/>
        <v>#REF!</v>
      </c>
      <c r="AU786" s="93" t="e">
        <f t="shared" ca="1" si="15"/>
        <v>#REF!</v>
      </c>
      <c r="AV786" s="93" t="e">
        <f t="shared" ca="1" si="16"/>
        <v>#REF!</v>
      </c>
      <c r="AW786" s="93" t="e">
        <f t="shared" ca="1" si="17"/>
        <v>#REF!</v>
      </c>
      <c r="AX786" s="93" t="e">
        <f t="shared" ca="1" si="18"/>
        <v>#REF!</v>
      </c>
      <c r="AY786" s="93" t="e">
        <f t="shared" ca="1" si="19"/>
        <v>#REF!</v>
      </c>
    </row>
    <row r="787" spans="1:52" ht="16.5" customHeight="1" x14ac:dyDescent="0.15">
      <c r="A787" s="121" t="s">
        <v>7755</v>
      </c>
      <c r="B787" s="47" t="s">
        <v>7756</v>
      </c>
      <c r="C787" s="48" t="e">
        <f t="shared" ca="1" si="0"/>
        <v>#REF!</v>
      </c>
      <c r="D787" s="62" t="e">
        <f t="shared" ca="1" si="1"/>
        <v>#REF!</v>
      </c>
      <c r="E787" s="48" t="e">
        <f t="shared" ca="1" si="2"/>
        <v>#REF!</v>
      </c>
      <c r="F787" s="61" t="e">
        <f t="shared" ca="1" si="3"/>
        <v>#REF!</v>
      </c>
      <c r="G787" s="61" t="e">
        <f t="shared" ca="1" si="20"/>
        <v>#REF!</v>
      </c>
      <c r="H787" s="88" t="e">
        <f t="shared" ca="1" si="4"/>
        <v>#REF!</v>
      </c>
      <c r="I787" s="61" t="e">
        <f t="shared" ca="1" si="5"/>
        <v>#REF!</v>
      </c>
      <c r="J787" s="87"/>
      <c r="K787" s="62" t="e">
        <f t="shared" ca="1" si="6"/>
        <v>#REF!</v>
      </c>
      <c r="L787" s="62"/>
      <c r="M787" s="62" t="e">
        <f t="shared" ca="1" si="7"/>
        <v>#REF!</v>
      </c>
      <c r="N787" s="62" t="e">
        <f t="shared" ca="1" si="8"/>
        <v>#REF!</v>
      </c>
      <c r="O787" s="48" t="e">
        <f t="shared" ca="1" si="9"/>
        <v>#REF!</v>
      </c>
      <c r="P787" s="48" t="e">
        <f t="shared" ca="1" si="10"/>
        <v>#REF!</v>
      </c>
      <c r="Q787" s="48" t="e">
        <f t="shared" ca="1" si="11"/>
        <v>#REF!</v>
      </c>
      <c r="R787" s="48"/>
      <c r="S787" s="48" t="e">
        <f t="shared" ca="1" si="12"/>
        <v>#REF!</v>
      </c>
      <c r="T787" s="48" t="e">
        <f t="shared" ca="1" si="13"/>
        <v>#REF!</v>
      </c>
      <c r="U787" s="48" t="e">
        <f t="shared" ca="1" si="14"/>
        <v>#REF!</v>
      </c>
      <c r="V787" s="48"/>
      <c r="W787" s="48"/>
      <c r="X787" s="48"/>
      <c r="Y787" s="48"/>
      <c r="Z787" s="61"/>
      <c r="AA787" s="48" t="e">
        <f t="shared" ca="1" si="21"/>
        <v>#REF!</v>
      </c>
      <c r="AB787" s="48" t="e">
        <f t="shared" ca="1" si="22"/>
        <v>#REF!</v>
      </c>
      <c r="AC787" s="48" t="e">
        <f t="shared" ca="1" si="23"/>
        <v>#REF!</v>
      </c>
      <c r="AD787" s="48" t="e">
        <f t="shared" ca="1" si="24"/>
        <v>#REF!</v>
      </c>
      <c r="AE787" s="48" t="e">
        <f t="shared" ca="1" si="25"/>
        <v>#REF!</v>
      </c>
      <c r="AF787" s="48" t="e">
        <f t="shared" ca="1" si="26"/>
        <v>#REF!</v>
      </c>
      <c r="AG787" s="48" t="e">
        <f t="shared" ca="1" si="27"/>
        <v>#REF!</v>
      </c>
      <c r="AH787" s="48" t="e">
        <f t="shared" ca="1" si="28"/>
        <v>#REF!</v>
      </c>
      <c r="AI787" s="48" t="e">
        <f t="shared" ca="1" si="29"/>
        <v>#REF!</v>
      </c>
      <c r="AJ787" s="48" t="e">
        <f t="shared" ca="1" si="30"/>
        <v>#REF!</v>
      </c>
      <c r="AK787" s="48" t="e">
        <f t="shared" ca="1" si="31"/>
        <v>#REF!</v>
      </c>
      <c r="AL787" s="48" t="e">
        <f t="shared" ca="1" si="32"/>
        <v>#REF!</v>
      </c>
      <c r="AM787" s="48" t="e">
        <f t="shared" ca="1" si="33"/>
        <v>#REF!</v>
      </c>
      <c r="AN787" s="48" t="e">
        <f t="shared" ca="1" si="34"/>
        <v>#REF!</v>
      </c>
      <c r="AO787" s="48" t="e">
        <f t="shared" ca="1" si="35"/>
        <v>#REF!</v>
      </c>
      <c r="AP787" s="48" t="e">
        <f t="shared" ca="1" si="36"/>
        <v>#REF!</v>
      </c>
      <c r="AQ787" s="48" t="e">
        <f t="shared" ca="1" si="37"/>
        <v>#REF!</v>
      </c>
      <c r="AR787" s="48" t="e">
        <f t="shared" ca="1" si="38"/>
        <v>#REF!</v>
      </c>
      <c r="AS787" s="48" t="e">
        <f t="shared" ca="1" si="39"/>
        <v>#REF!</v>
      </c>
      <c r="AT787" s="48" t="e">
        <f t="shared" ca="1" si="40"/>
        <v>#REF!</v>
      </c>
      <c r="AU787" s="93" t="e">
        <f t="shared" ca="1" si="15"/>
        <v>#REF!</v>
      </c>
      <c r="AV787" s="93" t="e">
        <f t="shared" ca="1" si="16"/>
        <v>#REF!</v>
      </c>
      <c r="AW787" s="93" t="e">
        <f t="shared" ca="1" si="17"/>
        <v>#REF!</v>
      </c>
      <c r="AX787" s="93" t="e">
        <f t="shared" ca="1" si="18"/>
        <v>#REF!</v>
      </c>
      <c r="AY787" s="93" t="e">
        <f t="shared" ca="1" si="19"/>
        <v>#REF!</v>
      </c>
    </row>
    <row r="788" spans="1:52" ht="16.5" customHeight="1" x14ac:dyDescent="0.15">
      <c r="A788" s="121" t="s">
        <v>7757</v>
      </c>
      <c r="B788" s="47" t="s">
        <v>7758</v>
      </c>
      <c r="C788" s="48" t="e">
        <f t="shared" ca="1" si="0"/>
        <v>#REF!</v>
      </c>
      <c r="D788" s="62" t="e">
        <f t="shared" ca="1" si="1"/>
        <v>#REF!</v>
      </c>
      <c r="E788" s="48" t="e">
        <f t="shared" ca="1" si="2"/>
        <v>#REF!</v>
      </c>
      <c r="F788" s="61" t="e">
        <f t="shared" ca="1" si="3"/>
        <v>#REF!</v>
      </c>
      <c r="G788" s="61" t="e">
        <f t="shared" ca="1" si="20"/>
        <v>#REF!</v>
      </c>
      <c r="H788" s="88" t="e">
        <f t="shared" ca="1" si="4"/>
        <v>#REF!</v>
      </c>
      <c r="I788" s="61" t="e">
        <f t="shared" ca="1" si="5"/>
        <v>#REF!</v>
      </c>
      <c r="J788" s="87"/>
      <c r="K788" s="62" t="e">
        <f t="shared" ca="1" si="6"/>
        <v>#REF!</v>
      </c>
      <c r="L788" s="62"/>
      <c r="M788" s="62" t="e">
        <f t="shared" ca="1" si="7"/>
        <v>#REF!</v>
      </c>
      <c r="N788" s="62" t="e">
        <f t="shared" ca="1" si="8"/>
        <v>#REF!</v>
      </c>
      <c r="O788" s="48" t="e">
        <f t="shared" ca="1" si="9"/>
        <v>#REF!</v>
      </c>
      <c r="P788" s="48" t="e">
        <f t="shared" ca="1" si="10"/>
        <v>#REF!</v>
      </c>
      <c r="Q788" s="48" t="e">
        <f t="shared" ca="1" si="11"/>
        <v>#REF!</v>
      </c>
      <c r="R788" s="48"/>
      <c r="S788" s="48" t="e">
        <f t="shared" ca="1" si="12"/>
        <v>#REF!</v>
      </c>
      <c r="T788" s="48" t="e">
        <f t="shared" ca="1" si="13"/>
        <v>#REF!</v>
      </c>
      <c r="U788" s="48" t="e">
        <f t="shared" ca="1" si="14"/>
        <v>#REF!</v>
      </c>
      <c r="V788" s="48"/>
      <c r="W788" s="48"/>
      <c r="X788" s="48"/>
      <c r="Y788" s="48"/>
      <c r="Z788" s="61"/>
      <c r="AA788" s="48" t="e">
        <f t="shared" ca="1" si="21"/>
        <v>#REF!</v>
      </c>
      <c r="AB788" s="48" t="e">
        <f t="shared" ca="1" si="22"/>
        <v>#REF!</v>
      </c>
      <c r="AC788" s="48" t="e">
        <f t="shared" ca="1" si="23"/>
        <v>#REF!</v>
      </c>
      <c r="AD788" s="48" t="e">
        <f t="shared" ca="1" si="24"/>
        <v>#REF!</v>
      </c>
      <c r="AE788" s="48" t="e">
        <f t="shared" ca="1" si="25"/>
        <v>#REF!</v>
      </c>
      <c r="AF788" s="48" t="e">
        <f t="shared" ca="1" si="26"/>
        <v>#REF!</v>
      </c>
      <c r="AG788" s="48" t="e">
        <f t="shared" ca="1" si="27"/>
        <v>#REF!</v>
      </c>
      <c r="AH788" s="48" t="e">
        <f t="shared" ca="1" si="28"/>
        <v>#REF!</v>
      </c>
      <c r="AI788" s="48" t="e">
        <f t="shared" ca="1" si="29"/>
        <v>#REF!</v>
      </c>
      <c r="AJ788" s="48" t="e">
        <f t="shared" ca="1" si="30"/>
        <v>#REF!</v>
      </c>
      <c r="AK788" s="48" t="e">
        <f t="shared" ca="1" si="31"/>
        <v>#REF!</v>
      </c>
      <c r="AL788" s="48" t="e">
        <f t="shared" ca="1" si="32"/>
        <v>#REF!</v>
      </c>
      <c r="AM788" s="48" t="e">
        <f t="shared" ca="1" si="33"/>
        <v>#REF!</v>
      </c>
      <c r="AN788" s="48" t="e">
        <f t="shared" ca="1" si="34"/>
        <v>#REF!</v>
      </c>
      <c r="AO788" s="48" t="e">
        <f t="shared" ca="1" si="35"/>
        <v>#REF!</v>
      </c>
      <c r="AP788" s="48" t="e">
        <f t="shared" ca="1" si="36"/>
        <v>#REF!</v>
      </c>
      <c r="AQ788" s="48" t="e">
        <f t="shared" ca="1" si="37"/>
        <v>#REF!</v>
      </c>
      <c r="AR788" s="48" t="e">
        <f t="shared" ca="1" si="38"/>
        <v>#REF!</v>
      </c>
      <c r="AS788" s="48" t="e">
        <f t="shared" ca="1" si="39"/>
        <v>#REF!</v>
      </c>
      <c r="AT788" s="48" t="e">
        <f t="shared" ca="1" si="40"/>
        <v>#REF!</v>
      </c>
      <c r="AU788" s="93" t="e">
        <f t="shared" ca="1" si="15"/>
        <v>#REF!</v>
      </c>
      <c r="AV788" s="93" t="e">
        <f t="shared" ca="1" si="16"/>
        <v>#REF!</v>
      </c>
      <c r="AW788" s="93" t="e">
        <f t="shared" ca="1" si="17"/>
        <v>#REF!</v>
      </c>
      <c r="AX788" s="93" t="e">
        <f t="shared" ca="1" si="18"/>
        <v>#REF!</v>
      </c>
      <c r="AY788" s="93" t="e">
        <f t="shared" ca="1" si="19"/>
        <v>#REF!</v>
      </c>
    </row>
    <row r="789" spans="1:52" ht="16.5" customHeight="1" x14ac:dyDescent="0.15">
      <c r="A789" s="199" t="s">
        <v>7759</v>
      </c>
      <c r="B789" s="209" t="s">
        <v>7760</v>
      </c>
      <c r="C789" s="48" t="s">
        <v>330</v>
      </c>
      <c r="D789" s="62" t="s">
        <v>7761</v>
      </c>
      <c r="E789" s="48" t="s">
        <v>264</v>
      </c>
      <c r="F789" s="61">
        <v>42684</v>
      </c>
      <c r="G789" s="61">
        <v>0</v>
      </c>
      <c r="H789" s="125">
        <v>42691</v>
      </c>
      <c r="I789" s="61" t="s">
        <v>279</v>
      </c>
      <c r="J789" s="87"/>
      <c r="K789" s="62" t="s">
        <v>2506</v>
      </c>
      <c r="L789" s="62">
        <v>3</v>
      </c>
      <c r="M789" s="62" t="s">
        <v>409</v>
      </c>
      <c r="N789" s="62" t="s">
        <v>7762</v>
      </c>
      <c r="O789" s="48" t="s">
        <v>1770</v>
      </c>
      <c r="P789" s="48" t="s">
        <v>7763</v>
      </c>
      <c r="Q789" s="48" t="s">
        <v>7764</v>
      </c>
      <c r="R789" s="48" t="s">
        <v>7765</v>
      </c>
      <c r="S789" s="48" t="s">
        <v>6342</v>
      </c>
      <c r="T789" s="48" t="s">
        <v>6343</v>
      </c>
      <c r="U789" s="48" t="s">
        <v>7766</v>
      </c>
      <c r="V789" s="48" t="s">
        <v>7767</v>
      </c>
      <c r="W789" s="48" t="s">
        <v>7768</v>
      </c>
      <c r="X789" s="48" t="s">
        <v>7769</v>
      </c>
      <c r="Y789" s="48" t="s">
        <v>7770</v>
      </c>
      <c r="Z789" s="61"/>
      <c r="AA789" s="48" t="s">
        <v>273</v>
      </c>
      <c r="AB789" s="48" t="s">
        <v>273</v>
      </c>
      <c r="AC789" s="48" t="s">
        <v>273</v>
      </c>
      <c r="AD789" s="48" t="s">
        <v>273</v>
      </c>
      <c r="AE789" s="48" t="s">
        <v>273</v>
      </c>
      <c r="AF789" s="48" t="s">
        <v>273</v>
      </c>
      <c r="AG789" s="48" t="s">
        <v>273</v>
      </c>
      <c r="AH789" s="48" t="s">
        <v>273</v>
      </c>
      <c r="AI789" s="48" t="s">
        <v>273</v>
      </c>
      <c r="AJ789" s="48" t="s">
        <v>273</v>
      </c>
      <c r="AK789" s="48" t="s">
        <v>273</v>
      </c>
      <c r="AL789" s="48" t="s">
        <v>273</v>
      </c>
      <c r="AM789" s="48" t="s">
        <v>273</v>
      </c>
      <c r="AN789" s="48" t="s">
        <v>273</v>
      </c>
      <c r="AO789" s="48" t="s">
        <v>273</v>
      </c>
      <c r="AP789" s="48" t="s">
        <v>273</v>
      </c>
      <c r="AQ789" s="48" t="s">
        <v>273</v>
      </c>
      <c r="AR789" s="48" t="s">
        <v>273</v>
      </c>
      <c r="AS789" s="48" t="s">
        <v>273</v>
      </c>
      <c r="AT789" s="48" t="s">
        <v>273</v>
      </c>
      <c r="AU789" s="93">
        <v>41426</v>
      </c>
      <c r="AV789" s="93" t="s">
        <v>7771</v>
      </c>
      <c r="AW789" s="93" t="s">
        <v>7772</v>
      </c>
      <c r="AX789" s="93" t="s">
        <v>7773</v>
      </c>
      <c r="AY789" s="93" t="s">
        <v>5312</v>
      </c>
      <c r="AZ789" s="49" t="s">
        <v>7774</v>
      </c>
    </row>
    <row r="790" spans="1:52" ht="16.5" customHeight="1" x14ac:dyDescent="0.15">
      <c r="A790" s="121" t="s">
        <v>7775</v>
      </c>
      <c r="B790" s="47" t="s">
        <v>7776</v>
      </c>
      <c r="C790" s="48" t="e">
        <f t="shared" ca="1" si="0"/>
        <v>#REF!</v>
      </c>
      <c r="D790" s="62" t="e">
        <f t="shared" ca="1" si="1"/>
        <v>#REF!</v>
      </c>
      <c r="E790" s="48" t="e">
        <f t="shared" ca="1" si="2"/>
        <v>#REF!</v>
      </c>
      <c r="F790" s="61" t="e">
        <f t="shared" ca="1" si="3"/>
        <v>#REF!</v>
      </c>
      <c r="G790" s="61" t="e">
        <f t="shared" ca="1" si="20"/>
        <v>#REF!</v>
      </c>
      <c r="H790" s="88" t="e">
        <f t="shared" ca="1" si="4"/>
        <v>#REF!</v>
      </c>
      <c r="I790" s="61" t="e">
        <f t="shared" ca="1" si="5"/>
        <v>#REF!</v>
      </c>
      <c r="J790" s="87"/>
      <c r="K790" s="62" t="e">
        <f t="shared" ca="1" si="6"/>
        <v>#REF!</v>
      </c>
      <c r="L790" s="62"/>
      <c r="M790" s="62" t="e">
        <f t="shared" ca="1" si="7"/>
        <v>#REF!</v>
      </c>
      <c r="N790" s="62" t="e">
        <f t="shared" ca="1" si="8"/>
        <v>#REF!</v>
      </c>
      <c r="O790" s="48" t="e">
        <f t="shared" ca="1" si="9"/>
        <v>#REF!</v>
      </c>
      <c r="P790" s="48" t="e">
        <f t="shared" ca="1" si="10"/>
        <v>#REF!</v>
      </c>
      <c r="Q790" s="48" t="e">
        <f t="shared" ca="1" si="11"/>
        <v>#REF!</v>
      </c>
      <c r="R790" s="48"/>
      <c r="S790" s="48" t="e">
        <f t="shared" ca="1" si="12"/>
        <v>#REF!</v>
      </c>
      <c r="T790" s="48" t="e">
        <f t="shared" ca="1" si="13"/>
        <v>#REF!</v>
      </c>
      <c r="U790" s="48" t="e">
        <f t="shared" ca="1" si="14"/>
        <v>#REF!</v>
      </c>
      <c r="V790" s="48"/>
      <c r="W790" s="48"/>
      <c r="X790" s="48"/>
      <c r="Y790" s="48"/>
      <c r="Z790" s="61"/>
      <c r="AA790" s="48" t="e">
        <f t="shared" ca="1" si="21"/>
        <v>#REF!</v>
      </c>
      <c r="AB790" s="48" t="e">
        <f t="shared" ca="1" si="22"/>
        <v>#REF!</v>
      </c>
      <c r="AC790" s="48" t="e">
        <f t="shared" ca="1" si="23"/>
        <v>#REF!</v>
      </c>
      <c r="AD790" s="48" t="e">
        <f t="shared" ca="1" si="24"/>
        <v>#REF!</v>
      </c>
      <c r="AE790" s="48" t="e">
        <f t="shared" ca="1" si="25"/>
        <v>#REF!</v>
      </c>
      <c r="AF790" s="48" t="e">
        <f t="shared" ca="1" si="26"/>
        <v>#REF!</v>
      </c>
      <c r="AG790" s="48" t="e">
        <f t="shared" ca="1" si="27"/>
        <v>#REF!</v>
      </c>
      <c r="AH790" s="48" t="e">
        <f t="shared" ca="1" si="28"/>
        <v>#REF!</v>
      </c>
      <c r="AI790" s="48" t="e">
        <f t="shared" ca="1" si="29"/>
        <v>#REF!</v>
      </c>
      <c r="AJ790" s="48" t="e">
        <f t="shared" ca="1" si="30"/>
        <v>#REF!</v>
      </c>
      <c r="AK790" s="48" t="e">
        <f t="shared" ca="1" si="31"/>
        <v>#REF!</v>
      </c>
      <c r="AL790" s="48" t="e">
        <f t="shared" ca="1" si="32"/>
        <v>#REF!</v>
      </c>
      <c r="AM790" s="48" t="e">
        <f t="shared" ca="1" si="33"/>
        <v>#REF!</v>
      </c>
      <c r="AN790" s="48" t="e">
        <f t="shared" ca="1" si="34"/>
        <v>#REF!</v>
      </c>
      <c r="AO790" s="48" t="e">
        <f t="shared" ca="1" si="35"/>
        <v>#REF!</v>
      </c>
      <c r="AP790" s="48" t="e">
        <f t="shared" ca="1" si="36"/>
        <v>#REF!</v>
      </c>
      <c r="AQ790" s="48" t="e">
        <f t="shared" ca="1" si="37"/>
        <v>#REF!</v>
      </c>
      <c r="AR790" s="48" t="e">
        <f t="shared" ca="1" si="38"/>
        <v>#REF!</v>
      </c>
      <c r="AS790" s="48" t="e">
        <f t="shared" ca="1" si="39"/>
        <v>#REF!</v>
      </c>
      <c r="AT790" s="48" t="e">
        <f t="shared" ca="1" si="40"/>
        <v>#REF!</v>
      </c>
      <c r="AU790" s="93" t="e">
        <f t="shared" ca="1" si="15"/>
        <v>#REF!</v>
      </c>
      <c r="AV790" s="93" t="e">
        <f t="shared" ca="1" si="16"/>
        <v>#REF!</v>
      </c>
      <c r="AW790" s="93" t="e">
        <f t="shared" ca="1" si="17"/>
        <v>#REF!</v>
      </c>
      <c r="AX790" s="93" t="e">
        <f t="shared" ca="1" si="18"/>
        <v>#REF!</v>
      </c>
      <c r="AY790" s="93" t="e">
        <f t="shared" ca="1" si="19"/>
        <v>#REF!</v>
      </c>
    </row>
    <row r="791" spans="1:52" ht="16.5" customHeight="1" x14ac:dyDescent="0.15">
      <c r="A791" s="199" t="s">
        <v>7777</v>
      </c>
      <c r="B791" s="209" t="s">
        <v>7778</v>
      </c>
      <c r="C791" s="48" t="s">
        <v>298</v>
      </c>
      <c r="D791" s="62" t="s">
        <v>7779</v>
      </c>
      <c r="E791" s="48" t="s">
        <v>300</v>
      </c>
      <c r="F791" s="61">
        <v>42685</v>
      </c>
      <c r="G791" s="61">
        <v>0</v>
      </c>
      <c r="H791" s="125">
        <v>42703</v>
      </c>
      <c r="I791" s="61">
        <v>39687</v>
      </c>
      <c r="J791" s="87"/>
      <c r="K791" s="62" t="s">
        <v>2506</v>
      </c>
      <c r="L791" s="62">
        <v>3</v>
      </c>
      <c r="M791" s="62" t="s">
        <v>924</v>
      </c>
      <c r="N791" s="62" t="s">
        <v>7780</v>
      </c>
      <c r="O791" s="48" t="s">
        <v>2983</v>
      </c>
      <c r="P791" s="48" t="s">
        <v>7781</v>
      </c>
      <c r="Q791" s="48" t="s">
        <v>7782</v>
      </c>
      <c r="R791" s="48" t="s">
        <v>7783</v>
      </c>
      <c r="S791" s="48" t="s">
        <v>7784</v>
      </c>
      <c r="T791" s="48" t="s">
        <v>7785</v>
      </c>
      <c r="U791" s="48" t="s">
        <v>7786</v>
      </c>
      <c r="V791" s="48" t="s">
        <v>7787</v>
      </c>
      <c r="W791" s="122" t="s">
        <v>7293</v>
      </c>
      <c r="X791" s="48" t="s">
        <v>7788</v>
      </c>
      <c r="Y791" s="48" t="s">
        <v>7789</v>
      </c>
      <c r="Z791" s="61"/>
      <c r="AA791" s="48" t="s">
        <v>581</v>
      </c>
      <c r="AB791" s="48" t="s">
        <v>453</v>
      </c>
      <c r="AC791" s="48" t="s">
        <v>645</v>
      </c>
      <c r="AD791" s="48" t="s">
        <v>273</v>
      </c>
      <c r="AE791" s="48" t="s">
        <v>273</v>
      </c>
      <c r="AF791" s="48" t="s">
        <v>273</v>
      </c>
      <c r="AG791" s="48" t="s">
        <v>273</v>
      </c>
      <c r="AH791" s="48" t="s">
        <v>273</v>
      </c>
      <c r="AI791" s="48" t="s">
        <v>273</v>
      </c>
      <c r="AJ791" s="48" t="s">
        <v>273</v>
      </c>
      <c r="AK791" s="48" t="s">
        <v>582</v>
      </c>
      <c r="AL791" s="48" t="s">
        <v>454</v>
      </c>
      <c r="AM791" s="48" t="s">
        <v>646</v>
      </c>
      <c r="AN791" s="48" t="s">
        <v>273</v>
      </c>
      <c r="AO791" s="48" t="s">
        <v>273</v>
      </c>
      <c r="AP791" s="48" t="s">
        <v>273</v>
      </c>
      <c r="AQ791" s="48" t="s">
        <v>273</v>
      </c>
      <c r="AR791" s="48" t="s">
        <v>273</v>
      </c>
      <c r="AS791" s="48" t="s">
        <v>273</v>
      </c>
      <c r="AT791" s="48" t="s">
        <v>273</v>
      </c>
      <c r="AU791" s="93">
        <v>37226</v>
      </c>
      <c r="AV791" s="93" t="s">
        <v>7790</v>
      </c>
      <c r="AW791" s="93" t="s">
        <v>7791</v>
      </c>
      <c r="AX791" s="93" t="s">
        <v>7792</v>
      </c>
      <c r="AY791" s="93" t="s">
        <v>5312</v>
      </c>
    </row>
    <row r="792" spans="1:52" ht="16.5" customHeight="1" x14ac:dyDescent="0.15">
      <c r="A792" s="199" t="s">
        <v>7793</v>
      </c>
      <c r="B792" s="209" t="s">
        <v>7794</v>
      </c>
      <c r="C792" s="48" t="s">
        <v>7795</v>
      </c>
      <c r="D792" s="62" t="s">
        <v>7796</v>
      </c>
      <c r="E792" s="48" t="s">
        <v>264</v>
      </c>
      <c r="F792" s="61">
        <v>42685</v>
      </c>
      <c r="G792" s="61">
        <v>0</v>
      </c>
      <c r="H792" s="125">
        <v>42696</v>
      </c>
      <c r="I792" s="61" t="s">
        <v>279</v>
      </c>
      <c r="J792" s="87"/>
      <c r="K792" s="62" t="s">
        <v>2506</v>
      </c>
      <c r="L792" s="62">
        <v>3</v>
      </c>
      <c r="M792" s="62" t="s">
        <v>651</v>
      </c>
      <c r="N792" s="62" t="s">
        <v>7797</v>
      </c>
      <c r="O792" s="48" t="s">
        <v>1677</v>
      </c>
      <c r="P792" s="48" t="s">
        <v>7798</v>
      </c>
      <c r="Q792" s="48" t="s">
        <v>622</v>
      </c>
      <c r="R792" s="48" t="s">
        <v>7799</v>
      </c>
      <c r="S792" s="48" t="s">
        <v>269</v>
      </c>
      <c r="T792" s="48" t="s">
        <v>270</v>
      </c>
      <c r="U792" s="48" t="s">
        <v>7800</v>
      </c>
      <c r="V792" s="122" t="s">
        <v>7801</v>
      </c>
      <c r="W792" s="122" t="s">
        <v>7802</v>
      </c>
      <c r="X792" s="48" t="s">
        <v>7803</v>
      </c>
      <c r="Y792" s="48" t="s">
        <v>7804</v>
      </c>
      <c r="Z792" s="61"/>
      <c r="AA792" s="48" t="s">
        <v>2215</v>
      </c>
      <c r="AB792" s="48" t="s">
        <v>273</v>
      </c>
      <c r="AC792" s="48" t="s">
        <v>273</v>
      </c>
      <c r="AD792" s="48" t="s">
        <v>273</v>
      </c>
      <c r="AE792" s="48" t="s">
        <v>273</v>
      </c>
      <c r="AF792" s="48" t="s">
        <v>273</v>
      </c>
      <c r="AG792" s="48" t="s">
        <v>273</v>
      </c>
      <c r="AH792" s="48" t="s">
        <v>273</v>
      </c>
      <c r="AI792" s="48" t="s">
        <v>273</v>
      </c>
      <c r="AJ792" s="48" t="s">
        <v>273</v>
      </c>
      <c r="AK792" s="48" t="s">
        <v>2216</v>
      </c>
      <c r="AL792" s="48" t="s">
        <v>273</v>
      </c>
      <c r="AM792" s="48" t="s">
        <v>273</v>
      </c>
      <c r="AN792" s="48" t="s">
        <v>273</v>
      </c>
      <c r="AO792" s="48" t="s">
        <v>273</v>
      </c>
      <c r="AP792" s="48" t="s">
        <v>273</v>
      </c>
      <c r="AQ792" s="48" t="s">
        <v>273</v>
      </c>
      <c r="AR792" s="48" t="s">
        <v>273</v>
      </c>
      <c r="AS792" s="48" t="s">
        <v>273</v>
      </c>
      <c r="AT792" s="48" t="s">
        <v>273</v>
      </c>
      <c r="AU792" s="93">
        <v>41852</v>
      </c>
      <c r="AV792" s="93" t="s">
        <v>7805</v>
      </c>
      <c r="AW792" s="93" t="s">
        <v>7806</v>
      </c>
      <c r="AX792" s="93" t="s">
        <v>7807</v>
      </c>
      <c r="AY792" s="93" t="s">
        <v>6526</v>
      </c>
    </row>
    <row r="793" spans="1:52" ht="16.5" customHeight="1" x14ac:dyDescent="0.15">
      <c r="A793" s="199" t="s">
        <v>7808</v>
      </c>
      <c r="B793" s="209" t="s">
        <v>7809</v>
      </c>
      <c r="C793" s="48" t="s">
        <v>330</v>
      </c>
      <c r="D793" s="62" t="s">
        <v>263</v>
      </c>
      <c r="E793" s="48" t="s">
        <v>6625</v>
      </c>
      <c r="F793" s="61">
        <v>42685</v>
      </c>
      <c r="G793" s="61">
        <v>0</v>
      </c>
      <c r="H793" s="125">
        <v>42696</v>
      </c>
      <c r="I793" s="61">
        <v>39562</v>
      </c>
      <c r="J793" s="87"/>
      <c r="K793" s="124" t="s">
        <v>7293</v>
      </c>
      <c r="L793" s="124" t="s">
        <v>7293</v>
      </c>
      <c r="M793" s="62" t="s">
        <v>394</v>
      </c>
      <c r="N793" s="62" t="s">
        <v>7810</v>
      </c>
      <c r="O793" s="48" t="s">
        <v>396</v>
      </c>
      <c r="P793" s="48" t="s">
        <v>5178</v>
      </c>
      <c r="Q793" s="48" t="s">
        <v>2999</v>
      </c>
      <c r="R793" s="48" t="s">
        <v>7417</v>
      </c>
      <c r="S793" s="48" t="s">
        <v>400</v>
      </c>
      <c r="T793" s="48" t="s">
        <v>401</v>
      </c>
      <c r="U793" s="48" t="s">
        <v>7811</v>
      </c>
      <c r="V793" s="122" t="s">
        <v>7293</v>
      </c>
      <c r="W793" s="122" t="s">
        <v>7293</v>
      </c>
      <c r="X793" s="48" t="s">
        <v>7812</v>
      </c>
      <c r="Y793" s="48" t="s">
        <v>7813</v>
      </c>
      <c r="Z793" s="61"/>
      <c r="AA793" s="48" t="s">
        <v>273</v>
      </c>
      <c r="AB793" s="48" t="s">
        <v>273</v>
      </c>
      <c r="AC793" s="48" t="s">
        <v>273</v>
      </c>
      <c r="AD793" s="48" t="s">
        <v>273</v>
      </c>
      <c r="AE793" s="48" t="s">
        <v>273</v>
      </c>
      <c r="AF793" s="48" t="s">
        <v>273</v>
      </c>
      <c r="AG793" s="48" t="s">
        <v>273</v>
      </c>
      <c r="AH793" s="48" t="s">
        <v>273</v>
      </c>
      <c r="AI793" s="48" t="s">
        <v>273</v>
      </c>
      <c r="AJ793" s="48" t="s">
        <v>273</v>
      </c>
      <c r="AK793" s="48" t="s">
        <v>273</v>
      </c>
      <c r="AL793" s="48" t="s">
        <v>273</v>
      </c>
      <c r="AM793" s="48" t="s">
        <v>273</v>
      </c>
      <c r="AN793" s="48" t="s">
        <v>273</v>
      </c>
      <c r="AO793" s="48" t="s">
        <v>273</v>
      </c>
      <c r="AP793" s="48" t="s">
        <v>273</v>
      </c>
      <c r="AQ793" s="48" t="s">
        <v>273</v>
      </c>
      <c r="AR793" s="48" t="s">
        <v>273</v>
      </c>
      <c r="AS793" s="48" t="s">
        <v>273</v>
      </c>
      <c r="AT793" s="48" t="s">
        <v>273</v>
      </c>
      <c r="AU793" s="93">
        <v>39356</v>
      </c>
      <c r="AV793" s="93" t="s">
        <v>7814</v>
      </c>
      <c r="AW793" s="93" t="s">
        <v>7815</v>
      </c>
      <c r="AX793" s="93" t="s">
        <v>7816</v>
      </c>
      <c r="AY793" s="93" t="s">
        <v>7817</v>
      </c>
      <c r="AZ793" s="49" t="s">
        <v>7818</v>
      </c>
    </row>
    <row r="794" spans="1:52" ht="16.5" customHeight="1" x14ac:dyDescent="0.15">
      <c r="A794" s="199" t="s">
        <v>7819</v>
      </c>
      <c r="B794" s="209" t="s">
        <v>7820</v>
      </c>
      <c r="C794" s="48" t="s">
        <v>7821</v>
      </c>
      <c r="D794" s="62" t="s">
        <v>263</v>
      </c>
      <c r="E794" s="48" t="s">
        <v>264</v>
      </c>
      <c r="F794" s="61">
        <v>42688</v>
      </c>
      <c r="G794" s="61">
        <v>0</v>
      </c>
      <c r="H794" s="125">
        <v>42704</v>
      </c>
      <c r="I794" s="61" t="s">
        <v>279</v>
      </c>
      <c r="J794" s="87"/>
      <c r="K794" s="62" t="s">
        <v>2506</v>
      </c>
      <c r="L794" s="62">
        <v>3</v>
      </c>
      <c r="M794" s="62" t="s">
        <v>209</v>
      </c>
      <c r="N794" s="62" t="s">
        <v>7822</v>
      </c>
      <c r="O794" s="48" t="s">
        <v>3919</v>
      </c>
      <c r="P794" s="48" t="s">
        <v>1481</v>
      </c>
      <c r="Q794" s="48" t="s">
        <v>1482</v>
      </c>
      <c r="R794" s="48"/>
      <c r="S794" s="48" t="s">
        <v>269</v>
      </c>
      <c r="T794" s="48" t="s">
        <v>270</v>
      </c>
      <c r="U794" s="48" t="s">
        <v>7823</v>
      </c>
      <c r="V794" s="48"/>
      <c r="W794" s="48"/>
      <c r="X794" s="48"/>
      <c r="Y794" s="48"/>
      <c r="Z794" s="61"/>
      <c r="AA794" s="48" t="s">
        <v>7470</v>
      </c>
      <c r="AB794" s="48" t="s">
        <v>273</v>
      </c>
      <c r="AC794" s="48" t="s">
        <v>273</v>
      </c>
      <c r="AD794" s="48" t="s">
        <v>273</v>
      </c>
      <c r="AE794" s="48" t="s">
        <v>273</v>
      </c>
      <c r="AF794" s="48" t="s">
        <v>273</v>
      </c>
      <c r="AG794" s="48" t="s">
        <v>273</v>
      </c>
      <c r="AH794" s="48" t="s">
        <v>273</v>
      </c>
      <c r="AI794" s="48" t="s">
        <v>273</v>
      </c>
      <c r="AJ794" s="48" t="s">
        <v>273</v>
      </c>
      <c r="AK794" s="48" t="s">
        <v>274</v>
      </c>
      <c r="AL794" s="48" t="s">
        <v>273</v>
      </c>
      <c r="AM794" s="48" t="s">
        <v>273</v>
      </c>
      <c r="AN794" s="48" t="s">
        <v>273</v>
      </c>
      <c r="AO794" s="48" t="s">
        <v>273</v>
      </c>
      <c r="AP794" s="48" t="s">
        <v>273</v>
      </c>
      <c r="AQ794" s="48" t="s">
        <v>273</v>
      </c>
      <c r="AR794" s="48" t="s">
        <v>273</v>
      </c>
      <c r="AS794" s="48" t="s">
        <v>273</v>
      </c>
      <c r="AT794" s="48" t="s">
        <v>273</v>
      </c>
      <c r="AU794" s="93">
        <v>42430</v>
      </c>
      <c r="AV794" s="93" t="s">
        <v>7617</v>
      </c>
      <c r="AW794" s="93" t="s">
        <v>7824</v>
      </c>
      <c r="AX794" s="93" t="s">
        <v>7135</v>
      </c>
      <c r="AY794" s="93" t="s">
        <v>5312</v>
      </c>
    </row>
    <row r="795" spans="1:52" ht="16.5" customHeight="1" x14ac:dyDescent="0.15">
      <c r="A795" s="121" t="s">
        <v>7825</v>
      </c>
      <c r="B795" s="47" t="s">
        <v>7826</v>
      </c>
      <c r="C795" s="48" t="e">
        <f t="shared" ca="1" si="0"/>
        <v>#REF!</v>
      </c>
      <c r="D795" s="62" t="e">
        <f t="shared" ca="1" si="1"/>
        <v>#REF!</v>
      </c>
      <c r="E795" s="48" t="e">
        <f t="shared" ca="1" si="2"/>
        <v>#REF!</v>
      </c>
      <c r="F795" s="61" t="e">
        <f t="shared" ca="1" si="3"/>
        <v>#REF!</v>
      </c>
      <c r="G795" s="61" t="e">
        <f t="shared" ca="1" si="20"/>
        <v>#REF!</v>
      </c>
      <c r="H795" s="88" t="e">
        <f t="shared" ca="1" si="4"/>
        <v>#REF!</v>
      </c>
      <c r="I795" s="61" t="e">
        <f t="shared" ca="1" si="5"/>
        <v>#REF!</v>
      </c>
      <c r="J795" s="87"/>
      <c r="K795" s="62" t="e">
        <f t="shared" ca="1" si="6"/>
        <v>#REF!</v>
      </c>
      <c r="L795" s="62"/>
      <c r="M795" s="62" t="e">
        <f t="shared" ca="1" si="7"/>
        <v>#REF!</v>
      </c>
      <c r="N795" s="62" t="e">
        <f t="shared" ca="1" si="8"/>
        <v>#REF!</v>
      </c>
      <c r="O795" s="48" t="e">
        <f t="shared" ca="1" si="9"/>
        <v>#REF!</v>
      </c>
      <c r="P795" s="48" t="e">
        <f t="shared" ca="1" si="10"/>
        <v>#REF!</v>
      </c>
      <c r="Q795" s="48" t="e">
        <f t="shared" ca="1" si="11"/>
        <v>#REF!</v>
      </c>
      <c r="R795" s="48" t="s">
        <v>7417</v>
      </c>
      <c r="S795" s="48" t="e">
        <f t="shared" ca="1" si="12"/>
        <v>#REF!</v>
      </c>
      <c r="T795" s="48" t="e">
        <f t="shared" ca="1" si="13"/>
        <v>#REF!</v>
      </c>
      <c r="U795" s="48" t="e">
        <f t="shared" ca="1" si="14"/>
        <v>#REF!</v>
      </c>
      <c r="V795" s="48"/>
      <c r="W795" s="48"/>
      <c r="X795" s="48"/>
      <c r="Y795" s="48"/>
      <c r="Z795" s="61"/>
      <c r="AA795" s="48" t="e">
        <f t="shared" ca="1" si="21"/>
        <v>#REF!</v>
      </c>
      <c r="AB795" s="48" t="e">
        <f t="shared" ca="1" si="22"/>
        <v>#REF!</v>
      </c>
      <c r="AC795" s="48" t="e">
        <f t="shared" ca="1" si="23"/>
        <v>#REF!</v>
      </c>
      <c r="AD795" s="48" t="e">
        <f t="shared" ca="1" si="24"/>
        <v>#REF!</v>
      </c>
      <c r="AE795" s="48" t="e">
        <f t="shared" ca="1" si="25"/>
        <v>#REF!</v>
      </c>
      <c r="AF795" s="48" t="e">
        <f t="shared" ca="1" si="26"/>
        <v>#REF!</v>
      </c>
      <c r="AG795" s="48" t="e">
        <f t="shared" ca="1" si="27"/>
        <v>#REF!</v>
      </c>
      <c r="AH795" s="48" t="e">
        <f t="shared" ca="1" si="28"/>
        <v>#REF!</v>
      </c>
      <c r="AI795" s="48" t="e">
        <f t="shared" ca="1" si="29"/>
        <v>#REF!</v>
      </c>
      <c r="AJ795" s="48" t="e">
        <f t="shared" ca="1" si="30"/>
        <v>#REF!</v>
      </c>
      <c r="AK795" s="48" t="e">
        <f t="shared" ca="1" si="31"/>
        <v>#REF!</v>
      </c>
      <c r="AL795" s="48" t="e">
        <f t="shared" ca="1" si="32"/>
        <v>#REF!</v>
      </c>
      <c r="AM795" s="48" t="e">
        <f t="shared" ca="1" si="33"/>
        <v>#REF!</v>
      </c>
      <c r="AN795" s="48" t="e">
        <f t="shared" ca="1" si="34"/>
        <v>#REF!</v>
      </c>
      <c r="AO795" s="48" t="e">
        <f t="shared" ca="1" si="35"/>
        <v>#REF!</v>
      </c>
      <c r="AP795" s="48" t="e">
        <f t="shared" ca="1" si="36"/>
        <v>#REF!</v>
      </c>
      <c r="AQ795" s="48" t="e">
        <f t="shared" ca="1" si="37"/>
        <v>#REF!</v>
      </c>
      <c r="AR795" s="48" t="e">
        <f t="shared" ca="1" si="38"/>
        <v>#REF!</v>
      </c>
      <c r="AS795" s="48" t="e">
        <f t="shared" ca="1" si="39"/>
        <v>#REF!</v>
      </c>
      <c r="AT795" s="48" t="e">
        <f t="shared" ca="1" si="40"/>
        <v>#REF!</v>
      </c>
      <c r="AU795" s="93" t="e">
        <f t="shared" ca="1" si="15"/>
        <v>#REF!</v>
      </c>
      <c r="AV795" s="93" t="e">
        <f t="shared" ca="1" si="16"/>
        <v>#REF!</v>
      </c>
      <c r="AW795" s="93" t="e">
        <f t="shared" ca="1" si="17"/>
        <v>#REF!</v>
      </c>
      <c r="AX795" s="93" t="e">
        <f t="shared" ca="1" si="18"/>
        <v>#REF!</v>
      </c>
      <c r="AY795" s="93" t="e">
        <f t="shared" ca="1" si="19"/>
        <v>#REF!</v>
      </c>
    </row>
    <row r="796" spans="1:52" ht="16.5" customHeight="1" x14ac:dyDescent="0.15">
      <c r="A796" s="199" t="s">
        <v>7827</v>
      </c>
      <c r="B796" s="209" t="s">
        <v>7828</v>
      </c>
      <c r="C796" s="48" t="s">
        <v>7829</v>
      </c>
      <c r="D796" s="62" t="s">
        <v>263</v>
      </c>
      <c r="E796" s="48" t="s">
        <v>264</v>
      </c>
      <c r="F796" s="61">
        <v>42689</v>
      </c>
      <c r="G796" s="61">
        <v>0</v>
      </c>
      <c r="H796" s="125">
        <v>42696</v>
      </c>
      <c r="I796" s="61" t="s">
        <v>279</v>
      </c>
      <c r="J796" s="87"/>
      <c r="K796" s="62" t="s">
        <v>7830</v>
      </c>
      <c r="L796" s="62">
        <v>5</v>
      </c>
      <c r="M796" s="62" t="s">
        <v>409</v>
      </c>
      <c r="N796" s="62" t="s">
        <v>7831</v>
      </c>
      <c r="O796" s="48" t="s">
        <v>535</v>
      </c>
      <c r="P796" s="48" t="s">
        <v>5530</v>
      </c>
      <c r="Q796" s="48" t="s">
        <v>1322</v>
      </c>
      <c r="R796" s="48" t="s">
        <v>7832</v>
      </c>
      <c r="S796" s="48" t="s">
        <v>7833</v>
      </c>
      <c r="T796" s="48" t="s">
        <v>263</v>
      </c>
      <c r="U796" s="48" t="s">
        <v>7834</v>
      </c>
      <c r="V796" s="48"/>
      <c r="W796" s="48"/>
      <c r="X796" s="48"/>
      <c r="Y796" s="48"/>
      <c r="Z796" s="61"/>
      <c r="AA796" s="48" t="s">
        <v>978</v>
      </c>
      <c r="AB796" s="48" t="s">
        <v>273</v>
      </c>
      <c r="AC796" s="48" t="s">
        <v>273</v>
      </c>
      <c r="AD796" s="48" t="s">
        <v>273</v>
      </c>
      <c r="AE796" s="48" t="s">
        <v>273</v>
      </c>
      <c r="AF796" s="48" t="s">
        <v>273</v>
      </c>
      <c r="AG796" s="48" t="s">
        <v>273</v>
      </c>
      <c r="AH796" s="48" t="s">
        <v>273</v>
      </c>
      <c r="AI796" s="48" t="s">
        <v>273</v>
      </c>
      <c r="AJ796" s="48" t="s">
        <v>273</v>
      </c>
      <c r="AK796" s="48" t="s">
        <v>600</v>
      </c>
      <c r="AL796" s="48" t="s">
        <v>273</v>
      </c>
      <c r="AM796" s="48" t="s">
        <v>273</v>
      </c>
      <c r="AN796" s="48" t="s">
        <v>273</v>
      </c>
      <c r="AO796" s="48" t="s">
        <v>273</v>
      </c>
      <c r="AP796" s="48" t="s">
        <v>273</v>
      </c>
      <c r="AQ796" s="48" t="s">
        <v>273</v>
      </c>
      <c r="AR796" s="48" t="s">
        <v>273</v>
      </c>
      <c r="AS796" s="48" t="s">
        <v>273</v>
      </c>
      <c r="AT796" s="48" t="s">
        <v>273</v>
      </c>
      <c r="AU796" s="93">
        <v>40940</v>
      </c>
      <c r="AV796" s="93" t="s">
        <v>7835</v>
      </c>
      <c r="AW796" s="93" t="s">
        <v>7836</v>
      </c>
      <c r="AX796" s="93" t="s">
        <v>7837</v>
      </c>
      <c r="AY796" s="93" t="s">
        <v>7838</v>
      </c>
      <c r="AZ796" s="49" t="s">
        <v>7839</v>
      </c>
    </row>
    <row r="797" spans="1:52" ht="16.5" customHeight="1" x14ac:dyDescent="0.15">
      <c r="A797" s="199" t="s">
        <v>7840</v>
      </c>
      <c r="B797" s="209" t="s">
        <v>7841</v>
      </c>
      <c r="C797" s="48" t="s">
        <v>7842</v>
      </c>
      <c r="D797" s="62" t="s">
        <v>7843</v>
      </c>
      <c r="E797" s="48" t="s">
        <v>264</v>
      </c>
      <c r="F797" s="61">
        <v>42689</v>
      </c>
      <c r="G797" s="61">
        <v>0</v>
      </c>
      <c r="H797" s="125">
        <v>42704</v>
      </c>
      <c r="I797" s="61" t="s">
        <v>279</v>
      </c>
      <c r="J797" s="87"/>
      <c r="K797" s="62" t="s">
        <v>2506</v>
      </c>
      <c r="L797" s="62">
        <v>3</v>
      </c>
      <c r="M797" s="62" t="s">
        <v>209</v>
      </c>
      <c r="N797" s="62" t="s">
        <v>7844</v>
      </c>
      <c r="O797" s="48" t="s">
        <v>3963</v>
      </c>
      <c r="P797" s="48" t="s">
        <v>1543</v>
      </c>
      <c r="Q797" s="48" t="s">
        <v>7845</v>
      </c>
      <c r="R797" s="48"/>
      <c r="S797" s="48" t="s">
        <v>1546</v>
      </c>
      <c r="T797" s="48" t="s">
        <v>1547</v>
      </c>
      <c r="U797" s="48" t="s">
        <v>7846</v>
      </c>
      <c r="V797" s="48"/>
      <c r="W797" s="48"/>
      <c r="X797" s="48"/>
      <c r="Y797" s="48"/>
      <c r="Z797" s="61"/>
      <c r="AA797" s="48" t="s">
        <v>272</v>
      </c>
      <c r="AB797" s="48" t="s">
        <v>1139</v>
      </c>
      <c r="AC797" s="48" t="s">
        <v>273</v>
      </c>
      <c r="AD797" s="48" t="s">
        <v>273</v>
      </c>
      <c r="AE797" s="48" t="s">
        <v>273</v>
      </c>
      <c r="AF797" s="48" t="s">
        <v>273</v>
      </c>
      <c r="AG797" s="48" t="s">
        <v>273</v>
      </c>
      <c r="AH797" s="48" t="s">
        <v>273</v>
      </c>
      <c r="AI797" s="48" t="s">
        <v>273</v>
      </c>
      <c r="AJ797" s="48" t="s">
        <v>273</v>
      </c>
      <c r="AK797" s="48" t="s">
        <v>274</v>
      </c>
      <c r="AL797" s="48" t="s">
        <v>1140</v>
      </c>
      <c r="AM797" s="48" t="s">
        <v>273</v>
      </c>
      <c r="AN797" s="48" t="s">
        <v>273</v>
      </c>
      <c r="AO797" s="48" t="s">
        <v>273</v>
      </c>
      <c r="AP797" s="48" t="s">
        <v>273</v>
      </c>
      <c r="AQ797" s="48" t="s">
        <v>273</v>
      </c>
      <c r="AR797" s="48" t="s">
        <v>273</v>
      </c>
      <c r="AS797" s="48" t="s">
        <v>273</v>
      </c>
      <c r="AT797" s="48" t="s">
        <v>273</v>
      </c>
      <c r="AU797" s="93">
        <v>41122</v>
      </c>
      <c r="AV797" s="93" t="s">
        <v>5505</v>
      </c>
      <c r="AW797" s="93" t="s">
        <v>7847</v>
      </c>
      <c r="AX797" s="93" t="s">
        <v>7848</v>
      </c>
      <c r="AY797" s="93" t="s">
        <v>5312</v>
      </c>
    </row>
    <row r="798" spans="1:52" ht="16.5" customHeight="1" x14ac:dyDescent="0.15">
      <c r="A798" s="121" t="s">
        <v>7849</v>
      </c>
      <c r="B798" s="47" t="s">
        <v>7850</v>
      </c>
      <c r="C798" s="48" t="e">
        <f t="shared" ref="C798:C861" ca="1" si="41">INDIRECT("'["&amp;$C$1&amp;".xls]"&amp;$B798&amp;"'!$i$7")</f>
        <v>#REF!</v>
      </c>
      <c r="D798" s="62" t="e">
        <f t="shared" ref="D798:D861" ca="1" si="42">INDIRECT("'["&amp;$C$1&amp;".xls]"&amp;$B798&amp;"'!$b$7")</f>
        <v>#REF!</v>
      </c>
      <c r="E798" s="48" t="e">
        <f t="shared" ref="E798:E861" ca="1" si="43">IF(INDIRECT("'["&amp;$C$1&amp;".xls]"&amp;$B798&amp;"'!$i$2")="","",INDIRECT("'["&amp;$C$1&amp;".xls]"&amp;$B798&amp;"'!$i$2"))</f>
        <v>#REF!</v>
      </c>
      <c r="F798" s="61" t="e">
        <f t="shared" ref="F798:F861" ca="1" si="44">INDIRECT("'["&amp;$C$1&amp;".xls]"&amp;$B798&amp;"'!$b$2")</f>
        <v>#REF!</v>
      </c>
      <c r="G798" s="61" t="e">
        <f t="shared" ca="1" si="20"/>
        <v>#REF!</v>
      </c>
      <c r="H798" s="88" t="e">
        <f t="shared" ref="H798:H861" ca="1" si="45">INDIRECT("'["&amp;$C$1&amp;".xls]"&amp;$B798&amp;"'!$Q$22")</f>
        <v>#REF!</v>
      </c>
      <c r="I798" s="61" t="e">
        <f t="shared" ref="I798:I861" ca="1" si="46">INDIRECT("'["&amp;$C$1&amp;".xls]"&amp;$B798&amp;"'!$f$6")</f>
        <v>#REF!</v>
      </c>
      <c r="J798" s="87"/>
      <c r="K798" s="62" t="e">
        <f t="shared" ref="K798:K861" ca="1" si="47">INDIRECT("'["&amp;$C$1&amp;".xls]"&amp;$B798&amp;"'!$f$25")</f>
        <v>#REF!</v>
      </c>
      <c r="L798" s="62"/>
      <c r="M798" s="62" t="e">
        <f t="shared" ref="M798:M861" ca="1" si="48">INDIRECT("'["&amp;$C$1&amp;".xls]"&amp;$B798&amp;"'!$f$4")</f>
        <v>#REF!</v>
      </c>
      <c r="N798" s="62" t="e">
        <f t="shared" ref="N798:N861" ca="1" si="49">INDIRECT("'["&amp;$C$1&amp;".xls]"&amp;$B798&amp;"'!$i$4")</f>
        <v>#REF!</v>
      </c>
      <c r="O798" s="48" t="e">
        <f t="shared" ref="O798:O861" ca="1" si="50">INDIRECT("'["&amp;$C$1&amp;".xls]"&amp;$B798&amp;"'!$l$4")</f>
        <v>#REF!</v>
      </c>
      <c r="P798" s="48" t="e">
        <f t="shared" ref="P798:P861" ca="1" si="51">INDIRECT("'["&amp;$C$1&amp;".xls]"&amp;$B798&amp;"'!$b$5")</f>
        <v>#REF!</v>
      </c>
      <c r="Q798" s="48" t="e">
        <f t="shared" ref="Q798:Q861" ca="1" si="52">INDIRECT("'["&amp;$C$1&amp;".xls]"&amp;$B798&amp;"'!$f$5")</f>
        <v>#REF!</v>
      </c>
      <c r="R798" s="48"/>
      <c r="S798" s="48" t="e">
        <f t="shared" ref="S798:S861" ca="1" si="53">INDIRECT("'["&amp;$C$1&amp;".xls]"&amp;$B798&amp;"'!$i$5")</f>
        <v>#REF!</v>
      </c>
      <c r="T798" s="48" t="e">
        <f t="shared" ref="T798:T861" ca="1" si="54">INDIRECT("'["&amp;$C$1&amp;".xls]"&amp;$B798&amp;"'!$l$5")</f>
        <v>#REF!</v>
      </c>
      <c r="U798" s="48" t="e">
        <f t="shared" ref="U798:U861" ca="1" si="55">INDIRECT("'["&amp;$C$1&amp;".xls]"&amp;$B798&amp;"'!$b$4")</f>
        <v>#REF!</v>
      </c>
      <c r="V798" s="48"/>
      <c r="W798" s="48"/>
      <c r="X798" s="48"/>
      <c r="Y798" s="48"/>
      <c r="Z798" s="61"/>
      <c r="AA798" s="48" t="e">
        <f t="shared" ca="1" si="21"/>
        <v>#REF!</v>
      </c>
      <c r="AB798" s="48" t="e">
        <f t="shared" ca="1" si="22"/>
        <v>#REF!</v>
      </c>
      <c r="AC798" s="48" t="e">
        <f t="shared" ca="1" si="23"/>
        <v>#REF!</v>
      </c>
      <c r="AD798" s="48" t="e">
        <f t="shared" ca="1" si="24"/>
        <v>#REF!</v>
      </c>
      <c r="AE798" s="48" t="e">
        <f t="shared" ca="1" si="25"/>
        <v>#REF!</v>
      </c>
      <c r="AF798" s="48" t="e">
        <f t="shared" ca="1" si="26"/>
        <v>#REF!</v>
      </c>
      <c r="AG798" s="48" t="e">
        <f t="shared" ca="1" si="27"/>
        <v>#REF!</v>
      </c>
      <c r="AH798" s="48" t="e">
        <f t="shared" ca="1" si="28"/>
        <v>#REF!</v>
      </c>
      <c r="AI798" s="48" t="e">
        <f t="shared" ca="1" si="29"/>
        <v>#REF!</v>
      </c>
      <c r="AJ798" s="48" t="e">
        <f t="shared" ca="1" si="30"/>
        <v>#REF!</v>
      </c>
      <c r="AK798" s="48" t="e">
        <f t="shared" ca="1" si="31"/>
        <v>#REF!</v>
      </c>
      <c r="AL798" s="48" t="e">
        <f t="shared" ca="1" si="32"/>
        <v>#REF!</v>
      </c>
      <c r="AM798" s="48" t="e">
        <f t="shared" ca="1" si="33"/>
        <v>#REF!</v>
      </c>
      <c r="AN798" s="48" t="e">
        <f t="shared" ca="1" si="34"/>
        <v>#REF!</v>
      </c>
      <c r="AO798" s="48" t="e">
        <f t="shared" ca="1" si="35"/>
        <v>#REF!</v>
      </c>
      <c r="AP798" s="48" t="e">
        <f t="shared" ca="1" si="36"/>
        <v>#REF!</v>
      </c>
      <c r="AQ798" s="48" t="e">
        <f t="shared" ca="1" si="37"/>
        <v>#REF!</v>
      </c>
      <c r="AR798" s="48" t="e">
        <f t="shared" ca="1" si="38"/>
        <v>#REF!</v>
      </c>
      <c r="AS798" s="48" t="e">
        <f t="shared" ca="1" si="39"/>
        <v>#REF!</v>
      </c>
      <c r="AT798" s="48" t="e">
        <f t="shared" ca="1" si="40"/>
        <v>#REF!</v>
      </c>
      <c r="AU798" s="93" t="e">
        <f t="shared" ref="AU798:AU861" ca="1" si="56">INDIRECT("'["&amp;$C$1&amp;".xls]"&amp;$B798&amp;"'!$B$6")</f>
        <v>#REF!</v>
      </c>
      <c r="AV798" s="93" t="e">
        <f t="shared" ca="1" si="16"/>
        <v>#REF!</v>
      </c>
      <c r="AW798" s="93" t="e">
        <f t="shared" ca="1" si="17"/>
        <v>#REF!</v>
      </c>
      <c r="AX798" s="93" t="e">
        <f t="shared" ca="1" si="18"/>
        <v>#REF!</v>
      </c>
      <c r="AY798" s="93" t="e">
        <f t="shared" ca="1" si="19"/>
        <v>#REF!</v>
      </c>
    </row>
    <row r="799" spans="1:52" ht="16.5" customHeight="1" x14ac:dyDescent="0.15">
      <c r="A799" s="121" t="s">
        <v>7851</v>
      </c>
      <c r="B799" s="47" t="s">
        <v>7852</v>
      </c>
      <c r="C799" s="48" t="e">
        <f t="shared" ca="1" si="41"/>
        <v>#REF!</v>
      </c>
      <c r="D799" s="62" t="e">
        <f t="shared" ca="1" si="42"/>
        <v>#REF!</v>
      </c>
      <c r="E799" s="48" t="e">
        <f t="shared" ca="1" si="43"/>
        <v>#REF!</v>
      </c>
      <c r="F799" s="61" t="e">
        <f t="shared" ca="1" si="44"/>
        <v>#REF!</v>
      </c>
      <c r="G799" s="61" t="e">
        <f t="shared" ca="1" si="20"/>
        <v>#REF!</v>
      </c>
      <c r="H799" s="88" t="e">
        <f t="shared" ca="1" si="45"/>
        <v>#REF!</v>
      </c>
      <c r="I799" s="61" t="e">
        <f t="shared" ca="1" si="46"/>
        <v>#REF!</v>
      </c>
      <c r="J799" s="87"/>
      <c r="K799" s="62" t="e">
        <f t="shared" ca="1" si="47"/>
        <v>#REF!</v>
      </c>
      <c r="L799" s="62"/>
      <c r="M799" s="62" t="e">
        <f t="shared" ca="1" si="48"/>
        <v>#REF!</v>
      </c>
      <c r="N799" s="62" t="e">
        <f t="shared" ca="1" si="49"/>
        <v>#REF!</v>
      </c>
      <c r="O799" s="48" t="e">
        <f t="shared" ca="1" si="50"/>
        <v>#REF!</v>
      </c>
      <c r="P799" s="48" t="e">
        <f t="shared" ca="1" si="51"/>
        <v>#REF!</v>
      </c>
      <c r="Q799" s="48" t="e">
        <f t="shared" ca="1" si="52"/>
        <v>#REF!</v>
      </c>
      <c r="R799" s="48" t="s">
        <v>7417</v>
      </c>
      <c r="S799" s="48" t="e">
        <f t="shared" ca="1" si="53"/>
        <v>#REF!</v>
      </c>
      <c r="T799" s="48" t="e">
        <f t="shared" ca="1" si="54"/>
        <v>#REF!</v>
      </c>
      <c r="U799" s="48" t="e">
        <f t="shared" ca="1" si="55"/>
        <v>#REF!</v>
      </c>
      <c r="V799" s="48"/>
      <c r="W799" s="48"/>
      <c r="X799" s="48"/>
      <c r="Y799" s="48"/>
      <c r="Z799" s="61"/>
      <c r="AA799" s="48" t="e">
        <f t="shared" ca="1" si="21"/>
        <v>#REF!</v>
      </c>
      <c r="AB799" s="48" t="e">
        <f t="shared" ca="1" si="22"/>
        <v>#REF!</v>
      </c>
      <c r="AC799" s="48" t="e">
        <f t="shared" ca="1" si="23"/>
        <v>#REF!</v>
      </c>
      <c r="AD799" s="48" t="e">
        <f t="shared" ca="1" si="24"/>
        <v>#REF!</v>
      </c>
      <c r="AE799" s="48" t="e">
        <f t="shared" ca="1" si="25"/>
        <v>#REF!</v>
      </c>
      <c r="AF799" s="48" t="e">
        <f t="shared" ca="1" si="26"/>
        <v>#REF!</v>
      </c>
      <c r="AG799" s="48" t="e">
        <f t="shared" ca="1" si="27"/>
        <v>#REF!</v>
      </c>
      <c r="AH799" s="48" t="e">
        <f t="shared" ca="1" si="28"/>
        <v>#REF!</v>
      </c>
      <c r="AI799" s="48" t="e">
        <f t="shared" ca="1" si="29"/>
        <v>#REF!</v>
      </c>
      <c r="AJ799" s="48" t="e">
        <f t="shared" ca="1" si="30"/>
        <v>#REF!</v>
      </c>
      <c r="AK799" s="48" t="e">
        <f t="shared" ca="1" si="31"/>
        <v>#REF!</v>
      </c>
      <c r="AL799" s="48" t="e">
        <f t="shared" ca="1" si="32"/>
        <v>#REF!</v>
      </c>
      <c r="AM799" s="48" t="e">
        <f t="shared" ca="1" si="33"/>
        <v>#REF!</v>
      </c>
      <c r="AN799" s="48" t="e">
        <f t="shared" ca="1" si="34"/>
        <v>#REF!</v>
      </c>
      <c r="AO799" s="48" t="e">
        <f t="shared" ca="1" si="35"/>
        <v>#REF!</v>
      </c>
      <c r="AP799" s="48" t="e">
        <f t="shared" ca="1" si="36"/>
        <v>#REF!</v>
      </c>
      <c r="AQ799" s="48" t="e">
        <f t="shared" ca="1" si="37"/>
        <v>#REF!</v>
      </c>
      <c r="AR799" s="48" t="e">
        <f t="shared" ca="1" si="38"/>
        <v>#REF!</v>
      </c>
      <c r="AS799" s="48" t="e">
        <f t="shared" ca="1" si="39"/>
        <v>#REF!</v>
      </c>
      <c r="AT799" s="48" t="e">
        <f t="shared" ca="1" si="40"/>
        <v>#REF!</v>
      </c>
      <c r="AU799" s="93" t="e">
        <f t="shared" ca="1" si="56"/>
        <v>#REF!</v>
      </c>
      <c r="AV799" s="93" t="e">
        <f t="shared" ca="1" si="16"/>
        <v>#REF!</v>
      </c>
      <c r="AW799" s="93" t="e">
        <f t="shared" ca="1" si="17"/>
        <v>#REF!</v>
      </c>
      <c r="AX799" s="93" t="e">
        <f t="shared" ca="1" si="18"/>
        <v>#REF!</v>
      </c>
      <c r="AY799" s="93" t="e">
        <f t="shared" ca="1" si="19"/>
        <v>#REF!</v>
      </c>
    </row>
    <row r="800" spans="1:52" ht="16.5" customHeight="1" x14ac:dyDescent="0.15">
      <c r="A800" s="211" t="s">
        <v>7853</v>
      </c>
      <c r="B800" s="47" t="s">
        <v>7854</v>
      </c>
      <c r="C800" s="48" t="e">
        <f t="shared" ca="1" si="41"/>
        <v>#REF!</v>
      </c>
      <c r="D800" s="62" t="e">
        <f t="shared" ca="1" si="42"/>
        <v>#REF!</v>
      </c>
      <c r="E800" s="48" t="e">
        <f t="shared" ca="1" si="43"/>
        <v>#REF!</v>
      </c>
      <c r="F800" s="61" t="e">
        <f t="shared" ca="1" si="44"/>
        <v>#REF!</v>
      </c>
      <c r="G800" s="61" t="e">
        <f t="shared" ca="1" si="20"/>
        <v>#REF!</v>
      </c>
      <c r="H800" s="88" t="e">
        <f t="shared" ca="1" si="45"/>
        <v>#REF!</v>
      </c>
      <c r="I800" s="61" t="e">
        <f t="shared" ca="1" si="46"/>
        <v>#REF!</v>
      </c>
      <c r="J800" s="87"/>
      <c r="K800" s="62" t="s">
        <v>2506</v>
      </c>
      <c r="L800" s="62">
        <v>3</v>
      </c>
      <c r="M800" s="62" t="e">
        <f t="shared" ca="1" si="48"/>
        <v>#REF!</v>
      </c>
      <c r="N800" s="62" t="e">
        <f t="shared" ca="1" si="49"/>
        <v>#REF!</v>
      </c>
      <c r="O800" s="48" t="e">
        <f t="shared" ca="1" si="50"/>
        <v>#REF!</v>
      </c>
      <c r="P800" s="48" t="e">
        <f t="shared" ca="1" si="51"/>
        <v>#REF!</v>
      </c>
      <c r="Q800" s="48" t="e">
        <f t="shared" ca="1" si="52"/>
        <v>#REF!</v>
      </c>
      <c r="R800" s="48" t="s">
        <v>7855</v>
      </c>
      <c r="S800" s="48" t="e">
        <f t="shared" ca="1" si="53"/>
        <v>#REF!</v>
      </c>
      <c r="T800" s="48" t="e">
        <f t="shared" ca="1" si="54"/>
        <v>#REF!</v>
      </c>
      <c r="U800" s="48" t="e">
        <f t="shared" ca="1" si="55"/>
        <v>#REF!</v>
      </c>
      <c r="V800" s="122" t="s">
        <v>7293</v>
      </c>
      <c r="W800" s="122" t="s">
        <v>7293</v>
      </c>
      <c r="X800" s="48" t="s">
        <v>7856</v>
      </c>
      <c r="Y800" s="48" t="s">
        <v>7857</v>
      </c>
      <c r="Z800" s="61"/>
      <c r="AA800" s="48" t="e">
        <f t="shared" ca="1" si="21"/>
        <v>#REF!</v>
      </c>
      <c r="AB800" s="48" t="e">
        <f t="shared" ca="1" si="22"/>
        <v>#REF!</v>
      </c>
      <c r="AC800" s="48" t="e">
        <f t="shared" ca="1" si="23"/>
        <v>#REF!</v>
      </c>
      <c r="AD800" s="48" t="e">
        <f t="shared" ca="1" si="24"/>
        <v>#REF!</v>
      </c>
      <c r="AE800" s="48" t="e">
        <f t="shared" ca="1" si="25"/>
        <v>#REF!</v>
      </c>
      <c r="AF800" s="48" t="e">
        <f t="shared" ca="1" si="26"/>
        <v>#REF!</v>
      </c>
      <c r="AG800" s="48" t="e">
        <f t="shared" ca="1" si="27"/>
        <v>#REF!</v>
      </c>
      <c r="AH800" s="48" t="e">
        <f t="shared" ca="1" si="28"/>
        <v>#REF!</v>
      </c>
      <c r="AI800" s="48" t="e">
        <f t="shared" ca="1" si="29"/>
        <v>#REF!</v>
      </c>
      <c r="AJ800" s="48" t="e">
        <f t="shared" ca="1" si="30"/>
        <v>#REF!</v>
      </c>
      <c r="AK800" s="48" t="e">
        <f t="shared" ca="1" si="31"/>
        <v>#REF!</v>
      </c>
      <c r="AL800" s="48" t="e">
        <f t="shared" ca="1" si="32"/>
        <v>#REF!</v>
      </c>
      <c r="AM800" s="48" t="e">
        <f t="shared" ca="1" si="33"/>
        <v>#REF!</v>
      </c>
      <c r="AN800" s="48" t="e">
        <f t="shared" ca="1" si="34"/>
        <v>#REF!</v>
      </c>
      <c r="AO800" s="48" t="e">
        <f t="shared" ca="1" si="35"/>
        <v>#REF!</v>
      </c>
      <c r="AP800" s="48" t="e">
        <f t="shared" ca="1" si="36"/>
        <v>#REF!</v>
      </c>
      <c r="AQ800" s="48" t="e">
        <f t="shared" ca="1" si="37"/>
        <v>#REF!</v>
      </c>
      <c r="AR800" s="48" t="e">
        <f t="shared" ca="1" si="38"/>
        <v>#REF!</v>
      </c>
      <c r="AS800" s="48" t="e">
        <f t="shared" ca="1" si="39"/>
        <v>#REF!</v>
      </c>
      <c r="AT800" s="48" t="e">
        <f t="shared" ca="1" si="40"/>
        <v>#REF!</v>
      </c>
      <c r="AU800" s="93" t="e">
        <f t="shared" ca="1" si="56"/>
        <v>#REF!</v>
      </c>
      <c r="AV800" s="93" t="e">
        <f t="shared" ca="1" si="16"/>
        <v>#REF!</v>
      </c>
      <c r="AW800" s="93" t="e">
        <f t="shared" ca="1" si="17"/>
        <v>#REF!</v>
      </c>
      <c r="AX800" s="93" t="e">
        <f t="shared" ca="1" si="18"/>
        <v>#REF!</v>
      </c>
      <c r="AY800" s="93" t="e">
        <f t="shared" ca="1" si="19"/>
        <v>#REF!</v>
      </c>
    </row>
    <row r="801" spans="1:52" ht="16.5" customHeight="1" x14ac:dyDescent="0.15">
      <c r="A801" s="199" t="s">
        <v>7858</v>
      </c>
      <c r="B801" s="209" t="s">
        <v>7859</v>
      </c>
      <c r="C801" s="48" t="s">
        <v>330</v>
      </c>
      <c r="D801" s="62" t="s">
        <v>263</v>
      </c>
      <c r="E801" s="48" t="s">
        <v>300</v>
      </c>
      <c r="F801" s="61">
        <v>42690</v>
      </c>
      <c r="G801" s="61">
        <v>0</v>
      </c>
      <c r="H801" s="125">
        <v>42702</v>
      </c>
      <c r="I801" s="61" t="s">
        <v>279</v>
      </c>
      <c r="J801" s="87"/>
      <c r="K801" s="124" t="s">
        <v>7293</v>
      </c>
      <c r="L801" s="124" t="s">
        <v>7293</v>
      </c>
      <c r="M801" s="62" t="s">
        <v>7860</v>
      </c>
      <c r="N801" s="62" t="s">
        <v>7861</v>
      </c>
      <c r="O801" s="48" t="s">
        <v>7862</v>
      </c>
      <c r="P801" s="48" t="s">
        <v>2161</v>
      </c>
      <c r="Q801" s="48" t="s">
        <v>4300</v>
      </c>
      <c r="R801" s="48" t="s">
        <v>7417</v>
      </c>
      <c r="S801" s="48" t="s">
        <v>400</v>
      </c>
      <c r="T801" s="48" t="s">
        <v>401</v>
      </c>
      <c r="U801" s="48" t="s">
        <v>7863</v>
      </c>
      <c r="V801" s="48"/>
      <c r="W801" s="48"/>
      <c r="X801" s="48"/>
      <c r="Y801" s="48"/>
      <c r="Z801" s="61"/>
      <c r="AA801" s="48" t="s">
        <v>273</v>
      </c>
      <c r="AB801" s="48" t="s">
        <v>273</v>
      </c>
      <c r="AC801" s="48" t="s">
        <v>273</v>
      </c>
      <c r="AD801" s="48" t="s">
        <v>273</v>
      </c>
      <c r="AE801" s="48" t="s">
        <v>273</v>
      </c>
      <c r="AF801" s="48" t="s">
        <v>273</v>
      </c>
      <c r="AG801" s="48" t="s">
        <v>273</v>
      </c>
      <c r="AH801" s="48" t="s">
        <v>273</v>
      </c>
      <c r="AI801" s="48" t="s">
        <v>273</v>
      </c>
      <c r="AJ801" s="48" t="s">
        <v>273</v>
      </c>
      <c r="AK801" s="48" t="s">
        <v>273</v>
      </c>
      <c r="AL801" s="48" t="s">
        <v>273</v>
      </c>
      <c r="AM801" s="48" t="s">
        <v>273</v>
      </c>
      <c r="AN801" s="48" t="s">
        <v>273</v>
      </c>
      <c r="AO801" s="48" t="s">
        <v>273</v>
      </c>
      <c r="AP801" s="48" t="s">
        <v>273</v>
      </c>
      <c r="AQ801" s="48" t="s">
        <v>273</v>
      </c>
      <c r="AR801" s="48" t="s">
        <v>273</v>
      </c>
      <c r="AS801" s="48" t="s">
        <v>273</v>
      </c>
      <c r="AT801" s="48" t="s">
        <v>273</v>
      </c>
      <c r="AU801" s="93">
        <v>40483</v>
      </c>
      <c r="AV801" s="93" t="s">
        <v>7864</v>
      </c>
      <c r="AW801" s="93" t="s">
        <v>7865</v>
      </c>
      <c r="AX801" s="93" t="s">
        <v>7866</v>
      </c>
      <c r="AY801" s="93" t="s">
        <v>7867</v>
      </c>
    </row>
    <row r="802" spans="1:52" ht="16.5" customHeight="1" x14ac:dyDescent="0.15">
      <c r="A802" s="121" t="s">
        <v>7868</v>
      </c>
      <c r="B802" s="47" t="s">
        <v>7869</v>
      </c>
      <c r="C802" s="48" t="e">
        <f t="shared" ca="1" si="41"/>
        <v>#REF!</v>
      </c>
      <c r="D802" s="62" t="e">
        <f t="shared" ca="1" si="42"/>
        <v>#REF!</v>
      </c>
      <c r="E802" s="48" t="e">
        <f t="shared" ca="1" si="43"/>
        <v>#REF!</v>
      </c>
      <c r="F802" s="61" t="e">
        <f t="shared" ca="1" si="44"/>
        <v>#REF!</v>
      </c>
      <c r="G802" s="61" t="e">
        <f t="shared" ca="1" si="20"/>
        <v>#REF!</v>
      </c>
      <c r="H802" s="88" t="e">
        <f t="shared" ca="1" si="45"/>
        <v>#REF!</v>
      </c>
      <c r="I802" s="61" t="e">
        <f t="shared" ca="1" si="46"/>
        <v>#REF!</v>
      </c>
      <c r="J802" s="87"/>
      <c r="K802" s="62" t="e">
        <f t="shared" ca="1" si="47"/>
        <v>#REF!</v>
      </c>
      <c r="L802" s="62"/>
      <c r="M802" s="62" t="e">
        <f t="shared" ca="1" si="48"/>
        <v>#REF!</v>
      </c>
      <c r="N802" s="62" t="e">
        <f t="shared" ca="1" si="49"/>
        <v>#REF!</v>
      </c>
      <c r="O802" s="48" t="e">
        <f t="shared" ca="1" si="50"/>
        <v>#REF!</v>
      </c>
      <c r="P802" s="48" t="e">
        <f t="shared" ca="1" si="51"/>
        <v>#REF!</v>
      </c>
      <c r="Q802" s="48" t="e">
        <f t="shared" ca="1" si="52"/>
        <v>#REF!</v>
      </c>
      <c r="R802" s="48"/>
      <c r="S802" s="48" t="e">
        <f t="shared" ca="1" si="53"/>
        <v>#REF!</v>
      </c>
      <c r="T802" s="48" t="e">
        <f t="shared" ca="1" si="54"/>
        <v>#REF!</v>
      </c>
      <c r="U802" s="48" t="e">
        <f t="shared" ca="1" si="55"/>
        <v>#REF!</v>
      </c>
      <c r="V802" s="48"/>
      <c r="W802" s="48"/>
      <c r="X802" s="48"/>
      <c r="Y802" s="48"/>
      <c r="Z802" s="61"/>
      <c r="AA802" s="48" t="e">
        <f t="shared" ca="1" si="21"/>
        <v>#REF!</v>
      </c>
      <c r="AB802" s="48" t="e">
        <f t="shared" ca="1" si="22"/>
        <v>#REF!</v>
      </c>
      <c r="AC802" s="48" t="e">
        <f t="shared" ca="1" si="23"/>
        <v>#REF!</v>
      </c>
      <c r="AD802" s="48" t="e">
        <f t="shared" ca="1" si="24"/>
        <v>#REF!</v>
      </c>
      <c r="AE802" s="48" t="e">
        <f t="shared" ca="1" si="25"/>
        <v>#REF!</v>
      </c>
      <c r="AF802" s="48" t="e">
        <f t="shared" ca="1" si="26"/>
        <v>#REF!</v>
      </c>
      <c r="AG802" s="48" t="e">
        <f t="shared" ca="1" si="27"/>
        <v>#REF!</v>
      </c>
      <c r="AH802" s="48" t="e">
        <f t="shared" ca="1" si="28"/>
        <v>#REF!</v>
      </c>
      <c r="AI802" s="48" t="e">
        <f t="shared" ca="1" si="29"/>
        <v>#REF!</v>
      </c>
      <c r="AJ802" s="48" t="e">
        <f t="shared" ca="1" si="30"/>
        <v>#REF!</v>
      </c>
      <c r="AK802" s="48" t="e">
        <f t="shared" ca="1" si="31"/>
        <v>#REF!</v>
      </c>
      <c r="AL802" s="48" t="e">
        <f t="shared" ca="1" si="32"/>
        <v>#REF!</v>
      </c>
      <c r="AM802" s="48" t="e">
        <f t="shared" ca="1" si="33"/>
        <v>#REF!</v>
      </c>
      <c r="AN802" s="48" t="e">
        <f t="shared" ca="1" si="34"/>
        <v>#REF!</v>
      </c>
      <c r="AO802" s="48" t="e">
        <f t="shared" ca="1" si="35"/>
        <v>#REF!</v>
      </c>
      <c r="AP802" s="48" t="e">
        <f t="shared" ca="1" si="36"/>
        <v>#REF!</v>
      </c>
      <c r="AQ802" s="48" t="e">
        <f t="shared" ca="1" si="37"/>
        <v>#REF!</v>
      </c>
      <c r="AR802" s="48" t="e">
        <f t="shared" ca="1" si="38"/>
        <v>#REF!</v>
      </c>
      <c r="AS802" s="48" t="e">
        <f t="shared" ca="1" si="39"/>
        <v>#REF!</v>
      </c>
      <c r="AT802" s="48" t="e">
        <f t="shared" ca="1" si="40"/>
        <v>#REF!</v>
      </c>
      <c r="AU802" s="93" t="e">
        <f t="shared" ca="1" si="56"/>
        <v>#REF!</v>
      </c>
      <c r="AV802" s="93" t="e">
        <f t="shared" ca="1" si="16"/>
        <v>#REF!</v>
      </c>
      <c r="AW802" s="93" t="e">
        <f t="shared" ca="1" si="17"/>
        <v>#REF!</v>
      </c>
      <c r="AX802" s="93" t="e">
        <f t="shared" ca="1" si="18"/>
        <v>#REF!</v>
      </c>
      <c r="AY802" s="93" t="e">
        <f t="shared" ca="1" si="19"/>
        <v>#REF!</v>
      </c>
    </row>
    <row r="803" spans="1:52" ht="16.5" customHeight="1" x14ac:dyDescent="0.15">
      <c r="A803" s="121" t="s">
        <v>7870</v>
      </c>
      <c r="B803" s="47" t="s">
        <v>7871</v>
      </c>
      <c r="C803" s="48" t="e">
        <f ca="1">INDIRECT("'["&amp;$C$1&amp;".xls]"&amp;$B803&amp;"'!$i$7")</f>
        <v>#REF!</v>
      </c>
      <c r="D803" s="62" t="e">
        <f t="shared" ca="1" si="42"/>
        <v>#REF!</v>
      </c>
      <c r="E803" s="48" t="e">
        <f t="shared" ca="1" si="43"/>
        <v>#REF!</v>
      </c>
      <c r="F803" s="61" t="e">
        <f t="shared" ca="1" si="44"/>
        <v>#REF!</v>
      </c>
      <c r="G803" s="61" t="e">
        <f t="shared" ca="1" si="20"/>
        <v>#REF!</v>
      </c>
      <c r="H803" s="88" t="e">
        <f t="shared" ca="1" si="45"/>
        <v>#REF!</v>
      </c>
      <c r="I803" s="61" t="e">
        <f t="shared" ca="1" si="46"/>
        <v>#REF!</v>
      </c>
      <c r="J803" s="87"/>
      <c r="K803" s="62" t="e">
        <f t="shared" ca="1" si="47"/>
        <v>#REF!</v>
      </c>
      <c r="L803" s="62"/>
      <c r="M803" s="62" t="e">
        <f t="shared" ca="1" si="48"/>
        <v>#REF!</v>
      </c>
      <c r="N803" s="62" t="e">
        <f t="shared" ca="1" si="49"/>
        <v>#REF!</v>
      </c>
      <c r="O803" s="48" t="e">
        <f t="shared" ca="1" si="50"/>
        <v>#REF!</v>
      </c>
      <c r="P803" s="48" t="e">
        <f t="shared" ca="1" si="51"/>
        <v>#REF!</v>
      </c>
      <c r="Q803" s="48" t="e">
        <f t="shared" ca="1" si="52"/>
        <v>#REF!</v>
      </c>
      <c r="R803" s="48"/>
      <c r="S803" s="48" t="e">
        <f t="shared" ca="1" si="53"/>
        <v>#REF!</v>
      </c>
      <c r="T803" s="48" t="e">
        <f t="shared" ca="1" si="54"/>
        <v>#REF!</v>
      </c>
      <c r="U803" s="48" t="e">
        <f t="shared" ca="1" si="55"/>
        <v>#REF!</v>
      </c>
      <c r="V803" s="48"/>
      <c r="W803" s="48"/>
      <c r="X803" s="48"/>
      <c r="Y803" s="48"/>
      <c r="Z803" s="61"/>
      <c r="AA803" s="48" t="e">
        <f t="shared" ca="1" si="21"/>
        <v>#REF!</v>
      </c>
      <c r="AB803" s="48" t="e">
        <f t="shared" ca="1" si="22"/>
        <v>#REF!</v>
      </c>
      <c r="AC803" s="48" t="e">
        <f t="shared" ca="1" si="23"/>
        <v>#REF!</v>
      </c>
      <c r="AD803" s="48" t="e">
        <f t="shared" ca="1" si="24"/>
        <v>#REF!</v>
      </c>
      <c r="AE803" s="48" t="e">
        <f t="shared" ca="1" si="25"/>
        <v>#REF!</v>
      </c>
      <c r="AF803" s="48" t="e">
        <f t="shared" ca="1" si="26"/>
        <v>#REF!</v>
      </c>
      <c r="AG803" s="48" t="e">
        <f t="shared" ca="1" si="27"/>
        <v>#REF!</v>
      </c>
      <c r="AH803" s="48" t="e">
        <f t="shared" ca="1" si="28"/>
        <v>#REF!</v>
      </c>
      <c r="AI803" s="48" t="e">
        <f t="shared" ca="1" si="29"/>
        <v>#REF!</v>
      </c>
      <c r="AJ803" s="48" t="e">
        <f t="shared" ca="1" si="30"/>
        <v>#REF!</v>
      </c>
      <c r="AK803" s="48" t="e">
        <f t="shared" ca="1" si="31"/>
        <v>#REF!</v>
      </c>
      <c r="AL803" s="48" t="e">
        <f t="shared" ca="1" si="32"/>
        <v>#REF!</v>
      </c>
      <c r="AM803" s="48" t="e">
        <f t="shared" ca="1" si="33"/>
        <v>#REF!</v>
      </c>
      <c r="AN803" s="48" t="e">
        <f t="shared" ca="1" si="34"/>
        <v>#REF!</v>
      </c>
      <c r="AO803" s="48" t="e">
        <f t="shared" ca="1" si="35"/>
        <v>#REF!</v>
      </c>
      <c r="AP803" s="48" t="e">
        <f t="shared" ca="1" si="36"/>
        <v>#REF!</v>
      </c>
      <c r="AQ803" s="48" t="e">
        <f t="shared" ca="1" si="37"/>
        <v>#REF!</v>
      </c>
      <c r="AR803" s="48" t="e">
        <f t="shared" ca="1" si="38"/>
        <v>#REF!</v>
      </c>
      <c r="AS803" s="48" t="e">
        <f t="shared" ca="1" si="39"/>
        <v>#REF!</v>
      </c>
      <c r="AT803" s="48" t="e">
        <f t="shared" ca="1" si="40"/>
        <v>#REF!</v>
      </c>
      <c r="AU803" s="93" t="e">
        <f t="shared" ca="1" si="56"/>
        <v>#REF!</v>
      </c>
      <c r="AV803" s="93" t="e">
        <f t="shared" ca="1" si="16"/>
        <v>#REF!</v>
      </c>
      <c r="AW803" s="93" t="e">
        <f t="shared" ca="1" si="17"/>
        <v>#REF!</v>
      </c>
      <c r="AX803" s="93" t="e">
        <f t="shared" ca="1" si="18"/>
        <v>#REF!</v>
      </c>
      <c r="AY803" s="93" t="e">
        <f t="shared" ca="1" si="19"/>
        <v>#REF!</v>
      </c>
    </row>
    <row r="804" spans="1:52" ht="16.5" customHeight="1" x14ac:dyDescent="0.15">
      <c r="A804" s="121" t="s">
        <v>7872</v>
      </c>
      <c r="B804" s="47" t="s">
        <v>7873</v>
      </c>
      <c r="C804" s="48" t="e">
        <f ca="1">INDIRECT("'["&amp;$C$1&amp;".xls]"&amp;$B804&amp;"'!$i$7")</f>
        <v>#REF!</v>
      </c>
      <c r="D804" s="62" t="e">
        <f t="shared" ca="1" si="42"/>
        <v>#REF!</v>
      </c>
      <c r="E804" s="48" t="e">
        <f t="shared" ca="1" si="43"/>
        <v>#REF!</v>
      </c>
      <c r="F804" s="61" t="e">
        <f t="shared" ca="1" si="44"/>
        <v>#REF!</v>
      </c>
      <c r="G804" s="61" t="e">
        <f t="shared" ca="1" si="20"/>
        <v>#REF!</v>
      </c>
      <c r="H804" s="88" t="e">
        <f t="shared" ca="1" si="45"/>
        <v>#REF!</v>
      </c>
      <c r="I804" s="61" t="e">
        <f t="shared" ca="1" si="46"/>
        <v>#REF!</v>
      </c>
      <c r="J804" s="87"/>
      <c r="K804" s="62" t="e">
        <f t="shared" ca="1" si="47"/>
        <v>#REF!</v>
      </c>
      <c r="L804" s="62"/>
      <c r="M804" s="62" t="e">
        <f t="shared" ca="1" si="48"/>
        <v>#REF!</v>
      </c>
      <c r="N804" s="62" t="e">
        <f t="shared" ca="1" si="49"/>
        <v>#REF!</v>
      </c>
      <c r="O804" s="48" t="e">
        <f t="shared" ca="1" si="50"/>
        <v>#REF!</v>
      </c>
      <c r="P804" s="48" t="e">
        <f t="shared" ca="1" si="51"/>
        <v>#REF!</v>
      </c>
      <c r="Q804" s="48" t="e">
        <f t="shared" ca="1" si="52"/>
        <v>#REF!</v>
      </c>
      <c r="R804" s="48"/>
      <c r="S804" s="48" t="e">
        <f t="shared" ca="1" si="53"/>
        <v>#REF!</v>
      </c>
      <c r="T804" s="48" t="e">
        <f t="shared" ca="1" si="54"/>
        <v>#REF!</v>
      </c>
      <c r="U804" s="48" t="e">
        <f t="shared" ca="1" si="55"/>
        <v>#REF!</v>
      </c>
      <c r="V804" s="48"/>
      <c r="W804" s="48"/>
      <c r="X804" s="48"/>
      <c r="Y804" s="48"/>
      <c r="Z804" s="61"/>
      <c r="AA804" s="48" t="e">
        <f t="shared" ca="1" si="21"/>
        <v>#REF!</v>
      </c>
      <c r="AB804" s="48" t="e">
        <f t="shared" ca="1" si="22"/>
        <v>#REF!</v>
      </c>
      <c r="AC804" s="48" t="e">
        <f t="shared" ca="1" si="23"/>
        <v>#REF!</v>
      </c>
      <c r="AD804" s="48" t="e">
        <f t="shared" ca="1" si="24"/>
        <v>#REF!</v>
      </c>
      <c r="AE804" s="48" t="e">
        <f t="shared" ca="1" si="25"/>
        <v>#REF!</v>
      </c>
      <c r="AF804" s="48" t="e">
        <f t="shared" ca="1" si="26"/>
        <v>#REF!</v>
      </c>
      <c r="AG804" s="48" t="e">
        <f t="shared" ca="1" si="27"/>
        <v>#REF!</v>
      </c>
      <c r="AH804" s="48" t="e">
        <f t="shared" ca="1" si="28"/>
        <v>#REF!</v>
      </c>
      <c r="AI804" s="48" t="e">
        <f t="shared" ca="1" si="29"/>
        <v>#REF!</v>
      </c>
      <c r="AJ804" s="48" t="e">
        <f t="shared" ca="1" si="30"/>
        <v>#REF!</v>
      </c>
      <c r="AK804" s="48" t="e">
        <f t="shared" ca="1" si="31"/>
        <v>#REF!</v>
      </c>
      <c r="AL804" s="48" t="e">
        <f t="shared" ca="1" si="32"/>
        <v>#REF!</v>
      </c>
      <c r="AM804" s="48" t="e">
        <f t="shared" ca="1" si="33"/>
        <v>#REF!</v>
      </c>
      <c r="AN804" s="48" t="e">
        <f t="shared" ca="1" si="34"/>
        <v>#REF!</v>
      </c>
      <c r="AO804" s="48" t="e">
        <f t="shared" ca="1" si="35"/>
        <v>#REF!</v>
      </c>
      <c r="AP804" s="48" t="e">
        <f t="shared" ca="1" si="36"/>
        <v>#REF!</v>
      </c>
      <c r="AQ804" s="48" t="e">
        <f t="shared" ca="1" si="37"/>
        <v>#REF!</v>
      </c>
      <c r="AR804" s="48" t="e">
        <f t="shared" ca="1" si="38"/>
        <v>#REF!</v>
      </c>
      <c r="AS804" s="48" t="e">
        <f t="shared" ca="1" si="39"/>
        <v>#REF!</v>
      </c>
      <c r="AT804" s="48" t="e">
        <f t="shared" ca="1" si="40"/>
        <v>#REF!</v>
      </c>
      <c r="AU804" s="93" t="e">
        <f t="shared" ca="1" si="56"/>
        <v>#REF!</v>
      </c>
      <c r="AV804" s="93" t="e">
        <f t="shared" ca="1" si="16"/>
        <v>#REF!</v>
      </c>
      <c r="AW804" s="93" t="e">
        <f t="shared" ca="1" si="17"/>
        <v>#REF!</v>
      </c>
      <c r="AX804" s="93" t="e">
        <f t="shared" ca="1" si="18"/>
        <v>#REF!</v>
      </c>
      <c r="AY804" s="93" t="e">
        <f t="shared" ca="1" si="19"/>
        <v>#REF!</v>
      </c>
    </row>
    <row r="805" spans="1:52" ht="16.5" customHeight="1" x14ac:dyDescent="0.15">
      <c r="A805" s="199" t="s">
        <v>7874</v>
      </c>
      <c r="B805" s="209" t="s">
        <v>7875</v>
      </c>
      <c r="C805" s="48" t="s">
        <v>7876</v>
      </c>
      <c r="D805" s="62" t="s">
        <v>263</v>
      </c>
      <c r="E805" s="48" t="s">
        <v>264</v>
      </c>
      <c r="F805" s="61">
        <v>42691</v>
      </c>
      <c r="G805" s="61">
        <v>0</v>
      </c>
      <c r="H805" s="125">
        <v>42704</v>
      </c>
      <c r="I805" s="61" t="s">
        <v>279</v>
      </c>
      <c r="J805" s="87"/>
      <c r="K805" s="62" t="s">
        <v>2506</v>
      </c>
      <c r="L805" s="62">
        <v>3</v>
      </c>
      <c r="M805" s="62" t="s">
        <v>409</v>
      </c>
      <c r="N805" s="62" t="s">
        <v>7877</v>
      </c>
      <c r="O805" s="48" t="s">
        <v>1770</v>
      </c>
      <c r="P805" s="48" t="s">
        <v>7878</v>
      </c>
      <c r="Q805" s="48" t="s">
        <v>1482</v>
      </c>
      <c r="R805" s="48"/>
      <c r="S805" s="48" t="s">
        <v>269</v>
      </c>
      <c r="T805" s="48" t="s">
        <v>270</v>
      </c>
      <c r="U805" s="48" t="s">
        <v>7879</v>
      </c>
      <c r="V805" s="48"/>
      <c r="W805" s="48"/>
      <c r="X805" s="48"/>
      <c r="Y805" s="48"/>
      <c r="Z805" s="61"/>
      <c r="AA805" s="48" t="s">
        <v>887</v>
      </c>
      <c r="AB805" s="48" t="s">
        <v>273</v>
      </c>
      <c r="AC805" s="48" t="s">
        <v>273</v>
      </c>
      <c r="AD805" s="48" t="s">
        <v>273</v>
      </c>
      <c r="AE805" s="48" t="s">
        <v>273</v>
      </c>
      <c r="AF805" s="48" t="s">
        <v>273</v>
      </c>
      <c r="AG805" s="48" t="s">
        <v>273</v>
      </c>
      <c r="AH805" s="48" t="s">
        <v>273</v>
      </c>
      <c r="AI805" s="48" t="s">
        <v>273</v>
      </c>
      <c r="AJ805" s="48" t="s">
        <v>273</v>
      </c>
      <c r="AK805" s="48" t="s">
        <v>888</v>
      </c>
      <c r="AL805" s="48" t="s">
        <v>273</v>
      </c>
      <c r="AM805" s="48" t="s">
        <v>273</v>
      </c>
      <c r="AN805" s="48" t="s">
        <v>273</v>
      </c>
      <c r="AO805" s="48" t="s">
        <v>273</v>
      </c>
      <c r="AP805" s="48" t="s">
        <v>273</v>
      </c>
      <c r="AQ805" s="48" t="s">
        <v>273</v>
      </c>
      <c r="AR805" s="48" t="s">
        <v>273</v>
      </c>
      <c r="AS805" s="48" t="s">
        <v>273</v>
      </c>
      <c r="AT805" s="48" t="s">
        <v>273</v>
      </c>
      <c r="AU805" s="93">
        <v>41426</v>
      </c>
      <c r="AV805" s="93" t="s">
        <v>7880</v>
      </c>
      <c r="AW805" s="93" t="s">
        <v>7881</v>
      </c>
      <c r="AX805" s="93" t="s">
        <v>7135</v>
      </c>
      <c r="AY805" s="93" t="s">
        <v>5312</v>
      </c>
    </row>
    <row r="806" spans="1:52" ht="16.5" customHeight="1" x14ac:dyDescent="0.15">
      <c r="A806" s="121" t="s">
        <v>7882</v>
      </c>
      <c r="B806" s="47" t="s">
        <v>7883</v>
      </c>
      <c r="C806" s="48" t="e">
        <f t="shared" ref="C806:C812" ca="1" si="57">INDIRECT("'["&amp;$C$1&amp;".xls]"&amp;$B806&amp;"'!$i$7")</f>
        <v>#REF!</v>
      </c>
      <c r="D806" s="62" t="e">
        <f t="shared" ca="1" si="42"/>
        <v>#REF!</v>
      </c>
      <c r="E806" s="48" t="e">
        <f t="shared" ca="1" si="43"/>
        <v>#REF!</v>
      </c>
      <c r="F806" s="61" t="e">
        <f t="shared" ca="1" si="44"/>
        <v>#REF!</v>
      </c>
      <c r="G806" s="61" t="e">
        <f t="shared" ca="1" si="20"/>
        <v>#REF!</v>
      </c>
      <c r="H806" s="88" t="e">
        <f t="shared" ca="1" si="45"/>
        <v>#REF!</v>
      </c>
      <c r="I806" s="61" t="e">
        <f t="shared" ca="1" si="46"/>
        <v>#REF!</v>
      </c>
      <c r="J806" s="87"/>
      <c r="K806" s="62" t="e">
        <f t="shared" ca="1" si="47"/>
        <v>#REF!</v>
      </c>
      <c r="L806" s="62"/>
      <c r="M806" s="62" t="e">
        <f t="shared" ca="1" si="48"/>
        <v>#REF!</v>
      </c>
      <c r="N806" s="62" t="e">
        <f t="shared" ca="1" si="49"/>
        <v>#REF!</v>
      </c>
      <c r="O806" s="48" t="e">
        <f t="shared" ca="1" si="50"/>
        <v>#REF!</v>
      </c>
      <c r="P806" s="48" t="e">
        <f t="shared" ca="1" si="51"/>
        <v>#REF!</v>
      </c>
      <c r="Q806" s="48" t="e">
        <f t="shared" ca="1" si="52"/>
        <v>#REF!</v>
      </c>
      <c r="R806" s="48"/>
      <c r="S806" s="48" t="e">
        <f t="shared" ca="1" si="53"/>
        <v>#REF!</v>
      </c>
      <c r="T806" s="48" t="e">
        <f t="shared" ca="1" si="54"/>
        <v>#REF!</v>
      </c>
      <c r="U806" s="48" t="e">
        <f t="shared" ca="1" si="55"/>
        <v>#REF!</v>
      </c>
      <c r="V806" s="48"/>
      <c r="W806" s="48"/>
      <c r="X806" s="48"/>
      <c r="Y806" s="48"/>
      <c r="Z806" s="61"/>
      <c r="AA806" s="48" t="e">
        <f t="shared" ca="1" si="21"/>
        <v>#REF!</v>
      </c>
      <c r="AB806" s="48" t="e">
        <f t="shared" ca="1" si="22"/>
        <v>#REF!</v>
      </c>
      <c r="AC806" s="48" t="e">
        <f t="shared" ca="1" si="23"/>
        <v>#REF!</v>
      </c>
      <c r="AD806" s="48" t="e">
        <f t="shared" ca="1" si="24"/>
        <v>#REF!</v>
      </c>
      <c r="AE806" s="48" t="e">
        <f t="shared" ca="1" si="25"/>
        <v>#REF!</v>
      </c>
      <c r="AF806" s="48" t="e">
        <f t="shared" ca="1" si="26"/>
        <v>#REF!</v>
      </c>
      <c r="AG806" s="48" t="e">
        <f t="shared" ca="1" si="27"/>
        <v>#REF!</v>
      </c>
      <c r="AH806" s="48" t="e">
        <f t="shared" ca="1" si="28"/>
        <v>#REF!</v>
      </c>
      <c r="AI806" s="48" t="e">
        <f t="shared" ca="1" si="29"/>
        <v>#REF!</v>
      </c>
      <c r="AJ806" s="48" t="e">
        <f t="shared" ca="1" si="30"/>
        <v>#REF!</v>
      </c>
      <c r="AK806" s="48" t="e">
        <f t="shared" ca="1" si="31"/>
        <v>#REF!</v>
      </c>
      <c r="AL806" s="48" t="e">
        <f t="shared" ca="1" si="32"/>
        <v>#REF!</v>
      </c>
      <c r="AM806" s="48" t="e">
        <f t="shared" ca="1" si="33"/>
        <v>#REF!</v>
      </c>
      <c r="AN806" s="48" t="e">
        <f t="shared" ca="1" si="34"/>
        <v>#REF!</v>
      </c>
      <c r="AO806" s="48" t="e">
        <f t="shared" ca="1" si="35"/>
        <v>#REF!</v>
      </c>
      <c r="AP806" s="48" t="e">
        <f t="shared" ca="1" si="36"/>
        <v>#REF!</v>
      </c>
      <c r="AQ806" s="48" t="e">
        <f t="shared" ca="1" si="37"/>
        <v>#REF!</v>
      </c>
      <c r="AR806" s="48" t="e">
        <f t="shared" ca="1" si="38"/>
        <v>#REF!</v>
      </c>
      <c r="AS806" s="48" t="e">
        <f t="shared" ca="1" si="39"/>
        <v>#REF!</v>
      </c>
      <c r="AT806" s="48" t="e">
        <f t="shared" ca="1" si="40"/>
        <v>#REF!</v>
      </c>
      <c r="AU806" s="93" t="e">
        <f t="shared" ca="1" si="56"/>
        <v>#REF!</v>
      </c>
      <c r="AV806" s="93" t="e">
        <f t="shared" ca="1" si="16"/>
        <v>#REF!</v>
      </c>
      <c r="AW806" s="93" t="e">
        <f t="shared" ca="1" si="17"/>
        <v>#REF!</v>
      </c>
      <c r="AX806" s="93" t="e">
        <f t="shared" ca="1" si="18"/>
        <v>#REF!</v>
      </c>
      <c r="AY806" s="93" t="e">
        <f t="shared" ca="1" si="19"/>
        <v>#REF!</v>
      </c>
    </row>
    <row r="807" spans="1:52" ht="16.5" customHeight="1" x14ac:dyDescent="0.15">
      <c r="A807" s="211" t="s">
        <v>7884</v>
      </c>
      <c r="B807" s="47" t="s">
        <v>7885</v>
      </c>
      <c r="C807" s="48" t="e">
        <f t="shared" ca="1" si="57"/>
        <v>#REF!</v>
      </c>
      <c r="D807" s="62" t="e">
        <f t="shared" ca="1" si="42"/>
        <v>#REF!</v>
      </c>
      <c r="E807" s="48" t="e">
        <f t="shared" ca="1" si="43"/>
        <v>#REF!</v>
      </c>
      <c r="F807" s="61" t="e">
        <f t="shared" ca="1" si="44"/>
        <v>#REF!</v>
      </c>
      <c r="G807" s="61" t="e">
        <f t="shared" ca="1" si="20"/>
        <v>#REF!</v>
      </c>
      <c r="H807" s="88" t="e">
        <f t="shared" ca="1" si="45"/>
        <v>#REF!</v>
      </c>
      <c r="I807" s="61" t="e">
        <f t="shared" ca="1" si="46"/>
        <v>#REF!</v>
      </c>
      <c r="J807" s="87"/>
      <c r="K807" s="62" t="s">
        <v>2506</v>
      </c>
      <c r="L807" s="62">
        <v>3</v>
      </c>
      <c r="M807" s="62" t="e">
        <f t="shared" ca="1" si="48"/>
        <v>#REF!</v>
      </c>
      <c r="N807" s="62" t="e">
        <f t="shared" ca="1" si="49"/>
        <v>#REF!</v>
      </c>
      <c r="O807" s="48" t="e">
        <f t="shared" ca="1" si="50"/>
        <v>#REF!</v>
      </c>
      <c r="P807" s="48" t="e">
        <f t="shared" ca="1" si="51"/>
        <v>#REF!</v>
      </c>
      <c r="Q807" s="48" t="e">
        <f t="shared" ca="1" si="52"/>
        <v>#REF!</v>
      </c>
      <c r="R807" s="48"/>
      <c r="S807" s="48" t="e">
        <f t="shared" ca="1" si="53"/>
        <v>#REF!</v>
      </c>
      <c r="T807" s="48" t="e">
        <f t="shared" ca="1" si="54"/>
        <v>#REF!</v>
      </c>
      <c r="U807" s="48" t="e">
        <f t="shared" ca="1" si="55"/>
        <v>#REF!</v>
      </c>
      <c r="V807" s="122" t="s">
        <v>7886</v>
      </c>
      <c r="W807" s="122" t="s">
        <v>7887</v>
      </c>
      <c r="X807" s="48" t="s">
        <v>7888</v>
      </c>
      <c r="Y807" s="48" t="s">
        <v>7889</v>
      </c>
      <c r="Z807" s="61"/>
      <c r="AA807" s="48" t="e">
        <f t="shared" ca="1" si="21"/>
        <v>#REF!</v>
      </c>
      <c r="AB807" s="48" t="e">
        <f t="shared" ca="1" si="22"/>
        <v>#REF!</v>
      </c>
      <c r="AC807" s="48" t="e">
        <f t="shared" ca="1" si="23"/>
        <v>#REF!</v>
      </c>
      <c r="AD807" s="48" t="e">
        <f t="shared" ca="1" si="24"/>
        <v>#REF!</v>
      </c>
      <c r="AE807" s="48" t="e">
        <f t="shared" ca="1" si="25"/>
        <v>#REF!</v>
      </c>
      <c r="AF807" s="48" t="e">
        <f t="shared" ca="1" si="26"/>
        <v>#REF!</v>
      </c>
      <c r="AG807" s="48" t="e">
        <f t="shared" ca="1" si="27"/>
        <v>#REF!</v>
      </c>
      <c r="AH807" s="48" t="e">
        <f t="shared" ca="1" si="28"/>
        <v>#REF!</v>
      </c>
      <c r="AI807" s="48" t="e">
        <f t="shared" ca="1" si="29"/>
        <v>#REF!</v>
      </c>
      <c r="AJ807" s="48" t="e">
        <f t="shared" ca="1" si="30"/>
        <v>#REF!</v>
      </c>
      <c r="AK807" s="48" t="e">
        <f t="shared" ca="1" si="31"/>
        <v>#REF!</v>
      </c>
      <c r="AL807" s="48" t="e">
        <f t="shared" ca="1" si="32"/>
        <v>#REF!</v>
      </c>
      <c r="AM807" s="48" t="e">
        <f t="shared" ca="1" si="33"/>
        <v>#REF!</v>
      </c>
      <c r="AN807" s="48" t="e">
        <f t="shared" ca="1" si="34"/>
        <v>#REF!</v>
      </c>
      <c r="AO807" s="48" t="e">
        <f t="shared" ca="1" si="35"/>
        <v>#REF!</v>
      </c>
      <c r="AP807" s="48" t="e">
        <f t="shared" ca="1" si="36"/>
        <v>#REF!</v>
      </c>
      <c r="AQ807" s="48" t="e">
        <f t="shared" ca="1" si="37"/>
        <v>#REF!</v>
      </c>
      <c r="AR807" s="48" t="e">
        <f t="shared" ca="1" si="38"/>
        <v>#REF!</v>
      </c>
      <c r="AS807" s="48" t="e">
        <f t="shared" ca="1" si="39"/>
        <v>#REF!</v>
      </c>
      <c r="AT807" s="48" t="e">
        <f t="shared" ca="1" si="40"/>
        <v>#REF!</v>
      </c>
      <c r="AU807" s="93" t="e">
        <f t="shared" ca="1" si="56"/>
        <v>#REF!</v>
      </c>
      <c r="AV807" s="93" t="e">
        <f t="shared" ca="1" si="16"/>
        <v>#REF!</v>
      </c>
      <c r="AW807" s="93" t="e">
        <f t="shared" ca="1" si="17"/>
        <v>#REF!</v>
      </c>
      <c r="AX807" s="93" t="e">
        <f t="shared" ca="1" si="18"/>
        <v>#REF!</v>
      </c>
      <c r="AY807" s="93" t="e">
        <f t="shared" ca="1" si="19"/>
        <v>#REF!</v>
      </c>
    </row>
    <row r="808" spans="1:52" ht="16.5" customHeight="1" x14ac:dyDescent="0.15">
      <c r="A808" s="121" t="s">
        <v>7890</v>
      </c>
      <c r="B808" s="47" t="s">
        <v>7891</v>
      </c>
      <c r="C808" s="48" t="e">
        <f t="shared" ca="1" si="57"/>
        <v>#REF!</v>
      </c>
      <c r="D808" s="62" t="e">
        <f t="shared" ca="1" si="42"/>
        <v>#REF!</v>
      </c>
      <c r="E808" s="48" t="e">
        <f t="shared" ca="1" si="43"/>
        <v>#REF!</v>
      </c>
      <c r="F808" s="61" t="e">
        <f t="shared" ca="1" si="44"/>
        <v>#REF!</v>
      </c>
      <c r="G808" s="61" t="e">
        <f t="shared" ca="1" si="20"/>
        <v>#REF!</v>
      </c>
      <c r="H808" s="88" t="e">
        <f t="shared" ca="1" si="45"/>
        <v>#REF!</v>
      </c>
      <c r="I808" s="61" t="e">
        <f t="shared" ca="1" si="46"/>
        <v>#REF!</v>
      </c>
      <c r="J808" s="87"/>
      <c r="K808" s="62" t="e">
        <f t="shared" ca="1" si="47"/>
        <v>#REF!</v>
      </c>
      <c r="L808" s="62"/>
      <c r="M808" s="62" t="e">
        <f t="shared" ca="1" si="48"/>
        <v>#REF!</v>
      </c>
      <c r="N808" s="62" t="e">
        <f t="shared" ca="1" si="49"/>
        <v>#REF!</v>
      </c>
      <c r="O808" s="48" t="e">
        <f t="shared" ca="1" si="50"/>
        <v>#REF!</v>
      </c>
      <c r="P808" s="48" t="e">
        <f t="shared" ca="1" si="51"/>
        <v>#REF!</v>
      </c>
      <c r="Q808" s="48" t="e">
        <f t="shared" ca="1" si="52"/>
        <v>#REF!</v>
      </c>
      <c r="R808" s="48"/>
      <c r="S808" s="48" t="e">
        <f t="shared" ca="1" si="53"/>
        <v>#REF!</v>
      </c>
      <c r="T808" s="48" t="e">
        <f t="shared" ca="1" si="54"/>
        <v>#REF!</v>
      </c>
      <c r="U808" s="48" t="e">
        <f t="shared" ca="1" si="55"/>
        <v>#REF!</v>
      </c>
      <c r="V808" s="48"/>
      <c r="W808" s="48"/>
      <c r="X808" s="48"/>
      <c r="Y808" s="48"/>
      <c r="Z808" s="61"/>
      <c r="AA808" s="48" t="e">
        <f t="shared" ca="1" si="21"/>
        <v>#REF!</v>
      </c>
      <c r="AB808" s="48" t="e">
        <f t="shared" ca="1" si="22"/>
        <v>#REF!</v>
      </c>
      <c r="AC808" s="48" t="e">
        <f t="shared" ca="1" si="23"/>
        <v>#REF!</v>
      </c>
      <c r="AD808" s="48" t="e">
        <f t="shared" ca="1" si="24"/>
        <v>#REF!</v>
      </c>
      <c r="AE808" s="48" t="e">
        <f t="shared" ca="1" si="25"/>
        <v>#REF!</v>
      </c>
      <c r="AF808" s="48" t="e">
        <f t="shared" ca="1" si="26"/>
        <v>#REF!</v>
      </c>
      <c r="AG808" s="48" t="e">
        <f t="shared" ca="1" si="27"/>
        <v>#REF!</v>
      </c>
      <c r="AH808" s="48" t="e">
        <f t="shared" ca="1" si="28"/>
        <v>#REF!</v>
      </c>
      <c r="AI808" s="48" t="e">
        <f t="shared" ca="1" si="29"/>
        <v>#REF!</v>
      </c>
      <c r="AJ808" s="48" t="e">
        <f t="shared" ca="1" si="30"/>
        <v>#REF!</v>
      </c>
      <c r="AK808" s="48" t="e">
        <f t="shared" ca="1" si="31"/>
        <v>#REF!</v>
      </c>
      <c r="AL808" s="48" t="e">
        <f t="shared" ca="1" si="32"/>
        <v>#REF!</v>
      </c>
      <c r="AM808" s="48" t="e">
        <f t="shared" ca="1" si="33"/>
        <v>#REF!</v>
      </c>
      <c r="AN808" s="48" t="e">
        <f t="shared" ca="1" si="34"/>
        <v>#REF!</v>
      </c>
      <c r="AO808" s="48" t="e">
        <f t="shared" ca="1" si="35"/>
        <v>#REF!</v>
      </c>
      <c r="AP808" s="48" t="e">
        <f t="shared" ca="1" si="36"/>
        <v>#REF!</v>
      </c>
      <c r="AQ808" s="48" t="e">
        <f t="shared" ca="1" si="37"/>
        <v>#REF!</v>
      </c>
      <c r="AR808" s="48" t="e">
        <f t="shared" ca="1" si="38"/>
        <v>#REF!</v>
      </c>
      <c r="AS808" s="48" t="e">
        <f t="shared" ca="1" si="39"/>
        <v>#REF!</v>
      </c>
      <c r="AT808" s="48" t="e">
        <f t="shared" ca="1" si="40"/>
        <v>#REF!</v>
      </c>
      <c r="AU808" s="93" t="e">
        <f t="shared" ca="1" si="56"/>
        <v>#REF!</v>
      </c>
      <c r="AV808" s="93" t="e">
        <f t="shared" ca="1" si="16"/>
        <v>#REF!</v>
      </c>
      <c r="AW808" s="93" t="e">
        <f t="shared" ca="1" si="17"/>
        <v>#REF!</v>
      </c>
      <c r="AX808" s="93" t="e">
        <f t="shared" ca="1" si="18"/>
        <v>#REF!</v>
      </c>
      <c r="AY808" s="93" t="e">
        <f t="shared" ca="1" si="19"/>
        <v>#REF!</v>
      </c>
    </row>
    <row r="809" spans="1:52" ht="16.5" customHeight="1" x14ac:dyDescent="0.15">
      <c r="A809" s="121" t="s">
        <v>7892</v>
      </c>
      <c r="B809" s="47" t="s">
        <v>7893</v>
      </c>
      <c r="C809" s="48" t="e">
        <f t="shared" ca="1" si="57"/>
        <v>#REF!</v>
      </c>
      <c r="D809" s="62" t="e">
        <f t="shared" ca="1" si="42"/>
        <v>#REF!</v>
      </c>
      <c r="E809" s="48" t="e">
        <f t="shared" ca="1" si="43"/>
        <v>#REF!</v>
      </c>
      <c r="F809" s="61" t="e">
        <f t="shared" ca="1" si="44"/>
        <v>#REF!</v>
      </c>
      <c r="G809" s="61" t="e">
        <f t="shared" ca="1" si="20"/>
        <v>#REF!</v>
      </c>
      <c r="H809" s="88" t="e">
        <f t="shared" ca="1" si="45"/>
        <v>#REF!</v>
      </c>
      <c r="I809" s="61" t="e">
        <f t="shared" ca="1" si="46"/>
        <v>#REF!</v>
      </c>
      <c r="J809" s="87"/>
      <c r="K809" s="62" t="e">
        <f t="shared" ca="1" si="47"/>
        <v>#REF!</v>
      </c>
      <c r="L809" s="62"/>
      <c r="M809" s="62" t="e">
        <f t="shared" ca="1" si="48"/>
        <v>#REF!</v>
      </c>
      <c r="N809" s="62" t="e">
        <f t="shared" ca="1" si="49"/>
        <v>#REF!</v>
      </c>
      <c r="O809" s="48" t="e">
        <f t="shared" ca="1" si="50"/>
        <v>#REF!</v>
      </c>
      <c r="P809" s="48" t="e">
        <f t="shared" ca="1" si="51"/>
        <v>#REF!</v>
      </c>
      <c r="Q809" s="48" t="e">
        <f t="shared" ca="1" si="52"/>
        <v>#REF!</v>
      </c>
      <c r="R809" s="48"/>
      <c r="S809" s="48" t="e">
        <f t="shared" ca="1" si="53"/>
        <v>#REF!</v>
      </c>
      <c r="T809" s="48" t="e">
        <f t="shared" ca="1" si="54"/>
        <v>#REF!</v>
      </c>
      <c r="U809" s="48" t="e">
        <f t="shared" ca="1" si="55"/>
        <v>#REF!</v>
      </c>
      <c r="V809" s="48"/>
      <c r="W809" s="48"/>
      <c r="X809" s="48"/>
      <c r="Y809" s="48"/>
      <c r="Z809" s="61"/>
      <c r="AA809" s="48" t="e">
        <f t="shared" ca="1" si="21"/>
        <v>#REF!</v>
      </c>
      <c r="AB809" s="48" t="e">
        <f t="shared" ca="1" si="22"/>
        <v>#REF!</v>
      </c>
      <c r="AC809" s="48" t="e">
        <f t="shared" ca="1" si="23"/>
        <v>#REF!</v>
      </c>
      <c r="AD809" s="48" t="e">
        <f t="shared" ca="1" si="24"/>
        <v>#REF!</v>
      </c>
      <c r="AE809" s="48" t="e">
        <f t="shared" ca="1" si="25"/>
        <v>#REF!</v>
      </c>
      <c r="AF809" s="48" t="e">
        <f t="shared" ca="1" si="26"/>
        <v>#REF!</v>
      </c>
      <c r="AG809" s="48" t="e">
        <f t="shared" ca="1" si="27"/>
        <v>#REF!</v>
      </c>
      <c r="AH809" s="48" t="e">
        <f t="shared" ca="1" si="28"/>
        <v>#REF!</v>
      </c>
      <c r="AI809" s="48" t="e">
        <f t="shared" ca="1" si="29"/>
        <v>#REF!</v>
      </c>
      <c r="AJ809" s="48" t="e">
        <f t="shared" ca="1" si="30"/>
        <v>#REF!</v>
      </c>
      <c r="AK809" s="48" t="e">
        <f t="shared" ca="1" si="31"/>
        <v>#REF!</v>
      </c>
      <c r="AL809" s="48" t="e">
        <f t="shared" ca="1" si="32"/>
        <v>#REF!</v>
      </c>
      <c r="AM809" s="48" t="e">
        <f t="shared" ca="1" si="33"/>
        <v>#REF!</v>
      </c>
      <c r="AN809" s="48" t="e">
        <f t="shared" ca="1" si="34"/>
        <v>#REF!</v>
      </c>
      <c r="AO809" s="48" t="e">
        <f t="shared" ca="1" si="35"/>
        <v>#REF!</v>
      </c>
      <c r="AP809" s="48" t="e">
        <f t="shared" ca="1" si="36"/>
        <v>#REF!</v>
      </c>
      <c r="AQ809" s="48" t="e">
        <f t="shared" ca="1" si="37"/>
        <v>#REF!</v>
      </c>
      <c r="AR809" s="48" t="e">
        <f t="shared" ca="1" si="38"/>
        <v>#REF!</v>
      </c>
      <c r="AS809" s="48" t="e">
        <f t="shared" ca="1" si="39"/>
        <v>#REF!</v>
      </c>
      <c r="AT809" s="48" t="e">
        <f t="shared" ca="1" si="40"/>
        <v>#REF!</v>
      </c>
      <c r="AU809" s="93" t="e">
        <f t="shared" ca="1" si="56"/>
        <v>#REF!</v>
      </c>
      <c r="AV809" s="93" t="e">
        <f t="shared" ca="1" si="16"/>
        <v>#REF!</v>
      </c>
      <c r="AW809" s="93" t="e">
        <f t="shared" ca="1" si="17"/>
        <v>#REF!</v>
      </c>
      <c r="AX809" s="93" t="e">
        <f t="shared" ca="1" si="18"/>
        <v>#REF!</v>
      </c>
      <c r="AY809" s="93" t="e">
        <f t="shared" ca="1" si="19"/>
        <v>#REF!</v>
      </c>
    </row>
    <row r="810" spans="1:52" ht="16.5" customHeight="1" x14ac:dyDescent="0.15">
      <c r="A810" s="121" t="s">
        <v>7894</v>
      </c>
      <c r="B810" s="47" t="s">
        <v>7895</v>
      </c>
      <c r="C810" s="48" t="e">
        <f t="shared" ca="1" si="57"/>
        <v>#REF!</v>
      </c>
      <c r="D810" s="62" t="e">
        <f t="shared" ca="1" si="42"/>
        <v>#REF!</v>
      </c>
      <c r="E810" s="48" t="e">
        <f t="shared" ca="1" si="43"/>
        <v>#REF!</v>
      </c>
      <c r="F810" s="61" t="e">
        <f t="shared" ca="1" si="44"/>
        <v>#REF!</v>
      </c>
      <c r="G810" s="61" t="e">
        <f t="shared" ca="1" si="20"/>
        <v>#REF!</v>
      </c>
      <c r="H810" s="88" t="e">
        <f t="shared" ca="1" si="45"/>
        <v>#REF!</v>
      </c>
      <c r="I810" s="61" t="e">
        <f t="shared" ca="1" si="46"/>
        <v>#REF!</v>
      </c>
      <c r="J810" s="87"/>
      <c r="K810" s="62" t="e">
        <f t="shared" ca="1" si="47"/>
        <v>#REF!</v>
      </c>
      <c r="L810" s="62"/>
      <c r="M810" s="62" t="e">
        <f t="shared" ca="1" si="48"/>
        <v>#REF!</v>
      </c>
      <c r="N810" s="62" t="e">
        <f t="shared" ca="1" si="49"/>
        <v>#REF!</v>
      </c>
      <c r="O810" s="48" t="e">
        <f t="shared" ca="1" si="50"/>
        <v>#REF!</v>
      </c>
      <c r="P810" s="48" t="e">
        <f t="shared" ca="1" si="51"/>
        <v>#REF!</v>
      </c>
      <c r="Q810" s="48" t="e">
        <f t="shared" ca="1" si="52"/>
        <v>#REF!</v>
      </c>
      <c r="R810" s="48"/>
      <c r="S810" s="48" t="e">
        <f t="shared" ca="1" si="53"/>
        <v>#REF!</v>
      </c>
      <c r="T810" s="48" t="e">
        <f t="shared" ca="1" si="54"/>
        <v>#REF!</v>
      </c>
      <c r="U810" s="48" t="e">
        <f t="shared" ca="1" si="55"/>
        <v>#REF!</v>
      </c>
      <c r="V810" s="48"/>
      <c r="W810" s="48"/>
      <c r="X810" s="48"/>
      <c r="Y810" s="48"/>
      <c r="Z810" s="61"/>
      <c r="AA810" s="48" t="e">
        <f t="shared" ca="1" si="21"/>
        <v>#REF!</v>
      </c>
      <c r="AB810" s="48" t="e">
        <f t="shared" ca="1" si="22"/>
        <v>#REF!</v>
      </c>
      <c r="AC810" s="48" t="e">
        <f t="shared" ca="1" si="23"/>
        <v>#REF!</v>
      </c>
      <c r="AD810" s="48" t="e">
        <f t="shared" ca="1" si="24"/>
        <v>#REF!</v>
      </c>
      <c r="AE810" s="48" t="e">
        <f t="shared" ca="1" si="25"/>
        <v>#REF!</v>
      </c>
      <c r="AF810" s="48" t="e">
        <f t="shared" ca="1" si="26"/>
        <v>#REF!</v>
      </c>
      <c r="AG810" s="48" t="e">
        <f t="shared" ca="1" si="27"/>
        <v>#REF!</v>
      </c>
      <c r="AH810" s="48" t="e">
        <f t="shared" ca="1" si="28"/>
        <v>#REF!</v>
      </c>
      <c r="AI810" s="48" t="e">
        <f t="shared" ca="1" si="29"/>
        <v>#REF!</v>
      </c>
      <c r="AJ810" s="48" t="e">
        <f t="shared" ca="1" si="30"/>
        <v>#REF!</v>
      </c>
      <c r="AK810" s="48" t="e">
        <f t="shared" ca="1" si="31"/>
        <v>#REF!</v>
      </c>
      <c r="AL810" s="48" t="e">
        <f t="shared" ca="1" si="32"/>
        <v>#REF!</v>
      </c>
      <c r="AM810" s="48" t="e">
        <f t="shared" ca="1" si="33"/>
        <v>#REF!</v>
      </c>
      <c r="AN810" s="48" t="e">
        <f t="shared" ca="1" si="34"/>
        <v>#REF!</v>
      </c>
      <c r="AO810" s="48" t="e">
        <f t="shared" ca="1" si="35"/>
        <v>#REF!</v>
      </c>
      <c r="AP810" s="48" t="e">
        <f t="shared" ca="1" si="36"/>
        <v>#REF!</v>
      </c>
      <c r="AQ810" s="48" t="e">
        <f t="shared" ca="1" si="37"/>
        <v>#REF!</v>
      </c>
      <c r="AR810" s="48" t="e">
        <f t="shared" ca="1" si="38"/>
        <v>#REF!</v>
      </c>
      <c r="AS810" s="48" t="e">
        <f t="shared" ca="1" si="39"/>
        <v>#REF!</v>
      </c>
      <c r="AT810" s="48" t="e">
        <f t="shared" ca="1" si="40"/>
        <v>#REF!</v>
      </c>
      <c r="AU810" s="93" t="e">
        <f t="shared" ca="1" si="56"/>
        <v>#REF!</v>
      </c>
      <c r="AV810" s="93" t="e">
        <f t="shared" ca="1" si="16"/>
        <v>#REF!</v>
      </c>
      <c r="AW810" s="93" t="e">
        <f t="shared" ca="1" si="17"/>
        <v>#REF!</v>
      </c>
      <c r="AX810" s="93" t="e">
        <f t="shared" ca="1" si="18"/>
        <v>#REF!</v>
      </c>
      <c r="AY810" s="93" t="e">
        <f t="shared" ca="1" si="19"/>
        <v>#REF!</v>
      </c>
    </row>
    <row r="811" spans="1:52" ht="16.5" customHeight="1" x14ac:dyDescent="0.15">
      <c r="A811" s="121" t="s">
        <v>7896</v>
      </c>
      <c r="B811" s="47" t="s">
        <v>7897</v>
      </c>
      <c r="C811" s="48" t="e">
        <f t="shared" ca="1" si="57"/>
        <v>#REF!</v>
      </c>
      <c r="D811" s="62" t="e">
        <f t="shared" ca="1" si="42"/>
        <v>#REF!</v>
      </c>
      <c r="E811" s="48" t="e">
        <f t="shared" ca="1" si="43"/>
        <v>#REF!</v>
      </c>
      <c r="F811" s="61" t="e">
        <f t="shared" ca="1" si="44"/>
        <v>#REF!</v>
      </c>
      <c r="G811" s="61" t="e">
        <f t="shared" ca="1" si="20"/>
        <v>#REF!</v>
      </c>
      <c r="H811" s="88" t="e">
        <f t="shared" ca="1" si="45"/>
        <v>#REF!</v>
      </c>
      <c r="I811" s="61" t="e">
        <f t="shared" ca="1" si="46"/>
        <v>#REF!</v>
      </c>
      <c r="J811" s="87"/>
      <c r="K811" s="62" t="e">
        <f t="shared" ca="1" si="47"/>
        <v>#REF!</v>
      </c>
      <c r="L811" s="62"/>
      <c r="M811" s="62" t="e">
        <f t="shared" ca="1" si="48"/>
        <v>#REF!</v>
      </c>
      <c r="N811" s="62" t="e">
        <f t="shared" ca="1" si="49"/>
        <v>#REF!</v>
      </c>
      <c r="O811" s="48" t="e">
        <f t="shared" ca="1" si="50"/>
        <v>#REF!</v>
      </c>
      <c r="P811" s="48" t="e">
        <f t="shared" ca="1" si="51"/>
        <v>#REF!</v>
      </c>
      <c r="Q811" s="48" t="e">
        <f t="shared" ca="1" si="52"/>
        <v>#REF!</v>
      </c>
      <c r="R811" s="48"/>
      <c r="S811" s="48" t="e">
        <f t="shared" ca="1" si="53"/>
        <v>#REF!</v>
      </c>
      <c r="T811" s="48" t="e">
        <f t="shared" ca="1" si="54"/>
        <v>#REF!</v>
      </c>
      <c r="U811" s="48" t="e">
        <f t="shared" ca="1" si="55"/>
        <v>#REF!</v>
      </c>
      <c r="V811" s="48"/>
      <c r="W811" s="48"/>
      <c r="X811" s="48"/>
      <c r="Y811" s="48"/>
      <c r="Z811" s="61"/>
      <c r="AA811" s="48" t="e">
        <f t="shared" ca="1" si="21"/>
        <v>#REF!</v>
      </c>
      <c r="AB811" s="48" t="e">
        <f t="shared" ca="1" si="22"/>
        <v>#REF!</v>
      </c>
      <c r="AC811" s="48" t="e">
        <f t="shared" ca="1" si="23"/>
        <v>#REF!</v>
      </c>
      <c r="AD811" s="48" t="e">
        <f t="shared" ca="1" si="24"/>
        <v>#REF!</v>
      </c>
      <c r="AE811" s="48" t="e">
        <f t="shared" ca="1" si="25"/>
        <v>#REF!</v>
      </c>
      <c r="AF811" s="48" t="e">
        <f t="shared" ca="1" si="26"/>
        <v>#REF!</v>
      </c>
      <c r="AG811" s="48" t="e">
        <f t="shared" ca="1" si="27"/>
        <v>#REF!</v>
      </c>
      <c r="AH811" s="48" t="e">
        <f t="shared" ca="1" si="28"/>
        <v>#REF!</v>
      </c>
      <c r="AI811" s="48" t="e">
        <f t="shared" ca="1" si="29"/>
        <v>#REF!</v>
      </c>
      <c r="AJ811" s="48" t="e">
        <f t="shared" ca="1" si="30"/>
        <v>#REF!</v>
      </c>
      <c r="AK811" s="48" t="e">
        <f t="shared" ca="1" si="31"/>
        <v>#REF!</v>
      </c>
      <c r="AL811" s="48" t="e">
        <f t="shared" ca="1" si="32"/>
        <v>#REF!</v>
      </c>
      <c r="AM811" s="48" t="e">
        <f t="shared" ca="1" si="33"/>
        <v>#REF!</v>
      </c>
      <c r="AN811" s="48" t="e">
        <f t="shared" ca="1" si="34"/>
        <v>#REF!</v>
      </c>
      <c r="AO811" s="48" t="e">
        <f t="shared" ca="1" si="35"/>
        <v>#REF!</v>
      </c>
      <c r="AP811" s="48" t="e">
        <f t="shared" ca="1" si="36"/>
        <v>#REF!</v>
      </c>
      <c r="AQ811" s="48" t="e">
        <f t="shared" ca="1" si="37"/>
        <v>#REF!</v>
      </c>
      <c r="AR811" s="48" t="e">
        <f t="shared" ca="1" si="38"/>
        <v>#REF!</v>
      </c>
      <c r="AS811" s="48" t="e">
        <f t="shared" ca="1" si="39"/>
        <v>#REF!</v>
      </c>
      <c r="AT811" s="48" t="e">
        <f t="shared" ca="1" si="40"/>
        <v>#REF!</v>
      </c>
      <c r="AU811" s="93" t="e">
        <f t="shared" ca="1" si="56"/>
        <v>#REF!</v>
      </c>
      <c r="AV811" s="93" t="e">
        <f t="shared" ca="1" si="16"/>
        <v>#REF!</v>
      </c>
      <c r="AW811" s="93" t="e">
        <f t="shared" ca="1" si="17"/>
        <v>#REF!</v>
      </c>
      <c r="AX811" s="93" t="e">
        <f t="shared" ca="1" si="18"/>
        <v>#REF!</v>
      </c>
      <c r="AY811" s="93" t="e">
        <f t="shared" ca="1" si="19"/>
        <v>#REF!</v>
      </c>
    </row>
    <row r="812" spans="1:52" ht="16.5" customHeight="1" x14ac:dyDescent="0.15">
      <c r="A812" s="121" t="s">
        <v>7898</v>
      </c>
      <c r="B812" s="47" t="s">
        <v>7899</v>
      </c>
      <c r="C812" s="48" t="e">
        <f t="shared" ca="1" si="57"/>
        <v>#REF!</v>
      </c>
      <c r="D812" s="62" t="e">
        <f t="shared" ca="1" si="42"/>
        <v>#REF!</v>
      </c>
      <c r="E812" s="48" t="e">
        <f t="shared" ca="1" si="43"/>
        <v>#REF!</v>
      </c>
      <c r="F812" s="61" t="e">
        <f t="shared" ca="1" si="44"/>
        <v>#REF!</v>
      </c>
      <c r="G812" s="61" t="e">
        <f t="shared" ca="1" si="20"/>
        <v>#REF!</v>
      </c>
      <c r="H812" s="88" t="e">
        <f t="shared" ca="1" si="45"/>
        <v>#REF!</v>
      </c>
      <c r="I812" s="61" t="e">
        <f t="shared" ca="1" si="46"/>
        <v>#REF!</v>
      </c>
      <c r="J812" s="87"/>
      <c r="K812" s="62" t="e">
        <f t="shared" ca="1" si="47"/>
        <v>#REF!</v>
      </c>
      <c r="L812" s="62"/>
      <c r="M812" s="62" t="e">
        <f t="shared" ca="1" si="48"/>
        <v>#REF!</v>
      </c>
      <c r="N812" s="62" t="e">
        <f t="shared" ca="1" si="49"/>
        <v>#REF!</v>
      </c>
      <c r="O812" s="48" t="e">
        <f t="shared" ca="1" si="50"/>
        <v>#REF!</v>
      </c>
      <c r="P812" s="48" t="e">
        <f t="shared" ca="1" si="51"/>
        <v>#REF!</v>
      </c>
      <c r="Q812" s="48" t="e">
        <f t="shared" ca="1" si="52"/>
        <v>#REF!</v>
      </c>
      <c r="R812" s="48"/>
      <c r="S812" s="48" t="e">
        <f t="shared" ca="1" si="53"/>
        <v>#REF!</v>
      </c>
      <c r="T812" s="48" t="e">
        <f t="shared" ca="1" si="54"/>
        <v>#REF!</v>
      </c>
      <c r="U812" s="48" t="e">
        <f t="shared" ca="1" si="55"/>
        <v>#REF!</v>
      </c>
      <c r="V812" s="48"/>
      <c r="W812" s="48"/>
      <c r="X812" s="48"/>
      <c r="Y812" s="48"/>
      <c r="Z812" s="61"/>
      <c r="AA812" s="48" t="e">
        <f t="shared" ca="1" si="21"/>
        <v>#REF!</v>
      </c>
      <c r="AB812" s="48" t="e">
        <f t="shared" ca="1" si="22"/>
        <v>#REF!</v>
      </c>
      <c r="AC812" s="48" t="e">
        <f t="shared" ca="1" si="23"/>
        <v>#REF!</v>
      </c>
      <c r="AD812" s="48" t="e">
        <f t="shared" ca="1" si="24"/>
        <v>#REF!</v>
      </c>
      <c r="AE812" s="48" t="e">
        <f t="shared" ca="1" si="25"/>
        <v>#REF!</v>
      </c>
      <c r="AF812" s="48" t="e">
        <f t="shared" ca="1" si="26"/>
        <v>#REF!</v>
      </c>
      <c r="AG812" s="48" t="e">
        <f t="shared" ca="1" si="27"/>
        <v>#REF!</v>
      </c>
      <c r="AH812" s="48" t="e">
        <f t="shared" ca="1" si="28"/>
        <v>#REF!</v>
      </c>
      <c r="AI812" s="48" t="e">
        <f t="shared" ca="1" si="29"/>
        <v>#REF!</v>
      </c>
      <c r="AJ812" s="48" t="e">
        <f t="shared" ca="1" si="30"/>
        <v>#REF!</v>
      </c>
      <c r="AK812" s="48" t="e">
        <f t="shared" ca="1" si="31"/>
        <v>#REF!</v>
      </c>
      <c r="AL812" s="48" t="e">
        <f t="shared" ca="1" si="32"/>
        <v>#REF!</v>
      </c>
      <c r="AM812" s="48" t="e">
        <f t="shared" ca="1" si="33"/>
        <v>#REF!</v>
      </c>
      <c r="AN812" s="48" t="e">
        <f t="shared" ca="1" si="34"/>
        <v>#REF!</v>
      </c>
      <c r="AO812" s="48" t="e">
        <f t="shared" ca="1" si="35"/>
        <v>#REF!</v>
      </c>
      <c r="AP812" s="48" t="e">
        <f t="shared" ca="1" si="36"/>
        <v>#REF!</v>
      </c>
      <c r="AQ812" s="48" t="e">
        <f t="shared" ca="1" si="37"/>
        <v>#REF!</v>
      </c>
      <c r="AR812" s="48" t="e">
        <f t="shared" ca="1" si="38"/>
        <v>#REF!</v>
      </c>
      <c r="AS812" s="48" t="e">
        <f t="shared" ca="1" si="39"/>
        <v>#REF!</v>
      </c>
      <c r="AT812" s="48" t="e">
        <f t="shared" ca="1" si="40"/>
        <v>#REF!</v>
      </c>
      <c r="AU812" s="93" t="e">
        <f t="shared" ca="1" si="56"/>
        <v>#REF!</v>
      </c>
      <c r="AV812" s="93" t="e">
        <f t="shared" ca="1" si="16"/>
        <v>#REF!</v>
      </c>
      <c r="AW812" s="93" t="e">
        <f t="shared" ca="1" si="17"/>
        <v>#REF!</v>
      </c>
      <c r="AX812" s="93" t="e">
        <f t="shared" ca="1" si="18"/>
        <v>#REF!</v>
      </c>
      <c r="AY812" s="93" t="e">
        <f t="shared" ca="1" si="19"/>
        <v>#REF!</v>
      </c>
    </row>
    <row r="813" spans="1:52" ht="16.5" customHeight="1" x14ac:dyDescent="0.15">
      <c r="A813" s="199" t="s">
        <v>7900</v>
      </c>
      <c r="B813" s="209" t="s">
        <v>7901</v>
      </c>
      <c r="C813" s="48" t="s">
        <v>7902</v>
      </c>
      <c r="D813" s="62" t="s">
        <v>7903</v>
      </c>
      <c r="E813" s="48" t="s">
        <v>300</v>
      </c>
      <c r="F813" s="61">
        <v>42695</v>
      </c>
      <c r="G813" s="61" t="s">
        <v>7904</v>
      </c>
      <c r="H813" s="125">
        <v>42698</v>
      </c>
      <c r="I813" s="61" t="s">
        <v>279</v>
      </c>
      <c r="J813" s="87"/>
      <c r="K813" s="62" t="s">
        <v>2506</v>
      </c>
      <c r="L813" s="124" t="s">
        <v>7293</v>
      </c>
      <c r="M813" s="62" t="s">
        <v>209</v>
      </c>
      <c r="N813" s="62" t="s">
        <v>7905</v>
      </c>
      <c r="O813" s="48" t="s">
        <v>266</v>
      </c>
      <c r="P813" s="48" t="s">
        <v>267</v>
      </c>
      <c r="Q813" s="48" t="s">
        <v>3742</v>
      </c>
      <c r="R813" s="48" t="s">
        <v>7906</v>
      </c>
      <c r="S813" s="48" t="s">
        <v>269</v>
      </c>
      <c r="T813" s="48" t="s">
        <v>270</v>
      </c>
      <c r="U813" s="48" t="s">
        <v>7907</v>
      </c>
      <c r="V813" s="122" t="s">
        <v>7293</v>
      </c>
      <c r="W813" s="122" t="s">
        <v>7293</v>
      </c>
      <c r="X813" s="48" t="s">
        <v>7908</v>
      </c>
      <c r="Y813" s="48" t="s">
        <v>7909</v>
      </c>
      <c r="Z813" s="61"/>
      <c r="AA813" s="48" t="s">
        <v>273</v>
      </c>
      <c r="AB813" s="48" t="s">
        <v>273</v>
      </c>
      <c r="AC813" s="48" t="s">
        <v>273</v>
      </c>
      <c r="AD813" s="48" t="s">
        <v>273</v>
      </c>
      <c r="AE813" s="48" t="s">
        <v>273</v>
      </c>
      <c r="AF813" s="48" t="s">
        <v>273</v>
      </c>
      <c r="AG813" s="48" t="s">
        <v>273</v>
      </c>
      <c r="AH813" s="48" t="s">
        <v>273</v>
      </c>
      <c r="AI813" s="48" t="s">
        <v>273</v>
      </c>
      <c r="AJ813" s="48" t="s">
        <v>273</v>
      </c>
      <c r="AK813" s="48" t="s">
        <v>273</v>
      </c>
      <c r="AL813" s="48" t="s">
        <v>273</v>
      </c>
      <c r="AM813" s="48" t="s">
        <v>273</v>
      </c>
      <c r="AN813" s="48" t="s">
        <v>273</v>
      </c>
      <c r="AO813" s="48" t="s">
        <v>273</v>
      </c>
      <c r="AP813" s="48" t="s">
        <v>273</v>
      </c>
      <c r="AQ813" s="48" t="s">
        <v>273</v>
      </c>
      <c r="AR813" s="48" t="s">
        <v>273</v>
      </c>
      <c r="AS813" s="48" t="s">
        <v>273</v>
      </c>
      <c r="AT813" s="48" t="s">
        <v>273</v>
      </c>
      <c r="AU813" s="93">
        <v>39479</v>
      </c>
      <c r="AV813" s="93" t="s">
        <v>7910</v>
      </c>
      <c r="AW813" s="93" t="s">
        <v>7911</v>
      </c>
      <c r="AX813" s="93" t="s">
        <v>7912</v>
      </c>
      <c r="AY813" s="93" t="s">
        <v>6475</v>
      </c>
      <c r="AZ813" s="49" t="s">
        <v>7913</v>
      </c>
    </row>
    <row r="814" spans="1:52" ht="16.5" customHeight="1" x14ac:dyDescent="0.15">
      <c r="A814" s="121" t="s">
        <v>7914</v>
      </c>
      <c r="B814" s="47" t="s">
        <v>7915</v>
      </c>
      <c r="C814" s="48" t="e">
        <f ca="1">INDIRECT("'["&amp;$C$1&amp;".xls]"&amp;$B814&amp;"'!$i$7")</f>
        <v>#REF!</v>
      </c>
      <c r="D814" s="62" t="e">
        <f t="shared" ca="1" si="42"/>
        <v>#REF!</v>
      </c>
      <c r="E814" s="48" t="e">
        <f t="shared" ca="1" si="43"/>
        <v>#REF!</v>
      </c>
      <c r="F814" s="61" t="e">
        <f t="shared" ca="1" si="44"/>
        <v>#REF!</v>
      </c>
      <c r="G814" s="61" t="e">
        <f t="shared" ca="1" si="20"/>
        <v>#REF!</v>
      </c>
      <c r="H814" s="88" t="e">
        <f t="shared" ca="1" si="45"/>
        <v>#REF!</v>
      </c>
      <c r="I814" s="61" t="e">
        <f t="shared" ca="1" si="46"/>
        <v>#REF!</v>
      </c>
      <c r="J814" s="87"/>
      <c r="K814" s="62" t="e">
        <f t="shared" ca="1" si="47"/>
        <v>#REF!</v>
      </c>
      <c r="L814" s="62"/>
      <c r="M814" s="62" t="e">
        <f t="shared" ca="1" si="48"/>
        <v>#REF!</v>
      </c>
      <c r="N814" s="62" t="e">
        <f t="shared" ca="1" si="49"/>
        <v>#REF!</v>
      </c>
      <c r="O814" s="48" t="e">
        <f t="shared" ca="1" si="50"/>
        <v>#REF!</v>
      </c>
      <c r="P814" s="48" t="e">
        <f t="shared" ca="1" si="51"/>
        <v>#REF!</v>
      </c>
      <c r="Q814" s="48" t="e">
        <f t="shared" ca="1" si="52"/>
        <v>#REF!</v>
      </c>
      <c r="R814" s="48"/>
      <c r="S814" s="48" t="e">
        <f t="shared" ca="1" si="53"/>
        <v>#REF!</v>
      </c>
      <c r="T814" s="48" t="e">
        <f t="shared" ca="1" si="54"/>
        <v>#REF!</v>
      </c>
      <c r="U814" s="48" t="e">
        <f t="shared" ca="1" si="55"/>
        <v>#REF!</v>
      </c>
      <c r="V814" s="48"/>
      <c r="W814" s="48"/>
      <c r="X814" s="48"/>
      <c r="Y814" s="48"/>
      <c r="Z814" s="61"/>
      <c r="AA814" s="48" t="e">
        <f t="shared" ca="1" si="21"/>
        <v>#REF!</v>
      </c>
      <c r="AB814" s="48" t="e">
        <f t="shared" ca="1" si="22"/>
        <v>#REF!</v>
      </c>
      <c r="AC814" s="48" t="e">
        <f t="shared" ca="1" si="23"/>
        <v>#REF!</v>
      </c>
      <c r="AD814" s="48" t="e">
        <f t="shared" ca="1" si="24"/>
        <v>#REF!</v>
      </c>
      <c r="AE814" s="48" t="e">
        <f t="shared" ca="1" si="25"/>
        <v>#REF!</v>
      </c>
      <c r="AF814" s="48" t="e">
        <f t="shared" ca="1" si="26"/>
        <v>#REF!</v>
      </c>
      <c r="AG814" s="48" t="e">
        <f t="shared" ca="1" si="27"/>
        <v>#REF!</v>
      </c>
      <c r="AH814" s="48" t="e">
        <f t="shared" ca="1" si="28"/>
        <v>#REF!</v>
      </c>
      <c r="AI814" s="48" t="e">
        <f t="shared" ca="1" si="29"/>
        <v>#REF!</v>
      </c>
      <c r="AJ814" s="48" t="e">
        <f t="shared" ca="1" si="30"/>
        <v>#REF!</v>
      </c>
      <c r="AK814" s="48" t="e">
        <f t="shared" ca="1" si="31"/>
        <v>#REF!</v>
      </c>
      <c r="AL814" s="48" t="e">
        <f t="shared" ca="1" si="32"/>
        <v>#REF!</v>
      </c>
      <c r="AM814" s="48" t="e">
        <f t="shared" ca="1" si="33"/>
        <v>#REF!</v>
      </c>
      <c r="AN814" s="48" t="e">
        <f t="shared" ca="1" si="34"/>
        <v>#REF!</v>
      </c>
      <c r="AO814" s="48" t="e">
        <f t="shared" ca="1" si="35"/>
        <v>#REF!</v>
      </c>
      <c r="AP814" s="48" t="e">
        <f t="shared" ca="1" si="36"/>
        <v>#REF!</v>
      </c>
      <c r="AQ814" s="48" t="e">
        <f t="shared" ca="1" si="37"/>
        <v>#REF!</v>
      </c>
      <c r="AR814" s="48" t="e">
        <f t="shared" ca="1" si="38"/>
        <v>#REF!</v>
      </c>
      <c r="AS814" s="48" t="e">
        <f t="shared" ca="1" si="39"/>
        <v>#REF!</v>
      </c>
      <c r="AT814" s="48" t="e">
        <f t="shared" ca="1" si="40"/>
        <v>#REF!</v>
      </c>
      <c r="AU814" s="93" t="e">
        <f t="shared" ca="1" si="56"/>
        <v>#REF!</v>
      </c>
      <c r="AV814" s="93" t="e">
        <f ca="1">INDIRECT("'["&amp;$C$1&amp;".xls]"&amp;$B814&amp;"'!$Y$22")</f>
        <v>#REF!</v>
      </c>
      <c r="AW814" s="93" t="e">
        <f ca="1">INDIRECT("'["&amp;$C$1&amp;".xls]"&amp;$B814&amp;"'!$Y$24")</f>
        <v>#REF!</v>
      </c>
      <c r="AX814" s="93" t="e">
        <f ca="1">INDIRECT("'["&amp;$C$1&amp;".xls]"&amp;$B814&amp;"'!$Y$26")</f>
        <v>#REF!</v>
      </c>
      <c r="AY814" s="93" t="e">
        <f ca="1">INDIRECT("'["&amp;$C$1&amp;".xls]"&amp;$B814&amp;"'!$Y$28")</f>
        <v>#REF!</v>
      </c>
    </row>
    <row r="815" spans="1:52" ht="16.5" customHeight="1" x14ac:dyDescent="0.15">
      <c r="A815" s="121" t="s">
        <v>7916</v>
      </c>
      <c r="B815" s="47" t="s">
        <v>7917</v>
      </c>
      <c r="C815" s="48" t="e">
        <f ca="1">INDIRECT("'["&amp;$C$1&amp;".xls]"&amp;$B815&amp;"'!$i$7")</f>
        <v>#REF!</v>
      </c>
      <c r="D815" s="62" t="e">
        <f t="shared" ca="1" si="42"/>
        <v>#REF!</v>
      </c>
      <c r="E815" s="48" t="e">
        <f t="shared" ca="1" si="43"/>
        <v>#REF!</v>
      </c>
      <c r="F815" s="61" t="e">
        <f t="shared" ca="1" si="44"/>
        <v>#REF!</v>
      </c>
      <c r="G815" s="61" t="e">
        <f t="shared" ca="1" si="20"/>
        <v>#REF!</v>
      </c>
      <c r="H815" s="88" t="e">
        <f t="shared" ca="1" si="45"/>
        <v>#REF!</v>
      </c>
      <c r="I815" s="61" t="e">
        <f t="shared" ca="1" si="46"/>
        <v>#REF!</v>
      </c>
      <c r="J815" s="87"/>
      <c r="K815" s="62" t="e">
        <f t="shared" ca="1" si="47"/>
        <v>#REF!</v>
      </c>
      <c r="L815" s="62"/>
      <c r="M815" s="62" t="e">
        <f t="shared" ca="1" si="48"/>
        <v>#REF!</v>
      </c>
      <c r="N815" s="62" t="e">
        <f t="shared" ca="1" si="49"/>
        <v>#REF!</v>
      </c>
      <c r="O815" s="48" t="e">
        <f t="shared" ca="1" si="50"/>
        <v>#REF!</v>
      </c>
      <c r="P815" s="48" t="e">
        <f t="shared" ca="1" si="51"/>
        <v>#REF!</v>
      </c>
      <c r="Q815" s="48" t="e">
        <f t="shared" ca="1" si="52"/>
        <v>#REF!</v>
      </c>
      <c r="R815" s="48"/>
      <c r="S815" s="48" t="e">
        <f t="shared" ca="1" si="53"/>
        <v>#REF!</v>
      </c>
      <c r="T815" s="48" t="e">
        <f t="shared" ca="1" si="54"/>
        <v>#REF!</v>
      </c>
      <c r="U815" s="48" t="e">
        <f t="shared" ca="1" si="55"/>
        <v>#REF!</v>
      </c>
      <c r="V815" s="48"/>
      <c r="W815" s="48"/>
      <c r="X815" s="48"/>
      <c r="Y815" s="48"/>
      <c r="Z815" s="61"/>
      <c r="AA815" s="48" t="e">
        <f t="shared" ca="1" si="21"/>
        <v>#REF!</v>
      </c>
      <c r="AB815" s="48" t="e">
        <f t="shared" ca="1" si="22"/>
        <v>#REF!</v>
      </c>
      <c r="AC815" s="48" t="e">
        <f t="shared" ca="1" si="23"/>
        <v>#REF!</v>
      </c>
      <c r="AD815" s="48" t="e">
        <f t="shared" ca="1" si="24"/>
        <v>#REF!</v>
      </c>
      <c r="AE815" s="48" t="e">
        <f t="shared" ca="1" si="25"/>
        <v>#REF!</v>
      </c>
      <c r="AF815" s="48" t="e">
        <f t="shared" ca="1" si="26"/>
        <v>#REF!</v>
      </c>
      <c r="AG815" s="48" t="e">
        <f t="shared" ca="1" si="27"/>
        <v>#REF!</v>
      </c>
      <c r="AH815" s="48" t="e">
        <f t="shared" ca="1" si="28"/>
        <v>#REF!</v>
      </c>
      <c r="AI815" s="48" t="e">
        <f t="shared" ca="1" si="29"/>
        <v>#REF!</v>
      </c>
      <c r="AJ815" s="48" t="e">
        <f t="shared" ca="1" si="30"/>
        <v>#REF!</v>
      </c>
      <c r="AK815" s="48" t="e">
        <f t="shared" ca="1" si="31"/>
        <v>#REF!</v>
      </c>
      <c r="AL815" s="48" t="e">
        <f t="shared" ca="1" si="32"/>
        <v>#REF!</v>
      </c>
      <c r="AM815" s="48" t="e">
        <f t="shared" ca="1" si="33"/>
        <v>#REF!</v>
      </c>
      <c r="AN815" s="48" t="e">
        <f t="shared" ca="1" si="34"/>
        <v>#REF!</v>
      </c>
      <c r="AO815" s="48" t="e">
        <f t="shared" ca="1" si="35"/>
        <v>#REF!</v>
      </c>
      <c r="AP815" s="48" t="e">
        <f t="shared" ca="1" si="36"/>
        <v>#REF!</v>
      </c>
      <c r="AQ815" s="48" t="e">
        <f t="shared" ca="1" si="37"/>
        <v>#REF!</v>
      </c>
      <c r="AR815" s="48" t="e">
        <f t="shared" ca="1" si="38"/>
        <v>#REF!</v>
      </c>
      <c r="AS815" s="48" t="e">
        <f t="shared" ca="1" si="39"/>
        <v>#REF!</v>
      </c>
      <c r="AT815" s="48" t="e">
        <f t="shared" ca="1" si="40"/>
        <v>#REF!</v>
      </c>
      <c r="AU815" s="93" t="e">
        <f t="shared" ca="1" si="56"/>
        <v>#REF!</v>
      </c>
      <c r="AV815" s="93" t="e">
        <f ca="1">INDIRECT("'["&amp;$C$1&amp;".xls]"&amp;$B815&amp;"'!$Y$22")</f>
        <v>#REF!</v>
      </c>
      <c r="AW815" s="93" t="e">
        <f ca="1">INDIRECT("'["&amp;$C$1&amp;".xls]"&amp;$B815&amp;"'!$Y$24")</f>
        <v>#REF!</v>
      </c>
      <c r="AX815" s="93" t="e">
        <f ca="1">INDIRECT("'["&amp;$C$1&amp;".xls]"&amp;$B815&amp;"'!$Y$26")</f>
        <v>#REF!</v>
      </c>
      <c r="AY815" s="93" t="e">
        <f ca="1">INDIRECT("'["&amp;$C$1&amp;".xls]"&amp;$B815&amp;"'!$Y$28")</f>
        <v>#REF!</v>
      </c>
    </row>
    <row r="816" spans="1:52" ht="16.5" customHeight="1" x14ac:dyDescent="0.15">
      <c r="A816" s="121" t="s">
        <v>7918</v>
      </c>
      <c r="B816" s="47" t="s">
        <v>7919</v>
      </c>
      <c r="C816" s="48" t="e">
        <f ca="1">INDIRECT("'["&amp;$C$1&amp;".xls]"&amp;$B816&amp;"'!$i$7")</f>
        <v>#REF!</v>
      </c>
      <c r="D816" s="62" t="e">
        <f t="shared" ca="1" si="42"/>
        <v>#REF!</v>
      </c>
      <c r="E816" s="48" t="e">
        <f t="shared" ca="1" si="43"/>
        <v>#REF!</v>
      </c>
      <c r="F816" s="61" t="e">
        <f t="shared" ca="1" si="44"/>
        <v>#REF!</v>
      </c>
      <c r="G816" s="61" t="e">
        <f t="shared" ca="1" si="20"/>
        <v>#REF!</v>
      </c>
      <c r="H816" s="88" t="e">
        <f t="shared" ca="1" si="45"/>
        <v>#REF!</v>
      </c>
      <c r="I816" s="61" t="e">
        <f t="shared" ca="1" si="46"/>
        <v>#REF!</v>
      </c>
      <c r="J816" s="87"/>
      <c r="K816" s="62"/>
      <c r="L816" s="62"/>
      <c r="M816" s="62" t="e">
        <f t="shared" ca="1" si="48"/>
        <v>#REF!</v>
      </c>
      <c r="N816" s="62" t="e">
        <f t="shared" ca="1" si="49"/>
        <v>#REF!</v>
      </c>
      <c r="O816" s="48" t="e">
        <f t="shared" ca="1" si="50"/>
        <v>#REF!</v>
      </c>
      <c r="P816" s="48" t="e">
        <f t="shared" ca="1" si="51"/>
        <v>#REF!</v>
      </c>
      <c r="Q816" s="48" t="e">
        <f t="shared" ca="1" si="52"/>
        <v>#REF!</v>
      </c>
      <c r="R816" s="48" t="s">
        <v>7920</v>
      </c>
      <c r="S816" s="48" t="e">
        <f t="shared" ca="1" si="53"/>
        <v>#REF!</v>
      </c>
      <c r="T816" s="48" t="e">
        <f t="shared" ca="1" si="54"/>
        <v>#REF!</v>
      </c>
      <c r="U816" s="48" t="e">
        <f t="shared" ca="1" si="55"/>
        <v>#REF!</v>
      </c>
      <c r="V816" s="48" t="s">
        <v>7921</v>
      </c>
      <c r="W816" s="48" t="s">
        <v>7922</v>
      </c>
      <c r="X816" s="48" t="s">
        <v>7923</v>
      </c>
      <c r="Y816" s="48" t="s">
        <v>7924</v>
      </c>
      <c r="Z816" s="61"/>
      <c r="AA816" s="48" t="e">
        <f t="shared" ca="1" si="21"/>
        <v>#REF!</v>
      </c>
      <c r="AB816" s="48" t="e">
        <f t="shared" ca="1" si="22"/>
        <v>#REF!</v>
      </c>
      <c r="AC816" s="48" t="e">
        <f t="shared" ca="1" si="23"/>
        <v>#REF!</v>
      </c>
      <c r="AD816" s="48" t="e">
        <f t="shared" ca="1" si="24"/>
        <v>#REF!</v>
      </c>
      <c r="AE816" s="48" t="e">
        <f t="shared" ca="1" si="25"/>
        <v>#REF!</v>
      </c>
      <c r="AF816" s="48" t="e">
        <f t="shared" ca="1" si="26"/>
        <v>#REF!</v>
      </c>
      <c r="AG816" s="48" t="e">
        <f t="shared" ca="1" si="27"/>
        <v>#REF!</v>
      </c>
      <c r="AH816" s="48" t="e">
        <f t="shared" ca="1" si="28"/>
        <v>#REF!</v>
      </c>
      <c r="AI816" s="48" t="e">
        <f t="shared" ca="1" si="29"/>
        <v>#REF!</v>
      </c>
      <c r="AJ816" s="48" t="e">
        <f t="shared" ca="1" si="30"/>
        <v>#REF!</v>
      </c>
      <c r="AK816" s="48" t="e">
        <f t="shared" ca="1" si="31"/>
        <v>#REF!</v>
      </c>
      <c r="AL816" s="48" t="e">
        <f t="shared" ca="1" si="32"/>
        <v>#REF!</v>
      </c>
      <c r="AM816" s="48" t="e">
        <f t="shared" ca="1" si="33"/>
        <v>#REF!</v>
      </c>
      <c r="AN816" s="48" t="e">
        <f t="shared" ca="1" si="34"/>
        <v>#REF!</v>
      </c>
      <c r="AO816" s="48" t="e">
        <f t="shared" ca="1" si="35"/>
        <v>#REF!</v>
      </c>
      <c r="AP816" s="48" t="e">
        <f t="shared" ca="1" si="36"/>
        <v>#REF!</v>
      </c>
      <c r="AQ816" s="48" t="e">
        <f t="shared" ca="1" si="37"/>
        <v>#REF!</v>
      </c>
      <c r="AR816" s="48" t="e">
        <f t="shared" ca="1" si="38"/>
        <v>#REF!</v>
      </c>
      <c r="AS816" s="48" t="e">
        <f t="shared" ca="1" si="39"/>
        <v>#REF!</v>
      </c>
      <c r="AT816" s="48" t="e">
        <f t="shared" ca="1" si="40"/>
        <v>#REF!</v>
      </c>
      <c r="AU816" s="93" t="e">
        <f t="shared" ca="1" si="56"/>
        <v>#REF!</v>
      </c>
      <c r="AV816" s="93" t="e">
        <f t="shared" ref="AV816:AV875" ca="1" si="58">INDIRECT("'["&amp;$C$1&amp;".xls]"&amp;$B816&amp;"'!$Y$22")</f>
        <v>#REF!</v>
      </c>
      <c r="AW816" s="93" t="e">
        <f t="shared" ref="AW816:AW875" ca="1" si="59">INDIRECT("'["&amp;$C$1&amp;".xls]"&amp;$B816&amp;"'!$Y$24")</f>
        <v>#REF!</v>
      </c>
      <c r="AX816" s="93" t="e">
        <f t="shared" ref="AX816:AX875" ca="1" si="60">INDIRECT("'["&amp;$C$1&amp;".xls]"&amp;$B816&amp;"'!$Y$26")</f>
        <v>#REF!</v>
      </c>
      <c r="AY816" s="93" t="e">
        <f t="shared" ref="AY816:AY875" ca="1" si="61">INDIRECT("'["&amp;$C$1&amp;".xls]"&amp;$B816&amp;"'!$Y$28")</f>
        <v>#REF!</v>
      </c>
    </row>
    <row r="817" spans="1:52" ht="16.5" customHeight="1" x14ac:dyDescent="0.15">
      <c r="A817" s="121" t="s">
        <v>7925</v>
      </c>
      <c r="B817" s="47" t="s">
        <v>7926</v>
      </c>
      <c r="C817" s="48" t="e">
        <f ca="1">INDIRECT("'["&amp;$C$1&amp;".xls]"&amp;$B817&amp;"'!$i$7")</f>
        <v>#REF!</v>
      </c>
      <c r="D817" s="62" t="e">
        <f t="shared" ca="1" si="42"/>
        <v>#REF!</v>
      </c>
      <c r="E817" s="48" t="e">
        <f t="shared" ca="1" si="43"/>
        <v>#REF!</v>
      </c>
      <c r="F817" s="61" t="e">
        <f t="shared" ca="1" si="44"/>
        <v>#REF!</v>
      </c>
      <c r="G817" s="61" t="e">
        <f t="shared" ca="1" si="20"/>
        <v>#REF!</v>
      </c>
      <c r="H817" s="88" t="e">
        <f t="shared" ca="1" si="45"/>
        <v>#REF!</v>
      </c>
      <c r="I817" s="61" t="e">
        <f t="shared" ca="1" si="46"/>
        <v>#REF!</v>
      </c>
      <c r="J817" s="87"/>
      <c r="K817" s="62" t="e">
        <f t="shared" ca="1" si="47"/>
        <v>#REF!</v>
      </c>
      <c r="L817" s="62"/>
      <c r="M817" s="62" t="e">
        <f t="shared" ca="1" si="48"/>
        <v>#REF!</v>
      </c>
      <c r="N817" s="62" t="e">
        <f t="shared" ca="1" si="49"/>
        <v>#REF!</v>
      </c>
      <c r="O817" s="48" t="e">
        <f t="shared" ca="1" si="50"/>
        <v>#REF!</v>
      </c>
      <c r="P817" s="48" t="e">
        <f t="shared" ca="1" si="51"/>
        <v>#REF!</v>
      </c>
      <c r="Q817" s="48" t="e">
        <f t="shared" ca="1" si="52"/>
        <v>#REF!</v>
      </c>
      <c r="R817" s="48"/>
      <c r="S817" s="48" t="e">
        <f t="shared" ca="1" si="53"/>
        <v>#REF!</v>
      </c>
      <c r="T817" s="48" t="e">
        <f t="shared" ca="1" si="54"/>
        <v>#REF!</v>
      </c>
      <c r="U817" s="48" t="e">
        <f t="shared" ca="1" si="55"/>
        <v>#REF!</v>
      </c>
      <c r="V817" s="48"/>
      <c r="W817" s="48"/>
      <c r="X817" s="48"/>
      <c r="Y817" s="48"/>
      <c r="Z817" s="61"/>
      <c r="AA817" s="48" t="e">
        <f t="shared" ca="1" si="21"/>
        <v>#REF!</v>
      </c>
      <c r="AB817" s="48" t="e">
        <f t="shared" ca="1" si="22"/>
        <v>#REF!</v>
      </c>
      <c r="AC817" s="48" t="e">
        <f t="shared" ca="1" si="23"/>
        <v>#REF!</v>
      </c>
      <c r="AD817" s="48" t="e">
        <f t="shared" ca="1" si="24"/>
        <v>#REF!</v>
      </c>
      <c r="AE817" s="48" t="e">
        <f t="shared" ca="1" si="25"/>
        <v>#REF!</v>
      </c>
      <c r="AF817" s="48" t="e">
        <f t="shared" ca="1" si="26"/>
        <v>#REF!</v>
      </c>
      <c r="AG817" s="48" t="e">
        <f t="shared" ca="1" si="27"/>
        <v>#REF!</v>
      </c>
      <c r="AH817" s="48" t="e">
        <f t="shared" ca="1" si="28"/>
        <v>#REF!</v>
      </c>
      <c r="AI817" s="48" t="e">
        <f t="shared" ca="1" si="29"/>
        <v>#REF!</v>
      </c>
      <c r="AJ817" s="48" t="e">
        <f t="shared" ca="1" si="30"/>
        <v>#REF!</v>
      </c>
      <c r="AK817" s="48" t="e">
        <f t="shared" ca="1" si="31"/>
        <v>#REF!</v>
      </c>
      <c r="AL817" s="48" t="e">
        <f t="shared" ca="1" si="32"/>
        <v>#REF!</v>
      </c>
      <c r="AM817" s="48" t="e">
        <f t="shared" ca="1" si="33"/>
        <v>#REF!</v>
      </c>
      <c r="AN817" s="48" t="e">
        <f t="shared" ca="1" si="34"/>
        <v>#REF!</v>
      </c>
      <c r="AO817" s="48" t="e">
        <f t="shared" ca="1" si="35"/>
        <v>#REF!</v>
      </c>
      <c r="AP817" s="48" t="e">
        <f t="shared" ca="1" si="36"/>
        <v>#REF!</v>
      </c>
      <c r="AQ817" s="48" t="e">
        <f t="shared" ca="1" si="37"/>
        <v>#REF!</v>
      </c>
      <c r="AR817" s="48" t="e">
        <f t="shared" ca="1" si="38"/>
        <v>#REF!</v>
      </c>
      <c r="AS817" s="48" t="e">
        <f t="shared" ca="1" si="39"/>
        <v>#REF!</v>
      </c>
      <c r="AT817" s="48" t="e">
        <f t="shared" ca="1" si="40"/>
        <v>#REF!</v>
      </c>
      <c r="AU817" s="93" t="e">
        <f t="shared" ca="1" si="56"/>
        <v>#REF!</v>
      </c>
      <c r="AV817" s="93" t="e">
        <f t="shared" ca="1" si="58"/>
        <v>#REF!</v>
      </c>
      <c r="AW817" s="93" t="e">
        <f t="shared" ca="1" si="59"/>
        <v>#REF!</v>
      </c>
      <c r="AX817" s="93" t="e">
        <f t="shared" ca="1" si="60"/>
        <v>#REF!</v>
      </c>
      <c r="AY817" s="93" t="e">
        <f t="shared" ca="1" si="61"/>
        <v>#REF!</v>
      </c>
    </row>
    <row r="818" spans="1:52" ht="16.5" customHeight="1" x14ac:dyDescent="0.15">
      <c r="A818" s="199" t="s">
        <v>7927</v>
      </c>
      <c r="B818" s="209" t="s">
        <v>7928</v>
      </c>
      <c r="C818" s="48" t="s">
        <v>7929</v>
      </c>
      <c r="D818" s="62" t="s">
        <v>263</v>
      </c>
      <c r="E818" s="48" t="e">
        <f t="shared" ca="1" si="43"/>
        <v>#REF!</v>
      </c>
      <c r="F818" s="61">
        <v>42696</v>
      </c>
      <c r="G818" s="61" t="s">
        <v>7904</v>
      </c>
      <c r="H818" s="125">
        <v>42702</v>
      </c>
      <c r="I818" s="61" t="s">
        <v>7930</v>
      </c>
      <c r="J818" s="87"/>
      <c r="K818" s="62" t="s">
        <v>2506</v>
      </c>
      <c r="L818" s="62">
        <v>3</v>
      </c>
      <c r="M818" s="62" t="s">
        <v>7931</v>
      </c>
      <c r="N818" s="62" t="s">
        <v>7932</v>
      </c>
      <c r="O818" s="48" t="s">
        <v>7933</v>
      </c>
      <c r="P818" s="48" t="s">
        <v>7934</v>
      </c>
      <c r="Q818" s="48" t="s">
        <v>7935</v>
      </c>
      <c r="R818" s="48" t="s">
        <v>7417</v>
      </c>
      <c r="S818" s="48" t="s">
        <v>7936</v>
      </c>
      <c r="T818" s="48" t="s">
        <v>7937</v>
      </c>
      <c r="U818" s="48" t="s">
        <v>7938</v>
      </c>
      <c r="V818" s="122" t="s">
        <v>7293</v>
      </c>
      <c r="W818" s="122" t="s">
        <v>7293</v>
      </c>
      <c r="X818" s="48" t="s">
        <v>7939</v>
      </c>
      <c r="Y818" s="48" t="s">
        <v>7940</v>
      </c>
      <c r="Z818" s="61"/>
      <c r="AA818" s="48"/>
      <c r="AB818" s="48"/>
      <c r="AC818" s="48"/>
      <c r="AD818" s="48"/>
      <c r="AE818" s="48"/>
      <c r="AF818" s="48"/>
      <c r="AG818" s="48"/>
      <c r="AH818" s="48"/>
      <c r="AI818" s="48"/>
      <c r="AJ818" s="48"/>
      <c r="AK818" s="48"/>
      <c r="AL818" s="48"/>
      <c r="AM818" s="48"/>
      <c r="AN818" s="48"/>
      <c r="AO818" s="48"/>
      <c r="AP818" s="48"/>
      <c r="AQ818" s="48"/>
      <c r="AR818" s="48"/>
      <c r="AS818" s="48"/>
      <c r="AT818" s="48"/>
      <c r="AU818" s="93">
        <v>40848</v>
      </c>
      <c r="AV818" s="93" t="s">
        <v>7941</v>
      </c>
      <c r="AW818" s="93" t="s">
        <v>7942</v>
      </c>
      <c r="AX818" s="93" t="s">
        <v>7943</v>
      </c>
      <c r="AY818" s="93" t="s">
        <v>7944</v>
      </c>
    </row>
    <row r="819" spans="1:52" ht="16.5" customHeight="1" x14ac:dyDescent="0.15">
      <c r="A819" s="121" t="s">
        <v>7945</v>
      </c>
      <c r="B819" s="47" t="s">
        <v>7946</v>
      </c>
      <c r="C819" s="48" t="e">
        <f t="shared" ref="C819:C829" ca="1" si="62">INDIRECT("'["&amp;$C$1&amp;".xls]"&amp;$B819&amp;"'!$i$7")</f>
        <v>#REF!</v>
      </c>
      <c r="D819" s="62" t="e">
        <f t="shared" ca="1" si="42"/>
        <v>#REF!</v>
      </c>
      <c r="E819" s="48" t="e">
        <f t="shared" ca="1" si="43"/>
        <v>#REF!</v>
      </c>
      <c r="F819" s="61" t="e">
        <f t="shared" ca="1" si="44"/>
        <v>#REF!</v>
      </c>
      <c r="G819" s="61" t="e">
        <f t="shared" ca="1" si="20"/>
        <v>#REF!</v>
      </c>
      <c r="H819" s="88" t="e">
        <f t="shared" ca="1" si="45"/>
        <v>#REF!</v>
      </c>
      <c r="I819" s="61" t="e">
        <f t="shared" ca="1" si="46"/>
        <v>#REF!</v>
      </c>
      <c r="J819" s="87"/>
      <c r="K819" s="62" t="e">
        <f t="shared" ca="1" si="47"/>
        <v>#REF!</v>
      </c>
      <c r="L819" s="62"/>
      <c r="M819" s="62" t="e">
        <f t="shared" ca="1" si="48"/>
        <v>#REF!</v>
      </c>
      <c r="N819" s="62" t="e">
        <f t="shared" ca="1" si="49"/>
        <v>#REF!</v>
      </c>
      <c r="O819" s="48" t="e">
        <f t="shared" ca="1" si="50"/>
        <v>#REF!</v>
      </c>
      <c r="P819" s="48" t="e">
        <f t="shared" ca="1" si="51"/>
        <v>#REF!</v>
      </c>
      <c r="Q819" s="48" t="e">
        <f t="shared" ca="1" si="52"/>
        <v>#REF!</v>
      </c>
      <c r="R819" s="48" t="s">
        <v>7417</v>
      </c>
      <c r="S819" s="48" t="e">
        <f t="shared" ca="1" si="53"/>
        <v>#REF!</v>
      </c>
      <c r="T819" s="48" t="e">
        <f t="shared" ca="1" si="54"/>
        <v>#REF!</v>
      </c>
      <c r="U819" s="48" t="e">
        <f t="shared" ca="1" si="55"/>
        <v>#REF!</v>
      </c>
      <c r="V819" s="48"/>
      <c r="W819" s="48"/>
      <c r="X819" s="48"/>
      <c r="Y819" s="48"/>
      <c r="Z819" s="61"/>
      <c r="AA819" s="48" t="e">
        <f t="shared" ca="1" si="21"/>
        <v>#REF!</v>
      </c>
      <c r="AB819" s="48" t="e">
        <f t="shared" ca="1" si="22"/>
        <v>#REF!</v>
      </c>
      <c r="AC819" s="48" t="e">
        <f t="shared" ca="1" si="23"/>
        <v>#REF!</v>
      </c>
      <c r="AD819" s="48" t="e">
        <f t="shared" ca="1" si="24"/>
        <v>#REF!</v>
      </c>
      <c r="AE819" s="48" t="e">
        <f t="shared" ca="1" si="25"/>
        <v>#REF!</v>
      </c>
      <c r="AF819" s="48" t="e">
        <f t="shared" ca="1" si="26"/>
        <v>#REF!</v>
      </c>
      <c r="AG819" s="48" t="e">
        <f t="shared" ca="1" si="27"/>
        <v>#REF!</v>
      </c>
      <c r="AH819" s="48" t="e">
        <f t="shared" ca="1" si="28"/>
        <v>#REF!</v>
      </c>
      <c r="AI819" s="48" t="e">
        <f t="shared" ca="1" si="29"/>
        <v>#REF!</v>
      </c>
      <c r="AJ819" s="48" t="e">
        <f t="shared" ca="1" si="30"/>
        <v>#REF!</v>
      </c>
      <c r="AK819" s="48" t="e">
        <f t="shared" ca="1" si="31"/>
        <v>#REF!</v>
      </c>
      <c r="AL819" s="48" t="e">
        <f t="shared" ca="1" si="32"/>
        <v>#REF!</v>
      </c>
      <c r="AM819" s="48" t="e">
        <f t="shared" ca="1" si="33"/>
        <v>#REF!</v>
      </c>
      <c r="AN819" s="48" t="e">
        <f t="shared" ca="1" si="34"/>
        <v>#REF!</v>
      </c>
      <c r="AO819" s="48" t="e">
        <f t="shared" ca="1" si="35"/>
        <v>#REF!</v>
      </c>
      <c r="AP819" s="48" t="e">
        <f t="shared" ca="1" si="36"/>
        <v>#REF!</v>
      </c>
      <c r="AQ819" s="48" t="e">
        <f t="shared" ca="1" si="37"/>
        <v>#REF!</v>
      </c>
      <c r="AR819" s="48" t="e">
        <f t="shared" ca="1" si="38"/>
        <v>#REF!</v>
      </c>
      <c r="AS819" s="48" t="e">
        <f t="shared" ca="1" si="39"/>
        <v>#REF!</v>
      </c>
      <c r="AT819" s="48" t="e">
        <f t="shared" ca="1" si="40"/>
        <v>#REF!</v>
      </c>
      <c r="AU819" s="93" t="e">
        <f t="shared" ca="1" si="56"/>
        <v>#REF!</v>
      </c>
      <c r="AV819" s="93" t="e">
        <f t="shared" ca="1" si="58"/>
        <v>#REF!</v>
      </c>
      <c r="AW819" s="93" t="e">
        <f t="shared" ca="1" si="59"/>
        <v>#REF!</v>
      </c>
      <c r="AX819" s="93" t="e">
        <f t="shared" ca="1" si="60"/>
        <v>#REF!</v>
      </c>
      <c r="AY819" s="93" t="e">
        <f t="shared" ca="1" si="61"/>
        <v>#REF!</v>
      </c>
    </row>
    <row r="820" spans="1:52" ht="16.5" customHeight="1" x14ac:dyDescent="0.15">
      <c r="A820" s="211" t="s">
        <v>7947</v>
      </c>
      <c r="B820" s="47" t="s">
        <v>7948</v>
      </c>
      <c r="C820" s="48" t="e">
        <f t="shared" ca="1" si="62"/>
        <v>#REF!</v>
      </c>
      <c r="D820" s="62" t="e">
        <f t="shared" ca="1" si="42"/>
        <v>#REF!</v>
      </c>
      <c r="E820" s="48" t="e">
        <f t="shared" ca="1" si="43"/>
        <v>#REF!</v>
      </c>
      <c r="F820" s="61" t="e">
        <f t="shared" ca="1" si="44"/>
        <v>#REF!</v>
      </c>
      <c r="G820" s="61" t="e">
        <f t="shared" ca="1" si="20"/>
        <v>#REF!</v>
      </c>
      <c r="H820" s="88" t="e">
        <f t="shared" ca="1" si="45"/>
        <v>#REF!</v>
      </c>
      <c r="I820" s="61" t="e">
        <f t="shared" ca="1" si="46"/>
        <v>#REF!</v>
      </c>
      <c r="J820" s="87"/>
      <c r="K820" s="62" t="s">
        <v>2506</v>
      </c>
      <c r="L820" s="124" t="s">
        <v>7293</v>
      </c>
      <c r="M820" s="62" t="e">
        <f t="shared" ca="1" si="48"/>
        <v>#REF!</v>
      </c>
      <c r="N820" s="62" t="e">
        <f t="shared" ca="1" si="49"/>
        <v>#REF!</v>
      </c>
      <c r="O820" s="48" t="e">
        <f t="shared" ca="1" si="50"/>
        <v>#REF!</v>
      </c>
      <c r="P820" s="48" t="e">
        <f t="shared" ca="1" si="51"/>
        <v>#REF!</v>
      </c>
      <c r="Q820" s="48" t="e">
        <f t="shared" ca="1" si="52"/>
        <v>#REF!</v>
      </c>
      <c r="R820" s="48" t="s">
        <v>7417</v>
      </c>
      <c r="S820" s="48" t="e">
        <f t="shared" ca="1" si="53"/>
        <v>#REF!</v>
      </c>
      <c r="T820" s="48" t="e">
        <f t="shared" ca="1" si="54"/>
        <v>#REF!</v>
      </c>
      <c r="U820" s="48" t="e">
        <f t="shared" ca="1" si="55"/>
        <v>#REF!</v>
      </c>
      <c r="V820" s="122" t="s">
        <v>7293</v>
      </c>
      <c r="W820" s="122" t="s">
        <v>7293</v>
      </c>
      <c r="X820" s="48" t="s">
        <v>7949</v>
      </c>
      <c r="Y820" s="48" t="s">
        <v>7950</v>
      </c>
      <c r="Z820" s="61"/>
      <c r="AA820" s="48" t="e">
        <f t="shared" ca="1" si="21"/>
        <v>#REF!</v>
      </c>
      <c r="AB820" s="48" t="e">
        <f t="shared" ca="1" si="22"/>
        <v>#REF!</v>
      </c>
      <c r="AC820" s="48" t="e">
        <f t="shared" ca="1" si="23"/>
        <v>#REF!</v>
      </c>
      <c r="AD820" s="48" t="e">
        <f t="shared" ca="1" si="24"/>
        <v>#REF!</v>
      </c>
      <c r="AE820" s="48" t="e">
        <f t="shared" ca="1" si="25"/>
        <v>#REF!</v>
      </c>
      <c r="AF820" s="48" t="e">
        <f t="shared" ca="1" si="26"/>
        <v>#REF!</v>
      </c>
      <c r="AG820" s="48" t="e">
        <f t="shared" ca="1" si="27"/>
        <v>#REF!</v>
      </c>
      <c r="AH820" s="48" t="e">
        <f t="shared" ca="1" si="28"/>
        <v>#REF!</v>
      </c>
      <c r="AI820" s="48" t="e">
        <f t="shared" ca="1" si="29"/>
        <v>#REF!</v>
      </c>
      <c r="AJ820" s="48" t="e">
        <f t="shared" ca="1" si="30"/>
        <v>#REF!</v>
      </c>
      <c r="AK820" s="48" t="e">
        <f t="shared" ca="1" si="31"/>
        <v>#REF!</v>
      </c>
      <c r="AL820" s="48" t="e">
        <f t="shared" ca="1" si="32"/>
        <v>#REF!</v>
      </c>
      <c r="AM820" s="48" t="e">
        <f t="shared" ca="1" si="33"/>
        <v>#REF!</v>
      </c>
      <c r="AN820" s="48" t="e">
        <f t="shared" ca="1" si="34"/>
        <v>#REF!</v>
      </c>
      <c r="AO820" s="48" t="e">
        <f t="shared" ca="1" si="35"/>
        <v>#REF!</v>
      </c>
      <c r="AP820" s="48" t="e">
        <f t="shared" ca="1" si="36"/>
        <v>#REF!</v>
      </c>
      <c r="AQ820" s="48" t="e">
        <f t="shared" ca="1" si="37"/>
        <v>#REF!</v>
      </c>
      <c r="AR820" s="48" t="e">
        <f t="shared" ca="1" si="38"/>
        <v>#REF!</v>
      </c>
      <c r="AS820" s="48" t="e">
        <f t="shared" ca="1" si="39"/>
        <v>#REF!</v>
      </c>
      <c r="AT820" s="48" t="e">
        <f t="shared" ca="1" si="40"/>
        <v>#REF!</v>
      </c>
      <c r="AU820" s="93" t="e">
        <f t="shared" ca="1" si="56"/>
        <v>#REF!</v>
      </c>
      <c r="AV820" s="93" t="e">
        <f t="shared" ca="1" si="58"/>
        <v>#REF!</v>
      </c>
      <c r="AW820" s="93" t="e">
        <f t="shared" ca="1" si="59"/>
        <v>#REF!</v>
      </c>
      <c r="AX820" s="93" t="e">
        <f t="shared" ca="1" si="60"/>
        <v>#REF!</v>
      </c>
      <c r="AY820" s="93" t="e">
        <f t="shared" ca="1" si="61"/>
        <v>#REF!</v>
      </c>
      <c r="AZ820" s="49" t="s">
        <v>7951</v>
      </c>
    </row>
    <row r="821" spans="1:52" ht="16.5" customHeight="1" x14ac:dyDescent="0.15">
      <c r="A821" s="121" t="s">
        <v>7952</v>
      </c>
      <c r="B821" s="47" t="s">
        <v>7953</v>
      </c>
      <c r="C821" s="48" t="e">
        <f t="shared" ca="1" si="62"/>
        <v>#REF!</v>
      </c>
      <c r="D821" s="62" t="e">
        <f t="shared" ca="1" si="42"/>
        <v>#REF!</v>
      </c>
      <c r="E821" s="48" t="e">
        <f t="shared" ca="1" si="43"/>
        <v>#REF!</v>
      </c>
      <c r="F821" s="61" t="e">
        <f t="shared" ca="1" si="44"/>
        <v>#REF!</v>
      </c>
      <c r="G821" s="61" t="e">
        <f t="shared" ca="1" si="20"/>
        <v>#REF!</v>
      </c>
      <c r="H821" s="88" t="e">
        <f t="shared" ca="1" si="45"/>
        <v>#REF!</v>
      </c>
      <c r="I821" s="61" t="e">
        <f t="shared" ca="1" si="46"/>
        <v>#REF!</v>
      </c>
      <c r="J821" s="87"/>
      <c r="K821" s="62" t="e">
        <f t="shared" ca="1" si="47"/>
        <v>#REF!</v>
      </c>
      <c r="L821" s="62"/>
      <c r="M821" s="62" t="e">
        <f t="shared" ca="1" si="48"/>
        <v>#REF!</v>
      </c>
      <c r="N821" s="62" t="e">
        <f t="shared" ca="1" si="49"/>
        <v>#REF!</v>
      </c>
      <c r="O821" s="48" t="e">
        <f t="shared" ca="1" si="50"/>
        <v>#REF!</v>
      </c>
      <c r="P821" s="48" t="e">
        <f t="shared" ca="1" si="51"/>
        <v>#REF!</v>
      </c>
      <c r="Q821" s="48" t="e">
        <f t="shared" ca="1" si="52"/>
        <v>#REF!</v>
      </c>
      <c r="R821" s="48" t="s">
        <v>7417</v>
      </c>
      <c r="S821" s="48" t="e">
        <f t="shared" ca="1" si="53"/>
        <v>#REF!</v>
      </c>
      <c r="T821" s="48" t="e">
        <f t="shared" ca="1" si="54"/>
        <v>#REF!</v>
      </c>
      <c r="U821" s="48" t="e">
        <f t="shared" ca="1" si="55"/>
        <v>#REF!</v>
      </c>
      <c r="V821" s="48"/>
      <c r="W821" s="48"/>
      <c r="X821" s="48"/>
      <c r="Y821" s="48"/>
      <c r="Z821" s="61"/>
      <c r="AA821" s="48" t="e">
        <f t="shared" ca="1" si="21"/>
        <v>#REF!</v>
      </c>
      <c r="AB821" s="48" t="e">
        <f t="shared" ca="1" si="22"/>
        <v>#REF!</v>
      </c>
      <c r="AC821" s="48" t="e">
        <f t="shared" ca="1" si="23"/>
        <v>#REF!</v>
      </c>
      <c r="AD821" s="48" t="e">
        <f t="shared" ca="1" si="24"/>
        <v>#REF!</v>
      </c>
      <c r="AE821" s="48" t="e">
        <f t="shared" ca="1" si="25"/>
        <v>#REF!</v>
      </c>
      <c r="AF821" s="48" t="e">
        <f t="shared" ca="1" si="26"/>
        <v>#REF!</v>
      </c>
      <c r="AG821" s="48" t="e">
        <f t="shared" ca="1" si="27"/>
        <v>#REF!</v>
      </c>
      <c r="AH821" s="48" t="e">
        <f t="shared" ca="1" si="28"/>
        <v>#REF!</v>
      </c>
      <c r="AI821" s="48" t="e">
        <f t="shared" ca="1" si="29"/>
        <v>#REF!</v>
      </c>
      <c r="AJ821" s="48" t="e">
        <f t="shared" ca="1" si="30"/>
        <v>#REF!</v>
      </c>
      <c r="AK821" s="48" t="e">
        <f t="shared" ca="1" si="31"/>
        <v>#REF!</v>
      </c>
      <c r="AL821" s="48" t="e">
        <f t="shared" ca="1" si="32"/>
        <v>#REF!</v>
      </c>
      <c r="AM821" s="48" t="e">
        <f t="shared" ca="1" si="33"/>
        <v>#REF!</v>
      </c>
      <c r="AN821" s="48" t="e">
        <f t="shared" ca="1" si="34"/>
        <v>#REF!</v>
      </c>
      <c r="AO821" s="48" t="e">
        <f t="shared" ca="1" si="35"/>
        <v>#REF!</v>
      </c>
      <c r="AP821" s="48" t="e">
        <f t="shared" ca="1" si="36"/>
        <v>#REF!</v>
      </c>
      <c r="AQ821" s="48" t="e">
        <f t="shared" ca="1" si="37"/>
        <v>#REF!</v>
      </c>
      <c r="AR821" s="48" t="e">
        <f t="shared" ca="1" si="38"/>
        <v>#REF!</v>
      </c>
      <c r="AS821" s="48" t="e">
        <f t="shared" ca="1" si="39"/>
        <v>#REF!</v>
      </c>
      <c r="AT821" s="48" t="e">
        <f t="shared" ca="1" si="40"/>
        <v>#REF!</v>
      </c>
      <c r="AU821" s="93" t="e">
        <f t="shared" ca="1" si="56"/>
        <v>#REF!</v>
      </c>
      <c r="AV821" s="93" t="e">
        <f t="shared" ca="1" si="58"/>
        <v>#REF!</v>
      </c>
      <c r="AW821" s="93" t="e">
        <f t="shared" ca="1" si="59"/>
        <v>#REF!</v>
      </c>
      <c r="AX821" s="93" t="e">
        <f t="shared" ca="1" si="60"/>
        <v>#REF!</v>
      </c>
      <c r="AY821" s="93" t="e">
        <f t="shared" ca="1" si="61"/>
        <v>#REF!</v>
      </c>
    </row>
    <row r="822" spans="1:52" ht="16.5" customHeight="1" x14ac:dyDescent="0.15">
      <c r="A822" s="121" t="s">
        <v>7954</v>
      </c>
      <c r="B822" s="47" t="s">
        <v>7955</v>
      </c>
      <c r="C822" s="48" t="e">
        <f t="shared" ca="1" si="62"/>
        <v>#REF!</v>
      </c>
      <c r="D822" s="62" t="e">
        <f t="shared" ca="1" si="42"/>
        <v>#REF!</v>
      </c>
      <c r="E822" s="48" t="e">
        <f t="shared" ca="1" si="43"/>
        <v>#REF!</v>
      </c>
      <c r="F822" s="61" t="e">
        <f t="shared" ca="1" si="44"/>
        <v>#REF!</v>
      </c>
      <c r="G822" s="61" t="e">
        <f t="shared" ca="1" si="20"/>
        <v>#REF!</v>
      </c>
      <c r="H822" s="88" t="e">
        <f t="shared" ca="1" si="45"/>
        <v>#REF!</v>
      </c>
      <c r="I822" s="61" t="e">
        <f t="shared" ca="1" si="46"/>
        <v>#REF!</v>
      </c>
      <c r="J822" s="87"/>
      <c r="K822" s="62" t="e">
        <f t="shared" ca="1" si="47"/>
        <v>#REF!</v>
      </c>
      <c r="L822" s="62"/>
      <c r="M822" s="62" t="e">
        <f t="shared" ca="1" si="48"/>
        <v>#REF!</v>
      </c>
      <c r="N822" s="62" t="e">
        <f t="shared" ca="1" si="49"/>
        <v>#REF!</v>
      </c>
      <c r="O822" s="48" t="e">
        <f t="shared" ca="1" si="50"/>
        <v>#REF!</v>
      </c>
      <c r="P822" s="48" t="e">
        <f t="shared" ca="1" si="51"/>
        <v>#REF!</v>
      </c>
      <c r="Q822" s="48" t="e">
        <f t="shared" ca="1" si="52"/>
        <v>#REF!</v>
      </c>
      <c r="R822" s="48"/>
      <c r="S822" s="48" t="e">
        <f t="shared" ca="1" si="53"/>
        <v>#REF!</v>
      </c>
      <c r="T822" s="48" t="e">
        <f t="shared" ca="1" si="54"/>
        <v>#REF!</v>
      </c>
      <c r="U822" s="48" t="e">
        <f t="shared" ca="1" si="55"/>
        <v>#REF!</v>
      </c>
      <c r="V822" s="48"/>
      <c r="W822" s="48"/>
      <c r="X822" s="48"/>
      <c r="Y822" s="48"/>
      <c r="Z822" s="61"/>
      <c r="AA822" s="48" t="e">
        <f t="shared" ca="1" si="21"/>
        <v>#REF!</v>
      </c>
      <c r="AB822" s="48" t="e">
        <f t="shared" ca="1" si="22"/>
        <v>#REF!</v>
      </c>
      <c r="AC822" s="48" t="e">
        <f t="shared" ca="1" si="23"/>
        <v>#REF!</v>
      </c>
      <c r="AD822" s="48" t="e">
        <f t="shared" ca="1" si="24"/>
        <v>#REF!</v>
      </c>
      <c r="AE822" s="48" t="e">
        <f t="shared" ca="1" si="25"/>
        <v>#REF!</v>
      </c>
      <c r="AF822" s="48" t="e">
        <f t="shared" ca="1" si="26"/>
        <v>#REF!</v>
      </c>
      <c r="AG822" s="48" t="e">
        <f t="shared" ca="1" si="27"/>
        <v>#REF!</v>
      </c>
      <c r="AH822" s="48" t="e">
        <f t="shared" ca="1" si="28"/>
        <v>#REF!</v>
      </c>
      <c r="AI822" s="48" t="e">
        <f t="shared" ca="1" si="29"/>
        <v>#REF!</v>
      </c>
      <c r="AJ822" s="48" t="e">
        <f t="shared" ca="1" si="30"/>
        <v>#REF!</v>
      </c>
      <c r="AK822" s="48" t="e">
        <f t="shared" ca="1" si="31"/>
        <v>#REF!</v>
      </c>
      <c r="AL822" s="48" t="e">
        <f t="shared" ca="1" si="32"/>
        <v>#REF!</v>
      </c>
      <c r="AM822" s="48" t="e">
        <f t="shared" ca="1" si="33"/>
        <v>#REF!</v>
      </c>
      <c r="AN822" s="48" t="e">
        <f t="shared" ca="1" si="34"/>
        <v>#REF!</v>
      </c>
      <c r="AO822" s="48" t="e">
        <f t="shared" ca="1" si="35"/>
        <v>#REF!</v>
      </c>
      <c r="AP822" s="48" t="e">
        <f t="shared" ca="1" si="36"/>
        <v>#REF!</v>
      </c>
      <c r="AQ822" s="48" t="e">
        <f t="shared" ca="1" si="37"/>
        <v>#REF!</v>
      </c>
      <c r="AR822" s="48" t="e">
        <f t="shared" ca="1" si="38"/>
        <v>#REF!</v>
      </c>
      <c r="AS822" s="48" t="e">
        <f t="shared" ca="1" si="39"/>
        <v>#REF!</v>
      </c>
      <c r="AT822" s="48" t="e">
        <f t="shared" ca="1" si="40"/>
        <v>#REF!</v>
      </c>
      <c r="AU822" s="93" t="e">
        <f t="shared" ca="1" si="56"/>
        <v>#REF!</v>
      </c>
      <c r="AV822" s="93" t="e">
        <f t="shared" ca="1" si="58"/>
        <v>#REF!</v>
      </c>
      <c r="AW822" s="93" t="e">
        <f t="shared" ca="1" si="59"/>
        <v>#REF!</v>
      </c>
      <c r="AX822" s="93" t="e">
        <f t="shared" ca="1" si="60"/>
        <v>#REF!</v>
      </c>
      <c r="AY822" s="93" t="e">
        <f t="shared" ca="1" si="61"/>
        <v>#REF!</v>
      </c>
    </row>
    <row r="823" spans="1:52" ht="16.5" customHeight="1" x14ac:dyDescent="0.15">
      <c r="A823" s="211" t="s">
        <v>7956</v>
      </c>
      <c r="B823" s="47" t="s">
        <v>7957</v>
      </c>
      <c r="C823" s="48" t="e">
        <f t="shared" ca="1" si="62"/>
        <v>#REF!</v>
      </c>
      <c r="D823" s="62" t="e">
        <f t="shared" ca="1" si="42"/>
        <v>#REF!</v>
      </c>
      <c r="E823" s="48" t="e">
        <f t="shared" ca="1" si="43"/>
        <v>#REF!</v>
      </c>
      <c r="F823" s="61" t="e">
        <f t="shared" ca="1" si="44"/>
        <v>#REF!</v>
      </c>
      <c r="G823" s="61" t="e">
        <f t="shared" ca="1" si="20"/>
        <v>#REF!</v>
      </c>
      <c r="H823" s="88" t="e">
        <f t="shared" ca="1" si="45"/>
        <v>#REF!</v>
      </c>
      <c r="I823" s="61" t="e">
        <f t="shared" ca="1" si="46"/>
        <v>#REF!</v>
      </c>
      <c r="J823" s="87"/>
      <c r="K823" s="62" t="s">
        <v>2506</v>
      </c>
      <c r="L823" s="62">
        <v>3</v>
      </c>
      <c r="M823" s="62" t="e">
        <f t="shared" ca="1" si="48"/>
        <v>#REF!</v>
      </c>
      <c r="N823" s="62" t="e">
        <f t="shared" ca="1" si="49"/>
        <v>#REF!</v>
      </c>
      <c r="O823" s="48" t="e">
        <f t="shared" ca="1" si="50"/>
        <v>#REF!</v>
      </c>
      <c r="P823" s="48" t="e">
        <f t="shared" ca="1" si="51"/>
        <v>#REF!</v>
      </c>
      <c r="Q823" s="48" t="e">
        <f t="shared" ca="1" si="52"/>
        <v>#REF!</v>
      </c>
      <c r="R823" s="48" t="s">
        <v>7958</v>
      </c>
      <c r="S823" s="48" t="e">
        <f t="shared" ca="1" si="53"/>
        <v>#REF!</v>
      </c>
      <c r="T823" s="48" t="e">
        <f t="shared" ca="1" si="54"/>
        <v>#REF!</v>
      </c>
      <c r="U823" s="48" t="e">
        <f t="shared" ca="1" si="55"/>
        <v>#REF!</v>
      </c>
      <c r="V823" s="48" t="s">
        <v>7959</v>
      </c>
      <c r="W823" s="48" t="s">
        <v>7960</v>
      </c>
      <c r="X823" s="48" t="s">
        <v>7961</v>
      </c>
      <c r="Y823" s="48" t="s">
        <v>7962</v>
      </c>
      <c r="Z823" s="61"/>
      <c r="AA823" s="48" t="e">
        <f t="shared" ca="1" si="21"/>
        <v>#REF!</v>
      </c>
      <c r="AB823" s="48" t="e">
        <f t="shared" ca="1" si="22"/>
        <v>#REF!</v>
      </c>
      <c r="AC823" s="48" t="e">
        <f t="shared" ca="1" si="23"/>
        <v>#REF!</v>
      </c>
      <c r="AD823" s="48" t="e">
        <f t="shared" ca="1" si="24"/>
        <v>#REF!</v>
      </c>
      <c r="AE823" s="48" t="e">
        <f t="shared" ca="1" si="25"/>
        <v>#REF!</v>
      </c>
      <c r="AF823" s="48" t="e">
        <f t="shared" ca="1" si="26"/>
        <v>#REF!</v>
      </c>
      <c r="AG823" s="48" t="e">
        <f t="shared" ca="1" si="27"/>
        <v>#REF!</v>
      </c>
      <c r="AH823" s="48" t="e">
        <f t="shared" ca="1" si="28"/>
        <v>#REF!</v>
      </c>
      <c r="AI823" s="48" t="e">
        <f t="shared" ca="1" si="29"/>
        <v>#REF!</v>
      </c>
      <c r="AJ823" s="48" t="e">
        <f t="shared" ca="1" si="30"/>
        <v>#REF!</v>
      </c>
      <c r="AK823" s="48" t="e">
        <f t="shared" ca="1" si="31"/>
        <v>#REF!</v>
      </c>
      <c r="AL823" s="48" t="e">
        <f t="shared" ca="1" si="32"/>
        <v>#REF!</v>
      </c>
      <c r="AM823" s="48" t="e">
        <f t="shared" ca="1" si="33"/>
        <v>#REF!</v>
      </c>
      <c r="AN823" s="48" t="e">
        <f t="shared" ca="1" si="34"/>
        <v>#REF!</v>
      </c>
      <c r="AO823" s="48" t="e">
        <f t="shared" ca="1" si="35"/>
        <v>#REF!</v>
      </c>
      <c r="AP823" s="48" t="e">
        <f t="shared" ca="1" si="36"/>
        <v>#REF!</v>
      </c>
      <c r="AQ823" s="48" t="e">
        <f t="shared" ca="1" si="37"/>
        <v>#REF!</v>
      </c>
      <c r="AR823" s="48" t="e">
        <f t="shared" ca="1" si="38"/>
        <v>#REF!</v>
      </c>
      <c r="AS823" s="48" t="e">
        <f t="shared" ca="1" si="39"/>
        <v>#REF!</v>
      </c>
      <c r="AT823" s="48" t="e">
        <f t="shared" ca="1" si="40"/>
        <v>#REF!</v>
      </c>
      <c r="AU823" s="93" t="e">
        <f t="shared" ca="1" si="56"/>
        <v>#REF!</v>
      </c>
      <c r="AV823" s="93" t="e">
        <f t="shared" ca="1" si="58"/>
        <v>#REF!</v>
      </c>
      <c r="AW823" s="93" t="e">
        <f t="shared" ca="1" si="59"/>
        <v>#REF!</v>
      </c>
      <c r="AX823" s="93" t="e">
        <f t="shared" ca="1" si="60"/>
        <v>#REF!</v>
      </c>
      <c r="AY823" s="93" t="e">
        <f t="shared" ca="1" si="61"/>
        <v>#REF!</v>
      </c>
    </row>
    <row r="824" spans="1:52" ht="16.5" customHeight="1" x14ac:dyDescent="0.15">
      <c r="A824" s="121" t="s">
        <v>7963</v>
      </c>
      <c r="B824" s="47" t="s">
        <v>7964</v>
      </c>
      <c r="C824" s="48" t="e">
        <f t="shared" ca="1" si="62"/>
        <v>#REF!</v>
      </c>
      <c r="D824" s="62" t="e">
        <f t="shared" ca="1" si="42"/>
        <v>#REF!</v>
      </c>
      <c r="E824" s="48" t="e">
        <f t="shared" ca="1" si="43"/>
        <v>#REF!</v>
      </c>
      <c r="F824" s="61" t="e">
        <f t="shared" ca="1" si="44"/>
        <v>#REF!</v>
      </c>
      <c r="G824" s="61" t="e">
        <f t="shared" ca="1" si="20"/>
        <v>#REF!</v>
      </c>
      <c r="H824" s="88" t="e">
        <f t="shared" ca="1" si="45"/>
        <v>#REF!</v>
      </c>
      <c r="I824" s="61" t="e">
        <f t="shared" ca="1" si="46"/>
        <v>#REF!</v>
      </c>
      <c r="J824" s="87"/>
      <c r="K824" s="62" t="e">
        <f t="shared" ca="1" si="47"/>
        <v>#REF!</v>
      </c>
      <c r="L824" s="62"/>
      <c r="M824" s="62" t="e">
        <f t="shared" ca="1" si="48"/>
        <v>#REF!</v>
      </c>
      <c r="N824" s="62" t="e">
        <f t="shared" ca="1" si="49"/>
        <v>#REF!</v>
      </c>
      <c r="O824" s="48" t="e">
        <f t="shared" ca="1" si="50"/>
        <v>#REF!</v>
      </c>
      <c r="P824" s="48" t="e">
        <f t="shared" ca="1" si="51"/>
        <v>#REF!</v>
      </c>
      <c r="Q824" s="48" t="e">
        <f t="shared" ca="1" si="52"/>
        <v>#REF!</v>
      </c>
      <c r="R824" s="48"/>
      <c r="S824" s="48" t="e">
        <f t="shared" ca="1" si="53"/>
        <v>#REF!</v>
      </c>
      <c r="T824" s="48" t="e">
        <f t="shared" ca="1" si="54"/>
        <v>#REF!</v>
      </c>
      <c r="U824" s="48" t="e">
        <f t="shared" ca="1" si="55"/>
        <v>#REF!</v>
      </c>
      <c r="V824" s="48"/>
      <c r="W824" s="48"/>
      <c r="X824" s="48"/>
      <c r="Y824" s="48"/>
      <c r="Z824" s="61"/>
      <c r="AA824" s="48" t="e">
        <f t="shared" ca="1" si="21"/>
        <v>#REF!</v>
      </c>
      <c r="AB824" s="48" t="e">
        <f t="shared" ca="1" si="22"/>
        <v>#REF!</v>
      </c>
      <c r="AC824" s="48" t="e">
        <f t="shared" ca="1" si="23"/>
        <v>#REF!</v>
      </c>
      <c r="AD824" s="48" t="e">
        <f t="shared" ca="1" si="24"/>
        <v>#REF!</v>
      </c>
      <c r="AE824" s="48" t="e">
        <f t="shared" ca="1" si="25"/>
        <v>#REF!</v>
      </c>
      <c r="AF824" s="48" t="e">
        <f t="shared" ca="1" si="26"/>
        <v>#REF!</v>
      </c>
      <c r="AG824" s="48" t="e">
        <f t="shared" ca="1" si="27"/>
        <v>#REF!</v>
      </c>
      <c r="AH824" s="48" t="e">
        <f t="shared" ca="1" si="28"/>
        <v>#REF!</v>
      </c>
      <c r="AI824" s="48" t="e">
        <f t="shared" ca="1" si="29"/>
        <v>#REF!</v>
      </c>
      <c r="AJ824" s="48" t="e">
        <f t="shared" ca="1" si="30"/>
        <v>#REF!</v>
      </c>
      <c r="AK824" s="48" t="e">
        <f t="shared" ca="1" si="31"/>
        <v>#REF!</v>
      </c>
      <c r="AL824" s="48" t="e">
        <f t="shared" ca="1" si="32"/>
        <v>#REF!</v>
      </c>
      <c r="AM824" s="48" t="e">
        <f t="shared" ca="1" si="33"/>
        <v>#REF!</v>
      </c>
      <c r="AN824" s="48" t="e">
        <f t="shared" ca="1" si="34"/>
        <v>#REF!</v>
      </c>
      <c r="AO824" s="48" t="e">
        <f t="shared" ca="1" si="35"/>
        <v>#REF!</v>
      </c>
      <c r="AP824" s="48" t="e">
        <f t="shared" ca="1" si="36"/>
        <v>#REF!</v>
      </c>
      <c r="AQ824" s="48" t="e">
        <f t="shared" ca="1" si="37"/>
        <v>#REF!</v>
      </c>
      <c r="AR824" s="48" t="e">
        <f t="shared" ca="1" si="38"/>
        <v>#REF!</v>
      </c>
      <c r="AS824" s="48" t="e">
        <f t="shared" ca="1" si="39"/>
        <v>#REF!</v>
      </c>
      <c r="AT824" s="48" t="e">
        <f t="shared" ca="1" si="40"/>
        <v>#REF!</v>
      </c>
      <c r="AU824" s="93" t="e">
        <f t="shared" ca="1" si="56"/>
        <v>#REF!</v>
      </c>
      <c r="AV824" s="93" t="e">
        <f t="shared" ca="1" si="58"/>
        <v>#REF!</v>
      </c>
      <c r="AW824" s="93" t="e">
        <f t="shared" ca="1" si="59"/>
        <v>#REF!</v>
      </c>
      <c r="AX824" s="93" t="e">
        <f t="shared" ca="1" si="60"/>
        <v>#REF!</v>
      </c>
      <c r="AY824" s="93" t="e">
        <f t="shared" ca="1" si="61"/>
        <v>#REF!</v>
      </c>
    </row>
    <row r="825" spans="1:52" ht="16.5" customHeight="1" x14ac:dyDescent="0.15">
      <c r="A825" s="121" t="s">
        <v>7965</v>
      </c>
      <c r="B825" s="47" t="s">
        <v>7966</v>
      </c>
      <c r="C825" s="48" t="e">
        <f t="shared" ca="1" si="62"/>
        <v>#REF!</v>
      </c>
      <c r="D825" s="62" t="e">
        <f t="shared" ca="1" si="42"/>
        <v>#REF!</v>
      </c>
      <c r="E825" s="48" t="e">
        <f t="shared" ca="1" si="43"/>
        <v>#REF!</v>
      </c>
      <c r="F825" s="61" t="e">
        <f t="shared" ca="1" si="44"/>
        <v>#REF!</v>
      </c>
      <c r="G825" s="61" t="e">
        <f t="shared" ca="1" si="20"/>
        <v>#REF!</v>
      </c>
      <c r="H825" s="88" t="e">
        <f t="shared" ca="1" si="45"/>
        <v>#REF!</v>
      </c>
      <c r="I825" s="61" t="e">
        <f t="shared" ca="1" si="46"/>
        <v>#REF!</v>
      </c>
      <c r="J825" s="87"/>
      <c r="K825" s="62" t="e">
        <f t="shared" ca="1" si="47"/>
        <v>#REF!</v>
      </c>
      <c r="L825" s="62"/>
      <c r="M825" s="62" t="e">
        <f t="shared" ca="1" si="48"/>
        <v>#REF!</v>
      </c>
      <c r="N825" s="62" t="e">
        <f t="shared" ca="1" si="49"/>
        <v>#REF!</v>
      </c>
      <c r="O825" s="48" t="e">
        <f t="shared" ca="1" si="50"/>
        <v>#REF!</v>
      </c>
      <c r="P825" s="48" t="e">
        <f t="shared" ca="1" si="51"/>
        <v>#REF!</v>
      </c>
      <c r="Q825" s="48" t="e">
        <f t="shared" ca="1" si="52"/>
        <v>#REF!</v>
      </c>
      <c r="R825" s="48" t="s">
        <v>7417</v>
      </c>
      <c r="S825" s="48" t="e">
        <f t="shared" ca="1" si="53"/>
        <v>#REF!</v>
      </c>
      <c r="T825" s="48" t="e">
        <f t="shared" ca="1" si="54"/>
        <v>#REF!</v>
      </c>
      <c r="U825" s="48" t="e">
        <f t="shared" ca="1" si="55"/>
        <v>#REF!</v>
      </c>
      <c r="V825" s="48"/>
      <c r="W825" s="48"/>
      <c r="X825" s="48"/>
      <c r="Y825" s="48"/>
      <c r="Z825" s="61"/>
      <c r="AA825" s="48" t="e">
        <f t="shared" ca="1" si="21"/>
        <v>#REF!</v>
      </c>
      <c r="AB825" s="48" t="e">
        <f t="shared" ca="1" si="22"/>
        <v>#REF!</v>
      </c>
      <c r="AC825" s="48" t="e">
        <f t="shared" ca="1" si="23"/>
        <v>#REF!</v>
      </c>
      <c r="AD825" s="48" t="e">
        <f t="shared" ca="1" si="24"/>
        <v>#REF!</v>
      </c>
      <c r="AE825" s="48" t="e">
        <f t="shared" ca="1" si="25"/>
        <v>#REF!</v>
      </c>
      <c r="AF825" s="48" t="e">
        <f t="shared" ca="1" si="26"/>
        <v>#REF!</v>
      </c>
      <c r="AG825" s="48" t="e">
        <f t="shared" ca="1" si="27"/>
        <v>#REF!</v>
      </c>
      <c r="AH825" s="48" t="e">
        <f t="shared" ca="1" si="28"/>
        <v>#REF!</v>
      </c>
      <c r="AI825" s="48" t="e">
        <f t="shared" ca="1" si="29"/>
        <v>#REF!</v>
      </c>
      <c r="AJ825" s="48" t="e">
        <f t="shared" ca="1" si="30"/>
        <v>#REF!</v>
      </c>
      <c r="AK825" s="48" t="e">
        <f t="shared" ca="1" si="31"/>
        <v>#REF!</v>
      </c>
      <c r="AL825" s="48" t="e">
        <f t="shared" ca="1" si="32"/>
        <v>#REF!</v>
      </c>
      <c r="AM825" s="48" t="e">
        <f t="shared" ca="1" si="33"/>
        <v>#REF!</v>
      </c>
      <c r="AN825" s="48" t="e">
        <f t="shared" ca="1" si="34"/>
        <v>#REF!</v>
      </c>
      <c r="AO825" s="48" t="e">
        <f t="shared" ca="1" si="35"/>
        <v>#REF!</v>
      </c>
      <c r="AP825" s="48" t="e">
        <f t="shared" ca="1" si="36"/>
        <v>#REF!</v>
      </c>
      <c r="AQ825" s="48" t="e">
        <f t="shared" ca="1" si="37"/>
        <v>#REF!</v>
      </c>
      <c r="AR825" s="48" t="e">
        <f t="shared" ca="1" si="38"/>
        <v>#REF!</v>
      </c>
      <c r="AS825" s="48" t="e">
        <f t="shared" ca="1" si="39"/>
        <v>#REF!</v>
      </c>
      <c r="AT825" s="48" t="e">
        <f t="shared" ca="1" si="40"/>
        <v>#REF!</v>
      </c>
      <c r="AU825" s="93" t="e">
        <f t="shared" ca="1" si="56"/>
        <v>#REF!</v>
      </c>
      <c r="AV825" s="93" t="e">
        <f t="shared" ca="1" si="58"/>
        <v>#REF!</v>
      </c>
      <c r="AW825" s="93" t="e">
        <f t="shared" ca="1" si="59"/>
        <v>#REF!</v>
      </c>
      <c r="AX825" s="93" t="e">
        <f t="shared" ca="1" si="60"/>
        <v>#REF!</v>
      </c>
      <c r="AY825" s="93" t="e">
        <f t="shared" ca="1" si="61"/>
        <v>#REF!</v>
      </c>
    </row>
    <row r="826" spans="1:52" ht="16.5" customHeight="1" x14ac:dyDescent="0.15">
      <c r="A826" s="121" t="s">
        <v>7967</v>
      </c>
      <c r="B826" s="47" t="s">
        <v>7968</v>
      </c>
      <c r="C826" s="48" t="e">
        <f t="shared" ca="1" si="62"/>
        <v>#REF!</v>
      </c>
      <c r="D826" s="62" t="e">
        <f t="shared" ca="1" si="42"/>
        <v>#REF!</v>
      </c>
      <c r="E826" s="48" t="e">
        <f t="shared" ca="1" si="43"/>
        <v>#REF!</v>
      </c>
      <c r="F826" s="61" t="e">
        <f t="shared" ca="1" si="44"/>
        <v>#REF!</v>
      </c>
      <c r="G826" s="61" t="e">
        <f t="shared" ca="1" si="20"/>
        <v>#REF!</v>
      </c>
      <c r="H826" s="88" t="e">
        <f t="shared" ca="1" si="45"/>
        <v>#REF!</v>
      </c>
      <c r="I826" s="61" t="e">
        <f t="shared" ca="1" si="46"/>
        <v>#REF!</v>
      </c>
      <c r="J826" s="87"/>
      <c r="K826" s="62" t="e">
        <f t="shared" ca="1" si="47"/>
        <v>#REF!</v>
      </c>
      <c r="L826" s="62"/>
      <c r="M826" s="62" t="e">
        <f t="shared" ca="1" si="48"/>
        <v>#REF!</v>
      </c>
      <c r="N826" s="62" t="e">
        <f t="shared" ca="1" si="49"/>
        <v>#REF!</v>
      </c>
      <c r="O826" s="48" t="e">
        <f t="shared" ca="1" si="50"/>
        <v>#REF!</v>
      </c>
      <c r="P826" s="48" t="e">
        <f t="shared" ca="1" si="51"/>
        <v>#REF!</v>
      </c>
      <c r="Q826" s="48" t="e">
        <f t="shared" ca="1" si="52"/>
        <v>#REF!</v>
      </c>
      <c r="R826" s="48"/>
      <c r="S826" s="48" t="e">
        <f t="shared" ca="1" si="53"/>
        <v>#REF!</v>
      </c>
      <c r="T826" s="48" t="e">
        <f t="shared" ca="1" si="54"/>
        <v>#REF!</v>
      </c>
      <c r="U826" s="48" t="e">
        <f t="shared" ca="1" si="55"/>
        <v>#REF!</v>
      </c>
      <c r="V826" s="48"/>
      <c r="W826" s="48"/>
      <c r="X826" s="48"/>
      <c r="Y826" s="48"/>
      <c r="Z826" s="61"/>
      <c r="AA826" s="48" t="e">
        <f t="shared" ca="1" si="21"/>
        <v>#REF!</v>
      </c>
      <c r="AB826" s="48" t="e">
        <f t="shared" ca="1" si="22"/>
        <v>#REF!</v>
      </c>
      <c r="AC826" s="48" t="e">
        <f t="shared" ca="1" si="23"/>
        <v>#REF!</v>
      </c>
      <c r="AD826" s="48" t="e">
        <f t="shared" ca="1" si="24"/>
        <v>#REF!</v>
      </c>
      <c r="AE826" s="48" t="e">
        <f t="shared" ca="1" si="25"/>
        <v>#REF!</v>
      </c>
      <c r="AF826" s="48" t="e">
        <f t="shared" ca="1" si="26"/>
        <v>#REF!</v>
      </c>
      <c r="AG826" s="48" t="e">
        <f t="shared" ca="1" si="27"/>
        <v>#REF!</v>
      </c>
      <c r="AH826" s="48" t="e">
        <f t="shared" ca="1" si="28"/>
        <v>#REF!</v>
      </c>
      <c r="AI826" s="48" t="e">
        <f t="shared" ca="1" si="29"/>
        <v>#REF!</v>
      </c>
      <c r="AJ826" s="48" t="e">
        <f t="shared" ca="1" si="30"/>
        <v>#REF!</v>
      </c>
      <c r="AK826" s="48" t="e">
        <f t="shared" ca="1" si="31"/>
        <v>#REF!</v>
      </c>
      <c r="AL826" s="48" t="e">
        <f t="shared" ca="1" si="32"/>
        <v>#REF!</v>
      </c>
      <c r="AM826" s="48" t="e">
        <f t="shared" ca="1" si="33"/>
        <v>#REF!</v>
      </c>
      <c r="AN826" s="48" t="e">
        <f t="shared" ca="1" si="34"/>
        <v>#REF!</v>
      </c>
      <c r="AO826" s="48" t="e">
        <f t="shared" ca="1" si="35"/>
        <v>#REF!</v>
      </c>
      <c r="AP826" s="48" t="e">
        <f t="shared" ca="1" si="36"/>
        <v>#REF!</v>
      </c>
      <c r="AQ826" s="48" t="e">
        <f t="shared" ca="1" si="37"/>
        <v>#REF!</v>
      </c>
      <c r="AR826" s="48" t="e">
        <f t="shared" ca="1" si="38"/>
        <v>#REF!</v>
      </c>
      <c r="AS826" s="48" t="e">
        <f t="shared" ca="1" si="39"/>
        <v>#REF!</v>
      </c>
      <c r="AT826" s="48" t="e">
        <f t="shared" ca="1" si="40"/>
        <v>#REF!</v>
      </c>
      <c r="AU826" s="93" t="e">
        <f t="shared" ca="1" si="56"/>
        <v>#REF!</v>
      </c>
      <c r="AV826" s="93" t="e">
        <f t="shared" ca="1" si="58"/>
        <v>#REF!</v>
      </c>
      <c r="AW826" s="93" t="e">
        <f t="shared" ca="1" si="59"/>
        <v>#REF!</v>
      </c>
      <c r="AX826" s="93" t="e">
        <f t="shared" ca="1" si="60"/>
        <v>#REF!</v>
      </c>
      <c r="AY826" s="93" t="e">
        <f t="shared" ca="1" si="61"/>
        <v>#REF!</v>
      </c>
    </row>
    <row r="827" spans="1:52" ht="16.5" customHeight="1" x14ac:dyDescent="0.15">
      <c r="A827" s="121" t="s">
        <v>7969</v>
      </c>
      <c r="B827" s="47" t="s">
        <v>7970</v>
      </c>
      <c r="C827" s="48" t="e">
        <f t="shared" ca="1" si="62"/>
        <v>#REF!</v>
      </c>
      <c r="D827" s="62" t="e">
        <f t="shared" ca="1" si="42"/>
        <v>#REF!</v>
      </c>
      <c r="E827" s="48" t="e">
        <f t="shared" ca="1" si="43"/>
        <v>#REF!</v>
      </c>
      <c r="F827" s="61" t="e">
        <f t="shared" ca="1" si="44"/>
        <v>#REF!</v>
      </c>
      <c r="G827" s="61" t="e">
        <f t="shared" ref="G827:G875" ca="1" si="63">INDIRECT("'["&amp;$C$1&amp;".xls]"&amp;$B827&amp;"'!$a$20")</f>
        <v>#REF!</v>
      </c>
      <c r="H827" s="88" t="e">
        <f t="shared" ca="1" si="45"/>
        <v>#REF!</v>
      </c>
      <c r="I827" s="61" t="e">
        <f t="shared" ca="1" si="46"/>
        <v>#REF!</v>
      </c>
      <c r="J827" s="87"/>
      <c r="K827" s="62" t="e">
        <f t="shared" ca="1" si="47"/>
        <v>#REF!</v>
      </c>
      <c r="L827" s="62"/>
      <c r="M827" s="62" t="e">
        <f t="shared" ca="1" si="48"/>
        <v>#REF!</v>
      </c>
      <c r="N827" s="62" t="e">
        <f t="shared" ca="1" si="49"/>
        <v>#REF!</v>
      </c>
      <c r="O827" s="48" t="e">
        <f t="shared" ca="1" si="50"/>
        <v>#REF!</v>
      </c>
      <c r="P827" s="48" t="e">
        <f t="shared" ca="1" si="51"/>
        <v>#REF!</v>
      </c>
      <c r="Q827" s="48" t="e">
        <f t="shared" ca="1" si="52"/>
        <v>#REF!</v>
      </c>
      <c r="R827" s="48" t="s">
        <v>7417</v>
      </c>
      <c r="S827" s="48" t="e">
        <f t="shared" ca="1" si="53"/>
        <v>#REF!</v>
      </c>
      <c r="T827" s="48" t="e">
        <f t="shared" ca="1" si="54"/>
        <v>#REF!</v>
      </c>
      <c r="U827" s="48" t="e">
        <f t="shared" ca="1" si="55"/>
        <v>#REF!</v>
      </c>
      <c r="V827" s="48"/>
      <c r="W827" s="48"/>
      <c r="X827" s="48"/>
      <c r="Y827" s="48"/>
      <c r="Z827" s="61"/>
      <c r="AA827" s="48" t="e">
        <f t="shared" ca="1" si="21"/>
        <v>#REF!</v>
      </c>
      <c r="AB827" s="48" t="e">
        <f t="shared" ca="1" si="22"/>
        <v>#REF!</v>
      </c>
      <c r="AC827" s="48" t="e">
        <f t="shared" ca="1" si="23"/>
        <v>#REF!</v>
      </c>
      <c r="AD827" s="48" t="e">
        <f t="shared" ca="1" si="24"/>
        <v>#REF!</v>
      </c>
      <c r="AE827" s="48" t="e">
        <f t="shared" ca="1" si="25"/>
        <v>#REF!</v>
      </c>
      <c r="AF827" s="48" t="e">
        <f t="shared" ca="1" si="26"/>
        <v>#REF!</v>
      </c>
      <c r="AG827" s="48" t="e">
        <f t="shared" ca="1" si="27"/>
        <v>#REF!</v>
      </c>
      <c r="AH827" s="48" t="e">
        <f t="shared" ca="1" si="28"/>
        <v>#REF!</v>
      </c>
      <c r="AI827" s="48" t="e">
        <f t="shared" ca="1" si="29"/>
        <v>#REF!</v>
      </c>
      <c r="AJ827" s="48" t="e">
        <f t="shared" ca="1" si="30"/>
        <v>#REF!</v>
      </c>
      <c r="AK827" s="48" t="e">
        <f t="shared" ca="1" si="31"/>
        <v>#REF!</v>
      </c>
      <c r="AL827" s="48" t="e">
        <f t="shared" ca="1" si="32"/>
        <v>#REF!</v>
      </c>
      <c r="AM827" s="48" t="e">
        <f t="shared" ca="1" si="33"/>
        <v>#REF!</v>
      </c>
      <c r="AN827" s="48" t="e">
        <f t="shared" ca="1" si="34"/>
        <v>#REF!</v>
      </c>
      <c r="AO827" s="48" t="e">
        <f t="shared" ca="1" si="35"/>
        <v>#REF!</v>
      </c>
      <c r="AP827" s="48" t="e">
        <f t="shared" ca="1" si="36"/>
        <v>#REF!</v>
      </c>
      <c r="AQ827" s="48" t="e">
        <f t="shared" ca="1" si="37"/>
        <v>#REF!</v>
      </c>
      <c r="AR827" s="48" t="e">
        <f t="shared" ca="1" si="38"/>
        <v>#REF!</v>
      </c>
      <c r="AS827" s="48" t="e">
        <f t="shared" ca="1" si="39"/>
        <v>#REF!</v>
      </c>
      <c r="AT827" s="48" t="e">
        <f t="shared" ca="1" si="40"/>
        <v>#REF!</v>
      </c>
      <c r="AU827" s="93" t="e">
        <f t="shared" ca="1" si="56"/>
        <v>#REF!</v>
      </c>
      <c r="AV827" s="93" t="e">
        <f t="shared" ca="1" si="58"/>
        <v>#REF!</v>
      </c>
      <c r="AW827" s="93" t="e">
        <f t="shared" ca="1" si="59"/>
        <v>#REF!</v>
      </c>
      <c r="AX827" s="93" t="e">
        <f t="shared" ca="1" si="60"/>
        <v>#REF!</v>
      </c>
      <c r="AY827" s="93" t="e">
        <f t="shared" ca="1" si="61"/>
        <v>#REF!</v>
      </c>
    </row>
    <row r="828" spans="1:52" ht="16.5" customHeight="1" x14ac:dyDescent="0.15">
      <c r="A828" s="121" t="s">
        <v>7971</v>
      </c>
      <c r="B828" s="47" t="s">
        <v>7972</v>
      </c>
      <c r="C828" s="48" t="e">
        <f t="shared" ca="1" si="62"/>
        <v>#REF!</v>
      </c>
      <c r="D828" s="62" t="e">
        <f t="shared" ca="1" si="42"/>
        <v>#REF!</v>
      </c>
      <c r="E828" s="48" t="e">
        <f t="shared" ca="1" si="43"/>
        <v>#REF!</v>
      </c>
      <c r="F828" s="61" t="e">
        <f t="shared" ca="1" si="44"/>
        <v>#REF!</v>
      </c>
      <c r="G828" s="61" t="e">
        <f t="shared" ca="1" si="63"/>
        <v>#REF!</v>
      </c>
      <c r="H828" s="88" t="e">
        <f t="shared" ca="1" si="45"/>
        <v>#REF!</v>
      </c>
      <c r="I828" s="61" t="e">
        <f t="shared" ca="1" si="46"/>
        <v>#REF!</v>
      </c>
      <c r="J828" s="87"/>
      <c r="K828" s="62" t="e">
        <f t="shared" ca="1" si="47"/>
        <v>#REF!</v>
      </c>
      <c r="L828" s="62"/>
      <c r="M828" s="62" t="e">
        <f t="shared" ca="1" si="48"/>
        <v>#REF!</v>
      </c>
      <c r="N828" s="62" t="e">
        <f t="shared" ca="1" si="49"/>
        <v>#REF!</v>
      </c>
      <c r="O828" s="48" t="e">
        <f t="shared" ca="1" si="50"/>
        <v>#REF!</v>
      </c>
      <c r="P828" s="48" t="e">
        <f t="shared" ca="1" si="51"/>
        <v>#REF!</v>
      </c>
      <c r="Q828" s="48" t="e">
        <f t="shared" ca="1" si="52"/>
        <v>#REF!</v>
      </c>
      <c r="R828" s="48"/>
      <c r="S828" s="48" t="e">
        <f t="shared" ca="1" si="53"/>
        <v>#REF!</v>
      </c>
      <c r="T828" s="48" t="e">
        <f t="shared" ca="1" si="54"/>
        <v>#REF!</v>
      </c>
      <c r="U828" s="48" t="e">
        <f t="shared" ca="1" si="55"/>
        <v>#REF!</v>
      </c>
      <c r="V828" s="48"/>
      <c r="W828" s="48"/>
      <c r="X828" s="48"/>
      <c r="Y828" s="48"/>
      <c r="Z828" s="61"/>
      <c r="AA828" s="48" t="e">
        <f t="shared" ca="1" si="21"/>
        <v>#REF!</v>
      </c>
      <c r="AB828" s="48" t="e">
        <f t="shared" ca="1" si="22"/>
        <v>#REF!</v>
      </c>
      <c r="AC828" s="48" t="e">
        <f t="shared" ca="1" si="23"/>
        <v>#REF!</v>
      </c>
      <c r="AD828" s="48" t="e">
        <f t="shared" ca="1" si="24"/>
        <v>#REF!</v>
      </c>
      <c r="AE828" s="48" t="e">
        <f t="shared" ca="1" si="25"/>
        <v>#REF!</v>
      </c>
      <c r="AF828" s="48" t="e">
        <f t="shared" ca="1" si="26"/>
        <v>#REF!</v>
      </c>
      <c r="AG828" s="48" t="e">
        <f t="shared" ca="1" si="27"/>
        <v>#REF!</v>
      </c>
      <c r="AH828" s="48" t="e">
        <f t="shared" ca="1" si="28"/>
        <v>#REF!</v>
      </c>
      <c r="AI828" s="48" t="e">
        <f t="shared" ca="1" si="29"/>
        <v>#REF!</v>
      </c>
      <c r="AJ828" s="48" t="e">
        <f t="shared" ca="1" si="30"/>
        <v>#REF!</v>
      </c>
      <c r="AK828" s="48" t="e">
        <f t="shared" ca="1" si="31"/>
        <v>#REF!</v>
      </c>
      <c r="AL828" s="48" t="e">
        <f t="shared" ca="1" si="32"/>
        <v>#REF!</v>
      </c>
      <c r="AM828" s="48" t="e">
        <f t="shared" ca="1" si="33"/>
        <v>#REF!</v>
      </c>
      <c r="AN828" s="48" t="e">
        <f t="shared" ca="1" si="34"/>
        <v>#REF!</v>
      </c>
      <c r="AO828" s="48" t="e">
        <f t="shared" ca="1" si="35"/>
        <v>#REF!</v>
      </c>
      <c r="AP828" s="48" t="e">
        <f t="shared" ca="1" si="36"/>
        <v>#REF!</v>
      </c>
      <c r="AQ828" s="48" t="e">
        <f t="shared" ca="1" si="37"/>
        <v>#REF!</v>
      </c>
      <c r="AR828" s="48" t="e">
        <f t="shared" ca="1" si="38"/>
        <v>#REF!</v>
      </c>
      <c r="AS828" s="48" t="e">
        <f t="shared" ca="1" si="39"/>
        <v>#REF!</v>
      </c>
      <c r="AT828" s="48" t="e">
        <f t="shared" ca="1" si="40"/>
        <v>#REF!</v>
      </c>
      <c r="AU828" s="93" t="e">
        <f t="shared" ca="1" si="56"/>
        <v>#REF!</v>
      </c>
      <c r="AV828" s="93" t="e">
        <f t="shared" ca="1" si="58"/>
        <v>#REF!</v>
      </c>
      <c r="AW828" s="93" t="e">
        <f t="shared" ca="1" si="59"/>
        <v>#REF!</v>
      </c>
      <c r="AX828" s="93" t="e">
        <f t="shared" ca="1" si="60"/>
        <v>#REF!</v>
      </c>
      <c r="AY828" s="93" t="e">
        <f t="shared" ca="1" si="61"/>
        <v>#REF!</v>
      </c>
    </row>
    <row r="829" spans="1:52" ht="16.5" customHeight="1" x14ac:dyDescent="0.15">
      <c r="A829" s="121" t="s">
        <v>7973</v>
      </c>
      <c r="B829" s="47" t="s">
        <v>7974</v>
      </c>
      <c r="C829" s="48" t="e">
        <f t="shared" ca="1" si="62"/>
        <v>#REF!</v>
      </c>
      <c r="D829" s="62" t="e">
        <f t="shared" ca="1" si="42"/>
        <v>#REF!</v>
      </c>
      <c r="E829" s="48" t="e">
        <f t="shared" ca="1" si="43"/>
        <v>#REF!</v>
      </c>
      <c r="F829" s="61" t="e">
        <f t="shared" ca="1" si="44"/>
        <v>#REF!</v>
      </c>
      <c r="G829" s="61" t="e">
        <f t="shared" ca="1" si="63"/>
        <v>#REF!</v>
      </c>
      <c r="H829" s="88" t="e">
        <f t="shared" ca="1" si="45"/>
        <v>#REF!</v>
      </c>
      <c r="I829" s="61" t="e">
        <f t="shared" ca="1" si="46"/>
        <v>#REF!</v>
      </c>
      <c r="J829" s="87"/>
      <c r="K829" s="62" t="e">
        <f t="shared" ca="1" si="47"/>
        <v>#REF!</v>
      </c>
      <c r="L829" s="62"/>
      <c r="M829" s="62" t="e">
        <f t="shared" ca="1" si="48"/>
        <v>#REF!</v>
      </c>
      <c r="N829" s="62" t="e">
        <f t="shared" ca="1" si="49"/>
        <v>#REF!</v>
      </c>
      <c r="O829" s="48" t="e">
        <f t="shared" ca="1" si="50"/>
        <v>#REF!</v>
      </c>
      <c r="P829" s="48" t="e">
        <f t="shared" ca="1" si="51"/>
        <v>#REF!</v>
      </c>
      <c r="Q829" s="48" t="e">
        <f t="shared" ca="1" si="52"/>
        <v>#REF!</v>
      </c>
      <c r="R829" s="48"/>
      <c r="S829" s="48" t="e">
        <f t="shared" ca="1" si="53"/>
        <v>#REF!</v>
      </c>
      <c r="T829" s="48" t="e">
        <f t="shared" ca="1" si="54"/>
        <v>#REF!</v>
      </c>
      <c r="U829" s="48" t="e">
        <f t="shared" ca="1" si="55"/>
        <v>#REF!</v>
      </c>
      <c r="V829" s="48"/>
      <c r="W829" s="48"/>
      <c r="X829" s="48"/>
      <c r="Y829" s="48"/>
      <c r="Z829" s="61"/>
      <c r="AA829" s="48" t="e">
        <f t="shared" ca="1" si="21"/>
        <v>#REF!</v>
      </c>
      <c r="AB829" s="48" t="e">
        <f t="shared" ca="1" si="22"/>
        <v>#REF!</v>
      </c>
      <c r="AC829" s="48" t="e">
        <f t="shared" ca="1" si="23"/>
        <v>#REF!</v>
      </c>
      <c r="AD829" s="48" t="e">
        <f t="shared" ca="1" si="24"/>
        <v>#REF!</v>
      </c>
      <c r="AE829" s="48" t="e">
        <f t="shared" ca="1" si="25"/>
        <v>#REF!</v>
      </c>
      <c r="AF829" s="48" t="e">
        <f t="shared" ca="1" si="26"/>
        <v>#REF!</v>
      </c>
      <c r="AG829" s="48" t="e">
        <f t="shared" ca="1" si="27"/>
        <v>#REF!</v>
      </c>
      <c r="AH829" s="48" t="e">
        <f t="shared" ca="1" si="28"/>
        <v>#REF!</v>
      </c>
      <c r="AI829" s="48" t="e">
        <f t="shared" ca="1" si="29"/>
        <v>#REF!</v>
      </c>
      <c r="AJ829" s="48" t="e">
        <f t="shared" ca="1" si="30"/>
        <v>#REF!</v>
      </c>
      <c r="AK829" s="48" t="e">
        <f t="shared" ca="1" si="31"/>
        <v>#REF!</v>
      </c>
      <c r="AL829" s="48" t="e">
        <f t="shared" ca="1" si="32"/>
        <v>#REF!</v>
      </c>
      <c r="AM829" s="48" t="e">
        <f t="shared" ca="1" si="33"/>
        <v>#REF!</v>
      </c>
      <c r="AN829" s="48" t="e">
        <f t="shared" ca="1" si="34"/>
        <v>#REF!</v>
      </c>
      <c r="AO829" s="48" t="e">
        <f t="shared" ca="1" si="35"/>
        <v>#REF!</v>
      </c>
      <c r="AP829" s="48" t="e">
        <f t="shared" ca="1" si="36"/>
        <v>#REF!</v>
      </c>
      <c r="AQ829" s="48" t="e">
        <f t="shared" ca="1" si="37"/>
        <v>#REF!</v>
      </c>
      <c r="AR829" s="48" t="e">
        <f t="shared" ca="1" si="38"/>
        <v>#REF!</v>
      </c>
      <c r="AS829" s="48" t="e">
        <f t="shared" ca="1" si="39"/>
        <v>#REF!</v>
      </c>
      <c r="AT829" s="48" t="e">
        <f t="shared" ca="1" si="40"/>
        <v>#REF!</v>
      </c>
      <c r="AU829" s="93" t="e">
        <f t="shared" ca="1" si="56"/>
        <v>#REF!</v>
      </c>
      <c r="AV829" s="93" t="e">
        <f t="shared" ca="1" si="58"/>
        <v>#REF!</v>
      </c>
      <c r="AW829" s="93" t="e">
        <f t="shared" ca="1" si="59"/>
        <v>#REF!</v>
      </c>
      <c r="AX829" s="93" t="e">
        <f t="shared" ca="1" si="60"/>
        <v>#REF!</v>
      </c>
      <c r="AY829" s="93" t="e">
        <f t="shared" ca="1" si="61"/>
        <v>#REF!</v>
      </c>
    </row>
    <row r="830" spans="1:52" ht="16.5" customHeight="1" x14ac:dyDescent="0.15">
      <c r="A830" s="211" t="s">
        <v>7975</v>
      </c>
      <c r="B830" s="47" t="s">
        <v>7976</v>
      </c>
      <c r="C830" s="48" t="e">
        <f t="shared" ca="1" si="41"/>
        <v>#REF!</v>
      </c>
      <c r="D830" s="62" t="e">
        <f t="shared" ca="1" si="42"/>
        <v>#REF!</v>
      </c>
      <c r="E830" s="48" t="e">
        <f t="shared" ca="1" si="43"/>
        <v>#REF!</v>
      </c>
      <c r="F830" s="61" t="e">
        <f t="shared" ca="1" si="44"/>
        <v>#REF!</v>
      </c>
      <c r="G830" s="61" t="e">
        <f t="shared" ca="1" si="63"/>
        <v>#REF!</v>
      </c>
      <c r="H830" s="88" t="e">
        <f t="shared" ca="1" si="45"/>
        <v>#REF!</v>
      </c>
      <c r="I830" s="61" t="e">
        <f t="shared" ca="1" si="46"/>
        <v>#REF!</v>
      </c>
      <c r="J830" s="87"/>
      <c r="K830" s="62" t="s">
        <v>2506</v>
      </c>
      <c r="L830" s="62">
        <v>5</v>
      </c>
      <c r="M830" s="62" t="e">
        <f t="shared" ca="1" si="48"/>
        <v>#REF!</v>
      </c>
      <c r="N830" s="62" t="e">
        <f t="shared" ca="1" si="49"/>
        <v>#REF!</v>
      </c>
      <c r="O830" s="48" t="e">
        <f t="shared" ca="1" si="50"/>
        <v>#REF!</v>
      </c>
      <c r="P830" s="48" t="e">
        <f t="shared" ca="1" si="51"/>
        <v>#REF!</v>
      </c>
      <c r="Q830" s="48" t="e">
        <f t="shared" ca="1" si="52"/>
        <v>#REF!</v>
      </c>
      <c r="R830" s="48" t="s">
        <v>7977</v>
      </c>
      <c r="S830" s="48" t="e">
        <f t="shared" ca="1" si="53"/>
        <v>#REF!</v>
      </c>
      <c r="T830" s="48" t="e">
        <f t="shared" ca="1" si="54"/>
        <v>#REF!</v>
      </c>
      <c r="U830" s="48" t="e">
        <f t="shared" ca="1" si="55"/>
        <v>#REF!</v>
      </c>
      <c r="V830" s="48"/>
      <c r="W830" s="48"/>
      <c r="X830" s="48" t="s">
        <v>7978</v>
      </c>
      <c r="Y830" s="48" t="s">
        <v>7977</v>
      </c>
      <c r="Z830" s="61"/>
      <c r="AA830" s="48" t="e">
        <f t="shared" ca="1" si="21"/>
        <v>#REF!</v>
      </c>
      <c r="AB830" s="48" t="e">
        <f t="shared" ca="1" si="22"/>
        <v>#REF!</v>
      </c>
      <c r="AC830" s="48" t="e">
        <f t="shared" ca="1" si="23"/>
        <v>#REF!</v>
      </c>
      <c r="AD830" s="48" t="e">
        <f t="shared" ca="1" si="24"/>
        <v>#REF!</v>
      </c>
      <c r="AE830" s="48" t="e">
        <f t="shared" ca="1" si="25"/>
        <v>#REF!</v>
      </c>
      <c r="AF830" s="48" t="e">
        <f t="shared" ca="1" si="26"/>
        <v>#REF!</v>
      </c>
      <c r="AG830" s="48" t="e">
        <f t="shared" ca="1" si="27"/>
        <v>#REF!</v>
      </c>
      <c r="AH830" s="48" t="e">
        <f t="shared" ca="1" si="28"/>
        <v>#REF!</v>
      </c>
      <c r="AI830" s="48" t="e">
        <f t="shared" ca="1" si="29"/>
        <v>#REF!</v>
      </c>
      <c r="AJ830" s="48" t="e">
        <f t="shared" ca="1" si="30"/>
        <v>#REF!</v>
      </c>
      <c r="AK830" s="48" t="e">
        <f t="shared" ca="1" si="31"/>
        <v>#REF!</v>
      </c>
      <c r="AL830" s="48" t="e">
        <f t="shared" ca="1" si="32"/>
        <v>#REF!</v>
      </c>
      <c r="AM830" s="48" t="e">
        <f t="shared" ca="1" si="33"/>
        <v>#REF!</v>
      </c>
      <c r="AN830" s="48" t="e">
        <f t="shared" ca="1" si="34"/>
        <v>#REF!</v>
      </c>
      <c r="AO830" s="48" t="e">
        <f t="shared" ca="1" si="35"/>
        <v>#REF!</v>
      </c>
      <c r="AP830" s="48" t="e">
        <f t="shared" ca="1" si="36"/>
        <v>#REF!</v>
      </c>
      <c r="AQ830" s="48" t="e">
        <f t="shared" ca="1" si="37"/>
        <v>#REF!</v>
      </c>
      <c r="AR830" s="48" t="e">
        <f t="shared" ca="1" si="38"/>
        <v>#REF!</v>
      </c>
      <c r="AS830" s="48" t="e">
        <f t="shared" ca="1" si="39"/>
        <v>#REF!</v>
      </c>
      <c r="AT830" s="48" t="e">
        <f t="shared" ca="1" si="40"/>
        <v>#REF!</v>
      </c>
      <c r="AU830" s="93" t="e">
        <f t="shared" ca="1" si="56"/>
        <v>#REF!</v>
      </c>
      <c r="AV830" s="93" t="e">
        <f t="shared" ca="1" si="58"/>
        <v>#REF!</v>
      </c>
      <c r="AW830" s="93" t="e">
        <f t="shared" ca="1" si="59"/>
        <v>#REF!</v>
      </c>
      <c r="AX830" s="93" t="e">
        <f t="shared" ca="1" si="60"/>
        <v>#REF!</v>
      </c>
      <c r="AY830" s="93" t="e">
        <f t="shared" ca="1" si="61"/>
        <v>#REF!</v>
      </c>
      <c r="AZ830" s="49" t="s">
        <v>7257</v>
      </c>
    </row>
    <row r="831" spans="1:52" ht="16.5" customHeight="1" x14ac:dyDescent="0.15">
      <c r="A831" s="211" t="s">
        <v>7979</v>
      </c>
      <c r="B831" s="47" t="s">
        <v>7980</v>
      </c>
      <c r="C831" s="48" t="e">
        <f t="shared" ca="1" si="41"/>
        <v>#REF!</v>
      </c>
      <c r="D831" s="62" t="e">
        <f t="shared" ca="1" si="42"/>
        <v>#REF!</v>
      </c>
      <c r="E831" s="48" t="e">
        <f t="shared" ca="1" si="43"/>
        <v>#REF!</v>
      </c>
      <c r="F831" s="61" t="e">
        <f t="shared" ca="1" si="44"/>
        <v>#REF!</v>
      </c>
      <c r="G831" s="61" t="e">
        <f t="shared" ca="1" si="63"/>
        <v>#REF!</v>
      </c>
      <c r="H831" s="88" t="e">
        <f t="shared" ca="1" si="45"/>
        <v>#REF!</v>
      </c>
      <c r="I831" s="61" t="e">
        <f t="shared" ca="1" si="46"/>
        <v>#REF!</v>
      </c>
      <c r="J831" s="87"/>
      <c r="K831" s="62" t="s">
        <v>2506</v>
      </c>
      <c r="L831" s="62">
        <v>3</v>
      </c>
      <c r="M831" s="62" t="e">
        <f t="shared" ca="1" si="48"/>
        <v>#REF!</v>
      </c>
      <c r="N831" s="62" t="e">
        <f t="shared" ca="1" si="49"/>
        <v>#REF!</v>
      </c>
      <c r="O831" s="48" t="e">
        <f t="shared" ca="1" si="50"/>
        <v>#REF!</v>
      </c>
      <c r="P831" s="48" t="e">
        <f t="shared" ca="1" si="51"/>
        <v>#REF!</v>
      </c>
      <c r="Q831" s="48" t="e">
        <f t="shared" ca="1" si="52"/>
        <v>#REF!</v>
      </c>
      <c r="R831" s="48" t="s">
        <v>7981</v>
      </c>
      <c r="S831" s="48" t="e">
        <f t="shared" ca="1" si="53"/>
        <v>#REF!</v>
      </c>
      <c r="T831" s="48" t="e">
        <f t="shared" ca="1" si="54"/>
        <v>#REF!</v>
      </c>
      <c r="U831" s="48" t="e">
        <f t="shared" ca="1" si="55"/>
        <v>#REF!</v>
      </c>
      <c r="V831" s="122" t="s">
        <v>7293</v>
      </c>
      <c r="W831" s="122" t="s">
        <v>7982</v>
      </c>
      <c r="X831" s="48" t="s">
        <v>7983</v>
      </c>
      <c r="Y831" s="48" t="s">
        <v>7984</v>
      </c>
      <c r="Z831" s="61"/>
      <c r="AA831" s="48" t="e">
        <f t="shared" ca="1" si="21"/>
        <v>#REF!</v>
      </c>
      <c r="AB831" s="48" t="e">
        <f t="shared" ca="1" si="22"/>
        <v>#REF!</v>
      </c>
      <c r="AC831" s="48" t="e">
        <f t="shared" ca="1" si="23"/>
        <v>#REF!</v>
      </c>
      <c r="AD831" s="48" t="e">
        <f t="shared" ca="1" si="24"/>
        <v>#REF!</v>
      </c>
      <c r="AE831" s="48" t="e">
        <f t="shared" ca="1" si="25"/>
        <v>#REF!</v>
      </c>
      <c r="AF831" s="48" t="e">
        <f t="shared" ca="1" si="26"/>
        <v>#REF!</v>
      </c>
      <c r="AG831" s="48" t="e">
        <f t="shared" ca="1" si="27"/>
        <v>#REF!</v>
      </c>
      <c r="AH831" s="48" t="e">
        <f t="shared" ca="1" si="28"/>
        <v>#REF!</v>
      </c>
      <c r="AI831" s="48" t="e">
        <f t="shared" ca="1" si="29"/>
        <v>#REF!</v>
      </c>
      <c r="AJ831" s="48" t="e">
        <f t="shared" ca="1" si="30"/>
        <v>#REF!</v>
      </c>
      <c r="AK831" s="48" t="e">
        <f t="shared" ca="1" si="31"/>
        <v>#REF!</v>
      </c>
      <c r="AL831" s="48" t="e">
        <f t="shared" ca="1" si="32"/>
        <v>#REF!</v>
      </c>
      <c r="AM831" s="48" t="e">
        <f t="shared" ca="1" si="33"/>
        <v>#REF!</v>
      </c>
      <c r="AN831" s="48" t="e">
        <f t="shared" ca="1" si="34"/>
        <v>#REF!</v>
      </c>
      <c r="AO831" s="48" t="e">
        <f t="shared" ca="1" si="35"/>
        <v>#REF!</v>
      </c>
      <c r="AP831" s="48" t="e">
        <f t="shared" ca="1" si="36"/>
        <v>#REF!</v>
      </c>
      <c r="AQ831" s="48" t="e">
        <f t="shared" ca="1" si="37"/>
        <v>#REF!</v>
      </c>
      <c r="AR831" s="48" t="e">
        <f t="shared" ca="1" si="38"/>
        <v>#REF!</v>
      </c>
      <c r="AS831" s="48" t="e">
        <f t="shared" ca="1" si="39"/>
        <v>#REF!</v>
      </c>
      <c r="AT831" s="48" t="e">
        <f t="shared" ca="1" si="40"/>
        <v>#REF!</v>
      </c>
      <c r="AU831" s="93" t="e">
        <f t="shared" ca="1" si="56"/>
        <v>#REF!</v>
      </c>
      <c r="AV831" s="93" t="e">
        <f t="shared" ca="1" si="58"/>
        <v>#REF!</v>
      </c>
      <c r="AW831" s="93" t="e">
        <f t="shared" ca="1" si="59"/>
        <v>#REF!</v>
      </c>
      <c r="AX831" s="93" t="e">
        <f t="shared" ca="1" si="60"/>
        <v>#REF!</v>
      </c>
      <c r="AY831" s="93" t="e">
        <f t="shared" ca="1" si="61"/>
        <v>#REF!</v>
      </c>
    </row>
    <row r="832" spans="1:52" ht="16.5" customHeight="1" x14ac:dyDescent="0.15">
      <c r="A832" s="121" t="s">
        <v>7985</v>
      </c>
      <c r="B832" s="47" t="s">
        <v>7986</v>
      </c>
      <c r="C832" s="48" t="e">
        <f t="shared" ca="1" si="41"/>
        <v>#REF!</v>
      </c>
      <c r="D832" s="62" t="e">
        <f t="shared" ca="1" si="42"/>
        <v>#REF!</v>
      </c>
      <c r="E832" s="48" t="e">
        <f t="shared" ca="1" si="43"/>
        <v>#REF!</v>
      </c>
      <c r="F832" s="61" t="e">
        <f t="shared" ca="1" si="44"/>
        <v>#REF!</v>
      </c>
      <c r="G832" s="61" t="e">
        <f t="shared" ca="1" si="63"/>
        <v>#REF!</v>
      </c>
      <c r="H832" s="88" t="e">
        <f t="shared" ca="1" si="45"/>
        <v>#REF!</v>
      </c>
      <c r="I832" s="61" t="e">
        <f t="shared" ca="1" si="46"/>
        <v>#REF!</v>
      </c>
      <c r="J832" s="87"/>
      <c r="K832" s="62" t="e">
        <f t="shared" ca="1" si="47"/>
        <v>#REF!</v>
      </c>
      <c r="L832" s="62"/>
      <c r="M832" s="62" t="e">
        <f t="shared" ca="1" si="48"/>
        <v>#REF!</v>
      </c>
      <c r="N832" s="62" t="e">
        <f t="shared" ca="1" si="49"/>
        <v>#REF!</v>
      </c>
      <c r="O832" s="48" t="e">
        <f t="shared" ca="1" si="50"/>
        <v>#REF!</v>
      </c>
      <c r="P832" s="48" t="e">
        <f t="shared" ca="1" si="51"/>
        <v>#REF!</v>
      </c>
      <c r="Q832" s="48" t="e">
        <f t="shared" ca="1" si="52"/>
        <v>#REF!</v>
      </c>
      <c r="R832" s="48"/>
      <c r="S832" s="48" t="e">
        <f t="shared" ca="1" si="53"/>
        <v>#REF!</v>
      </c>
      <c r="T832" s="48" t="e">
        <f t="shared" ca="1" si="54"/>
        <v>#REF!</v>
      </c>
      <c r="U832" s="48" t="e">
        <f t="shared" ca="1" si="55"/>
        <v>#REF!</v>
      </c>
      <c r="V832" s="48"/>
      <c r="W832" s="48"/>
      <c r="X832" s="48"/>
      <c r="Y832" s="48"/>
      <c r="Z832" s="61"/>
      <c r="AA832" s="48" t="e">
        <f t="shared" ca="1" si="21"/>
        <v>#REF!</v>
      </c>
      <c r="AB832" s="48" t="e">
        <f t="shared" ca="1" si="22"/>
        <v>#REF!</v>
      </c>
      <c r="AC832" s="48" t="e">
        <f t="shared" ca="1" si="23"/>
        <v>#REF!</v>
      </c>
      <c r="AD832" s="48" t="e">
        <f t="shared" ca="1" si="24"/>
        <v>#REF!</v>
      </c>
      <c r="AE832" s="48" t="e">
        <f t="shared" ca="1" si="25"/>
        <v>#REF!</v>
      </c>
      <c r="AF832" s="48" t="e">
        <f t="shared" ca="1" si="26"/>
        <v>#REF!</v>
      </c>
      <c r="AG832" s="48" t="e">
        <f t="shared" ca="1" si="27"/>
        <v>#REF!</v>
      </c>
      <c r="AH832" s="48" t="e">
        <f t="shared" ca="1" si="28"/>
        <v>#REF!</v>
      </c>
      <c r="AI832" s="48" t="e">
        <f t="shared" ca="1" si="29"/>
        <v>#REF!</v>
      </c>
      <c r="AJ832" s="48" t="e">
        <f t="shared" ca="1" si="30"/>
        <v>#REF!</v>
      </c>
      <c r="AK832" s="48" t="e">
        <f t="shared" ca="1" si="31"/>
        <v>#REF!</v>
      </c>
      <c r="AL832" s="48" t="e">
        <f t="shared" ca="1" si="32"/>
        <v>#REF!</v>
      </c>
      <c r="AM832" s="48" t="e">
        <f t="shared" ca="1" si="33"/>
        <v>#REF!</v>
      </c>
      <c r="AN832" s="48" t="e">
        <f t="shared" ca="1" si="34"/>
        <v>#REF!</v>
      </c>
      <c r="AO832" s="48" t="e">
        <f t="shared" ca="1" si="35"/>
        <v>#REF!</v>
      </c>
      <c r="AP832" s="48" t="e">
        <f t="shared" ca="1" si="36"/>
        <v>#REF!</v>
      </c>
      <c r="AQ832" s="48" t="e">
        <f t="shared" ca="1" si="37"/>
        <v>#REF!</v>
      </c>
      <c r="AR832" s="48" t="e">
        <f t="shared" ca="1" si="38"/>
        <v>#REF!</v>
      </c>
      <c r="AS832" s="48" t="e">
        <f t="shared" ca="1" si="39"/>
        <v>#REF!</v>
      </c>
      <c r="AT832" s="48" t="e">
        <f t="shared" ca="1" si="40"/>
        <v>#REF!</v>
      </c>
      <c r="AU832" s="93" t="e">
        <f t="shared" ca="1" si="56"/>
        <v>#REF!</v>
      </c>
      <c r="AV832" s="93" t="e">
        <f t="shared" ca="1" si="58"/>
        <v>#REF!</v>
      </c>
      <c r="AW832" s="93" t="e">
        <f t="shared" ca="1" si="59"/>
        <v>#REF!</v>
      </c>
      <c r="AX832" s="93" t="e">
        <f t="shared" ca="1" si="60"/>
        <v>#REF!</v>
      </c>
      <c r="AY832" s="93" t="e">
        <f t="shared" ca="1" si="61"/>
        <v>#REF!</v>
      </c>
    </row>
    <row r="833" spans="1:51" ht="16.5" customHeight="1" x14ac:dyDescent="0.15">
      <c r="A833" s="121" t="s">
        <v>7987</v>
      </c>
      <c r="B833" s="47" t="s">
        <v>7988</v>
      </c>
      <c r="C833" s="48" t="e">
        <f t="shared" ca="1" si="41"/>
        <v>#REF!</v>
      </c>
      <c r="D833" s="62" t="e">
        <f t="shared" ca="1" si="42"/>
        <v>#REF!</v>
      </c>
      <c r="E833" s="48" t="e">
        <f t="shared" ca="1" si="43"/>
        <v>#REF!</v>
      </c>
      <c r="F833" s="61" t="e">
        <f t="shared" ca="1" si="44"/>
        <v>#REF!</v>
      </c>
      <c r="G833" s="61" t="e">
        <f t="shared" ca="1" si="63"/>
        <v>#REF!</v>
      </c>
      <c r="H833" s="88" t="e">
        <f t="shared" ca="1" si="45"/>
        <v>#REF!</v>
      </c>
      <c r="I833" s="61" t="e">
        <f t="shared" ca="1" si="46"/>
        <v>#REF!</v>
      </c>
      <c r="J833" s="87"/>
      <c r="K833" s="62" t="e">
        <f t="shared" ca="1" si="47"/>
        <v>#REF!</v>
      </c>
      <c r="L833" s="62"/>
      <c r="M833" s="62" t="e">
        <f t="shared" ca="1" si="48"/>
        <v>#REF!</v>
      </c>
      <c r="N833" s="62" t="e">
        <f t="shared" ca="1" si="49"/>
        <v>#REF!</v>
      </c>
      <c r="O833" s="48" t="e">
        <f t="shared" ca="1" si="50"/>
        <v>#REF!</v>
      </c>
      <c r="P833" s="48" t="e">
        <f t="shared" ca="1" si="51"/>
        <v>#REF!</v>
      </c>
      <c r="Q833" s="48" t="e">
        <f t="shared" ca="1" si="52"/>
        <v>#REF!</v>
      </c>
      <c r="R833" s="48"/>
      <c r="S833" s="48" t="e">
        <f t="shared" ca="1" si="53"/>
        <v>#REF!</v>
      </c>
      <c r="T833" s="48" t="e">
        <f t="shared" ca="1" si="54"/>
        <v>#REF!</v>
      </c>
      <c r="U833" s="48" t="e">
        <f t="shared" ca="1" si="55"/>
        <v>#REF!</v>
      </c>
      <c r="V833" s="48"/>
      <c r="W833" s="48"/>
      <c r="X833" s="48"/>
      <c r="Y833" s="48"/>
      <c r="Z833" s="61"/>
      <c r="AA833" s="48" t="e">
        <f t="shared" ca="1" si="21"/>
        <v>#REF!</v>
      </c>
      <c r="AB833" s="48" t="e">
        <f t="shared" ca="1" si="22"/>
        <v>#REF!</v>
      </c>
      <c r="AC833" s="48" t="e">
        <f t="shared" ca="1" si="23"/>
        <v>#REF!</v>
      </c>
      <c r="AD833" s="48" t="e">
        <f t="shared" ca="1" si="24"/>
        <v>#REF!</v>
      </c>
      <c r="AE833" s="48" t="e">
        <f t="shared" ca="1" si="25"/>
        <v>#REF!</v>
      </c>
      <c r="AF833" s="48" t="e">
        <f t="shared" ca="1" si="26"/>
        <v>#REF!</v>
      </c>
      <c r="AG833" s="48" t="e">
        <f t="shared" ca="1" si="27"/>
        <v>#REF!</v>
      </c>
      <c r="AH833" s="48" t="e">
        <f t="shared" ca="1" si="28"/>
        <v>#REF!</v>
      </c>
      <c r="AI833" s="48" t="e">
        <f t="shared" ca="1" si="29"/>
        <v>#REF!</v>
      </c>
      <c r="AJ833" s="48" t="e">
        <f t="shared" ca="1" si="30"/>
        <v>#REF!</v>
      </c>
      <c r="AK833" s="48" t="e">
        <f t="shared" ca="1" si="31"/>
        <v>#REF!</v>
      </c>
      <c r="AL833" s="48" t="e">
        <f t="shared" ca="1" si="32"/>
        <v>#REF!</v>
      </c>
      <c r="AM833" s="48" t="e">
        <f t="shared" ca="1" si="33"/>
        <v>#REF!</v>
      </c>
      <c r="AN833" s="48" t="e">
        <f t="shared" ca="1" si="34"/>
        <v>#REF!</v>
      </c>
      <c r="AO833" s="48" t="e">
        <f t="shared" ca="1" si="35"/>
        <v>#REF!</v>
      </c>
      <c r="AP833" s="48" t="e">
        <f t="shared" ca="1" si="36"/>
        <v>#REF!</v>
      </c>
      <c r="AQ833" s="48" t="e">
        <f t="shared" ca="1" si="37"/>
        <v>#REF!</v>
      </c>
      <c r="AR833" s="48" t="e">
        <f t="shared" ca="1" si="38"/>
        <v>#REF!</v>
      </c>
      <c r="AS833" s="48" t="e">
        <f t="shared" ca="1" si="39"/>
        <v>#REF!</v>
      </c>
      <c r="AT833" s="48" t="e">
        <f t="shared" ca="1" si="40"/>
        <v>#REF!</v>
      </c>
      <c r="AU833" s="93" t="e">
        <f t="shared" ca="1" si="56"/>
        <v>#REF!</v>
      </c>
      <c r="AV833" s="93" t="e">
        <f t="shared" ca="1" si="58"/>
        <v>#REF!</v>
      </c>
      <c r="AW833" s="93" t="e">
        <f t="shared" ca="1" si="59"/>
        <v>#REF!</v>
      </c>
      <c r="AX833" s="93" t="e">
        <f t="shared" ca="1" si="60"/>
        <v>#REF!</v>
      </c>
      <c r="AY833" s="93" t="e">
        <f t="shared" ca="1" si="61"/>
        <v>#REF!</v>
      </c>
    </row>
    <row r="834" spans="1:51" ht="16.5" customHeight="1" x14ac:dyDescent="0.15">
      <c r="A834" s="121" t="s">
        <v>7989</v>
      </c>
      <c r="B834" s="47" t="s">
        <v>7990</v>
      </c>
      <c r="C834" s="48" t="e">
        <f t="shared" ca="1" si="41"/>
        <v>#REF!</v>
      </c>
      <c r="D834" s="62" t="e">
        <f t="shared" ca="1" si="42"/>
        <v>#REF!</v>
      </c>
      <c r="E834" s="48" t="e">
        <f t="shared" ca="1" si="43"/>
        <v>#REF!</v>
      </c>
      <c r="F834" s="61" t="e">
        <f t="shared" ca="1" si="44"/>
        <v>#REF!</v>
      </c>
      <c r="G834" s="61" t="e">
        <f t="shared" ca="1" si="63"/>
        <v>#REF!</v>
      </c>
      <c r="H834" s="88" t="e">
        <f t="shared" ca="1" si="45"/>
        <v>#REF!</v>
      </c>
      <c r="I834" s="61" t="e">
        <f t="shared" ca="1" si="46"/>
        <v>#REF!</v>
      </c>
      <c r="J834" s="87"/>
      <c r="K834" s="62" t="e">
        <f t="shared" ca="1" si="47"/>
        <v>#REF!</v>
      </c>
      <c r="L834" s="62"/>
      <c r="M834" s="62" t="e">
        <f t="shared" ca="1" si="48"/>
        <v>#REF!</v>
      </c>
      <c r="N834" s="62" t="e">
        <f t="shared" ca="1" si="49"/>
        <v>#REF!</v>
      </c>
      <c r="O834" s="48" t="e">
        <f t="shared" ca="1" si="50"/>
        <v>#REF!</v>
      </c>
      <c r="P834" s="48" t="e">
        <f t="shared" ca="1" si="51"/>
        <v>#REF!</v>
      </c>
      <c r="Q834" s="48" t="e">
        <f t="shared" ca="1" si="52"/>
        <v>#REF!</v>
      </c>
      <c r="R834" s="48"/>
      <c r="S834" s="48" t="e">
        <f t="shared" ca="1" si="53"/>
        <v>#REF!</v>
      </c>
      <c r="T834" s="48" t="e">
        <f t="shared" ca="1" si="54"/>
        <v>#REF!</v>
      </c>
      <c r="U834" s="48" t="e">
        <f t="shared" ca="1" si="55"/>
        <v>#REF!</v>
      </c>
      <c r="V834" s="48"/>
      <c r="W834" s="48"/>
      <c r="X834" s="48"/>
      <c r="Y834" s="48"/>
      <c r="Z834" s="61"/>
      <c r="AA834" s="48" t="e">
        <f t="shared" ca="1" si="21"/>
        <v>#REF!</v>
      </c>
      <c r="AB834" s="48" t="e">
        <f t="shared" ca="1" si="22"/>
        <v>#REF!</v>
      </c>
      <c r="AC834" s="48" t="e">
        <f t="shared" ca="1" si="23"/>
        <v>#REF!</v>
      </c>
      <c r="AD834" s="48" t="e">
        <f t="shared" ca="1" si="24"/>
        <v>#REF!</v>
      </c>
      <c r="AE834" s="48" t="e">
        <f t="shared" ca="1" si="25"/>
        <v>#REF!</v>
      </c>
      <c r="AF834" s="48" t="e">
        <f t="shared" ca="1" si="26"/>
        <v>#REF!</v>
      </c>
      <c r="AG834" s="48" t="e">
        <f t="shared" ca="1" si="27"/>
        <v>#REF!</v>
      </c>
      <c r="AH834" s="48" t="e">
        <f t="shared" ca="1" si="28"/>
        <v>#REF!</v>
      </c>
      <c r="AI834" s="48" t="e">
        <f t="shared" ca="1" si="29"/>
        <v>#REF!</v>
      </c>
      <c r="AJ834" s="48" t="e">
        <f t="shared" ca="1" si="30"/>
        <v>#REF!</v>
      </c>
      <c r="AK834" s="48" t="e">
        <f t="shared" ca="1" si="31"/>
        <v>#REF!</v>
      </c>
      <c r="AL834" s="48" t="e">
        <f t="shared" ca="1" si="32"/>
        <v>#REF!</v>
      </c>
      <c r="AM834" s="48" t="e">
        <f t="shared" ca="1" si="33"/>
        <v>#REF!</v>
      </c>
      <c r="AN834" s="48" t="e">
        <f t="shared" ca="1" si="34"/>
        <v>#REF!</v>
      </c>
      <c r="AO834" s="48" t="e">
        <f t="shared" ca="1" si="35"/>
        <v>#REF!</v>
      </c>
      <c r="AP834" s="48" t="e">
        <f t="shared" ca="1" si="36"/>
        <v>#REF!</v>
      </c>
      <c r="AQ834" s="48" t="e">
        <f t="shared" ca="1" si="37"/>
        <v>#REF!</v>
      </c>
      <c r="AR834" s="48" t="e">
        <f t="shared" ca="1" si="38"/>
        <v>#REF!</v>
      </c>
      <c r="AS834" s="48" t="e">
        <f t="shared" ca="1" si="39"/>
        <v>#REF!</v>
      </c>
      <c r="AT834" s="48" t="e">
        <f t="shared" ca="1" si="40"/>
        <v>#REF!</v>
      </c>
      <c r="AU834" s="93" t="e">
        <f t="shared" ca="1" si="56"/>
        <v>#REF!</v>
      </c>
      <c r="AV834" s="93" t="e">
        <f t="shared" ca="1" si="58"/>
        <v>#REF!</v>
      </c>
      <c r="AW834" s="93" t="e">
        <f t="shared" ca="1" si="59"/>
        <v>#REF!</v>
      </c>
      <c r="AX834" s="93" t="e">
        <f t="shared" ca="1" si="60"/>
        <v>#REF!</v>
      </c>
      <c r="AY834" s="93" t="e">
        <f t="shared" ca="1" si="61"/>
        <v>#REF!</v>
      </c>
    </row>
    <row r="835" spans="1:51" ht="16.5" customHeight="1" x14ac:dyDescent="0.15">
      <c r="A835" s="121" t="s">
        <v>7991</v>
      </c>
      <c r="B835" s="47" t="s">
        <v>7992</v>
      </c>
      <c r="C835" s="48" t="e">
        <f t="shared" ca="1" si="41"/>
        <v>#REF!</v>
      </c>
      <c r="D835" s="62" t="e">
        <f t="shared" ca="1" si="42"/>
        <v>#REF!</v>
      </c>
      <c r="E835" s="48" t="e">
        <f t="shared" ca="1" si="43"/>
        <v>#REF!</v>
      </c>
      <c r="F835" s="61" t="e">
        <f t="shared" ca="1" si="44"/>
        <v>#REF!</v>
      </c>
      <c r="G835" s="61" t="e">
        <f t="shared" ca="1" si="63"/>
        <v>#REF!</v>
      </c>
      <c r="H835" s="88" t="e">
        <f t="shared" ca="1" si="45"/>
        <v>#REF!</v>
      </c>
      <c r="I835" s="61" t="e">
        <f t="shared" ca="1" si="46"/>
        <v>#REF!</v>
      </c>
      <c r="J835" s="87"/>
      <c r="K835" s="62" t="e">
        <f t="shared" ca="1" si="47"/>
        <v>#REF!</v>
      </c>
      <c r="L835" s="62"/>
      <c r="M835" s="62" t="e">
        <f t="shared" ca="1" si="48"/>
        <v>#REF!</v>
      </c>
      <c r="N835" s="62" t="e">
        <f t="shared" ca="1" si="49"/>
        <v>#REF!</v>
      </c>
      <c r="O835" s="48" t="e">
        <f t="shared" ca="1" si="50"/>
        <v>#REF!</v>
      </c>
      <c r="P835" s="48" t="e">
        <f t="shared" ca="1" si="51"/>
        <v>#REF!</v>
      </c>
      <c r="Q835" s="48" t="e">
        <f t="shared" ca="1" si="52"/>
        <v>#REF!</v>
      </c>
      <c r="R835" s="48"/>
      <c r="S835" s="48" t="e">
        <f t="shared" ca="1" si="53"/>
        <v>#REF!</v>
      </c>
      <c r="T835" s="48" t="e">
        <f t="shared" ca="1" si="54"/>
        <v>#REF!</v>
      </c>
      <c r="U835" s="48" t="e">
        <f t="shared" ca="1" si="55"/>
        <v>#REF!</v>
      </c>
      <c r="V835" s="48"/>
      <c r="W835" s="48"/>
      <c r="X835" s="48"/>
      <c r="Y835" s="48"/>
      <c r="Z835" s="61"/>
      <c r="AA835" s="48" t="e">
        <f t="shared" ca="1" si="21"/>
        <v>#REF!</v>
      </c>
      <c r="AB835" s="48" t="e">
        <f t="shared" ca="1" si="22"/>
        <v>#REF!</v>
      </c>
      <c r="AC835" s="48" t="e">
        <f t="shared" ca="1" si="23"/>
        <v>#REF!</v>
      </c>
      <c r="AD835" s="48" t="e">
        <f t="shared" ca="1" si="24"/>
        <v>#REF!</v>
      </c>
      <c r="AE835" s="48" t="e">
        <f t="shared" ca="1" si="25"/>
        <v>#REF!</v>
      </c>
      <c r="AF835" s="48" t="e">
        <f t="shared" ca="1" si="26"/>
        <v>#REF!</v>
      </c>
      <c r="AG835" s="48" t="e">
        <f t="shared" ca="1" si="27"/>
        <v>#REF!</v>
      </c>
      <c r="AH835" s="48" t="e">
        <f t="shared" ca="1" si="28"/>
        <v>#REF!</v>
      </c>
      <c r="AI835" s="48" t="e">
        <f t="shared" ca="1" si="29"/>
        <v>#REF!</v>
      </c>
      <c r="AJ835" s="48" t="e">
        <f t="shared" ca="1" si="30"/>
        <v>#REF!</v>
      </c>
      <c r="AK835" s="48" t="e">
        <f t="shared" ca="1" si="31"/>
        <v>#REF!</v>
      </c>
      <c r="AL835" s="48" t="e">
        <f t="shared" ca="1" si="32"/>
        <v>#REF!</v>
      </c>
      <c r="AM835" s="48" t="e">
        <f t="shared" ca="1" si="33"/>
        <v>#REF!</v>
      </c>
      <c r="AN835" s="48" t="e">
        <f t="shared" ca="1" si="34"/>
        <v>#REF!</v>
      </c>
      <c r="AO835" s="48" t="e">
        <f t="shared" ca="1" si="35"/>
        <v>#REF!</v>
      </c>
      <c r="AP835" s="48" t="e">
        <f t="shared" ca="1" si="36"/>
        <v>#REF!</v>
      </c>
      <c r="AQ835" s="48" t="e">
        <f t="shared" ca="1" si="37"/>
        <v>#REF!</v>
      </c>
      <c r="AR835" s="48" t="e">
        <f t="shared" ca="1" si="38"/>
        <v>#REF!</v>
      </c>
      <c r="AS835" s="48" t="e">
        <f t="shared" ca="1" si="39"/>
        <v>#REF!</v>
      </c>
      <c r="AT835" s="48" t="e">
        <f t="shared" ca="1" si="40"/>
        <v>#REF!</v>
      </c>
      <c r="AU835" s="93" t="e">
        <f t="shared" ca="1" si="56"/>
        <v>#REF!</v>
      </c>
      <c r="AV835" s="93" t="e">
        <f t="shared" ca="1" si="58"/>
        <v>#REF!</v>
      </c>
      <c r="AW835" s="93" t="e">
        <f t="shared" ca="1" si="59"/>
        <v>#REF!</v>
      </c>
      <c r="AX835" s="93" t="e">
        <f t="shared" ca="1" si="60"/>
        <v>#REF!</v>
      </c>
      <c r="AY835" s="93" t="e">
        <f t="shared" ca="1" si="61"/>
        <v>#REF!</v>
      </c>
    </row>
    <row r="836" spans="1:51" ht="16.5" customHeight="1" x14ac:dyDescent="0.15">
      <c r="A836" s="121" t="s">
        <v>7993</v>
      </c>
      <c r="B836" s="47" t="s">
        <v>7994</v>
      </c>
      <c r="C836" s="48" t="e">
        <f t="shared" ca="1" si="41"/>
        <v>#REF!</v>
      </c>
      <c r="D836" s="62" t="e">
        <f t="shared" ca="1" si="42"/>
        <v>#REF!</v>
      </c>
      <c r="E836" s="48" t="e">
        <f t="shared" ca="1" si="43"/>
        <v>#REF!</v>
      </c>
      <c r="F836" s="61" t="e">
        <f t="shared" ca="1" si="44"/>
        <v>#REF!</v>
      </c>
      <c r="G836" s="61" t="e">
        <f t="shared" ca="1" si="63"/>
        <v>#REF!</v>
      </c>
      <c r="H836" s="88" t="e">
        <f t="shared" ca="1" si="45"/>
        <v>#REF!</v>
      </c>
      <c r="I836" s="61" t="e">
        <f t="shared" ca="1" si="46"/>
        <v>#REF!</v>
      </c>
      <c r="J836" s="87"/>
      <c r="K836" s="62" t="e">
        <f t="shared" ca="1" si="47"/>
        <v>#REF!</v>
      </c>
      <c r="L836" s="62"/>
      <c r="M836" s="62" t="e">
        <f t="shared" ca="1" si="48"/>
        <v>#REF!</v>
      </c>
      <c r="N836" s="62" t="e">
        <f t="shared" ca="1" si="49"/>
        <v>#REF!</v>
      </c>
      <c r="O836" s="48" t="e">
        <f t="shared" ca="1" si="50"/>
        <v>#REF!</v>
      </c>
      <c r="P836" s="48" t="e">
        <f t="shared" ca="1" si="51"/>
        <v>#REF!</v>
      </c>
      <c r="Q836" s="48" t="e">
        <f t="shared" ca="1" si="52"/>
        <v>#REF!</v>
      </c>
      <c r="R836" s="48"/>
      <c r="S836" s="48" t="e">
        <f t="shared" ca="1" si="53"/>
        <v>#REF!</v>
      </c>
      <c r="T836" s="48" t="e">
        <f t="shared" ca="1" si="54"/>
        <v>#REF!</v>
      </c>
      <c r="U836" s="48" t="e">
        <f t="shared" ca="1" si="55"/>
        <v>#REF!</v>
      </c>
      <c r="V836" s="48"/>
      <c r="W836" s="48"/>
      <c r="X836" s="48"/>
      <c r="Y836" s="48"/>
      <c r="Z836" s="61"/>
      <c r="AA836" s="48" t="e">
        <f t="shared" ca="1" si="21"/>
        <v>#REF!</v>
      </c>
      <c r="AB836" s="48" t="e">
        <f t="shared" ca="1" si="22"/>
        <v>#REF!</v>
      </c>
      <c r="AC836" s="48" t="e">
        <f t="shared" ca="1" si="23"/>
        <v>#REF!</v>
      </c>
      <c r="AD836" s="48" t="e">
        <f t="shared" ca="1" si="24"/>
        <v>#REF!</v>
      </c>
      <c r="AE836" s="48" t="e">
        <f t="shared" ca="1" si="25"/>
        <v>#REF!</v>
      </c>
      <c r="AF836" s="48" t="e">
        <f t="shared" ca="1" si="26"/>
        <v>#REF!</v>
      </c>
      <c r="AG836" s="48" t="e">
        <f t="shared" ca="1" si="27"/>
        <v>#REF!</v>
      </c>
      <c r="AH836" s="48" t="e">
        <f t="shared" ca="1" si="28"/>
        <v>#REF!</v>
      </c>
      <c r="AI836" s="48" t="e">
        <f t="shared" ca="1" si="29"/>
        <v>#REF!</v>
      </c>
      <c r="AJ836" s="48" t="e">
        <f t="shared" ca="1" si="30"/>
        <v>#REF!</v>
      </c>
      <c r="AK836" s="48" t="e">
        <f t="shared" ca="1" si="31"/>
        <v>#REF!</v>
      </c>
      <c r="AL836" s="48" t="e">
        <f t="shared" ca="1" si="32"/>
        <v>#REF!</v>
      </c>
      <c r="AM836" s="48" t="e">
        <f t="shared" ca="1" si="33"/>
        <v>#REF!</v>
      </c>
      <c r="AN836" s="48" t="e">
        <f t="shared" ca="1" si="34"/>
        <v>#REF!</v>
      </c>
      <c r="AO836" s="48" t="e">
        <f t="shared" ca="1" si="35"/>
        <v>#REF!</v>
      </c>
      <c r="AP836" s="48" t="e">
        <f t="shared" ca="1" si="36"/>
        <v>#REF!</v>
      </c>
      <c r="AQ836" s="48" t="e">
        <f t="shared" ca="1" si="37"/>
        <v>#REF!</v>
      </c>
      <c r="AR836" s="48" t="e">
        <f t="shared" ca="1" si="38"/>
        <v>#REF!</v>
      </c>
      <c r="AS836" s="48" t="e">
        <f t="shared" ca="1" si="39"/>
        <v>#REF!</v>
      </c>
      <c r="AT836" s="48" t="e">
        <f t="shared" ca="1" si="40"/>
        <v>#REF!</v>
      </c>
      <c r="AU836" s="93" t="e">
        <f t="shared" ca="1" si="56"/>
        <v>#REF!</v>
      </c>
      <c r="AV836" s="93" t="e">
        <f t="shared" ca="1" si="58"/>
        <v>#REF!</v>
      </c>
      <c r="AW836" s="93" t="e">
        <f t="shared" ca="1" si="59"/>
        <v>#REF!</v>
      </c>
      <c r="AX836" s="93" t="e">
        <f t="shared" ca="1" si="60"/>
        <v>#REF!</v>
      </c>
      <c r="AY836" s="93" t="e">
        <f t="shared" ca="1" si="61"/>
        <v>#REF!</v>
      </c>
    </row>
    <row r="837" spans="1:51" ht="16.5" customHeight="1" x14ac:dyDescent="0.15">
      <c r="A837" s="121" t="s">
        <v>7995</v>
      </c>
      <c r="B837" s="47" t="s">
        <v>7996</v>
      </c>
      <c r="C837" s="48" t="e">
        <f t="shared" ca="1" si="41"/>
        <v>#REF!</v>
      </c>
      <c r="D837" s="62" t="e">
        <f t="shared" ca="1" si="42"/>
        <v>#REF!</v>
      </c>
      <c r="E837" s="48" t="e">
        <f t="shared" ca="1" si="43"/>
        <v>#REF!</v>
      </c>
      <c r="F837" s="61" t="e">
        <f t="shared" ca="1" si="44"/>
        <v>#REF!</v>
      </c>
      <c r="G837" s="61" t="e">
        <f t="shared" ca="1" si="63"/>
        <v>#REF!</v>
      </c>
      <c r="H837" s="88" t="e">
        <f t="shared" ca="1" si="45"/>
        <v>#REF!</v>
      </c>
      <c r="I837" s="61" t="e">
        <f t="shared" ca="1" si="46"/>
        <v>#REF!</v>
      </c>
      <c r="J837" s="87"/>
      <c r="K837" s="62" t="e">
        <f t="shared" ca="1" si="47"/>
        <v>#REF!</v>
      </c>
      <c r="L837" s="62"/>
      <c r="M837" s="62" t="e">
        <f t="shared" ca="1" si="48"/>
        <v>#REF!</v>
      </c>
      <c r="N837" s="62" t="e">
        <f t="shared" ca="1" si="49"/>
        <v>#REF!</v>
      </c>
      <c r="O837" s="48" t="e">
        <f t="shared" ca="1" si="50"/>
        <v>#REF!</v>
      </c>
      <c r="P837" s="48" t="e">
        <f t="shared" ca="1" si="51"/>
        <v>#REF!</v>
      </c>
      <c r="Q837" s="48" t="e">
        <f t="shared" ca="1" si="52"/>
        <v>#REF!</v>
      </c>
      <c r="R837" s="48"/>
      <c r="S837" s="48" t="e">
        <f t="shared" ca="1" si="53"/>
        <v>#REF!</v>
      </c>
      <c r="T837" s="48" t="e">
        <f t="shared" ca="1" si="54"/>
        <v>#REF!</v>
      </c>
      <c r="U837" s="48" t="e">
        <f t="shared" ca="1" si="55"/>
        <v>#REF!</v>
      </c>
      <c r="V837" s="48"/>
      <c r="W837" s="48"/>
      <c r="X837" s="48"/>
      <c r="Y837" s="48"/>
      <c r="Z837" s="61"/>
      <c r="AA837" s="48" t="e">
        <f t="shared" ca="1" si="21"/>
        <v>#REF!</v>
      </c>
      <c r="AB837" s="48" t="e">
        <f t="shared" ca="1" si="22"/>
        <v>#REF!</v>
      </c>
      <c r="AC837" s="48" t="e">
        <f t="shared" ca="1" si="23"/>
        <v>#REF!</v>
      </c>
      <c r="AD837" s="48" t="e">
        <f t="shared" ca="1" si="24"/>
        <v>#REF!</v>
      </c>
      <c r="AE837" s="48" t="e">
        <f t="shared" ca="1" si="25"/>
        <v>#REF!</v>
      </c>
      <c r="AF837" s="48" t="e">
        <f t="shared" ca="1" si="26"/>
        <v>#REF!</v>
      </c>
      <c r="AG837" s="48" t="e">
        <f t="shared" ca="1" si="27"/>
        <v>#REF!</v>
      </c>
      <c r="AH837" s="48" t="e">
        <f t="shared" ca="1" si="28"/>
        <v>#REF!</v>
      </c>
      <c r="AI837" s="48" t="e">
        <f t="shared" ca="1" si="29"/>
        <v>#REF!</v>
      </c>
      <c r="AJ837" s="48" t="e">
        <f t="shared" ca="1" si="30"/>
        <v>#REF!</v>
      </c>
      <c r="AK837" s="48" t="e">
        <f t="shared" ca="1" si="31"/>
        <v>#REF!</v>
      </c>
      <c r="AL837" s="48" t="e">
        <f t="shared" ca="1" si="32"/>
        <v>#REF!</v>
      </c>
      <c r="AM837" s="48" t="e">
        <f t="shared" ca="1" si="33"/>
        <v>#REF!</v>
      </c>
      <c r="AN837" s="48" t="e">
        <f t="shared" ca="1" si="34"/>
        <v>#REF!</v>
      </c>
      <c r="AO837" s="48" t="e">
        <f t="shared" ca="1" si="35"/>
        <v>#REF!</v>
      </c>
      <c r="AP837" s="48" t="e">
        <f t="shared" ca="1" si="36"/>
        <v>#REF!</v>
      </c>
      <c r="AQ837" s="48" t="e">
        <f t="shared" ca="1" si="37"/>
        <v>#REF!</v>
      </c>
      <c r="AR837" s="48" t="e">
        <f t="shared" ca="1" si="38"/>
        <v>#REF!</v>
      </c>
      <c r="AS837" s="48" t="e">
        <f t="shared" ca="1" si="39"/>
        <v>#REF!</v>
      </c>
      <c r="AT837" s="48" t="e">
        <f t="shared" ca="1" si="40"/>
        <v>#REF!</v>
      </c>
      <c r="AU837" s="93" t="e">
        <f t="shared" ca="1" si="56"/>
        <v>#REF!</v>
      </c>
      <c r="AV837" s="93" t="e">
        <f t="shared" ca="1" si="58"/>
        <v>#REF!</v>
      </c>
      <c r="AW837" s="93" t="e">
        <f t="shared" ca="1" si="59"/>
        <v>#REF!</v>
      </c>
      <c r="AX837" s="93" t="e">
        <f t="shared" ca="1" si="60"/>
        <v>#REF!</v>
      </c>
      <c r="AY837" s="93" t="e">
        <f t="shared" ca="1" si="61"/>
        <v>#REF!</v>
      </c>
    </row>
    <row r="838" spans="1:51" ht="16.5" customHeight="1" x14ac:dyDescent="0.15">
      <c r="A838" s="121" t="s">
        <v>7997</v>
      </c>
      <c r="B838" s="47" t="s">
        <v>7998</v>
      </c>
      <c r="C838" s="48" t="e">
        <f ca="1">INDIRECT("'["&amp;$C$1&amp;".xls]"&amp;$B838&amp;"'!$i$7")</f>
        <v>#REF!</v>
      </c>
      <c r="D838" s="62" t="e">
        <f t="shared" ca="1" si="42"/>
        <v>#REF!</v>
      </c>
      <c r="E838" s="48" t="e">
        <f t="shared" ca="1" si="43"/>
        <v>#REF!</v>
      </c>
      <c r="F838" s="61" t="e">
        <f t="shared" ca="1" si="44"/>
        <v>#REF!</v>
      </c>
      <c r="G838" s="61" t="e">
        <f t="shared" ca="1" si="63"/>
        <v>#REF!</v>
      </c>
      <c r="H838" s="88" t="e">
        <f t="shared" ca="1" si="45"/>
        <v>#REF!</v>
      </c>
      <c r="I838" s="61" t="e">
        <f t="shared" ca="1" si="46"/>
        <v>#REF!</v>
      </c>
      <c r="J838" s="87"/>
      <c r="K838" s="62" t="e">
        <f t="shared" ca="1" si="47"/>
        <v>#REF!</v>
      </c>
      <c r="L838" s="62"/>
      <c r="M838" s="62" t="e">
        <f t="shared" ca="1" si="48"/>
        <v>#REF!</v>
      </c>
      <c r="N838" s="62" t="e">
        <f t="shared" ca="1" si="49"/>
        <v>#REF!</v>
      </c>
      <c r="O838" s="48" t="e">
        <f t="shared" ca="1" si="50"/>
        <v>#REF!</v>
      </c>
      <c r="P838" s="48" t="e">
        <f t="shared" ca="1" si="51"/>
        <v>#REF!</v>
      </c>
      <c r="Q838" s="48" t="e">
        <f t="shared" ca="1" si="52"/>
        <v>#REF!</v>
      </c>
      <c r="R838" s="48"/>
      <c r="S838" s="48" t="e">
        <f t="shared" ca="1" si="53"/>
        <v>#REF!</v>
      </c>
      <c r="T838" s="48" t="e">
        <f t="shared" ca="1" si="54"/>
        <v>#REF!</v>
      </c>
      <c r="U838" s="48" t="e">
        <f t="shared" ca="1" si="55"/>
        <v>#REF!</v>
      </c>
      <c r="V838" s="48"/>
      <c r="W838" s="48"/>
      <c r="X838" s="48"/>
      <c r="Y838" s="48"/>
      <c r="Z838" s="61"/>
      <c r="AA838" s="48" t="e">
        <f t="shared" ca="1" si="21"/>
        <v>#REF!</v>
      </c>
      <c r="AB838" s="48" t="e">
        <f t="shared" ca="1" si="22"/>
        <v>#REF!</v>
      </c>
      <c r="AC838" s="48" t="e">
        <f t="shared" ca="1" si="23"/>
        <v>#REF!</v>
      </c>
      <c r="AD838" s="48" t="e">
        <f t="shared" ca="1" si="24"/>
        <v>#REF!</v>
      </c>
      <c r="AE838" s="48" t="e">
        <f t="shared" ca="1" si="25"/>
        <v>#REF!</v>
      </c>
      <c r="AF838" s="48" t="e">
        <f t="shared" ca="1" si="26"/>
        <v>#REF!</v>
      </c>
      <c r="AG838" s="48" t="e">
        <f t="shared" ca="1" si="27"/>
        <v>#REF!</v>
      </c>
      <c r="AH838" s="48" t="e">
        <f t="shared" ca="1" si="28"/>
        <v>#REF!</v>
      </c>
      <c r="AI838" s="48" t="e">
        <f t="shared" ca="1" si="29"/>
        <v>#REF!</v>
      </c>
      <c r="AJ838" s="48" t="e">
        <f t="shared" ca="1" si="30"/>
        <v>#REF!</v>
      </c>
      <c r="AK838" s="48" t="e">
        <f t="shared" ca="1" si="31"/>
        <v>#REF!</v>
      </c>
      <c r="AL838" s="48" t="e">
        <f t="shared" ca="1" si="32"/>
        <v>#REF!</v>
      </c>
      <c r="AM838" s="48" t="e">
        <f t="shared" ca="1" si="33"/>
        <v>#REF!</v>
      </c>
      <c r="AN838" s="48" t="e">
        <f t="shared" ca="1" si="34"/>
        <v>#REF!</v>
      </c>
      <c r="AO838" s="48" t="e">
        <f t="shared" ca="1" si="35"/>
        <v>#REF!</v>
      </c>
      <c r="AP838" s="48" t="e">
        <f t="shared" ca="1" si="36"/>
        <v>#REF!</v>
      </c>
      <c r="AQ838" s="48" t="e">
        <f t="shared" ca="1" si="37"/>
        <v>#REF!</v>
      </c>
      <c r="AR838" s="48" t="e">
        <f t="shared" ca="1" si="38"/>
        <v>#REF!</v>
      </c>
      <c r="AS838" s="48" t="e">
        <f t="shared" ca="1" si="39"/>
        <v>#REF!</v>
      </c>
      <c r="AT838" s="48" t="e">
        <f t="shared" ca="1" si="40"/>
        <v>#REF!</v>
      </c>
      <c r="AU838" s="93" t="e">
        <f t="shared" ca="1" si="56"/>
        <v>#REF!</v>
      </c>
      <c r="AV838" s="93" t="e">
        <f t="shared" ca="1" si="58"/>
        <v>#REF!</v>
      </c>
      <c r="AW838" s="93" t="e">
        <f t="shared" ca="1" si="59"/>
        <v>#REF!</v>
      </c>
      <c r="AX838" s="93" t="e">
        <f t="shared" ca="1" si="60"/>
        <v>#REF!</v>
      </c>
      <c r="AY838" s="93" t="e">
        <f t="shared" ca="1" si="61"/>
        <v>#REF!</v>
      </c>
    </row>
    <row r="839" spans="1:51" ht="16.5" customHeight="1" x14ac:dyDescent="0.15">
      <c r="A839" s="121" t="s">
        <v>7999</v>
      </c>
      <c r="B839" s="47" t="s">
        <v>8000</v>
      </c>
      <c r="C839" s="48" t="e">
        <f t="shared" ca="1" si="41"/>
        <v>#REF!</v>
      </c>
      <c r="D839" s="62" t="e">
        <f t="shared" ca="1" si="42"/>
        <v>#REF!</v>
      </c>
      <c r="E839" s="48" t="e">
        <f t="shared" ca="1" si="43"/>
        <v>#REF!</v>
      </c>
      <c r="F839" s="61" t="e">
        <f t="shared" ca="1" si="44"/>
        <v>#REF!</v>
      </c>
      <c r="G839" s="61" t="e">
        <f t="shared" ca="1" si="63"/>
        <v>#REF!</v>
      </c>
      <c r="H839" s="88" t="e">
        <f t="shared" ca="1" si="45"/>
        <v>#REF!</v>
      </c>
      <c r="I839" s="61" t="e">
        <f t="shared" ca="1" si="46"/>
        <v>#REF!</v>
      </c>
      <c r="J839" s="87"/>
      <c r="K839" s="62" t="e">
        <f t="shared" ca="1" si="47"/>
        <v>#REF!</v>
      </c>
      <c r="L839" s="62"/>
      <c r="M839" s="62" t="e">
        <f t="shared" ca="1" si="48"/>
        <v>#REF!</v>
      </c>
      <c r="N839" s="62" t="e">
        <f t="shared" ca="1" si="49"/>
        <v>#REF!</v>
      </c>
      <c r="O839" s="48" t="e">
        <f t="shared" ca="1" si="50"/>
        <v>#REF!</v>
      </c>
      <c r="P839" s="48" t="e">
        <f t="shared" ca="1" si="51"/>
        <v>#REF!</v>
      </c>
      <c r="Q839" s="48" t="e">
        <f t="shared" ca="1" si="52"/>
        <v>#REF!</v>
      </c>
      <c r="R839" s="48"/>
      <c r="S839" s="48" t="e">
        <f t="shared" ca="1" si="53"/>
        <v>#REF!</v>
      </c>
      <c r="T839" s="48" t="e">
        <f t="shared" ca="1" si="54"/>
        <v>#REF!</v>
      </c>
      <c r="U839" s="48" t="e">
        <f t="shared" ca="1" si="55"/>
        <v>#REF!</v>
      </c>
      <c r="V839" s="48"/>
      <c r="W839" s="48"/>
      <c r="X839" s="48"/>
      <c r="Y839" s="48"/>
      <c r="Z839" s="61"/>
      <c r="AA839" s="48" t="e">
        <f t="shared" ca="1" si="21"/>
        <v>#REF!</v>
      </c>
      <c r="AB839" s="48" t="e">
        <f t="shared" ca="1" si="22"/>
        <v>#REF!</v>
      </c>
      <c r="AC839" s="48" t="e">
        <f t="shared" ca="1" si="23"/>
        <v>#REF!</v>
      </c>
      <c r="AD839" s="48" t="e">
        <f t="shared" ca="1" si="24"/>
        <v>#REF!</v>
      </c>
      <c r="AE839" s="48" t="e">
        <f t="shared" ca="1" si="25"/>
        <v>#REF!</v>
      </c>
      <c r="AF839" s="48" t="e">
        <f t="shared" ca="1" si="26"/>
        <v>#REF!</v>
      </c>
      <c r="AG839" s="48" t="e">
        <f t="shared" ca="1" si="27"/>
        <v>#REF!</v>
      </c>
      <c r="AH839" s="48" t="e">
        <f t="shared" ca="1" si="28"/>
        <v>#REF!</v>
      </c>
      <c r="AI839" s="48" t="e">
        <f t="shared" ca="1" si="29"/>
        <v>#REF!</v>
      </c>
      <c r="AJ839" s="48" t="e">
        <f t="shared" ca="1" si="30"/>
        <v>#REF!</v>
      </c>
      <c r="AK839" s="48" t="e">
        <f t="shared" ca="1" si="31"/>
        <v>#REF!</v>
      </c>
      <c r="AL839" s="48" t="e">
        <f t="shared" ca="1" si="32"/>
        <v>#REF!</v>
      </c>
      <c r="AM839" s="48" t="e">
        <f t="shared" ca="1" si="33"/>
        <v>#REF!</v>
      </c>
      <c r="AN839" s="48" t="e">
        <f t="shared" ca="1" si="34"/>
        <v>#REF!</v>
      </c>
      <c r="AO839" s="48" t="e">
        <f t="shared" ca="1" si="35"/>
        <v>#REF!</v>
      </c>
      <c r="AP839" s="48" t="e">
        <f t="shared" ca="1" si="36"/>
        <v>#REF!</v>
      </c>
      <c r="AQ839" s="48" t="e">
        <f t="shared" ca="1" si="37"/>
        <v>#REF!</v>
      </c>
      <c r="AR839" s="48" t="e">
        <f t="shared" ca="1" si="38"/>
        <v>#REF!</v>
      </c>
      <c r="AS839" s="48" t="e">
        <f t="shared" ca="1" si="39"/>
        <v>#REF!</v>
      </c>
      <c r="AT839" s="48" t="e">
        <f t="shared" ca="1" si="40"/>
        <v>#REF!</v>
      </c>
      <c r="AU839" s="93" t="e">
        <f t="shared" ca="1" si="56"/>
        <v>#REF!</v>
      </c>
      <c r="AV839" s="93" t="e">
        <f t="shared" ca="1" si="58"/>
        <v>#REF!</v>
      </c>
      <c r="AW839" s="93" t="e">
        <f t="shared" ca="1" si="59"/>
        <v>#REF!</v>
      </c>
      <c r="AX839" s="93" t="e">
        <f t="shared" ca="1" si="60"/>
        <v>#REF!</v>
      </c>
      <c r="AY839" s="93" t="e">
        <f t="shared" ca="1" si="61"/>
        <v>#REF!</v>
      </c>
    </row>
    <row r="840" spans="1:51" ht="16.5" customHeight="1" x14ac:dyDescent="0.15">
      <c r="A840" s="121" t="s">
        <v>8001</v>
      </c>
      <c r="B840" s="47" t="s">
        <v>8002</v>
      </c>
      <c r="C840" s="48" t="e">
        <f t="shared" ca="1" si="41"/>
        <v>#REF!</v>
      </c>
      <c r="D840" s="62" t="e">
        <f t="shared" ca="1" si="42"/>
        <v>#REF!</v>
      </c>
      <c r="E840" s="48" t="e">
        <f t="shared" ca="1" si="43"/>
        <v>#REF!</v>
      </c>
      <c r="F840" s="61" t="e">
        <f t="shared" ca="1" si="44"/>
        <v>#REF!</v>
      </c>
      <c r="G840" s="61" t="e">
        <f t="shared" ca="1" si="63"/>
        <v>#REF!</v>
      </c>
      <c r="H840" s="88" t="e">
        <f t="shared" ca="1" si="45"/>
        <v>#REF!</v>
      </c>
      <c r="I840" s="61" t="e">
        <f t="shared" ca="1" si="46"/>
        <v>#REF!</v>
      </c>
      <c r="J840" s="87"/>
      <c r="K840" s="62" t="e">
        <f t="shared" ca="1" si="47"/>
        <v>#REF!</v>
      </c>
      <c r="L840" s="62"/>
      <c r="M840" s="62" t="e">
        <f t="shared" ca="1" si="48"/>
        <v>#REF!</v>
      </c>
      <c r="N840" s="62" t="e">
        <f t="shared" ca="1" si="49"/>
        <v>#REF!</v>
      </c>
      <c r="O840" s="48" t="e">
        <f t="shared" ca="1" si="50"/>
        <v>#REF!</v>
      </c>
      <c r="P840" s="48" t="e">
        <f t="shared" ca="1" si="51"/>
        <v>#REF!</v>
      </c>
      <c r="Q840" s="48" t="e">
        <f t="shared" ca="1" si="52"/>
        <v>#REF!</v>
      </c>
      <c r="R840" s="48"/>
      <c r="S840" s="48" t="e">
        <f t="shared" ca="1" si="53"/>
        <v>#REF!</v>
      </c>
      <c r="T840" s="48" t="e">
        <f t="shared" ca="1" si="54"/>
        <v>#REF!</v>
      </c>
      <c r="U840" s="48" t="e">
        <f t="shared" ca="1" si="55"/>
        <v>#REF!</v>
      </c>
      <c r="V840" s="48"/>
      <c r="W840" s="48"/>
      <c r="X840" s="48"/>
      <c r="Y840" s="48"/>
      <c r="Z840" s="61"/>
      <c r="AA840" s="48" t="e">
        <f t="shared" ca="1" si="21"/>
        <v>#REF!</v>
      </c>
      <c r="AB840" s="48" t="e">
        <f t="shared" ca="1" si="22"/>
        <v>#REF!</v>
      </c>
      <c r="AC840" s="48" t="e">
        <f t="shared" ca="1" si="23"/>
        <v>#REF!</v>
      </c>
      <c r="AD840" s="48" t="e">
        <f t="shared" ca="1" si="24"/>
        <v>#REF!</v>
      </c>
      <c r="AE840" s="48" t="e">
        <f t="shared" ca="1" si="25"/>
        <v>#REF!</v>
      </c>
      <c r="AF840" s="48" t="e">
        <f t="shared" ca="1" si="26"/>
        <v>#REF!</v>
      </c>
      <c r="AG840" s="48" t="e">
        <f t="shared" ca="1" si="27"/>
        <v>#REF!</v>
      </c>
      <c r="AH840" s="48" t="e">
        <f t="shared" ca="1" si="28"/>
        <v>#REF!</v>
      </c>
      <c r="AI840" s="48" t="e">
        <f t="shared" ca="1" si="29"/>
        <v>#REF!</v>
      </c>
      <c r="AJ840" s="48" t="e">
        <f t="shared" ca="1" si="30"/>
        <v>#REF!</v>
      </c>
      <c r="AK840" s="48" t="e">
        <f t="shared" ca="1" si="31"/>
        <v>#REF!</v>
      </c>
      <c r="AL840" s="48" t="e">
        <f t="shared" ca="1" si="32"/>
        <v>#REF!</v>
      </c>
      <c r="AM840" s="48" t="e">
        <f t="shared" ca="1" si="33"/>
        <v>#REF!</v>
      </c>
      <c r="AN840" s="48" t="e">
        <f t="shared" ca="1" si="34"/>
        <v>#REF!</v>
      </c>
      <c r="AO840" s="48" t="e">
        <f t="shared" ca="1" si="35"/>
        <v>#REF!</v>
      </c>
      <c r="AP840" s="48" t="e">
        <f t="shared" ca="1" si="36"/>
        <v>#REF!</v>
      </c>
      <c r="AQ840" s="48" t="e">
        <f t="shared" ca="1" si="37"/>
        <v>#REF!</v>
      </c>
      <c r="AR840" s="48" t="e">
        <f t="shared" ca="1" si="38"/>
        <v>#REF!</v>
      </c>
      <c r="AS840" s="48" t="e">
        <f t="shared" ca="1" si="39"/>
        <v>#REF!</v>
      </c>
      <c r="AT840" s="48" t="e">
        <f t="shared" ca="1" si="40"/>
        <v>#REF!</v>
      </c>
      <c r="AU840" s="93" t="e">
        <f t="shared" ca="1" si="56"/>
        <v>#REF!</v>
      </c>
      <c r="AV840" s="93" t="e">
        <f t="shared" ca="1" si="58"/>
        <v>#REF!</v>
      </c>
      <c r="AW840" s="93" t="e">
        <f t="shared" ca="1" si="59"/>
        <v>#REF!</v>
      </c>
      <c r="AX840" s="93" t="e">
        <f t="shared" ca="1" si="60"/>
        <v>#REF!</v>
      </c>
      <c r="AY840" s="93" t="e">
        <f t="shared" ca="1" si="61"/>
        <v>#REF!</v>
      </c>
    </row>
    <row r="841" spans="1:51" ht="16.5" customHeight="1" x14ac:dyDescent="0.15">
      <c r="A841" s="121" t="s">
        <v>8003</v>
      </c>
      <c r="B841" s="47" t="s">
        <v>8004</v>
      </c>
      <c r="C841" s="48" t="e">
        <f t="shared" ca="1" si="41"/>
        <v>#REF!</v>
      </c>
      <c r="D841" s="62" t="e">
        <f t="shared" ca="1" si="42"/>
        <v>#REF!</v>
      </c>
      <c r="E841" s="48" t="e">
        <f t="shared" ca="1" si="43"/>
        <v>#REF!</v>
      </c>
      <c r="F841" s="61" t="e">
        <f t="shared" ca="1" si="44"/>
        <v>#REF!</v>
      </c>
      <c r="G841" s="61" t="e">
        <f t="shared" ca="1" si="63"/>
        <v>#REF!</v>
      </c>
      <c r="H841" s="88" t="e">
        <f t="shared" ca="1" si="45"/>
        <v>#REF!</v>
      </c>
      <c r="I841" s="61" t="e">
        <f t="shared" ca="1" si="46"/>
        <v>#REF!</v>
      </c>
      <c r="J841" s="87"/>
      <c r="K841" s="62" t="e">
        <f t="shared" ca="1" si="47"/>
        <v>#REF!</v>
      </c>
      <c r="L841" s="62"/>
      <c r="M841" s="62" t="e">
        <f t="shared" ca="1" si="48"/>
        <v>#REF!</v>
      </c>
      <c r="N841" s="62" t="e">
        <f t="shared" ca="1" si="49"/>
        <v>#REF!</v>
      </c>
      <c r="O841" s="48" t="e">
        <f t="shared" ca="1" si="50"/>
        <v>#REF!</v>
      </c>
      <c r="P841" s="48" t="e">
        <f t="shared" ca="1" si="51"/>
        <v>#REF!</v>
      </c>
      <c r="Q841" s="48" t="e">
        <f t="shared" ca="1" si="52"/>
        <v>#REF!</v>
      </c>
      <c r="R841" s="48"/>
      <c r="S841" s="48" t="e">
        <f t="shared" ca="1" si="53"/>
        <v>#REF!</v>
      </c>
      <c r="T841" s="48" t="e">
        <f t="shared" ca="1" si="54"/>
        <v>#REF!</v>
      </c>
      <c r="U841" s="48" t="e">
        <f t="shared" ca="1" si="55"/>
        <v>#REF!</v>
      </c>
      <c r="V841" s="48"/>
      <c r="W841" s="48"/>
      <c r="X841" s="48"/>
      <c r="Y841" s="48"/>
      <c r="Z841" s="61"/>
      <c r="AA841" s="48" t="e">
        <f t="shared" ca="1" si="21"/>
        <v>#REF!</v>
      </c>
      <c r="AB841" s="48" t="e">
        <f t="shared" ca="1" si="22"/>
        <v>#REF!</v>
      </c>
      <c r="AC841" s="48" t="e">
        <f t="shared" ca="1" si="23"/>
        <v>#REF!</v>
      </c>
      <c r="AD841" s="48" t="e">
        <f t="shared" ca="1" si="24"/>
        <v>#REF!</v>
      </c>
      <c r="AE841" s="48" t="e">
        <f t="shared" ca="1" si="25"/>
        <v>#REF!</v>
      </c>
      <c r="AF841" s="48" t="e">
        <f t="shared" ca="1" si="26"/>
        <v>#REF!</v>
      </c>
      <c r="AG841" s="48" t="e">
        <f t="shared" ca="1" si="27"/>
        <v>#REF!</v>
      </c>
      <c r="AH841" s="48" t="e">
        <f t="shared" ca="1" si="28"/>
        <v>#REF!</v>
      </c>
      <c r="AI841" s="48" t="e">
        <f t="shared" ca="1" si="29"/>
        <v>#REF!</v>
      </c>
      <c r="AJ841" s="48" t="e">
        <f t="shared" ca="1" si="30"/>
        <v>#REF!</v>
      </c>
      <c r="AK841" s="48" t="e">
        <f t="shared" ca="1" si="31"/>
        <v>#REF!</v>
      </c>
      <c r="AL841" s="48" t="e">
        <f t="shared" ca="1" si="32"/>
        <v>#REF!</v>
      </c>
      <c r="AM841" s="48" t="e">
        <f t="shared" ca="1" si="33"/>
        <v>#REF!</v>
      </c>
      <c r="AN841" s="48" t="e">
        <f t="shared" ca="1" si="34"/>
        <v>#REF!</v>
      </c>
      <c r="AO841" s="48" t="e">
        <f t="shared" ca="1" si="35"/>
        <v>#REF!</v>
      </c>
      <c r="AP841" s="48" t="e">
        <f t="shared" ca="1" si="36"/>
        <v>#REF!</v>
      </c>
      <c r="AQ841" s="48" t="e">
        <f t="shared" ca="1" si="37"/>
        <v>#REF!</v>
      </c>
      <c r="AR841" s="48" t="e">
        <f t="shared" ca="1" si="38"/>
        <v>#REF!</v>
      </c>
      <c r="AS841" s="48" t="e">
        <f t="shared" ca="1" si="39"/>
        <v>#REF!</v>
      </c>
      <c r="AT841" s="48" t="e">
        <f t="shared" ca="1" si="40"/>
        <v>#REF!</v>
      </c>
      <c r="AU841" s="93" t="e">
        <f t="shared" ca="1" si="56"/>
        <v>#REF!</v>
      </c>
      <c r="AV841" s="93" t="e">
        <f t="shared" ca="1" si="58"/>
        <v>#REF!</v>
      </c>
      <c r="AW841" s="93" t="e">
        <f t="shared" ca="1" si="59"/>
        <v>#REF!</v>
      </c>
      <c r="AX841" s="93" t="e">
        <f t="shared" ca="1" si="60"/>
        <v>#REF!</v>
      </c>
      <c r="AY841" s="93" t="e">
        <f t="shared" ca="1" si="61"/>
        <v>#REF!</v>
      </c>
    </row>
    <row r="842" spans="1:51" ht="16.5" customHeight="1" x14ac:dyDescent="0.15">
      <c r="A842" s="121" t="s">
        <v>8005</v>
      </c>
      <c r="B842" s="47" t="s">
        <v>8006</v>
      </c>
      <c r="C842" s="48" t="e">
        <f t="shared" ca="1" si="41"/>
        <v>#REF!</v>
      </c>
      <c r="D842" s="62" t="e">
        <f t="shared" ca="1" si="42"/>
        <v>#REF!</v>
      </c>
      <c r="E842" s="48" t="e">
        <f t="shared" ca="1" si="43"/>
        <v>#REF!</v>
      </c>
      <c r="F842" s="61" t="e">
        <f t="shared" ca="1" si="44"/>
        <v>#REF!</v>
      </c>
      <c r="G842" s="61" t="e">
        <f t="shared" ca="1" si="63"/>
        <v>#REF!</v>
      </c>
      <c r="H842" s="88" t="e">
        <f t="shared" ca="1" si="45"/>
        <v>#REF!</v>
      </c>
      <c r="I842" s="61" t="e">
        <f t="shared" ca="1" si="46"/>
        <v>#REF!</v>
      </c>
      <c r="J842" s="87"/>
      <c r="K842" s="62" t="e">
        <f t="shared" ca="1" si="47"/>
        <v>#REF!</v>
      </c>
      <c r="L842" s="62"/>
      <c r="M842" s="62" t="e">
        <f t="shared" ca="1" si="48"/>
        <v>#REF!</v>
      </c>
      <c r="N842" s="62" t="e">
        <f t="shared" ca="1" si="49"/>
        <v>#REF!</v>
      </c>
      <c r="O842" s="48" t="e">
        <f t="shared" ca="1" si="50"/>
        <v>#REF!</v>
      </c>
      <c r="P842" s="48" t="e">
        <f t="shared" ca="1" si="51"/>
        <v>#REF!</v>
      </c>
      <c r="Q842" s="48" t="e">
        <f t="shared" ca="1" si="52"/>
        <v>#REF!</v>
      </c>
      <c r="R842" s="48"/>
      <c r="S842" s="48" t="e">
        <f t="shared" ca="1" si="53"/>
        <v>#REF!</v>
      </c>
      <c r="T842" s="48" t="e">
        <f t="shared" ca="1" si="54"/>
        <v>#REF!</v>
      </c>
      <c r="U842" s="48" t="e">
        <f t="shared" ca="1" si="55"/>
        <v>#REF!</v>
      </c>
      <c r="V842" s="48"/>
      <c r="W842" s="48"/>
      <c r="X842" s="48"/>
      <c r="Y842" s="48"/>
      <c r="Z842" s="61"/>
      <c r="AA842" s="48" t="e">
        <f t="shared" ca="1" si="21"/>
        <v>#REF!</v>
      </c>
      <c r="AB842" s="48" t="e">
        <f t="shared" ca="1" si="22"/>
        <v>#REF!</v>
      </c>
      <c r="AC842" s="48" t="e">
        <f t="shared" ca="1" si="23"/>
        <v>#REF!</v>
      </c>
      <c r="AD842" s="48" t="e">
        <f t="shared" ca="1" si="24"/>
        <v>#REF!</v>
      </c>
      <c r="AE842" s="48" t="e">
        <f t="shared" ca="1" si="25"/>
        <v>#REF!</v>
      </c>
      <c r="AF842" s="48" t="e">
        <f t="shared" ca="1" si="26"/>
        <v>#REF!</v>
      </c>
      <c r="AG842" s="48" t="e">
        <f t="shared" ca="1" si="27"/>
        <v>#REF!</v>
      </c>
      <c r="AH842" s="48" t="e">
        <f t="shared" ca="1" si="28"/>
        <v>#REF!</v>
      </c>
      <c r="AI842" s="48" t="e">
        <f t="shared" ca="1" si="29"/>
        <v>#REF!</v>
      </c>
      <c r="AJ842" s="48" t="e">
        <f t="shared" ca="1" si="30"/>
        <v>#REF!</v>
      </c>
      <c r="AK842" s="48" t="e">
        <f t="shared" ca="1" si="31"/>
        <v>#REF!</v>
      </c>
      <c r="AL842" s="48" t="e">
        <f t="shared" ca="1" si="32"/>
        <v>#REF!</v>
      </c>
      <c r="AM842" s="48" t="e">
        <f t="shared" ca="1" si="33"/>
        <v>#REF!</v>
      </c>
      <c r="AN842" s="48" t="e">
        <f t="shared" ca="1" si="34"/>
        <v>#REF!</v>
      </c>
      <c r="AO842" s="48" t="e">
        <f t="shared" ca="1" si="35"/>
        <v>#REF!</v>
      </c>
      <c r="AP842" s="48" t="e">
        <f t="shared" ca="1" si="36"/>
        <v>#REF!</v>
      </c>
      <c r="AQ842" s="48" t="e">
        <f t="shared" ca="1" si="37"/>
        <v>#REF!</v>
      </c>
      <c r="AR842" s="48" t="e">
        <f t="shared" ca="1" si="38"/>
        <v>#REF!</v>
      </c>
      <c r="AS842" s="48" t="e">
        <f t="shared" ca="1" si="39"/>
        <v>#REF!</v>
      </c>
      <c r="AT842" s="48" t="e">
        <f t="shared" ca="1" si="40"/>
        <v>#REF!</v>
      </c>
      <c r="AU842" s="93" t="e">
        <f t="shared" ca="1" si="56"/>
        <v>#REF!</v>
      </c>
      <c r="AV842" s="93" t="e">
        <f t="shared" ca="1" si="58"/>
        <v>#REF!</v>
      </c>
      <c r="AW842" s="93" t="e">
        <f t="shared" ca="1" si="59"/>
        <v>#REF!</v>
      </c>
      <c r="AX842" s="93" t="e">
        <f t="shared" ca="1" si="60"/>
        <v>#REF!</v>
      </c>
      <c r="AY842" s="93" t="e">
        <f t="shared" ca="1" si="61"/>
        <v>#REF!</v>
      </c>
    </row>
    <row r="843" spans="1:51" ht="16.5" customHeight="1" x14ac:dyDescent="0.15">
      <c r="A843" s="121" t="s">
        <v>8007</v>
      </c>
      <c r="B843" s="47" t="s">
        <v>8008</v>
      </c>
      <c r="C843" s="48" t="e">
        <f t="shared" ca="1" si="41"/>
        <v>#REF!</v>
      </c>
      <c r="D843" s="62" t="e">
        <f t="shared" ca="1" si="42"/>
        <v>#REF!</v>
      </c>
      <c r="E843" s="48" t="e">
        <f t="shared" ca="1" si="43"/>
        <v>#REF!</v>
      </c>
      <c r="F843" s="61" t="e">
        <f t="shared" ca="1" si="44"/>
        <v>#REF!</v>
      </c>
      <c r="G843" s="61" t="e">
        <f t="shared" ca="1" si="63"/>
        <v>#REF!</v>
      </c>
      <c r="H843" s="88" t="e">
        <f t="shared" ca="1" si="45"/>
        <v>#REF!</v>
      </c>
      <c r="I843" s="61" t="e">
        <f t="shared" ca="1" si="46"/>
        <v>#REF!</v>
      </c>
      <c r="J843" s="87"/>
      <c r="K843" s="62" t="e">
        <f t="shared" ca="1" si="47"/>
        <v>#REF!</v>
      </c>
      <c r="L843" s="62"/>
      <c r="M843" s="62" t="e">
        <f t="shared" ca="1" si="48"/>
        <v>#REF!</v>
      </c>
      <c r="N843" s="62" t="e">
        <f t="shared" ca="1" si="49"/>
        <v>#REF!</v>
      </c>
      <c r="O843" s="48" t="e">
        <f t="shared" ca="1" si="50"/>
        <v>#REF!</v>
      </c>
      <c r="P843" s="48" t="e">
        <f t="shared" ca="1" si="51"/>
        <v>#REF!</v>
      </c>
      <c r="Q843" s="48" t="e">
        <f t="shared" ca="1" si="52"/>
        <v>#REF!</v>
      </c>
      <c r="R843" s="48"/>
      <c r="S843" s="48" t="e">
        <f t="shared" ca="1" si="53"/>
        <v>#REF!</v>
      </c>
      <c r="T843" s="48" t="e">
        <f t="shared" ca="1" si="54"/>
        <v>#REF!</v>
      </c>
      <c r="U843" s="48" t="e">
        <f t="shared" ca="1" si="55"/>
        <v>#REF!</v>
      </c>
      <c r="V843" s="48"/>
      <c r="W843" s="48"/>
      <c r="X843" s="48"/>
      <c r="Y843" s="48"/>
      <c r="Z843" s="61"/>
      <c r="AA843" s="48" t="e">
        <f t="shared" ca="1" si="21"/>
        <v>#REF!</v>
      </c>
      <c r="AB843" s="48" t="e">
        <f t="shared" ca="1" si="22"/>
        <v>#REF!</v>
      </c>
      <c r="AC843" s="48" t="e">
        <f t="shared" ca="1" si="23"/>
        <v>#REF!</v>
      </c>
      <c r="AD843" s="48" t="e">
        <f t="shared" ca="1" si="24"/>
        <v>#REF!</v>
      </c>
      <c r="AE843" s="48" t="e">
        <f t="shared" ca="1" si="25"/>
        <v>#REF!</v>
      </c>
      <c r="AF843" s="48" t="e">
        <f t="shared" ca="1" si="26"/>
        <v>#REF!</v>
      </c>
      <c r="AG843" s="48" t="e">
        <f t="shared" ca="1" si="27"/>
        <v>#REF!</v>
      </c>
      <c r="AH843" s="48" t="e">
        <f t="shared" ca="1" si="28"/>
        <v>#REF!</v>
      </c>
      <c r="AI843" s="48" t="e">
        <f t="shared" ca="1" si="29"/>
        <v>#REF!</v>
      </c>
      <c r="AJ843" s="48" t="e">
        <f t="shared" ca="1" si="30"/>
        <v>#REF!</v>
      </c>
      <c r="AK843" s="48" t="e">
        <f t="shared" ca="1" si="31"/>
        <v>#REF!</v>
      </c>
      <c r="AL843" s="48" t="e">
        <f t="shared" ca="1" si="32"/>
        <v>#REF!</v>
      </c>
      <c r="AM843" s="48" t="e">
        <f t="shared" ca="1" si="33"/>
        <v>#REF!</v>
      </c>
      <c r="AN843" s="48" t="e">
        <f t="shared" ca="1" si="34"/>
        <v>#REF!</v>
      </c>
      <c r="AO843" s="48" t="e">
        <f t="shared" ca="1" si="35"/>
        <v>#REF!</v>
      </c>
      <c r="AP843" s="48" t="e">
        <f t="shared" ca="1" si="36"/>
        <v>#REF!</v>
      </c>
      <c r="AQ843" s="48" t="e">
        <f t="shared" ca="1" si="37"/>
        <v>#REF!</v>
      </c>
      <c r="AR843" s="48" t="e">
        <f t="shared" ca="1" si="38"/>
        <v>#REF!</v>
      </c>
      <c r="AS843" s="48" t="e">
        <f t="shared" ca="1" si="39"/>
        <v>#REF!</v>
      </c>
      <c r="AT843" s="48" t="e">
        <f t="shared" ca="1" si="40"/>
        <v>#REF!</v>
      </c>
      <c r="AU843" s="93" t="e">
        <f t="shared" ca="1" si="56"/>
        <v>#REF!</v>
      </c>
      <c r="AV843" s="93" t="e">
        <f t="shared" ca="1" si="58"/>
        <v>#REF!</v>
      </c>
      <c r="AW843" s="93" t="e">
        <f t="shared" ca="1" si="59"/>
        <v>#REF!</v>
      </c>
      <c r="AX843" s="93" t="e">
        <f t="shared" ca="1" si="60"/>
        <v>#REF!</v>
      </c>
      <c r="AY843" s="93" t="e">
        <f t="shared" ca="1" si="61"/>
        <v>#REF!</v>
      </c>
    </row>
    <row r="844" spans="1:51" ht="16.5" customHeight="1" x14ac:dyDescent="0.15">
      <c r="A844" s="121" t="s">
        <v>8009</v>
      </c>
      <c r="B844" s="47" t="s">
        <v>8010</v>
      </c>
      <c r="C844" s="48" t="e">
        <f t="shared" ca="1" si="41"/>
        <v>#REF!</v>
      </c>
      <c r="D844" s="62" t="e">
        <f t="shared" ca="1" si="42"/>
        <v>#REF!</v>
      </c>
      <c r="E844" s="48" t="e">
        <f t="shared" ca="1" si="43"/>
        <v>#REF!</v>
      </c>
      <c r="F844" s="61" t="e">
        <f t="shared" ca="1" si="44"/>
        <v>#REF!</v>
      </c>
      <c r="G844" s="61" t="e">
        <f t="shared" ca="1" si="63"/>
        <v>#REF!</v>
      </c>
      <c r="H844" s="88" t="e">
        <f t="shared" ca="1" si="45"/>
        <v>#REF!</v>
      </c>
      <c r="I844" s="61" t="e">
        <f t="shared" ca="1" si="46"/>
        <v>#REF!</v>
      </c>
      <c r="J844" s="87"/>
      <c r="K844" s="62" t="e">
        <f t="shared" ca="1" si="47"/>
        <v>#REF!</v>
      </c>
      <c r="L844" s="62"/>
      <c r="M844" s="62" t="e">
        <f t="shared" ca="1" si="48"/>
        <v>#REF!</v>
      </c>
      <c r="N844" s="62" t="e">
        <f t="shared" ca="1" si="49"/>
        <v>#REF!</v>
      </c>
      <c r="O844" s="48" t="e">
        <f t="shared" ca="1" si="50"/>
        <v>#REF!</v>
      </c>
      <c r="P844" s="48" t="e">
        <f t="shared" ca="1" si="51"/>
        <v>#REF!</v>
      </c>
      <c r="Q844" s="48" t="e">
        <f t="shared" ca="1" si="52"/>
        <v>#REF!</v>
      </c>
      <c r="R844" s="48"/>
      <c r="S844" s="48" t="e">
        <f t="shared" ca="1" si="53"/>
        <v>#REF!</v>
      </c>
      <c r="T844" s="48" t="e">
        <f t="shared" ca="1" si="54"/>
        <v>#REF!</v>
      </c>
      <c r="U844" s="48" t="e">
        <f t="shared" ca="1" si="55"/>
        <v>#REF!</v>
      </c>
      <c r="V844" s="48"/>
      <c r="W844" s="48"/>
      <c r="X844" s="48"/>
      <c r="Y844" s="48"/>
      <c r="Z844" s="61"/>
      <c r="AA844" s="48" t="e">
        <f t="shared" ref="AA844:AA877" ca="1" si="64">IF(INDIRECT("'["&amp;$C$1&amp;".xls]"&amp;$B844&amp;"'!$P$25")="","",IF(INDIRECT("'["&amp;$C$1&amp;".xls]"&amp;$B844&amp;"'!$O$25")="済み",INDIRECT("'["&amp;$C$1&amp;".xls]"&amp;$B844&amp;"'!$P$25"),""))</f>
        <v>#REF!</v>
      </c>
      <c r="AB844" s="48" t="e">
        <f t="shared" ref="AB844:AB877" ca="1" si="65">IF(INDIRECT("'["&amp;$C$1&amp;".xls]"&amp;$B844&amp;"'!$P$26")="","",IF(INDIRECT("'["&amp;$C$1&amp;".xls]"&amp;$B844&amp;"'!$O$26")="済み",INDIRECT("'["&amp;$C$1&amp;".xls]"&amp;$B844&amp;"'!$P$26"),""))</f>
        <v>#REF!</v>
      </c>
      <c r="AC844" s="48" t="e">
        <f t="shared" ref="AC844:AC877" ca="1" si="66">IF(INDIRECT("'["&amp;$C$1&amp;".xls]"&amp;$B844&amp;"'!$P$27")="","",IF(INDIRECT("'["&amp;$C$1&amp;".xls]"&amp;$B844&amp;"'!$O$27")="済み",INDIRECT("'["&amp;$C$1&amp;".xls]"&amp;$B844&amp;"'!$P$27"),""))</f>
        <v>#REF!</v>
      </c>
      <c r="AD844" s="48" t="e">
        <f t="shared" ref="AD844:AD877" ca="1" si="67">IF(INDIRECT("'["&amp;$C$1&amp;".xls]"&amp;$B844&amp;"'!$P$28")="","",IF(INDIRECT("'["&amp;$C$1&amp;".xls]"&amp;$B844&amp;"'!$O$28")="済み",INDIRECT("'["&amp;$C$1&amp;".xls]"&amp;$B844&amp;"'!$P$28"),""))</f>
        <v>#REF!</v>
      </c>
      <c r="AE844" s="48" t="e">
        <f t="shared" ref="AE844:AE877" ca="1" si="68">IF(INDIRECT("'["&amp;$C$1&amp;".xls]"&amp;$B844&amp;"'!$P$29")="","",IF(INDIRECT("'["&amp;$C$1&amp;".xls]"&amp;$B844&amp;"'!$O$29")="済み",INDIRECT("'["&amp;$C$1&amp;".xls]"&amp;$B844&amp;"'!$P$29"),""))</f>
        <v>#REF!</v>
      </c>
      <c r="AF844" s="48" t="e">
        <f t="shared" ref="AF844:AF877" ca="1" si="69">IF(INDIRECT("'["&amp;$C$1&amp;".xls]"&amp;$B844&amp;"'!$P$30")="","",IF(INDIRECT("'["&amp;$C$1&amp;".xls]"&amp;$B844&amp;"'!$O$30")="済み",INDIRECT("'["&amp;$C$1&amp;".xls]"&amp;$B844&amp;"'!$P$30"),""))</f>
        <v>#REF!</v>
      </c>
      <c r="AG844" s="48" t="e">
        <f t="shared" ref="AG844:AG877" ca="1" si="70">IF(INDIRECT("'["&amp;$C$1&amp;".xls]"&amp;$B844&amp;"'!$P$31")="","",IF(INDIRECT("'["&amp;$C$1&amp;".xls]"&amp;$B844&amp;"'!$O$31")="済み",INDIRECT("'["&amp;$C$1&amp;".xls]"&amp;$B844&amp;"'!$P$31"),""))</f>
        <v>#REF!</v>
      </c>
      <c r="AH844" s="48" t="e">
        <f t="shared" ref="AH844:AH877" ca="1" si="71">IF(INDIRECT("'["&amp;$C$1&amp;".xls]"&amp;$B844&amp;"'!$P$32")="","",IF(INDIRECT("'["&amp;$C$1&amp;".xls]"&amp;$B844&amp;"'!$O$32")="済み",INDIRECT("'["&amp;$C$1&amp;".xls]"&amp;$B844&amp;"'!$P$32"),""))</f>
        <v>#REF!</v>
      </c>
      <c r="AI844" s="48" t="e">
        <f t="shared" ref="AI844:AI877" ca="1" si="72">IF(INDIRECT("'["&amp;$C$1&amp;".xls]"&amp;$B844&amp;"'!$P$33")="","",IF(INDIRECT("'["&amp;$C$1&amp;".xls]"&amp;$B844&amp;"'!$O$33")="済み",INDIRECT("'["&amp;$C$1&amp;".xls]"&amp;$B844&amp;"'!$P$33"),""))</f>
        <v>#REF!</v>
      </c>
      <c r="AJ844" s="48" t="e">
        <f t="shared" ref="AJ844:AJ877" ca="1" si="73">IF(INDIRECT("'["&amp;$C$1&amp;".xls]"&amp;$B844&amp;"'!$P$34")="","",IF(INDIRECT("'["&amp;$C$1&amp;".xls]"&amp;$B844&amp;"'!$O$34")="済み",INDIRECT("'["&amp;$C$1&amp;".xls]"&amp;$B844&amp;"'!$P$34"),""))</f>
        <v>#REF!</v>
      </c>
      <c r="AK844" s="48" t="e">
        <f t="shared" ref="AK844:AK877" ca="1" si="74">IF(INDIRECT("'["&amp;$C$1&amp;".xls]"&amp;$B844&amp;"'!$T25")="","",IF(INDIRECT("'["&amp;$C$1&amp;".xls]"&amp;$B844&amp;"'!$O$25")="済み",INDIRECT("'["&amp;$C$1&amp;".xls]"&amp;$B844&amp;"'!$T$25"),""))</f>
        <v>#REF!</v>
      </c>
      <c r="AL844" s="48" t="e">
        <f t="shared" ref="AL844:AL877" ca="1" si="75">IF(INDIRECT("'["&amp;$C$1&amp;".xls]"&amp;$B844&amp;"'!$T26")="","",IF(INDIRECT("'["&amp;$C$1&amp;".xls]"&amp;$B844&amp;"'!$O$26")="済み",INDIRECT("'["&amp;$C$1&amp;".xls]"&amp;$B844&amp;"'!$T$26"),""))</f>
        <v>#REF!</v>
      </c>
      <c r="AM844" s="48" t="e">
        <f t="shared" ref="AM844:AM877" ca="1" si="76">IF(INDIRECT("'["&amp;$C$1&amp;".xls]"&amp;$B844&amp;"'!$T27")="","",IF(INDIRECT("'["&amp;$C$1&amp;".xls]"&amp;$B844&amp;"'!$O$27")="済み",INDIRECT("'["&amp;$C$1&amp;".xls]"&amp;$B844&amp;"'!$T$27"),""))</f>
        <v>#REF!</v>
      </c>
      <c r="AN844" s="48" t="e">
        <f t="shared" ref="AN844:AN877" ca="1" si="77">IF(INDIRECT("'["&amp;$C$1&amp;".xls]"&amp;$B844&amp;"'!$T28")="","",IF(INDIRECT("'["&amp;$C$1&amp;".xls]"&amp;$B844&amp;"'!$O$28")="済み",INDIRECT("'["&amp;$C$1&amp;".xls]"&amp;$B844&amp;"'!$T$28"),""))</f>
        <v>#REF!</v>
      </c>
      <c r="AO844" s="48" t="e">
        <f t="shared" ref="AO844:AO877" ca="1" si="78">IF(INDIRECT("'["&amp;$C$1&amp;".xls]"&amp;$B844&amp;"'!$T29")="","",IF(INDIRECT("'["&amp;$C$1&amp;".xls]"&amp;$B844&amp;"'!$O$29")="済み",INDIRECT("'["&amp;$C$1&amp;".xls]"&amp;$B844&amp;"'!$T$29"),""))</f>
        <v>#REF!</v>
      </c>
      <c r="AP844" s="48" t="e">
        <f t="shared" ref="AP844:AP877" ca="1" si="79">IF(INDIRECT("'["&amp;$C$1&amp;".xls]"&amp;$B844&amp;"'!$T30")="","",IF(INDIRECT("'["&amp;$C$1&amp;".xls]"&amp;$B844&amp;"'!$O$30")="済み",INDIRECT("'["&amp;$C$1&amp;".xls]"&amp;$B844&amp;"'!$T$30"),""))</f>
        <v>#REF!</v>
      </c>
      <c r="AQ844" s="48" t="e">
        <f t="shared" ref="AQ844:AQ877" ca="1" si="80">IF(INDIRECT("'["&amp;$C$1&amp;".xls]"&amp;$B844&amp;"'!$T31")="","",IF(INDIRECT("'["&amp;$C$1&amp;".xls]"&amp;$B844&amp;"'!$O$31")="済み",INDIRECT("'["&amp;$C$1&amp;".xls]"&amp;$B844&amp;"'!$T$31"),""))</f>
        <v>#REF!</v>
      </c>
      <c r="AR844" s="48" t="e">
        <f t="shared" ref="AR844:AR877" ca="1" si="81">IF(INDIRECT("'["&amp;$C$1&amp;".xls]"&amp;$B844&amp;"'!$T32")="","",IF(INDIRECT("'["&amp;$C$1&amp;".xls]"&amp;$B844&amp;"'!$O$32")="済み",INDIRECT("'["&amp;$C$1&amp;".xls]"&amp;$B844&amp;"'!$T$32"),""))</f>
        <v>#REF!</v>
      </c>
      <c r="AS844" s="48" t="e">
        <f t="shared" ref="AS844:AS877" ca="1" si="82">IF(INDIRECT("'["&amp;$C$1&amp;".xls]"&amp;$B844&amp;"'!$T33")="","",IF(INDIRECT("'["&amp;$C$1&amp;".xls]"&amp;$B844&amp;"'!$O$33")="済み",INDIRECT("'["&amp;$C$1&amp;".xls]"&amp;$B844&amp;"'!$T$33"),""))</f>
        <v>#REF!</v>
      </c>
      <c r="AT844" s="48" t="e">
        <f t="shared" ref="AT844:AT877" ca="1" si="83">IF(INDIRECT("'["&amp;$C$1&amp;".xls]"&amp;$B844&amp;"'!$T34")="","",IF(INDIRECT("'["&amp;$C$1&amp;".xls]"&amp;$B844&amp;"'!$O$34")="済み",INDIRECT("'["&amp;$C$1&amp;".xls]"&amp;$B844&amp;"'!$T$34"),""))</f>
        <v>#REF!</v>
      </c>
      <c r="AU844" s="93" t="e">
        <f t="shared" ca="1" si="56"/>
        <v>#REF!</v>
      </c>
      <c r="AV844" s="93" t="e">
        <f t="shared" ca="1" si="58"/>
        <v>#REF!</v>
      </c>
      <c r="AW844" s="93" t="e">
        <f t="shared" ca="1" si="59"/>
        <v>#REF!</v>
      </c>
      <c r="AX844" s="93" t="e">
        <f t="shared" ca="1" si="60"/>
        <v>#REF!</v>
      </c>
      <c r="AY844" s="93" t="e">
        <f t="shared" ca="1" si="61"/>
        <v>#REF!</v>
      </c>
    </row>
    <row r="845" spans="1:51" ht="16.5" customHeight="1" x14ac:dyDescent="0.15">
      <c r="A845" s="121" t="s">
        <v>8011</v>
      </c>
      <c r="B845" s="47" t="s">
        <v>8012</v>
      </c>
      <c r="C845" s="48" t="e">
        <f t="shared" ca="1" si="41"/>
        <v>#REF!</v>
      </c>
      <c r="D845" s="62" t="e">
        <f t="shared" ca="1" si="42"/>
        <v>#REF!</v>
      </c>
      <c r="E845" s="48" t="e">
        <f t="shared" ca="1" si="43"/>
        <v>#REF!</v>
      </c>
      <c r="F845" s="61" t="e">
        <f t="shared" ca="1" si="44"/>
        <v>#REF!</v>
      </c>
      <c r="G845" s="61" t="e">
        <f t="shared" ca="1" si="63"/>
        <v>#REF!</v>
      </c>
      <c r="H845" s="88" t="e">
        <f t="shared" ca="1" si="45"/>
        <v>#REF!</v>
      </c>
      <c r="I845" s="61" t="e">
        <f t="shared" ca="1" si="46"/>
        <v>#REF!</v>
      </c>
      <c r="J845" s="87"/>
      <c r="K845" s="62" t="e">
        <f t="shared" ca="1" si="47"/>
        <v>#REF!</v>
      </c>
      <c r="L845" s="62"/>
      <c r="M845" s="62" t="e">
        <f t="shared" ca="1" si="48"/>
        <v>#REF!</v>
      </c>
      <c r="N845" s="62" t="e">
        <f t="shared" ca="1" si="49"/>
        <v>#REF!</v>
      </c>
      <c r="O845" s="48" t="e">
        <f t="shared" ca="1" si="50"/>
        <v>#REF!</v>
      </c>
      <c r="P845" s="48" t="e">
        <f t="shared" ca="1" si="51"/>
        <v>#REF!</v>
      </c>
      <c r="Q845" s="48" t="e">
        <f t="shared" ca="1" si="52"/>
        <v>#REF!</v>
      </c>
      <c r="R845" s="48"/>
      <c r="S845" s="48" t="e">
        <f t="shared" ca="1" si="53"/>
        <v>#REF!</v>
      </c>
      <c r="T845" s="48" t="e">
        <f t="shared" ca="1" si="54"/>
        <v>#REF!</v>
      </c>
      <c r="U845" s="48" t="e">
        <f t="shared" ca="1" si="55"/>
        <v>#REF!</v>
      </c>
      <c r="V845" s="48"/>
      <c r="W845" s="48"/>
      <c r="X845" s="48"/>
      <c r="Y845" s="48"/>
      <c r="Z845" s="61"/>
      <c r="AA845" s="48" t="e">
        <f t="shared" ca="1" si="64"/>
        <v>#REF!</v>
      </c>
      <c r="AB845" s="48" t="e">
        <f t="shared" ca="1" si="65"/>
        <v>#REF!</v>
      </c>
      <c r="AC845" s="48" t="e">
        <f t="shared" ca="1" si="66"/>
        <v>#REF!</v>
      </c>
      <c r="AD845" s="48" t="e">
        <f t="shared" ca="1" si="67"/>
        <v>#REF!</v>
      </c>
      <c r="AE845" s="48" t="e">
        <f t="shared" ca="1" si="68"/>
        <v>#REF!</v>
      </c>
      <c r="AF845" s="48" t="e">
        <f t="shared" ca="1" si="69"/>
        <v>#REF!</v>
      </c>
      <c r="AG845" s="48" t="e">
        <f t="shared" ca="1" si="70"/>
        <v>#REF!</v>
      </c>
      <c r="AH845" s="48" t="e">
        <f t="shared" ca="1" si="71"/>
        <v>#REF!</v>
      </c>
      <c r="AI845" s="48" t="e">
        <f t="shared" ca="1" si="72"/>
        <v>#REF!</v>
      </c>
      <c r="AJ845" s="48" t="e">
        <f t="shared" ca="1" si="73"/>
        <v>#REF!</v>
      </c>
      <c r="AK845" s="48" t="e">
        <f t="shared" ca="1" si="74"/>
        <v>#REF!</v>
      </c>
      <c r="AL845" s="48" t="e">
        <f t="shared" ca="1" si="75"/>
        <v>#REF!</v>
      </c>
      <c r="AM845" s="48" t="e">
        <f t="shared" ca="1" si="76"/>
        <v>#REF!</v>
      </c>
      <c r="AN845" s="48" t="e">
        <f t="shared" ca="1" si="77"/>
        <v>#REF!</v>
      </c>
      <c r="AO845" s="48" t="e">
        <f t="shared" ca="1" si="78"/>
        <v>#REF!</v>
      </c>
      <c r="AP845" s="48" t="e">
        <f t="shared" ca="1" si="79"/>
        <v>#REF!</v>
      </c>
      <c r="AQ845" s="48" t="e">
        <f t="shared" ca="1" si="80"/>
        <v>#REF!</v>
      </c>
      <c r="AR845" s="48" t="e">
        <f t="shared" ca="1" si="81"/>
        <v>#REF!</v>
      </c>
      <c r="AS845" s="48" t="e">
        <f t="shared" ca="1" si="82"/>
        <v>#REF!</v>
      </c>
      <c r="AT845" s="48" t="e">
        <f t="shared" ca="1" si="83"/>
        <v>#REF!</v>
      </c>
      <c r="AU845" s="93" t="e">
        <f t="shared" ca="1" si="56"/>
        <v>#REF!</v>
      </c>
      <c r="AV845" s="93" t="e">
        <f t="shared" ca="1" si="58"/>
        <v>#REF!</v>
      </c>
      <c r="AW845" s="93" t="e">
        <f t="shared" ca="1" si="59"/>
        <v>#REF!</v>
      </c>
      <c r="AX845" s="93" t="e">
        <f t="shared" ca="1" si="60"/>
        <v>#REF!</v>
      </c>
      <c r="AY845" s="93" t="e">
        <f t="shared" ca="1" si="61"/>
        <v>#REF!</v>
      </c>
    </row>
    <row r="846" spans="1:51" ht="16.5" customHeight="1" x14ac:dyDescent="0.15">
      <c r="A846" s="121" t="s">
        <v>8013</v>
      </c>
      <c r="B846" s="47" t="s">
        <v>8014</v>
      </c>
      <c r="C846" s="48" t="e">
        <f t="shared" ca="1" si="41"/>
        <v>#REF!</v>
      </c>
      <c r="D846" s="62" t="e">
        <f t="shared" ca="1" si="42"/>
        <v>#REF!</v>
      </c>
      <c r="E846" s="48" t="e">
        <f t="shared" ca="1" si="43"/>
        <v>#REF!</v>
      </c>
      <c r="F846" s="61" t="e">
        <f t="shared" ca="1" si="44"/>
        <v>#REF!</v>
      </c>
      <c r="G846" s="61" t="e">
        <f t="shared" ca="1" si="63"/>
        <v>#REF!</v>
      </c>
      <c r="H846" s="88" t="e">
        <f t="shared" ca="1" si="45"/>
        <v>#REF!</v>
      </c>
      <c r="I846" s="61" t="e">
        <f t="shared" ca="1" si="46"/>
        <v>#REF!</v>
      </c>
      <c r="J846" s="87"/>
      <c r="K846" s="62" t="e">
        <f t="shared" ca="1" si="47"/>
        <v>#REF!</v>
      </c>
      <c r="L846" s="62"/>
      <c r="M846" s="62" t="e">
        <f t="shared" ca="1" si="48"/>
        <v>#REF!</v>
      </c>
      <c r="N846" s="62" t="e">
        <f t="shared" ca="1" si="49"/>
        <v>#REF!</v>
      </c>
      <c r="O846" s="48" t="e">
        <f t="shared" ca="1" si="50"/>
        <v>#REF!</v>
      </c>
      <c r="P846" s="48" t="e">
        <f t="shared" ca="1" si="51"/>
        <v>#REF!</v>
      </c>
      <c r="Q846" s="48" t="e">
        <f t="shared" ca="1" si="52"/>
        <v>#REF!</v>
      </c>
      <c r="R846" s="48"/>
      <c r="S846" s="48" t="e">
        <f t="shared" ca="1" si="53"/>
        <v>#REF!</v>
      </c>
      <c r="T846" s="48" t="e">
        <f t="shared" ca="1" si="54"/>
        <v>#REF!</v>
      </c>
      <c r="U846" s="48" t="e">
        <f t="shared" ca="1" si="55"/>
        <v>#REF!</v>
      </c>
      <c r="V846" s="48"/>
      <c r="W846" s="48"/>
      <c r="X846" s="48"/>
      <c r="Y846" s="48"/>
      <c r="Z846" s="61"/>
      <c r="AA846" s="48" t="e">
        <f t="shared" ca="1" si="64"/>
        <v>#REF!</v>
      </c>
      <c r="AB846" s="48" t="e">
        <f t="shared" ca="1" si="65"/>
        <v>#REF!</v>
      </c>
      <c r="AC846" s="48" t="e">
        <f t="shared" ca="1" si="66"/>
        <v>#REF!</v>
      </c>
      <c r="AD846" s="48" t="e">
        <f t="shared" ca="1" si="67"/>
        <v>#REF!</v>
      </c>
      <c r="AE846" s="48" t="e">
        <f t="shared" ca="1" si="68"/>
        <v>#REF!</v>
      </c>
      <c r="AF846" s="48" t="e">
        <f t="shared" ca="1" si="69"/>
        <v>#REF!</v>
      </c>
      <c r="AG846" s="48" t="e">
        <f t="shared" ca="1" si="70"/>
        <v>#REF!</v>
      </c>
      <c r="AH846" s="48" t="e">
        <f t="shared" ca="1" si="71"/>
        <v>#REF!</v>
      </c>
      <c r="AI846" s="48" t="e">
        <f t="shared" ca="1" si="72"/>
        <v>#REF!</v>
      </c>
      <c r="AJ846" s="48" t="e">
        <f t="shared" ca="1" si="73"/>
        <v>#REF!</v>
      </c>
      <c r="AK846" s="48" t="e">
        <f t="shared" ca="1" si="74"/>
        <v>#REF!</v>
      </c>
      <c r="AL846" s="48" t="e">
        <f t="shared" ca="1" si="75"/>
        <v>#REF!</v>
      </c>
      <c r="AM846" s="48" t="e">
        <f t="shared" ca="1" si="76"/>
        <v>#REF!</v>
      </c>
      <c r="AN846" s="48" t="e">
        <f t="shared" ca="1" si="77"/>
        <v>#REF!</v>
      </c>
      <c r="AO846" s="48" t="e">
        <f t="shared" ca="1" si="78"/>
        <v>#REF!</v>
      </c>
      <c r="AP846" s="48" t="e">
        <f t="shared" ca="1" si="79"/>
        <v>#REF!</v>
      </c>
      <c r="AQ846" s="48" t="e">
        <f t="shared" ca="1" si="80"/>
        <v>#REF!</v>
      </c>
      <c r="AR846" s="48" t="e">
        <f t="shared" ca="1" si="81"/>
        <v>#REF!</v>
      </c>
      <c r="AS846" s="48" t="e">
        <f t="shared" ca="1" si="82"/>
        <v>#REF!</v>
      </c>
      <c r="AT846" s="48" t="e">
        <f t="shared" ca="1" si="83"/>
        <v>#REF!</v>
      </c>
      <c r="AU846" s="93" t="e">
        <f t="shared" ca="1" si="56"/>
        <v>#REF!</v>
      </c>
      <c r="AV846" s="93" t="e">
        <f t="shared" ca="1" si="58"/>
        <v>#REF!</v>
      </c>
      <c r="AW846" s="93" t="e">
        <f t="shared" ca="1" si="59"/>
        <v>#REF!</v>
      </c>
      <c r="AX846" s="93" t="e">
        <f t="shared" ca="1" si="60"/>
        <v>#REF!</v>
      </c>
      <c r="AY846" s="93" t="e">
        <f t="shared" ca="1" si="61"/>
        <v>#REF!</v>
      </c>
    </row>
    <row r="847" spans="1:51" ht="16.5" customHeight="1" x14ac:dyDescent="0.15">
      <c r="A847" s="121" t="s">
        <v>8015</v>
      </c>
      <c r="B847" s="47" t="s">
        <v>8016</v>
      </c>
      <c r="C847" s="48" t="e">
        <f t="shared" ca="1" si="41"/>
        <v>#REF!</v>
      </c>
      <c r="D847" s="62" t="e">
        <f t="shared" ca="1" si="42"/>
        <v>#REF!</v>
      </c>
      <c r="E847" s="48" t="e">
        <f t="shared" ca="1" si="43"/>
        <v>#REF!</v>
      </c>
      <c r="F847" s="61" t="e">
        <f t="shared" ca="1" si="44"/>
        <v>#REF!</v>
      </c>
      <c r="G847" s="61" t="e">
        <f t="shared" ca="1" si="63"/>
        <v>#REF!</v>
      </c>
      <c r="H847" s="88" t="e">
        <f t="shared" ca="1" si="45"/>
        <v>#REF!</v>
      </c>
      <c r="I847" s="61" t="e">
        <f t="shared" ca="1" si="46"/>
        <v>#REF!</v>
      </c>
      <c r="J847" s="87"/>
      <c r="K847" s="62" t="e">
        <f t="shared" ca="1" si="47"/>
        <v>#REF!</v>
      </c>
      <c r="L847" s="62"/>
      <c r="M847" s="62" t="e">
        <f t="shared" ca="1" si="48"/>
        <v>#REF!</v>
      </c>
      <c r="N847" s="62" t="e">
        <f t="shared" ca="1" si="49"/>
        <v>#REF!</v>
      </c>
      <c r="O847" s="48" t="e">
        <f t="shared" ca="1" si="50"/>
        <v>#REF!</v>
      </c>
      <c r="P847" s="48" t="e">
        <f t="shared" ca="1" si="51"/>
        <v>#REF!</v>
      </c>
      <c r="Q847" s="48" t="e">
        <f t="shared" ca="1" si="52"/>
        <v>#REF!</v>
      </c>
      <c r="R847" s="48"/>
      <c r="S847" s="48" t="e">
        <f t="shared" ca="1" si="53"/>
        <v>#REF!</v>
      </c>
      <c r="T847" s="48" t="e">
        <f t="shared" ca="1" si="54"/>
        <v>#REF!</v>
      </c>
      <c r="U847" s="48" t="e">
        <f t="shared" ca="1" si="55"/>
        <v>#REF!</v>
      </c>
      <c r="V847" s="48"/>
      <c r="W847" s="48"/>
      <c r="X847" s="48"/>
      <c r="Y847" s="48"/>
      <c r="Z847" s="61"/>
      <c r="AA847" s="48" t="e">
        <f t="shared" ca="1" si="64"/>
        <v>#REF!</v>
      </c>
      <c r="AB847" s="48" t="e">
        <f t="shared" ca="1" si="65"/>
        <v>#REF!</v>
      </c>
      <c r="AC847" s="48" t="e">
        <f t="shared" ca="1" si="66"/>
        <v>#REF!</v>
      </c>
      <c r="AD847" s="48" t="e">
        <f t="shared" ca="1" si="67"/>
        <v>#REF!</v>
      </c>
      <c r="AE847" s="48" t="e">
        <f t="shared" ca="1" si="68"/>
        <v>#REF!</v>
      </c>
      <c r="AF847" s="48" t="e">
        <f t="shared" ca="1" si="69"/>
        <v>#REF!</v>
      </c>
      <c r="AG847" s="48" t="e">
        <f t="shared" ca="1" si="70"/>
        <v>#REF!</v>
      </c>
      <c r="AH847" s="48" t="e">
        <f t="shared" ca="1" si="71"/>
        <v>#REF!</v>
      </c>
      <c r="AI847" s="48" t="e">
        <f t="shared" ca="1" si="72"/>
        <v>#REF!</v>
      </c>
      <c r="AJ847" s="48" t="e">
        <f t="shared" ca="1" si="73"/>
        <v>#REF!</v>
      </c>
      <c r="AK847" s="48" t="e">
        <f t="shared" ca="1" si="74"/>
        <v>#REF!</v>
      </c>
      <c r="AL847" s="48" t="e">
        <f t="shared" ca="1" si="75"/>
        <v>#REF!</v>
      </c>
      <c r="AM847" s="48" t="e">
        <f t="shared" ca="1" si="76"/>
        <v>#REF!</v>
      </c>
      <c r="AN847" s="48" t="e">
        <f t="shared" ca="1" si="77"/>
        <v>#REF!</v>
      </c>
      <c r="AO847" s="48" t="e">
        <f t="shared" ca="1" si="78"/>
        <v>#REF!</v>
      </c>
      <c r="AP847" s="48" t="e">
        <f t="shared" ca="1" si="79"/>
        <v>#REF!</v>
      </c>
      <c r="AQ847" s="48" t="e">
        <f t="shared" ca="1" si="80"/>
        <v>#REF!</v>
      </c>
      <c r="AR847" s="48" t="e">
        <f t="shared" ca="1" si="81"/>
        <v>#REF!</v>
      </c>
      <c r="AS847" s="48" t="e">
        <f t="shared" ca="1" si="82"/>
        <v>#REF!</v>
      </c>
      <c r="AT847" s="48" t="e">
        <f t="shared" ca="1" si="83"/>
        <v>#REF!</v>
      </c>
      <c r="AU847" s="93" t="e">
        <f t="shared" ca="1" si="56"/>
        <v>#REF!</v>
      </c>
      <c r="AV847" s="93" t="e">
        <f t="shared" ca="1" si="58"/>
        <v>#REF!</v>
      </c>
      <c r="AW847" s="93" t="e">
        <f t="shared" ca="1" si="59"/>
        <v>#REF!</v>
      </c>
      <c r="AX847" s="93" t="e">
        <f t="shared" ca="1" si="60"/>
        <v>#REF!</v>
      </c>
      <c r="AY847" s="93" t="e">
        <f t="shared" ca="1" si="61"/>
        <v>#REF!</v>
      </c>
    </row>
    <row r="848" spans="1:51" ht="16.5" customHeight="1" x14ac:dyDescent="0.15">
      <c r="A848" s="121" t="s">
        <v>8017</v>
      </c>
      <c r="B848" s="47" t="s">
        <v>8018</v>
      </c>
      <c r="C848" s="48" t="e">
        <f t="shared" ca="1" si="41"/>
        <v>#REF!</v>
      </c>
      <c r="D848" s="62" t="e">
        <f t="shared" ca="1" si="42"/>
        <v>#REF!</v>
      </c>
      <c r="E848" s="48" t="e">
        <f t="shared" ca="1" si="43"/>
        <v>#REF!</v>
      </c>
      <c r="F848" s="61" t="e">
        <f t="shared" ca="1" si="44"/>
        <v>#REF!</v>
      </c>
      <c r="G848" s="61" t="e">
        <f t="shared" ca="1" si="63"/>
        <v>#REF!</v>
      </c>
      <c r="H848" s="88" t="e">
        <f t="shared" ca="1" si="45"/>
        <v>#REF!</v>
      </c>
      <c r="I848" s="61" t="e">
        <f t="shared" ca="1" si="46"/>
        <v>#REF!</v>
      </c>
      <c r="J848" s="87"/>
      <c r="K848" s="62" t="e">
        <f t="shared" ca="1" si="47"/>
        <v>#REF!</v>
      </c>
      <c r="L848" s="62"/>
      <c r="M848" s="62" t="e">
        <f t="shared" ca="1" si="48"/>
        <v>#REF!</v>
      </c>
      <c r="N848" s="62" t="e">
        <f t="shared" ca="1" si="49"/>
        <v>#REF!</v>
      </c>
      <c r="O848" s="48" t="e">
        <f t="shared" ca="1" si="50"/>
        <v>#REF!</v>
      </c>
      <c r="P848" s="48" t="e">
        <f t="shared" ca="1" si="51"/>
        <v>#REF!</v>
      </c>
      <c r="Q848" s="48" t="e">
        <f t="shared" ca="1" si="52"/>
        <v>#REF!</v>
      </c>
      <c r="R848" s="48"/>
      <c r="S848" s="48" t="e">
        <f t="shared" ca="1" si="53"/>
        <v>#REF!</v>
      </c>
      <c r="T848" s="48" t="e">
        <f t="shared" ca="1" si="54"/>
        <v>#REF!</v>
      </c>
      <c r="U848" s="48" t="e">
        <f t="shared" ca="1" si="55"/>
        <v>#REF!</v>
      </c>
      <c r="V848" s="48"/>
      <c r="W848" s="48"/>
      <c r="X848" s="48"/>
      <c r="Y848" s="48"/>
      <c r="Z848" s="61"/>
      <c r="AA848" s="48" t="e">
        <f t="shared" ca="1" si="64"/>
        <v>#REF!</v>
      </c>
      <c r="AB848" s="48" t="e">
        <f t="shared" ca="1" si="65"/>
        <v>#REF!</v>
      </c>
      <c r="AC848" s="48" t="e">
        <f t="shared" ca="1" si="66"/>
        <v>#REF!</v>
      </c>
      <c r="AD848" s="48" t="e">
        <f t="shared" ca="1" si="67"/>
        <v>#REF!</v>
      </c>
      <c r="AE848" s="48" t="e">
        <f t="shared" ca="1" si="68"/>
        <v>#REF!</v>
      </c>
      <c r="AF848" s="48" t="e">
        <f t="shared" ca="1" si="69"/>
        <v>#REF!</v>
      </c>
      <c r="AG848" s="48" t="e">
        <f t="shared" ca="1" si="70"/>
        <v>#REF!</v>
      </c>
      <c r="AH848" s="48" t="e">
        <f t="shared" ca="1" si="71"/>
        <v>#REF!</v>
      </c>
      <c r="AI848" s="48" t="e">
        <f t="shared" ca="1" si="72"/>
        <v>#REF!</v>
      </c>
      <c r="AJ848" s="48" t="e">
        <f t="shared" ca="1" si="73"/>
        <v>#REF!</v>
      </c>
      <c r="AK848" s="48" t="e">
        <f t="shared" ca="1" si="74"/>
        <v>#REF!</v>
      </c>
      <c r="AL848" s="48" t="e">
        <f t="shared" ca="1" si="75"/>
        <v>#REF!</v>
      </c>
      <c r="AM848" s="48" t="e">
        <f t="shared" ca="1" si="76"/>
        <v>#REF!</v>
      </c>
      <c r="AN848" s="48" t="e">
        <f t="shared" ca="1" si="77"/>
        <v>#REF!</v>
      </c>
      <c r="AO848" s="48" t="e">
        <f t="shared" ca="1" si="78"/>
        <v>#REF!</v>
      </c>
      <c r="AP848" s="48" t="e">
        <f t="shared" ca="1" si="79"/>
        <v>#REF!</v>
      </c>
      <c r="AQ848" s="48" t="e">
        <f t="shared" ca="1" si="80"/>
        <v>#REF!</v>
      </c>
      <c r="AR848" s="48" t="e">
        <f t="shared" ca="1" si="81"/>
        <v>#REF!</v>
      </c>
      <c r="AS848" s="48" t="e">
        <f t="shared" ca="1" si="82"/>
        <v>#REF!</v>
      </c>
      <c r="AT848" s="48" t="e">
        <f t="shared" ca="1" si="83"/>
        <v>#REF!</v>
      </c>
      <c r="AU848" s="93" t="e">
        <f t="shared" ca="1" si="56"/>
        <v>#REF!</v>
      </c>
      <c r="AV848" s="93" t="e">
        <f t="shared" ca="1" si="58"/>
        <v>#REF!</v>
      </c>
      <c r="AW848" s="93" t="e">
        <f t="shared" ca="1" si="59"/>
        <v>#REF!</v>
      </c>
      <c r="AX848" s="93" t="e">
        <f t="shared" ca="1" si="60"/>
        <v>#REF!</v>
      </c>
      <c r="AY848" s="93" t="e">
        <f t="shared" ca="1" si="61"/>
        <v>#REF!</v>
      </c>
    </row>
    <row r="849" spans="1:51" ht="16.5" customHeight="1" x14ac:dyDescent="0.15">
      <c r="A849" s="121" t="s">
        <v>8019</v>
      </c>
      <c r="B849" s="47" t="s">
        <v>8020</v>
      </c>
      <c r="C849" s="48" t="e">
        <f t="shared" ca="1" si="41"/>
        <v>#REF!</v>
      </c>
      <c r="D849" s="62" t="e">
        <f t="shared" ca="1" si="42"/>
        <v>#REF!</v>
      </c>
      <c r="E849" s="48" t="e">
        <f t="shared" ca="1" si="43"/>
        <v>#REF!</v>
      </c>
      <c r="F849" s="61" t="e">
        <f t="shared" ca="1" si="44"/>
        <v>#REF!</v>
      </c>
      <c r="G849" s="61" t="e">
        <f t="shared" ca="1" si="63"/>
        <v>#REF!</v>
      </c>
      <c r="H849" s="88" t="e">
        <f t="shared" ca="1" si="45"/>
        <v>#REF!</v>
      </c>
      <c r="I849" s="61" t="e">
        <f t="shared" ca="1" si="46"/>
        <v>#REF!</v>
      </c>
      <c r="J849" s="87"/>
      <c r="K849" s="62" t="e">
        <f t="shared" ca="1" si="47"/>
        <v>#REF!</v>
      </c>
      <c r="L849" s="62"/>
      <c r="M849" s="62" t="e">
        <f t="shared" ca="1" si="48"/>
        <v>#REF!</v>
      </c>
      <c r="N849" s="62" t="e">
        <f t="shared" ca="1" si="49"/>
        <v>#REF!</v>
      </c>
      <c r="O849" s="48" t="e">
        <f t="shared" ca="1" si="50"/>
        <v>#REF!</v>
      </c>
      <c r="P849" s="48" t="e">
        <f t="shared" ca="1" si="51"/>
        <v>#REF!</v>
      </c>
      <c r="Q849" s="48" t="e">
        <f t="shared" ca="1" si="52"/>
        <v>#REF!</v>
      </c>
      <c r="R849" s="48"/>
      <c r="S849" s="48" t="e">
        <f t="shared" ca="1" si="53"/>
        <v>#REF!</v>
      </c>
      <c r="T849" s="48" t="e">
        <f t="shared" ca="1" si="54"/>
        <v>#REF!</v>
      </c>
      <c r="U849" s="48" t="e">
        <f t="shared" ca="1" si="55"/>
        <v>#REF!</v>
      </c>
      <c r="V849" s="48"/>
      <c r="W849" s="48"/>
      <c r="X849" s="48"/>
      <c r="Y849" s="48"/>
      <c r="Z849" s="61"/>
      <c r="AA849" s="48" t="e">
        <f t="shared" ca="1" si="64"/>
        <v>#REF!</v>
      </c>
      <c r="AB849" s="48" t="e">
        <f t="shared" ca="1" si="65"/>
        <v>#REF!</v>
      </c>
      <c r="AC849" s="48" t="e">
        <f t="shared" ca="1" si="66"/>
        <v>#REF!</v>
      </c>
      <c r="AD849" s="48" t="e">
        <f t="shared" ca="1" si="67"/>
        <v>#REF!</v>
      </c>
      <c r="AE849" s="48" t="e">
        <f t="shared" ca="1" si="68"/>
        <v>#REF!</v>
      </c>
      <c r="AF849" s="48" t="e">
        <f t="shared" ca="1" si="69"/>
        <v>#REF!</v>
      </c>
      <c r="AG849" s="48" t="e">
        <f t="shared" ca="1" si="70"/>
        <v>#REF!</v>
      </c>
      <c r="AH849" s="48" t="e">
        <f t="shared" ca="1" si="71"/>
        <v>#REF!</v>
      </c>
      <c r="AI849" s="48" t="e">
        <f t="shared" ca="1" si="72"/>
        <v>#REF!</v>
      </c>
      <c r="AJ849" s="48" t="e">
        <f t="shared" ca="1" si="73"/>
        <v>#REF!</v>
      </c>
      <c r="AK849" s="48" t="e">
        <f t="shared" ca="1" si="74"/>
        <v>#REF!</v>
      </c>
      <c r="AL849" s="48" t="e">
        <f t="shared" ca="1" si="75"/>
        <v>#REF!</v>
      </c>
      <c r="AM849" s="48" t="e">
        <f t="shared" ca="1" si="76"/>
        <v>#REF!</v>
      </c>
      <c r="AN849" s="48" t="e">
        <f t="shared" ca="1" si="77"/>
        <v>#REF!</v>
      </c>
      <c r="AO849" s="48" t="e">
        <f t="shared" ca="1" si="78"/>
        <v>#REF!</v>
      </c>
      <c r="AP849" s="48" t="e">
        <f t="shared" ca="1" si="79"/>
        <v>#REF!</v>
      </c>
      <c r="AQ849" s="48" t="e">
        <f t="shared" ca="1" si="80"/>
        <v>#REF!</v>
      </c>
      <c r="AR849" s="48" t="e">
        <f t="shared" ca="1" si="81"/>
        <v>#REF!</v>
      </c>
      <c r="AS849" s="48" t="e">
        <f t="shared" ca="1" si="82"/>
        <v>#REF!</v>
      </c>
      <c r="AT849" s="48" t="e">
        <f t="shared" ca="1" si="83"/>
        <v>#REF!</v>
      </c>
      <c r="AU849" s="93" t="e">
        <f t="shared" ca="1" si="56"/>
        <v>#REF!</v>
      </c>
      <c r="AV849" s="93" t="e">
        <f t="shared" ca="1" si="58"/>
        <v>#REF!</v>
      </c>
      <c r="AW849" s="93" t="e">
        <f t="shared" ca="1" si="59"/>
        <v>#REF!</v>
      </c>
      <c r="AX849" s="93" t="e">
        <f t="shared" ca="1" si="60"/>
        <v>#REF!</v>
      </c>
      <c r="AY849" s="93" t="e">
        <f t="shared" ca="1" si="61"/>
        <v>#REF!</v>
      </c>
    </row>
    <row r="850" spans="1:51" ht="16.5" customHeight="1" x14ac:dyDescent="0.15">
      <c r="A850" s="121" t="s">
        <v>8021</v>
      </c>
      <c r="B850" s="47" t="s">
        <v>8022</v>
      </c>
      <c r="C850" s="48" t="e">
        <f t="shared" ca="1" si="41"/>
        <v>#REF!</v>
      </c>
      <c r="D850" s="62" t="e">
        <f t="shared" ca="1" si="42"/>
        <v>#REF!</v>
      </c>
      <c r="E850" s="48" t="e">
        <f t="shared" ca="1" si="43"/>
        <v>#REF!</v>
      </c>
      <c r="F850" s="61" t="e">
        <f t="shared" ca="1" si="44"/>
        <v>#REF!</v>
      </c>
      <c r="G850" s="61" t="e">
        <f t="shared" ca="1" si="63"/>
        <v>#REF!</v>
      </c>
      <c r="H850" s="88" t="e">
        <f t="shared" ca="1" si="45"/>
        <v>#REF!</v>
      </c>
      <c r="I850" s="61" t="e">
        <f t="shared" ca="1" si="46"/>
        <v>#REF!</v>
      </c>
      <c r="J850" s="87"/>
      <c r="K850" s="62" t="e">
        <f t="shared" ca="1" si="47"/>
        <v>#REF!</v>
      </c>
      <c r="L850" s="62"/>
      <c r="M850" s="62" t="e">
        <f t="shared" ca="1" si="48"/>
        <v>#REF!</v>
      </c>
      <c r="N850" s="62" t="e">
        <f t="shared" ca="1" si="49"/>
        <v>#REF!</v>
      </c>
      <c r="O850" s="48" t="e">
        <f t="shared" ca="1" si="50"/>
        <v>#REF!</v>
      </c>
      <c r="P850" s="48" t="e">
        <f t="shared" ca="1" si="51"/>
        <v>#REF!</v>
      </c>
      <c r="Q850" s="48" t="e">
        <f t="shared" ca="1" si="52"/>
        <v>#REF!</v>
      </c>
      <c r="R850" s="48"/>
      <c r="S850" s="48" t="e">
        <f t="shared" ca="1" si="53"/>
        <v>#REF!</v>
      </c>
      <c r="T850" s="48" t="e">
        <f t="shared" ca="1" si="54"/>
        <v>#REF!</v>
      </c>
      <c r="U850" s="48" t="e">
        <f t="shared" ca="1" si="55"/>
        <v>#REF!</v>
      </c>
      <c r="V850" s="48"/>
      <c r="W850" s="48"/>
      <c r="X850" s="48"/>
      <c r="Y850" s="48"/>
      <c r="Z850" s="61"/>
      <c r="AA850" s="48" t="e">
        <f t="shared" ca="1" si="64"/>
        <v>#REF!</v>
      </c>
      <c r="AB850" s="48" t="e">
        <f t="shared" ca="1" si="65"/>
        <v>#REF!</v>
      </c>
      <c r="AC850" s="48" t="e">
        <f t="shared" ca="1" si="66"/>
        <v>#REF!</v>
      </c>
      <c r="AD850" s="48" t="e">
        <f t="shared" ca="1" si="67"/>
        <v>#REF!</v>
      </c>
      <c r="AE850" s="48" t="e">
        <f t="shared" ca="1" si="68"/>
        <v>#REF!</v>
      </c>
      <c r="AF850" s="48" t="e">
        <f t="shared" ca="1" si="69"/>
        <v>#REF!</v>
      </c>
      <c r="AG850" s="48" t="e">
        <f t="shared" ca="1" si="70"/>
        <v>#REF!</v>
      </c>
      <c r="AH850" s="48" t="e">
        <f t="shared" ca="1" si="71"/>
        <v>#REF!</v>
      </c>
      <c r="AI850" s="48" t="e">
        <f t="shared" ca="1" si="72"/>
        <v>#REF!</v>
      </c>
      <c r="AJ850" s="48" t="e">
        <f t="shared" ca="1" si="73"/>
        <v>#REF!</v>
      </c>
      <c r="AK850" s="48" t="e">
        <f t="shared" ca="1" si="74"/>
        <v>#REF!</v>
      </c>
      <c r="AL850" s="48" t="e">
        <f t="shared" ca="1" si="75"/>
        <v>#REF!</v>
      </c>
      <c r="AM850" s="48" t="e">
        <f t="shared" ca="1" si="76"/>
        <v>#REF!</v>
      </c>
      <c r="AN850" s="48" t="e">
        <f t="shared" ca="1" si="77"/>
        <v>#REF!</v>
      </c>
      <c r="AO850" s="48" t="e">
        <f t="shared" ca="1" si="78"/>
        <v>#REF!</v>
      </c>
      <c r="AP850" s="48" t="e">
        <f t="shared" ca="1" si="79"/>
        <v>#REF!</v>
      </c>
      <c r="AQ850" s="48" t="e">
        <f t="shared" ca="1" si="80"/>
        <v>#REF!</v>
      </c>
      <c r="AR850" s="48" t="e">
        <f t="shared" ca="1" si="81"/>
        <v>#REF!</v>
      </c>
      <c r="AS850" s="48" t="e">
        <f t="shared" ca="1" si="82"/>
        <v>#REF!</v>
      </c>
      <c r="AT850" s="48" t="e">
        <f t="shared" ca="1" si="83"/>
        <v>#REF!</v>
      </c>
      <c r="AU850" s="93" t="e">
        <f t="shared" ca="1" si="56"/>
        <v>#REF!</v>
      </c>
      <c r="AV850" s="93" t="e">
        <f t="shared" ca="1" si="58"/>
        <v>#REF!</v>
      </c>
      <c r="AW850" s="93" t="e">
        <f t="shared" ca="1" si="59"/>
        <v>#REF!</v>
      </c>
      <c r="AX850" s="93" t="e">
        <f t="shared" ca="1" si="60"/>
        <v>#REF!</v>
      </c>
      <c r="AY850" s="93" t="e">
        <f t="shared" ca="1" si="61"/>
        <v>#REF!</v>
      </c>
    </row>
    <row r="851" spans="1:51" ht="16.5" customHeight="1" x14ac:dyDescent="0.15">
      <c r="A851" s="121" t="s">
        <v>8023</v>
      </c>
      <c r="B851" s="47" t="s">
        <v>8024</v>
      </c>
      <c r="C851" s="48" t="e">
        <f t="shared" ca="1" si="41"/>
        <v>#REF!</v>
      </c>
      <c r="D851" s="62" t="e">
        <f t="shared" ca="1" si="42"/>
        <v>#REF!</v>
      </c>
      <c r="E851" s="48" t="e">
        <f t="shared" ca="1" si="43"/>
        <v>#REF!</v>
      </c>
      <c r="F851" s="61" t="e">
        <f t="shared" ca="1" si="44"/>
        <v>#REF!</v>
      </c>
      <c r="G851" s="61" t="e">
        <f t="shared" ca="1" si="63"/>
        <v>#REF!</v>
      </c>
      <c r="H851" s="88" t="e">
        <f t="shared" ca="1" si="45"/>
        <v>#REF!</v>
      </c>
      <c r="I851" s="61" t="e">
        <f t="shared" ca="1" si="46"/>
        <v>#REF!</v>
      </c>
      <c r="J851" s="87"/>
      <c r="K851" s="62" t="e">
        <f t="shared" ca="1" si="47"/>
        <v>#REF!</v>
      </c>
      <c r="L851" s="62"/>
      <c r="M851" s="62" t="e">
        <f t="shared" ca="1" si="48"/>
        <v>#REF!</v>
      </c>
      <c r="N851" s="62" t="e">
        <f t="shared" ca="1" si="49"/>
        <v>#REF!</v>
      </c>
      <c r="O851" s="48" t="e">
        <f t="shared" ca="1" si="50"/>
        <v>#REF!</v>
      </c>
      <c r="P851" s="48" t="e">
        <f t="shared" ca="1" si="51"/>
        <v>#REF!</v>
      </c>
      <c r="Q851" s="48" t="e">
        <f t="shared" ca="1" si="52"/>
        <v>#REF!</v>
      </c>
      <c r="R851" s="48"/>
      <c r="S851" s="48" t="e">
        <f t="shared" ca="1" si="53"/>
        <v>#REF!</v>
      </c>
      <c r="T851" s="48" t="e">
        <f t="shared" ca="1" si="54"/>
        <v>#REF!</v>
      </c>
      <c r="U851" s="48" t="e">
        <f t="shared" ca="1" si="55"/>
        <v>#REF!</v>
      </c>
      <c r="V851" s="48"/>
      <c r="W851" s="48"/>
      <c r="X851" s="48"/>
      <c r="Y851" s="48"/>
      <c r="Z851" s="61"/>
      <c r="AA851" s="48" t="e">
        <f t="shared" ca="1" si="64"/>
        <v>#REF!</v>
      </c>
      <c r="AB851" s="48" t="e">
        <f t="shared" ca="1" si="65"/>
        <v>#REF!</v>
      </c>
      <c r="AC851" s="48" t="e">
        <f t="shared" ca="1" si="66"/>
        <v>#REF!</v>
      </c>
      <c r="AD851" s="48" t="e">
        <f t="shared" ca="1" si="67"/>
        <v>#REF!</v>
      </c>
      <c r="AE851" s="48" t="e">
        <f t="shared" ca="1" si="68"/>
        <v>#REF!</v>
      </c>
      <c r="AF851" s="48" t="e">
        <f t="shared" ca="1" si="69"/>
        <v>#REF!</v>
      </c>
      <c r="AG851" s="48" t="e">
        <f t="shared" ca="1" si="70"/>
        <v>#REF!</v>
      </c>
      <c r="AH851" s="48" t="e">
        <f t="shared" ca="1" si="71"/>
        <v>#REF!</v>
      </c>
      <c r="AI851" s="48" t="e">
        <f t="shared" ca="1" si="72"/>
        <v>#REF!</v>
      </c>
      <c r="AJ851" s="48" t="e">
        <f t="shared" ca="1" si="73"/>
        <v>#REF!</v>
      </c>
      <c r="AK851" s="48" t="e">
        <f t="shared" ca="1" si="74"/>
        <v>#REF!</v>
      </c>
      <c r="AL851" s="48" t="e">
        <f t="shared" ca="1" si="75"/>
        <v>#REF!</v>
      </c>
      <c r="AM851" s="48" t="e">
        <f t="shared" ca="1" si="76"/>
        <v>#REF!</v>
      </c>
      <c r="AN851" s="48" t="e">
        <f t="shared" ca="1" si="77"/>
        <v>#REF!</v>
      </c>
      <c r="AO851" s="48" t="e">
        <f t="shared" ca="1" si="78"/>
        <v>#REF!</v>
      </c>
      <c r="AP851" s="48" t="e">
        <f t="shared" ca="1" si="79"/>
        <v>#REF!</v>
      </c>
      <c r="AQ851" s="48" t="e">
        <f t="shared" ca="1" si="80"/>
        <v>#REF!</v>
      </c>
      <c r="AR851" s="48" t="e">
        <f t="shared" ca="1" si="81"/>
        <v>#REF!</v>
      </c>
      <c r="AS851" s="48" t="e">
        <f t="shared" ca="1" si="82"/>
        <v>#REF!</v>
      </c>
      <c r="AT851" s="48" t="e">
        <f t="shared" ca="1" si="83"/>
        <v>#REF!</v>
      </c>
      <c r="AU851" s="93" t="e">
        <f t="shared" ca="1" si="56"/>
        <v>#REF!</v>
      </c>
      <c r="AV851" s="93" t="e">
        <f t="shared" ca="1" si="58"/>
        <v>#REF!</v>
      </c>
      <c r="AW851" s="93" t="e">
        <f t="shared" ca="1" si="59"/>
        <v>#REF!</v>
      </c>
      <c r="AX851" s="93" t="e">
        <f t="shared" ca="1" si="60"/>
        <v>#REF!</v>
      </c>
      <c r="AY851" s="93" t="e">
        <f t="shared" ca="1" si="61"/>
        <v>#REF!</v>
      </c>
    </row>
    <row r="852" spans="1:51" ht="16.5" customHeight="1" x14ac:dyDescent="0.15">
      <c r="A852" s="121" t="s">
        <v>8025</v>
      </c>
      <c r="B852" s="47" t="s">
        <v>8026</v>
      </c>
      <c r="C852" s="48" t="e">
        <f t="shared" ca="1" si="41"/>
        <v>#REF!</v>
      </c>
      <c r="D852" s="62" t="e">
        <f t="shared" ca="1" si="42"/>
        <v>#REF!</v>
      </c>
      <c r="E852" s="48" t="e">
        <f t="shared" ca="1" si="43"/>
        <v>#REF!</v>
      </c>
      <c r="F852" s="61" t="e">
        <f t="shared" ca="1" si="44"/>
        <v>#REF!</v>
      </c>
      <c r="G852" s="61" t="e">
        <f t="shared" ca="1" si="63"/>
        <v>#REF!</v>
      </c>
      <c r="H852" s="88" t="e">
        <f t="shared" ca="1" si="45"/>
        <v>#REF!</v>
      </c>
      <c r="I852" s="61" t="e">
        <f t="shared" ca="1" si="46"/>
        <v>#REF!</v>
      </c>
      <c r="J852" s="87"/>
      <c r="K852" s="62" t="e">
        <f t="shared" ca="1" si="47"/>
        <v>#REF!</v>
      </c>
      <c r="L852" s="62"/>
      <c r="M852" s="62" t="e">
        <f t="shared" ca="1" si="48"/>
        <v>#REF!</v>
      </c>
      <c r="N852" s="62" t="e">
        <f t="shared" ca="1" si="49"/>
        <v>#REF!</v>
      </c>
      <c r="O852" s="48" t="e">
        <f t="shared" ca="1" si="50"/>
        <v>#REF!</v>
      </c>
      <c r="P852" s="48" t="e">
        <f t="shared" ca="1" si="51"/>
        <v>#REF!</v>
      </c>
      <c r="Q852" s="48" t="e">
        <f t="shared" ca="1" si="52"/>
        <v>#REF!</v>
      </c>
      <c r="R852" s="48"/>
      <c r="S852" s="48" t="e">
        <f t="shared" ca="1" si="53"/>
        <v>#REF!</v>
      </c>
      <c r="T852" s="48" t="e">
        <f t="shared" ca="1" si="54"/>
        <v>#REF!</v>
      </c>
      <c r="U852" s="48" t="e">
        <f t="shared" ca="1" si="55"/>
        <v>#REF!</v>
      </c>
      <c r="V852" s="48"/>
      <c r="W852" s="48"/>
      <c r="X852" s="48"/>
      <c r="Y852" s="48"/>
      <c r="Z852" s="61"/>
      <c r="AA852" s="48" t="e">
        <f t="shared" ca="1" si="64"/>
        <v>#REF!</v>
      </c>
      <c r="AB852" s="48" t="e">
        <f t="shared" ca="1" si="65"/>
        <v>#REF!</v>
      </c>
      <c r="AC852" s="48" t="e">
        <f t="shared" ca="1" si="66"/>
        <v>#REF!</v>
      </c>
      <c r="AD852" s="48" t="e">
        <f t="shared" ca="1" si="67"/>
        <v>#REF!</v>
      </c>
      <c r="AE852" s="48" t="e">
        <f t="shared" ca="1" si="68"/>
        <v>#REF!</v>
      </c>
      <c r="AF852" s="48" t="e">
        <f t="shared" ca="1" si="69"/>
        <v>#REF!</v>
      </c>
      <c r="AG852" s="48" t="e">
        <f t="shared" ca="1" si="70"/>
        <v>#REF!</v>
      </c>
      <c r="AH852" s="48" t="e">
        <f t="shared" ca="1" si="71"/>
        <v>#REF!</v>
      </c>
      <c r="AI852" s="48" t="e">
        <f t="shared" ca="1" si="72"/>
        <v>#REF!</v>
      </c>
      <c r="AJ852" s="48" t="e">
        <f t="shared" ca="1" si="73"/>
        <v>#REF!</v>
      </c>
      <c r="AK852" s="48" t="e">
        <f t="shared" ca="1" si="74"/>
        <v>#REF!</v>
      </c>
      <c r="AL852" s="48" t="e">
        <f t="shared" ca="1" si="75"/>
        <v>#REF!</v>
      </c>
      <c r="AM852" s="48" t="e">
        <f t="shared" ca="1" si="76"/>
        <v>#REF!</v>
      </c>
      <c r="AN852" s="48" t="e">
        <f t="shared" ca="1" si="77"/>
        <v>#REF!</v>
      </c>
      <c r="AO852" s="48" t="e">
        <f t="shared" ca="1" si="78"/>
        <v>#REF!</v>
      </c>
      <c r="AP852" s="48" t="e">
        <f t="shared" ca="1" si="79"/>
        <v>#REF!</v>
      </c>
      <c r="AQ852" s="48" t="e">
        <f t="shared" ca="1" si="80"/>
        <v>#REF!</v>
      </c>
      <c r="AR852" s="48" t="e">
        <f t="shared" ca="1" si="81"/>
        <v>#REF!</v>
      </c>
      <c r="AS852" s="48" t="e">
        <f t="shared" ca="1" si="82"/>
        <v>#REF!</v>
      </c>
      <c r="AT852" s="48" t="e">
        <f t="shared" ca="1" si="83"/>
        <v>#REF!</v>
      </c>
      <c r="AU852" s="93" t="e">
        <f t="shared" ca="1" si="56"/>
        <v>#REF!</v>
      </c>
      <c r="AV852" s="93" t="e">
        <f t="shared" ca="1" si="58"/>
        <v>#REF!</v>
      </c>
      <c r="AW852" s="93" t="e">
        <f t="shared" ca="1" si="59"/>
        <v>#REF!</v>
      </c>
      <c r="AX852" s="93" t="e">
        <f t="shared" ca="1" si="60"/>
        <v>#REF!</v>
      </c>
      <c r="AY852" s="93" t="e">
        <f t="shared" ca="1" si="61"/>
        <v>#REF!</v>
      </c>
    </row>
    <row r="853" spans="1:51" ht="16.5" customHeight="1" x14ac:dyDescent="0.15">
      <c r="A853" s="121" t="s">
        <v>8027</v>
      </c>
      <c r="B853" s="47" t="s">
        <v>8028</v>
      </c>
      <c r="C853" s="48" t="e">
        <f t="shared" ca="1" si="41"/>
        <v>#REF!</v>
      </c>
      <c r="D853" s="62" t="e">
        <f t="shared" ca="1" si="42"/>
        <v>#REF!</v>
      </c>
      <c r="E853" s="48" t="e">
        <f t="shared" ca="1" si="43"/>
        <v>#REF!</v>
      </c>
      <c r="F853" s="61" t="e">
        <f t="shared" ca="1" si="44"/>
        <v>#REF!</v>
      </c>
      <c r="G853" s="61" t="e">
        <f t="shared" ca="1" si="63"/>
        <v>#REF!</v>
      </c>
      <c r="H853" s="88" t="e">
        <f t="shared" ca="1" si="45"/>
        <v>#REF!</v>
      </c>
      <c r="I853" s="61" t="e">
        <f t="shared" ca="1" si="46"/>
        <v>#REF!</v>
      </c>
      <c r="J853" s="87"/>
      <c r="K853" s="62" t="e">
        <f t="shared" ca="1" si="47"/>
        <v>#REF!</v>
      </c>
      <c r="L853" s="62"/>
      <c r="M853" s="62" t="e">
        <f t="shared" ca="1" si="48"/>
        <v>#REF!</v>
      </c>
      <c r="N853" s="62" t="e">
        <f t="shared" ca="1" si="49"/>
        <v>#REF!</v>
      </c>
      <c r="O853" s="48" t="e">
        <f t="shared" ca="1" si="50"/>
        <v>#REF!</v>
      </c>
      <c r="P853" s="48" t="e">
        <f t="shared" ca="1" si="51"/>
        <v>#REF!</v>
      </c>
      <c r="Q853" s="48" t="e">
        <f t="shared" ca="1" si="52"/>
        <v>#REF!</v>
      </c>
      <c r="R853" s="48"/>
      <c r="S853" s="48" t="e">
        <f t="shared" ca="1" si="53"/>
        <v>#REF!</v>
      </c>
      <c r="T853" s="48" t="e">
        <f t="shared" ca="1" si="54"/>
        <v>#REF!</v>
      </c>
      <c r="U853" s="48" t="e">
        <f t="shared" ca="1" si="55"/>
        <v>#REF!</v>
      </c>
      <c r="V853" s="48"/>
      <c r="W853" s="48"/>
      <c r="X853" s="48"/>
      <c r="Y853" s="48"/>
      <c r="Z853" s="61"/>
      <c r="AA853" s="48" t="e">
        <f t="shared" ca="1" si="64"/>
        <v>#REF!</v>
      </c>
      <c r="AB853" s="48" t="e">
        <f t="shared" ca="1" si="65"/>
        <v>#REF!</v>
      </c>
      <c r="AC853" s="48" t="e">
        <f t="shared" ca="1" si="66"/>
        <v>#REF!</v>
      </c>
      <c r="AD853" s="48" t="e">
        <f t="shared" ca="1" si="67"/>
        <v>#REF!</v>
      </c>
      <c r="AE853" s="48" t="e">
        <f t="shared" ca="1" si="68"/>
        <v>#REF!</v>
      </c>
      <c r="AF853" s="48" t="e">
        <f t="shared" ca="1" si="69"/>
        <v>#REF!</v>
      </c>
      <c r="AG853" s="48" t="e">
        <f t="shared" ca="1" si="70"/>
        <v>#REF!</v>
      </c>
      <c r="AH853" s="48" t="e">
        <f t="shared" ca="1" si="71"/>
        <v>#REF!</v>
      </c>
      <c r="AI853" s="48" t="e">
        <f t="shared" ca="1" si="72"/>
        <v>#REF!</v>
      </c>
      <c r="AJ853" s="48" t="e">
        <f t="shared" ca="1" si="73"/>
        <v>#REF!</v>
      </c>
      <c r="AK853" s="48" t="e">
        <f t="shared" ca="1" si="74"/>
        <v>#REF!</v>
      </c>
      <c r="AL853" s="48" t="e">
        <f t="shared" ca="1" si="75"/>
        <v>#REF!</v>
      </c>
      <c r="AM853" s="48" t="e">
        <f t="shared" ca="1" si="76"/>
        <v>#REF!</v>
      </c>
      <c r="AN853" s="48" t="e">
        <f t="shared" ca="1" si="77"/>
        <v>#REF!</v>
      </c>
      <c r="AO853" s="48" t="e">
        <f t="shared" ca="1" si="78"/>
        <v>#REF!</v>
      </c>
      <c r="AP853" s="48" t="e">
        <f t="shared" ca="1" si="79"/>
        <v>#REF!</v>
      </c>
      <c r="AQ853" s="48" t="e">
        <f t="shared" ca="1" si="80"/>
        <v>#REF!</v>
      </c>
      <c r="AR853" s="48" t="e">
        <f t="shared" ca="1" si="81"/>
        <v>#REF!</v>
      </c>
      <c r="AS853" s="48" t="e">
        <f t="shared" ca="1" si="82"/>
        <v>#REF!</v>
      </c>
      <c r="AT853" s="48" t="e">
        <f t="shared" ca="1" si="83"/>
        <v>#REF!</v>
      </c>
      <c r="AU853" s="93" t="e">
        <f t="shared" ca="1" si="56"/>
        <v>#REF!</v>
      </c>
      <c r="AV853" s="93" t="e">
        <f t="shared" ca="1" si="58"/>
        <v>#REF!</v>
      </c>
      <c r="AW853" s="93" t="e">
        <f t="shared" ca="1" si="59"/>
        <v>#REF!</v>
      </c>
      <c r="AX853" s="93" t="e">
        <f t="shared" ca="1" si="60"/>
        <v>#REF!</v>
      </c>
      <c r="AY853" s="93" t="e">
        <f t="shared" ca="1" si="61"/>
        <v>#REF!</v>
      </c>
    </row>
    <row r="854" spans="1:51" ht="16.5" customHeight="1" x14ac:dyDescent="0.15">
      <c r="A854" s="121" t="s">
        <v>8029</v>
      </c>
      <c r="B854" s="47" t="s">
        <v>8030</v>
      </c>
      <c r="C854" s="48" t="e">
        <f t="shared" ca="1" si="41"/>
        <v>#REF!</v>
      </c>
      <c r="D854" s="62" t="e">
        <f t="shared" ca="1" si="42"/>
        <v>#REF!</v>
      </c>
      <c r="E854" s="48" t="e">
        <f t="shared" ca="1" si="43"/>
        <v>#REF!</v>
      </c>
      <c r="F854" s="61" t="e">
        <f t="shared" ca="1" si="44"/>
        <v>#REF!</v>
      </c>
      <c r="G854" s="61" t="e">
        <f t="shared" ca="1" si="63"/>
        <v>#REF!</v>
      </c>
      <c r="H854" s="88" t="e">
        <f t="shared" ca="1" si="45"/>
        <v>#REF!</v>
      </c>
      <c r="I854" s="61" t="e">
        <f t="shared" ca="1" si="46"/>
        <v>#REF!</v>
      </c>
      <c r="J854" s="87"/>
      <c r="K854" s="62" t="e">
        <f t="shared" ca="1" si="47"/>
        <v>#REF!</v>
      </c>
      <c r="L854" s="62"/>
      <c r="M854" s="62" t="e">
        <f t="shared" ca="1" si="48"/>
        <v>#REF!</v>
      </c>
      <c r="N854" s="62" t="e">
        <f t="shared" ca="1" si="49"/>
        <v>#REF!</v>
      </c>
      <c r="O854" s="48" t="e">
        <f t="shared" ca="1" si="50"/>
        <v>#REF!</v>
      </c>
      <c r="P854" s="48" t="e">
        <f t="shared" ca="1" si="51"/>
        <v>#REF!</v>
      </c>
      <c r="Q854" s="48" t="e">
        <f t="shared" ca="1" si="52"/>
        <v>#REF!</v>
      </c>
      <c r="R854" s="48"/>
      <c r="S854" s="48" t="e">
        <f t="shared" ca="1" si="53"/>
        <v>#REF!</v>
      </c>
      <c r="T854" s="48" t="e">
        <f t="shared" ca="1" si="54"/>
        <v>#REF!</v>
      </c>
      <c r="U854" s="48" t="e">
        <f t="shared" ca="1" si="55"/>
        <v>#REF!</v>
      </c>
      <c r="V854" s="48"/>
      <c r="W854" s="48"/>
      <c r="X854" s="48"/>
      <c r="Y854" s="48"/>
      <c r="Z854" s="61"/>
      <c r="AA854" s="48" t="e">
        <f t="shared" ca="1" si="64"/>
        <v>#REF!</v>
      </c>
      <c r="AB854" s="48" t="e">
        <f t="shared" ca="1" si="65"/>
        <v>#REF!</v>
      </c>
      <c r="AC854" s="48" t="e">
        <f t="shared" ca="1" si="66"/>
        <v>#REF!</v>
      </c>
      <c r="AD854" s="48" t="e">
        <f t="shared" ca="1" si="67"/>
        <v>#REF!</v>
      </c>
      <c r="AE854" s="48" t="e">
        <f t="shared" ca="1" si="68"/>
        <v>#REF!</v>
      </c>
      <c r="AF854" s="48" t="e">
        <f t="shared" ca="1" si="69"/>
        <v>#REF!</v>
      </c>
      <c r="AG854" s="48" t="e">
        <f t="shared" ca="1" si="70"/>
        <v>#REF!</v>
      </c>
      <c r="AH854" s="48" t="e">
        <f t="shared" ca="1" si="71"/>
        <v>#REF!</v>
      </c>
      <c r="AI854" s="48" t="e">
        <f t="shared" ca="1" si="72"/>
        <v>#REF!</v>
      </c>
      <c r="AJ854" s="48" t="e">
        <f t="shared" ca="1" si="73"/>
        <v>#REF!</v>
      </c>
      <c r="AK854" s="48" t="e">
        <f t="shared" ca="1" si="74"/>
        <v>#REF!</v>
      </c>
      <c r="AL854" s="48" t="e">
        <f t="shared" ca="1" si="75"/>
        <v>#REF!</v>
      </c>
      <c r="AM854" s="48" t="e">
        <f t="shared" ca="1" si="76"/>
        <v>#REF!</v>
      </c>
      <c r="AN854" s="48" t="e">
        <f t="shared" ca="1" si="77"/>
        <v>#REF!</v>
      </c>
      <c r="AO854" s="48" t="e">
        <f t="shared" ca="1" si="78"/>
        <v>#REF!</v>
      </c>
      <c r="AP854" s="48" t="e">
        <f t="shared" ca="1" si="79"/>
        <v>#REF!</v>
      </c>
      <c r="AQ854" s="48" t="e">
        <f t="shared" ca="1" si="80"/>
        <v>#REF!</v>
      </c>
      <c r="AR854" s="48" t="e">
        <f t="shared" ca="1" si="81"/>
        <v>#REF!</v>
      </c>
      <c r="AS854" s="48" t="e">
        <f t="shared" ca="1" si="82"/>
        <v>#REF!</v>
      </c>
      <c r="AT854" s="48" t="e">
        <f t="shared" ca="1" si="83"/>
        <v>#REF!</v>
      </c>
      <c r="AU854" s="93" t="e">
        <f t="shared" ca="1" si="56"/>
        <v>#REF!</v>
      </c>
      <c r="AV854" s="93" t="e">
        <f t="shared" ca="1" si="58"/>
        <v>#REF!</v>
      </c>
      <c r="AW854" s="93" t="e">
        <f t="shared" ca="1" si="59"/>
        <v>#REF!</v>
      </c>
      <c r="AX854" s="93" t="e">
        <f t="shared" ca="1" si="60"/>
        <v>#REF!</v>
      </c>
      <c r="AY854" s="93" t="e">
        <f t="shared" ca="1" si="61"/>
        <v>#REF!</v>
      </c>
    </row>
    <row r="855" spans="1:51" ht="16.5" customHeight="1" x14ac:dyDescent="0.15">
      <c r="A855" s="121" t="s">
        <v>8031</v>
      </c>
      <c r="B855" s="47" t="s">
        <v>8032</v>
      </c>
      <c r="C855" s="48" t="e">
        <f t="shared" ca="1" si="41"/>
        <v>#REF!</v>
      </c>
      <c r="D855" s="62" t="e">
        <f t="shared" ca="1" si="42"/>
        <v>#REF!</v>
      </c>
      <c r="E855" s="48" t="e">
        <f t="shared" ca="1" si="43"/>
        <v>#REF!</v>
      </c>
      <c r="F855" s="61" t="e">
        <f t="shared" ca="1" si="44"/>
        <v>#REF!</v>
      </c>
      <c r="G855" s="61" t="e">
        <f t="shared" ca="1" si="63"/>
        <v>#REF!</v>
      </c>
      <c r="H855" s="88" t="e">
        <f t="shared" ca="1" si="45"/>
        <v>#REF!</v>
      </c>
      <c r="I855" s="61" t="e">
        <f t="shared" ca="1" si="46"/>
        <v>#REF!</v>
      </c>
      <c r="J855" s="87"/>
      <c r="K855" s="62" t="e">
        <f t="shared" ca="1" si="47"/>
        <v>#REF!</v>
      </c>
      <c r="L855" s="62"/>
      <c r="M855" s="62" t="e">
        <f t="shared" ca="1" si="48"/>
        <v>#REF!</v>
      </c>
      <c r="N855" s="62" t="e">
        <f t="shared" ca="1" si="49"/>
        <v>#REF!</v>
      </c>
      <c r="O855" s="48" t="e">
        <f t="shared" ca="1" si="50"/>
        <v>#REF!</v>
      </c>
      <c r="P855" s="48" t="e">
        <f t="shared" ca="1" si="51"/>
        <v>#REF!</v>
      </c>
      <c r="Q855" s="48" t="e">
        <f t="shared" ca="1" si="52"/>
        <v>#REF!</v>
      </c>
      <c r="R855" s="48"/>
      <c r="S855" s="48" t="e">
        <f t="shared" ca="1" si="53"/>
        <v>#REF!</v>
      </c>
      <c r="T855" s="48" t="e">
        <f t="shared" ca="1" si="54"/>
        <v>#REF!</v>
      </c>
      <c r="U855" s="48" t="e">
        <f t="shared" ca="1" si="55"/>
        <v>#REF!</v>
      </c>
      <c r="V855" s="48"/>
      <c r="W855" s="48"/>
      <c r="X855" s="48"/>
      <c r="Y855" s="48"/>
      <c r="Z855" s="61"/>
      <c r="AA855" s="48" t="e">
        <f t="shared" ca="1" si="64"/>
        <v>#REF!</v>
      </c>
      <c r="AB855" s="48" t="e">
        <f t="shared" ca="1" si="65"/>
        <v>#REF!</v>
      </c>
      <c r="AC855" s="48" t="e">
        <f t="shared" ca="1" si="66"/>
        <v>#REF!</v>
      </c>
      <c r="AD855" s="48" t="e">
        <f t="shared" ca="1" si="67"/>
        <v>#REF!</v>
      </c>
      <c r="AE855" s="48" t="e">
        <f t="shared" ca="1" si="68"/>
        <v>#REF!</v>
      </c>
      <c r="AF855" s="48" t="e">
        <f t="shared" ca="1" si="69"/>
        <v>#REF!</v>
      </c>
      <c r="AG855" s="48" t="e">
        <f t="shared" ca="1" si="70"/>
        <v>#REF!</v>
      </c>
      <c r="AH855" s="48" t="e">
        <f t="shared" ca="1" si="71"/>
        <v>#REF!</v>
      </c>
      <c r="AI855" s="48" t="e">
        <f t="shared" ca="1" si="72"/>
        <v>#REF!</v>
      </c>
      <c r="AJ855" s="48" t="e">
        <f t="shared" ca="1" si="73"/>
        <v>#REF!</v>
      </c>
      <c r="AK855" s="48" t="e">
        <f t="shared" ca="1" si="74"/>
        <v>#REF!</v>
      </c>
      <c r="AL855" s="48" t="e">
        <f t="shared" ca="1" si="75"/>
        <v>#REF!</v>
      </c>
      <c r="AM855" s="48" t="e">
        <f t="shared" ca="1" si="76"/>
        <v>#REF!</v>
      </c>
      <c r="AN855" s="48" t="e">
        <f t="shared" ca="1" si="77"/>
        <v>#REF!</v>
      </c>
      <c r="AO855" s="48" t="e">
        <f t="shared" ca="1" si="78"/>
        <v>#REF!</v>
      </c>
      <c r="AP855" s="48" t="e">
        <f t="shared" ca="1" si="79"/>
        <v>#REF!</v>
      </c>
      <c r="AQ855" s="48" t="e">
        <f t="shared" ca="1" si="80"/>
        <v>#REF!</v>
      </c>
      <c r="AR855" s="48" t="e">
        <f t="shared" ca="1" si="81"/>
        <v>#REF!</v>
      </c>
      <c r="AS855" s="48" t="e">
        <f t="shared" ca="1" si="82"/>
        <v>#REF!</v>
      </c>
      <c r="AT855" s="48" t="e">
        <f t="shared" ca="1" si="83"/>
        <v>#REF!</v>
      </c>
      <c r="AU855" s="93" t="e">
        <f t="shared" ca="1" si="56"/>
        <v>#REF!</v>
      </c>
      <c r="AV855" s="93" t="e">
        <f t="shared" ca="1" si="58"/>
        <v>#REF!</v>
      </c>
      <c r="AW855" s="93" t="e">
        <f t="shared" ca="1" si="59"/>
        <v>#REF!</v>
      </c>
      <c r="AX855" s="93" t="e">
        <f t="shared" ca="1" si="60"/>
        <v>#REF!</v>
      </c>
      <c r="AY855" s="93" t="e">
        <f t="shared" ca="1" si="61"/>
        <v>#REF!</v>
      </c>
    </row>
    <row r="856" spans="1:51" ht="16.5" customHeight="1" x14ac:dyDescent="0.15">
      <c r="A856" s="121" t="s">
        <v>8033</v>
      </c>
      <c r="B856" s="47" t="s">
        <v>8034</v>
      </c>
      <c r="C856" s="48" t="e">
        <f t="shared" ca="1" si="41"/>
        <v>#REF!</v>
      </c>
      <c r="D856" s="62" t="e">
        <f t="shared" ca="1" si="42"/>
        <v>#REF!</v>
      </c>
      <c r="E856" s="48" t="e">
        <f t="shared" ca="1" si="43"/>
        <v>#REF!</v>
      </c>
      <c r="F856" s="61" t="e">
        <f t="shared" ca="1" si="44"/>
        <v>#REF!</v>
      </c>
      <c r="G856" s="61" t="e">
        <f t="shared" ca="1" si="63"/>
        <v>#REF!</v>
      </c>
      <c r="H856" s="88" t="e">
        <f t="shared" ca="1" si="45"/>
        <v>#REF!</v>
      </c>
      <c r="I856" s="61" t="e">
        <f t="shared" ca="1" si="46"/>
        <v>#REF!</v>
      </c>
      <c r="J856" s="87"/>
      <c r="K856" s="62" t="e">
        <f t="shared" ca="1" si="47"/>
        <v>#REF!</v>
      </c>
      <c r="L856" s="62"/>
      <c r="M856" s="62" t="e">
        <f t="shared" ca="1" si="48"/>
        <v>#REF!</v>
      </c>
      <c r="N856" s="62" t="e">
        <f t="shared" ca="1" si="49"/>
        <v>#REF!</v>
      </c>
      <c r="O856" s="48" t="e">
        <f t="shared" ca="1" si="50"/>
        <v>#REF!</v>
      </c>
      <c r="P856" s="48" t="e">
        <f t="shared" ca="1" si="51"/>
        <v>#REF!</v>
      </c>
      <c r="Q856" s="48" t="e">
        <f t="shared" ca="1" si="52"/>
        <v>#REF!</v>
      </c>
      <c r="R856" s="48"/>
      <c r="S856" s="48" t="e">
        <f t="shared" ca="1" si="53"/>
        <v>#REF!</v>
      </c>
      <c r="T856" s="48" t="e">
        <f t="shared" ca="1" si="54"/>
        <v>#REF!</v>
      </c>
      <c r="U856" s="48" t="e">
        <f t="shared" ca="1" si="55"/>
        <v>#REF!</v>
      </c>
      <c r="V856" s="48"/>
      <c r="W856" s="48"/>
      <c r="X856" s="48"/>
      <c r="Y856" s="48"/>
      <c r="Z856" s="61"/>
      <c r="AA856" s="48" t="e">
        <f t="shared" ca="1" si="64"/>
        <v>#REF!</v>
      </c>
      <c r="AB856" s="48" t="e">
        <f t="shared" ca="1" si="65"/>
        <v>#REF!</v>
      </c>
      <c r="AC856" s="48" t="e">
        <f t="shared" ca="1" si="66"/>
        <v>#REF!</v>
      </c>
      <c r="AD856" s="48" t="e">
        <f t="shared" ca="1" si="67"/>
        <v>#REF!</v>
      </c>
      <c r="AE856" s="48" t="e">
        <f t="shared" ca="1" si="68"/>
        <v>#REF!</v>
      </c>
      <c r="AF856" s="48" t="e">
        <f t="shared" ca="1" si="69"/>
        <v>#REF!</v>
      </c>
      <c r="AG856" s="48" t="e">
        <f t="shared" ca="1" si="70"/>
        <v>#REF!</v>
      </c>
      <c r="AH856" s="48" t="e">
        <f t="shared" ca="1" si="71"/>
        <v>#REF!</v>
      </c>
      <c r="AI856" s="48" t="e">
        <f t="shared" ca="1" si="72"/>
        <v>#REF!</v>
      </c>
      <c r="AJ856" s="48" t="e">
        <f t="shared" ca="1" si="73"/>
        <v>#REF!</v>
      </c>
      <c r="AK856" s="48" t="e">
        <f t="shared" ca="1" si="74"/>
        <v>#REF!</v>
      </c>
      <c r="AL856" s="48" t="e">
        <f t="shared" ca="1" si="75"/>
        <v>#REF!</v>
      </c>
      <c r="AM856" s="48" t="e">
        <f t="shared" ca="1" si="76"/>
        <v>#REF!</v>
      </c>
      <c r="AN856" s="48" t="e">
        <f t="shared" ca="1" si="77"/>
        <v>#REF!</v>
      </c>
      <c r="AO856" s="48" t="e">
        <f t="shared" ca="1" si="78"/>
        <v>#REF!</v>
      </c>
      <c r="AP856" s="48" t="e">
        <f t="shared" ca="1" si="79"/>
        <v>#REF!</v>
      </c>
      <c r="AQ856" s="48" t="e">
        <f t="shared" ca="1" si="80"/>
        <v>#REF!</v>
      </c>
      <c r="AR856" s="48" t="e">
        <f t="shared" ca="1" si="81"/>
        <v>#REF!</v>
      </c>
      <c r="AS856" s="48" t="e">
        <f t="shared" ca="1" si="82"/>
        <v>#REF!</v>
      </c>
      <c r="AT856" s="48" t="e">
        <f t="shared" ca="1" si="83"/>
        <v>#REF!</v>
      </c>
      <c r="AU856" s="93" t="e">
        <f t="shared" ca="1" si="56"/>
        <v>#REF!</v>
      </c>
      <c r="AV856" s="93" t="e">
        <f t="shared" ca="1" si="58"/>
        <v>#REF!</v>
      </c>
      <c r="AW856" s="93" t="e">
        <f t="shared" ca="1" si="59"/>
        <v>#REF!</v>
      </c>
      <c r="AX856" s="93" t="e">
        <f t="shared" ca="1" si="60"/>
        <v>#REF!</v>
      </c>
      <c r="AY856" s="93" t="e">
        <f t="shared" ca="1" si="61"/>
        <v>#REF!</v>
      </c>
    </row>
    <row r="857" spans="1:51" ht="16.5" customHeight="1" x14ac:dyDescent="0.15">
      <c r="A857" s="121" t="s">
        <v>8035</v>
      </c>
      <c r="B857" s="47" t="s">
        <v>8036</v>
      </c>
      <c r="C857" s="48" t="e">
        <f t="shared" ca="1" si="41"/>
        <v>#REF!</v>
      </c>
      <c r="D857" s="62" t="e">
        <f t="shared" ca="1" si="42"/>
        <v>#REF!</v>
      </c>
      <c r="E857" s="48" t="e">
        <f t="shared" ca="1" si="43"/>
        <v>#REF!</v>
      </c>
      <c r="F857" s="61" t="e">
        <f t="shared" ca="1" si="44"/>
        <v>#REF!</v>
      </c>
      <c r="G857" s="61" t="e">
        <f t="shared" ca="1" si="63"/>
        <v>#REF!</v>
      </c>
      <c r="H857" s="88" t="e">
        <f t="shared" ca="1" si="45"/>
        <v>#REF!</v>
      </c>
      <c r="I857" s="61" t="e">
        <f t="shared" ca="1" si="46"/>
        <v>#REF!</v>
      </c>
      <c r="J857" s="87"/>
      <c r="K857" s="62" t="e">
        <f t="shared" ca="1" si="47"/>
        <v>#REF!</v>
      </c>
      <c r="L857" s="62"/>
      <c r="M857" s="62" t="e">
        <f t="shared" ca="1" si="48"/>
        <v>#REF!</v>
      </c>
      <c r="N857" s="62" t="e">
        <f t="shared" ca="1" si="49"/>
        <v>#REF!</v>
      </c>
      <c r="O857" s="48" t="e">
        <f t="shared" ca="1" si="50"/>
        <v>#REF!</v>
      </c>
      <c r="P857" s="48" t="e">
        <f t="shared" ca="1" si="51"/>
        <v>#REF!</v>
      </c>
      <c r="Q857" s="48" t="e">
        <f t="shared" ca="1" si="52"/>
        <v>#REF!</v>
      </c>
      <c r="R857" s="48"/>
      <c r="S857" s="48" t="e">
        <f t="shared" ca="1" si="53"/>
        <v>#REF!</v>
      </c>
      <c r="T857" s="48" t="e">
        <f t="shared" ca="1" si="54"/>
        <v>#REF!</v>
      </c>
      <c r="U857" s="48" t="e">
        <f t="shared" ca="1" si="55"/>
        <v>#REF!</v>
      </c>
      <c r="V857" s="48"/>
      <c r="W857" s="48"/>
      <c r="X857" s="48"/>
      <c r="Y857" s="48"/>
      <c r="Z857" s="61"/>
      <c r="AA857" s="48" t="e">
        <f t="shared" ca="1" si="64"/>
        <v>#REF!</v>
      </c>
      <c r="AB857" s="48" t="e">
        <f t="shared" ca="1" si="65"/>
        <v>#REF!</v>
      </c>
      <c r="AC857" s="48" t="e">
        <f t="shared" ca="1" si="66"/>
        <v>#REF!</v>
      </c>
      <c r="AD857" s="48" t="e">
        <f t="shared" ca="1" si="67"/>
        <v>#REF!</v>
      </c>
      <c r="AE857" s="48" t="e">
        <f t="shared" ca="1" si="68"/>
        <v>#REF!</v>
      </c>
      <c r="AF857" s="48" t="e">
        <f t="shared" ca="1" si="69"/>
        <v>#REF!</v>
      </c>
      <c r="AG857" s="48" t="e">
        <f t="shared" ca="1" si="70"/>
        <v>#REF!</v>
      </c>
      <c r="AH857" s="48" t="e">
        <f t="shared" ca="1" si="71"/>
        <v>#REF!</v>
      </c>
      <c r="AI857" s="48" t="e">
        <f t="shared" ca="1" si="72"/>
        <v>#REF!</v>
      </c>
      <c r="AJ857" s="48" t="e">
        <f t="shared" ca="1" si="73"/>
        <v>#REF!</v>
      </c>
      <c r="AK857" s="48" t="e">
        <f t="shared" ca="1" si="74"/>
        <v>#REF!</v>
      </c>
      <c r="AL857" s="48" t="e">
        <f t="shared" ca="1" si="75"/>
        <v>#REF!</v>
      </c>
      <c r="AM857" s="48" t="e">
        <f t="shared" ca="1" si="76"/>
        <v>#REF!</v>
      </c>
      <c r="AN857" s="48" t="e">
        <f t="shared" ca="1" si="77"/>
        <v>#REF!</v>
      </c>
      <c r="AO857" s="48" t="e">
        <f t="shared" ca="1" si="78"/>
        <v>#REF!</v>
      </c>
      <c r="AP857" s="48" t="e">
        <f t="shared" ca="1" si="79"/>
        <v>#REF!</v>
      </c>
      <c r="AQ857" s="48" t="e">
        <f t="shared" ca="1" si="80"/>
        <v>#REF!</v>
      </c>
      <c r="AR857" s="48" t="e">
        <f t="shared" ca="1" si="81"/>
        <v>#REF!</v>
      </c>
      <c r="AS857" s="48" t="e">
        <f t="shared" ca="1" si="82"/>
        <v>#REF!</v>
      </c>
      <c r="AT857" s="48" t="e">
        <f t="shared" ca="1" si="83"/>
        <v>#REF!</v>
      </c>
      <c r="AU857" s="93" t="e">
        <f t="shared" ca="1" si="56"/>
        <v>#REF!</v>
      </c>
      <c r="AV857" s="93" t="e">
        <f t="shared" ca="1" si="58"/>
        <v>#REF!</v>
      </c>
      <c r="AW857" s="93" t="e">
        <f t="shared" ca="1" si="59"/>
        <v>#REF!</v>
      </c>
      <c r="AX857" s="93" t="e">
        <f t="shared" ca="1" si="60"/>
        <v>#REF!</v>
      </c>
      <c r="AY857" s="93" t="e">
        <f t="shared" ca="1" si="61"/>
        <v>#REF!</v>
      </c>
    </row>
    <row r="858" spans="1:51" ht="16.5" customHeight="1" x14ac:dyDescent="0.15">
      <c r="A858" s="121" t="s">
        <v>8037</v>
      </c>
      <c r="B858" s="47" t="s">
        <v>8038</v>
      </c>
      <c r="C858" s="48" t="e">
        <f t="shared" ca="1" si="41"/>
        <v>#REF!</v>
      </c>
      <c r="D858" s="62" t="e">
        <f t="shared" ca="1" si="42"/>
        <v>#REF!</v>
      </c>
      <c r="E858" s="48" t="e">
        <f t="shared" ca="1" si="43"/>
        <v>#REF!</v>
      </c>
      <c r="F858" s="61" t="e">
        <f t="shared" ca="1" si="44"/>
        <v>#REF!</v>
      </c>
      <c r="G858" s="61" t="e">
        <f t="shared" ca="1" si="63"/>
        <v>#REF!</v>
      </c>
      <c r="H858" s="88" t="e">
        <f t="shared" ca="1" si="45"/>
        <v>#REF!</v>
      </c>
      <c r="I858" s="61" t="e">
        <f t="shared" ca="1" si="46"/>
        <v>#REF!</v>
      </c>
      <c r="J858" s="87"/>
      <c r="K858" s="62" t="e">
        <f t="shared" ca="1" si="47"/>
        <v>#REF!</v>
      </c>
      <c r="L858" s="62"/>
      <c r="M858" s="62" t="e">
        <f t="shared" ca="1" si="48"/>
        <v>#REF!</v>
      </c>
      <c r="N858" s="62" t="e">
        <f t="shared" ca="1" si="49"/>
        <v>#REF!</v>
      </c>
      <c r="O858" s="48" t="e">
        <f t="shared" ca="1" si="50"/>
        <v>#REF!</v>
      </c>
      <c r="P858" s="48" t="e">
        <f t="shared" ca="1" si="51"/>
        <v>#REF!</v>
      </c>
      <c r="Q858" s="48" t="e">
        <f t="shared" ca="1" si="52"/>
        <v>#REF!</v>
      </c>
      <c r="R858" s="48"/>
      <c r="S858" s="48" t="e">
        <f t="shared" ca="1" si="53"/>
        <v>#REF!</v>
      </c>
      <c r="T858" s="48" t="e">
        <f t="shared" ca="1" si="54"/>
        <v>#REF!</v>
      </c>
      <c r="U858" s="48" t="e">
        <f t="shared" ca="1" si="55"/>
        <v>#REF!</v>
      </c>
      <c r="V858" s="48"/>
      <c r="W858" s="48"/>
      <c r="X858" s="48"/>
      <c r="Y858" s="48"/>
      <c r="Z858" s="61"/>
      <c r="AA858" s="48" t="e">
        <f t="shared" ca="1" si="64"/>
        <v>#REF!</v>
      </c>
      <c r="AB858" s="48" t="e">
        <f t="shared" ca="1" si="65"/>
        <v>#REF!</v>
      </c>
      <c r="AC858" s="48" t="e">
        <f t="shared" ca="1" si="66"/>
        <v>#REF!</v>
      </c>
      <c r="AD858" s="48" t="e">
        <f t="shared" ca="1" si="67"/>
        <v>#REF!</v>
      </c>
      <c r="AE858" s="48" t="e">
        <f t="shared" ca="1" si="68"/>
        <v>#REF!</v>
      </c>
      <c r="AF858" s="48" t="e">
        <f t="shared" ca="1" si="69"/>
        <v>#REF!</v>
      </c>
      <c r="AG858" s="48" t="e">
        <f t="shared" ca="1" si="70"/>
        <v>#REF!</v>
      </c>
      <c r="AH858" s="48" t="e">
        <f t="shared" ca="1" si="71"/>
        <v>#REF!</v>
      </c>
      <c r="AI858" s="48" t="e">
        <f t="shared" ca="1" si="72"/>
        <v>#REF!</v>
      </c>
      <c r="AJ858" s="48" t="e">
        <f t="shared" ca="1" si="73"/>
        <v>#REF!</v>
      </c>
      <c r="AK858" s="48" t="e">
        <f t="shared" ca="1" si="74"/>
        <v>#REF!</v>
      </c>
      <c r="AL858" s="48" t="e">
        <f t="shared" ca="1" si="75"/>
        <v>#REF!</v>
      </c>
      <c r="AM858" s="48" t="e">
        <f t="shared" ca="1" si="76"/>
        <v>#REF!</v>
      </c>
      <c r="AN858" s="48" t="e">
        <f t="shared" ca="1" si="77"/>
        <v>#REF!</v>
      </c>
      <c r="AO858" s="48" t="e">
        <f t="shared" ca="1" si="78"/>
        <v>#REF!</v>
      </c>
      <c r="AP858" s="48" t="e">
        <f t="shared" ca="1" si="79"/>
        <v>#REF!</v>
      </c>
      <c r="AQ858" s="48" t="e">
        <f t="shared" ca="1" si="80"/>
        <v>#REF!</v>
      </c>
      <c r="AR858" s="48" t="e">
        <f t="shared" ca="1" si="81"/>
        <v>#REF!</v>
      </c>
      <c r="AS858" s="48" t="e">
        <f t="shared" ca="1" si="82"/>
        <v>#REF!</v>
      </c>
      <c r="AT858" s="48" t="e">
        <f t="shared" ca="1" si="83"/>
        <v>#REF!</v>
      </c>
      <c r="AU858" s="93" t="e">
        <f t="shared" ca="1" si="56"/>
        <v>#REF!</v>
      </c>
      <c r="AV858" s="93" t="e">
        <f t="shared" ca="1" si="58"/>
        <v>#REF!</v>
      </c>
      <c r="AW858" s="93" t="e">
        <f t="shared" ca="1" si="59"/>
        <v>#REF!</v>
      </c>
      <c r="AX858" s="93" t="e">
        <f t="shared" ca="1" si="60"/>
        <v>#REF!</v>
      </c>
      <c r="AY858" s="93" t="e">
        <f t="shared" ca="1" si="61"/>
        <v>#REF!</v>
      </c>
    </row>
    <row r="859" spans="1:51" ht="16.5" customHeight="1" x14ac:dyDescent="0.15">
      <c r="A859" s="121" t="s">
        <v>8039</v>
      </c>
      <c r="B859" s="47" t="s">
        <v>8040</v>
      </c>
      <c r="C859" s="48" t="e">
        <f t="shared" ca="1" si="41"/>
        <v>#REF!</v>
      </c>
      <c r="D859" s="62" t="e">
        <f t="shared" ca="1" si="42"/>
        <v>#REF!</v>
      </c>
      <c r="E859" s="48" t="e">
        <f t="shared" ca="1" si="43"/>
        <v>#REF!</v>
      </c>
      <c r="F859" s="61" t="e">
        <f t="shared" ca="1" si="44"/>
        <v>#REF!</v>
      </c>
      <c r="G859" s="61" t="e">
        <f t="shared" ca="1" si="63"/>
        <v>#REF!</v>
      </c>
      <c r="H859" s="88" t="e">
        <f t="shared" ca="1" si="45"/>
        <v>#REF!</v>
      </c>
      <c r="I859" s="61" t="e">
        <f t="shared" ca="1" si="46"/>
        <v>#REF!</v>
      </c>
      <c r="J859" s="87"/>
      <c r="K859" s="62" t="e">
        <f t="shared" ca="1" si="47"/>
        <v>#REF!</v>
      </c>
      <c r="L859" s="62"/>
      <c r="M859" s="62" t="e">
        <f t="shared" ca="1" si="48"/>
        <v>#REF!</v>
      </c>
      <c r="N859" s="62" t="e">
        <f t="shared" ca="1" si="49"/>
        <v>#REF!</v>
      </c>
      <c r="O859" s="48" t="e">
        <f t="shared" ca="1" si="50"/>
        <v>#REF!</v>
      </c>
      <c r="P859" s="48" t="e">
        <f t="shared" ca="1" si="51"/>
        <v>#REF!</v>
      </c>
      <c r="Q859" s="48" t="e">
        <f t="shared" ca="1" si="52"/>
        <v>#REF!</v>
      </c>
      <c r="R859" s="48"/>
      <c r="S859" s="48" t="e">
        <f t="shared" ca="1" si="53"/>
        <v>#REF!</v>
      </c>
      <c r="T859" s="48" t="e">
        <f t="shared" ca="1" si="54"/>
        <v>#REF!</v>
      </c>
      <c r="U859" s="48" t="e">
        <f t="shared" ca="1" si="55"/>
        <v>#REF!</v>
      </c>
      <c r="V859" s="48"/>
      <c r="W859" s="48"/>
      <c r="X859" s="48"/>
      <c r="Y859" s="48"/>
      <c r="Z859" s="61"/>
      <c r="AA859" s="48" t="e">
        <f t="shared" ca="1" si="64"/>
        <v>#REF!</v>
      </c>
      <c r="AB859" s="48" t="e">
        <f t="shared" ca="1" si="65"/>
        <v>#REF!</v>
      </c>
      <c r="AC859" s="48" t="e">
        <f t="shared" ca="1" si="66"/>
        <v>#REF!</v>
      </c>
      <c r="AD859" s="48" t="e">
        <f t="shared" ca="1" si="67"/>
        <v>#REF!</v>
      </c>
      <c r="AE859" s="48" t="e">
        <f t="shared" ca="1" si="68"/>
        <v>#REF!</v>
      </c>
      <c r="AF859" s="48" t="e">
        <f t="shared" ca="1" si="69"/>
        <v>#REF!</v>
      </c>
      <c r="AG859" s="48" t="e">
        <f t="shared" ca="1" si="70"/>
        <v>#REF!</v>
      </c>
      <c r="AH859" s="48" t="e">
        <f t="shared" ca="1" si="71"/>
        <v>#REF!</v>
      </c>
      <c r="AI859" s="48" t="e">
        <f t="shared" ca="1" si="72"/>
        <v>#REF!</v>
      </c>
      <c r="AJ859" s="48" t="e">
        <f t="shared" ca="1" si="73"/>
        <v>#REF!</v>
      </c>
      <c r="AK859" s="48" t="e">
        <f t="shared" ca="1" si="74"/>
        <v>#REF!</v>
      </c>
      <c r="AL859" s="48" t="e">
        <f t="shared" ca="1" si="75"/>
        <v>#REF!</v>
      </c>
      <c r="AM859" s="48" t="e">
        <f t="shared" ca="1" si="76"/>
        <v>#REF!</v>
      </c>
      <c r="AN859" s="48" t="e">
        <f t="shared" ca="1" si="77"/>
        <v>#REF!</v>
      </c>
      <c r="AO859" s="48" t="e">
        <f t="shared" ca="1" si="78"/>
        <v>#REF!</v>
      </c>
      <c r="AP859" s="48" t="e">
        <f t="shared" ca="1" si="79"/>
        <v>#REF!</v>
      </c>
      <c r="AQ859" s="48" t="e">
        <f t="shared" ca="1" si="80"/>
        <v>#REF!</v>
      </c>
      <c r="AR859" s="48" t="e">
        <f t="shared" ca="1" si="81"/>
        <v>#REF!</v>
      </c>
      <c r="AS859" s="48" t="e">
        <f t="shared" ca="1" si="82"/>
        <v>#REF!</v>
      </c>
      <c r="AT859" s="48" t="e">
        <f t="shared" ca="1" si="83"/>
        <v>#REF!</v>
      </c>
      <c r="AU859" s="93" t="e">
        <f t="shared" ca="1" si="56"/>
        <v>#REF!</v>
      </c>
      <c r="AV859" s="93" t="e">
        <f t="shared" ca="1" si="58"/>
        <v>#REF!</v>
      </c>
      <c r="AW859" s="93" t="e">
        <f t="shared" ca="1" si="59"/>
        <v>#REF!</v>
      </c>
      <c r="AX859" s="93" t="e">
        <f t="shared" ca="1" si="60"/>
        <v>#REF!</v>
      </c>
      <c r="AY859" s="93" t="e">
        <f t="shared" ca="1" si="61"/>
        <v>#REF!</v>
      </c>
    </row>
    <row r="860" spans="1:51" ht="16.5" customHeight="1" x14ac:dyDescent="0.15">
      <c r="A860" s="121" t="s">
        <v>8041</v>
      </c>
      <c r="B860" s="47" t="s">
        <v>8042</v>
      </c>
      <c r="C860" s="48" t="e">
        <f t="shared" ca="1" si="41"/>
        <v>#REF!</v>
      </c>
      <c r="D860" s="62" t="e">
        <f t="shared" ca="1" si="42"/>
        <v>#REF!</v>
      </c>
      <c r="E860" s="48" t="e">
        <f t="shared" ca="1" si="43"/>
        <v>#REF!</v>
      </c>
      <c r="F860" s="61" t="e">
        <f t="shared" ca="1" si="44"/>
        <v>#REF!</v>
      </c>
      <c r="G860" s="61" t="e">
        <f t="shared" ca="1" si="63"/>
        <v>#REF!</v>
      </c>
      <c r="H860" s="88" t="e">
        <f t="shared" ca="1" si="45"/>
        <v>#REF!</v>
      </c>
      <c r="I860" s="61" t="e">
        <f t="shared" ca="1" si="46"/>
        <v>#REF!</v>
      </c>
      <c r="J860" s="87"/>
      <c r="K860" s="62" t="e">
        <f t="shared" ca="1" si="47"/>
        <v>#REF!</v>
      </c>
      <c r="L860" s="62"/>
      <c r="M860" s="62" t="e">
        <f t="shared" ca="1" si="48"/>
        <v>#REF!</v>
      </c>
      <c r="N860" s="62" t="e">
        <f t="shared" ca="1" si="49"/>
        <v>#REF!</v>
      </c>
      <c r="O860" s="48" t="e">
        <f t="shared" ca="1" si="50"/>
        <v>#REF!</v>
      </c>
      <c r="P860" s="48" t="e">
        <f t="shared" ca="1" si="51"/>
        <v>#REF!</v>
      </c>
      <c r="Q860" s="48" t="e">
        <f t="shared" ca="1" si="52"/>
        <v>#REF!</v>
      </c>
      <c r="R860" s="48"/>
      <c r="S860" s="48" t="e">
        <f t="shared" ca="1" si="53"/>
        <v>#REF!</v>
      </c>
      <c r="T860" s="48" t="e">
        <f t="shared" ca="1" si="54"/>
        <v>#REF!</v>
      </c>
      <c r="U860" s="48" t="e">
        <f t="shared" ca="1" si="55"/>
        <v>#REF!</v>
      </c>
      <c r="V860" s="48"/>
      <c r="W860" s="48"/>
      <c r="X860" s="48"/>
      <c r="Y860" s="48"/>
      <c r="Z860" s="61"/>
      <c r="AA860" s="48" t="e">
        <f t="shared" ca="1" si="64"/>
        <v>#REF!</v>
      </c>
      <c r="AB860" s="48" t="e">
        <f t="shared" ca="1" si="65"/>
        <v>#REF!</v>
      </c>
      <c r="AC860" s="48" t="e">
        <f t="shared" ca="1" si="66"/>
        <v>#REF!</v>
      </c>
      <c r="AD860" s="48" t="e">
        <f t="shared" ca="1" si="67"/>
        <v>#REF!</v>
      </c>
      <c r="AE860" s="48" t="e">
        <f t="shared" ca="1" si="68"/>
        <v>#REF!</v>
      </c>
      <c r="AF860" s="48" t="e">
        <f t="shared" ca="1" si="69"/>
        <v>#REF!</v>
      </c>
      <c r="AG860" s="48" t="e">
        <f t="shared" ca="1" si="70"/>
        <v>#REF!</v>
      </c>
      <c r="AH860" s="48" t="e">
        <f t="shared" ca="1" si="71"/>
        <v>#REF!</v>
      </c>
      <c r="AI860" s="48" t="e">
        <f t="shared" ca="1" si="72"/>
        <v>#REF!</v>
      </c>
      <c r="AJ860" s="48" t="e">
        <f t="shared" ca="1" si="73"/>
        <v>#REF!</v>
      </c>
      <c r="AK860" s="48" t="e">
        <f t="shared" ca="1" si="74"/>
        <v>#REF!</v>
      </c>
      <c r="AL860" s="48" t="e">
        <f t="shared" ca="1" si="75"/>
        <v>#REF!</v>
      </c>
      <c r="AM860" s="48" t="e">
        <f t="shared" ca="1" si="76"/>
        <v>#REF!</v>
      </c>
      <c r="AN860" s="48" t="e">
        <f t="shared" ca="1" si="77"/>
        <v>#REF!</v>
      </c>
      <c r="AO860" s="48" t="e">
        <f t="shared" ca="1" si="78"/>
        <v>#REF!</v>
      </c>
      <c r="AP860" s="48" t="e">
        <f t="shared" ca="1" si="79"/>
        <v>#REF!</v>
      </c>
      <c r="AQ860" s="48" t="e">
        <f t="shared" ca="1" si="80"/>
        <v>#REF!</v>
      </c>
      <c r="AR860" s="48" t="e">
        <f t="shared" ca="1" si="81"/>
        <v>#REF!</v>
      </c>
      <c r="AS860" s="48" t="e">
        <f t="shared" ca="1" si="82"/>
        <v>#REF!</v>
      </c>
      <c r="AT860" s="48" t="e">
        <f t="shared" ca="1" si="83"/>
        <v>#REF!</v>
      </c>
      <c r="AU860" s="93" t="e">
        <f t="shared" ca="1" si="56"/>
        <v>#REF!</v>
      </c>
      <c r="AV860" s="93" t="e">
        <f t="shared" ca="1" si="58"/>
        <v>#REF!</v>
      </c>
      <c r="AW860" s="93" t="e">
        <f t="shared" ca="1" si="59"/>
        <v>#REF!</v>
      </c>
      <c r="AX860" s="93" t="e">
        <f t="shared" ca="1" si="60"/>
        <v>#REF!</v>
      </c>
      <c r="AY860" s="93" t="e">
        <f t="shared" ca="1" si="61"/>
        <v>#REF!</v>
      </c>
    </row>
    <row r="861" spans="1:51" ht="16.5" customHeight="1" x14ac:dyDescent="0.15">
      <c r="A861" s="121" t="s">
        <v>8043</v>
      </c>
      <c r="B861" s="47" t="s">
        <v>8044</v>
      </c>
      <c r="C861" s="48" t="e">
        <f t="shared" ca="1" si="41"/>
        <v>#REF!</v>
      </c>
      <c r="D861" s="62" t="e">
        <f t="shared" ca="1" si="42"/>
        <v>#REF!</v>
      </c>
      <c r="E861" s="48" t="e">
        <f t="shared" ca="1" si="43"/>
        <v>#REF!</v>
      </c>
      <c r="F861" s="61" t="e">
        <f t="shared" ca="1" si="44"/>
        <v>#REF!</v>
      </c>
      <c r="G861" s="61" t="e">
        <f t="shared" ca="1" si="63"/>
        <v>#REF!</v>
      </c>
      <c r="H861" s="88" t="e">
        <f t="shared" ca="1" si="45"/>
        <v>#REF!</v>
      </c>
      <c r="I861" s="61" t="e">
        <f t="shared" ca="1" si="46"/>
        <v>#REF!</v>
      </c>
      <c r="J861" s="87"/>
      <c r="K861" s="62" t="e">
        <f t="shared" ca="1" si="47"/>
        <v>#REF!</v>
      </c>
      <c r="L861" s="62"/>
      <c r="M861" s="62" t="e">
        <f t="shared" ca="1" si="48"/>
        <v>#REF!</v>
      </c>
      <c r="N861" s="62" t="e">
        <f t="shared" ca="1" si="49"/>
        <v>#REF!</v>
      </c>
      <c r="O861" s="48" t="e">
        <f t="shared" ca="1" si="50"/>
        <v>#REF!</v>
      </c>
      <c r="P861" s="48" t="e">
        <f t="shared" ca="1" si="51"/>
        <v>#REF!</v>
      </c>
      <c r="Q861" s="48" t="e">
        <f t="shared" ca="1" si="52"/>
        <v>#REF!</v>
      </c>
      <c r="R861" s="48"/>
      <c r="S861" s="48" t="e">
        <f t="shared" ca="1" si="53"/>
        <v>#REF!</v>
      </c>
      <c r="T861" s="48" t="e">
        <f t="shared" ca="1" si="54"/>
        <v>#REF!</v>
      </c>
      <c r="U861" s="48" t="e">
        <f t="shared" ca="1" si="55"/>
        <v>#REF!</v>
      </c>
      <c r="V861" s="48"/>
      <c r="W861" s="48"/>
      <c r="X861" s="48"/>
      <c r="Y861" s="48"/>
      <c r="Z861" s="61"/>
      <c r="AA861" s="48" t="e">
        <f t="shared" ca="1" si="64"/>
        <v>#REF!</v>
      </c>
      <c r="AB861" s="48" t="e">
        <f t="shared" ca="1" si="65"/>
        <v>#REF!</v>
      </c>
      <c r="AC861" s="48" t="e">
        <f t="shared" ca="1" si="66"/>
        <v>#REF!</v>
      </c>
      <c r="AD861" s="48" t="e">
        <f t="shared" ca="1" si="67"/>
        <v>#REF!</v>
      </c>
      <c r="AE861" s="48" t="e">
        <f t="shared" ca="1" si="68"/>
        <v>#REF!</v>
      </c>
      <c r="AF861" s="48" t="e">
        <f t="shared" ca="1" si="69"/>
        <v>#REF!</v>
      </c>
      <c r="AG861" s="48" t="e">
        <f t="shared" ca="1" si="70"/>
        <v>#REF!</v>
      </c>
      <c r="AH861" s="48" t="e">
        <f t="shared" ca="1" si="71"/>
        <v>#REF!</v>
      </c>
      <c r="AI861" s="48" t="e">
        <f t="shared" ca="1" si="72"/>
        <v>#REF!</v>
      </c>
      <c r="AJ861" s="48" t="e">
        <f t="shared" ca="1" si="73"/>
        <v>#REF!</v>
      </c>
      <c r="AK861" s="48" t="e">
        <f t="shared" ca="1" si="74"/>
        <v>#REF!</v>
      </c>
      <c r="AL861" s="48" t="e">
        <f t="shared" ca="1" si="75"/>
        <v>#REF!</v>
      </c>
      <c r="AM861" s="48" t="e">
        <f t="shared" ca="1" si="76"/>
        <v>#REF!</v>
      </c>
      <c r="AN861" s="48" t="e">
        <f t="shared" ca="1" si="77"/>
        <v>#REF!</v>
      </c>
      <c r="AO861" s="48" t="e">
        <f t="shared" ca="1" si="78"/>
        <v>#REF!</v>
      </c>
      <c r="AP861" s="48" t="e">
        <f t="shared" ca="1" si="79"/>
        <v>#REF!</v>
      </c>
      <c r="AQ861" s="48" t="e">
        <f t="shared" ca="1" si="80"/>
        <v>#REF!</v>
      </c>
      <c r="AR861" s="48" t="e">
        <f t="shared" ca="1" si="81"/>
        <v>#REF!</v>
      </c>
      <c r="AS861" s="48" t="e">
        <f t="shared" ca="1" si="82"/>
        <v>#REF!</v>
      </c>
      <c r="AT861" s="48" t="e">
        <f t="shared" ca="1" si="83"/>
        <v>#REF!</v>
      </c>
      <c r="AU861" s="93" t="e">
        <f t="shared" ca="1" si="56"/>
        <v>#REF!</v>
      </c>
      <c r="AV861" s="93" t="e">
        <f t="shared" ca="1" si="58"/>
        <v>#REF!</v>
      </c>
      <c r="AW861" s="93" t="e">
        <f t="shared" ca="1" si="59"/>
        <v>#REF!</v>
      </c>
      <c r="AX861" s="93" t="e">
        <f t="shared" ca="1" si="60"/>
        <v>#REF!</v>
      </c>
      <c r="AY861" s="93" t="e">
        <f t="shared" ca="1" si="61"/>
        <v>#REF!</v>
      </c>
    </row>
    <row r="862" spans="1:51" ht="16.5" customHeight="1" x14ac:dyDescent="0.15">
      <c r="A862" s="121" t="s">
        <v>8045</v>
      </c>
      <c r="B862" s="47"/>
      <c r="C862" s="48" t="e">
        <f t="shared" ref="C862:C875" ca="1" si="84">INDIRECT("'["&amp;$C$1&amp;".xls]"&amp;$B862&amp;"'!$i$7")</f>
        <v>#REF!</v>
      </c>
      <c r="D862" s="62" t="e">
        <f t="shared" ref="D862:D876" ca="1" si="85">INDIRECT("'["&amp;$C$1&amp;".xls]"&amp;$B862&amp;"'!$b$7")</f>
        <v>#REF!</v>
      </c>
      <c r="E862" s="48" t="e">
        <f t="shared" ref="E862:E876" ca="1" si="86">IF(INDIRECT("'["&amp;$C$1&amp;".xls]"&amp;$B862&amp;"'!$i$2")="","",INDIRECT("'["&amp;$C$1&amp;".xls]"&amp;$B862&amp;"'!$i$2"))</f>
        <v>#REF!</v>
      </c>
      <c r="F862" s="61" t="e">
        <f t="shared" ref="F862:F876" ca="1" si="87">INDIRECT("'["&amp;$C$1&amp;".xls]"&amp;$B862&amp;"'!$b$2")</f>
        <v>#REF!</v>
      </c>
      <c r="G862" s="61" t="e">
        <f t="shared" ca="1" si="63"/>
        <v>#REF!</v>
      </c>
      <c r="H862" s="88" t="e">
        <f t="shared" ref="H862:H876" ca="1" si="88">INDIRECT("'["&amp;$C$1&amp;".xls]"&amp;$B862&amp;"'!$Q$22")</f>
        <v>#REF!</v>
      </c>
      <c r="I862" s="61" t="e">
        <f t="shared" ref="I862:I876" ca="1" si="89">INDIRECT("'["&amp;$C$1&amp;".xls]"&amp;$B862&amp;"'!$f$6")</f>
        <v>#REF!</v>
      </c>
      <c r="J862" s="87"/>
      <c r="K862" s="62" t="e">
        <f t="shared" ref="K862:K876" ca="1" si="90">INDIRECT("'["&amp;$C$1&amp;".xls]"&amp;$B862&amp;"'!$f$25")</f>
        <v>#REF!</v>
      </c>
      <c r="L862" s="62"/>
      <c r="M862" s="62" t="e">
        <f t="shared" ref="M862:M876" ca="1" si="91">INDIRECT("'["&amp;$C$1&amp;".xls]"&amp;$B862&amp;"'!$f$4")</f>
        <v>#REF!</v>
      </c>
      <c r="N862" s="62" t="e">
        <f t="shared" ref="N862:N876" ca="1" si="92">INDIRECT("'["&amp;$C$1&amp;".xls]"&amp;$B862&amp;"'!$i$4")</f>
        <v>#REF!</v>
      </c>
      <c r="O862" s="48" t="e">
        <f t="shared" ref="O862:O876" ca="1" si="93">INDIRECT("'["&amp;$C$1&amp;".xls]"&amp;$B862&amp;"'!$l$4")</f>
        <v>#REF!</v>
      </c>
      <c r="P862" s="48" t="e">
        <f t="shared" ref="P862:P876" ca="1" si="94">INDIRECT("'["&amp;$C$1&amp;".xls]"&amp;$B862&amp;"'!$b$5")</f>
        <v>#REF!</v>
      </c>
      <c r="Q862" s="48" t="e">
        <f t="shared" ref="Q862:Q876" ca="1" si="95">INDIRECT("'["&amp;$C$1&amp;".xls]"&amp;$B862&amp;"'!$f$5")</f>
        <v>#REF!</v>
      </c>
      <c r="R862" s="48"/>
      <c r="S862" s="48" t="e">
        <f t="shared" ref="S862:S876" ca="1" si="96">INDIRECT("'["&amp;$C$1&amp;".xls]"&amp;$B862&amp;"'!$i$5")</f>
        <v>#REF!</v>
      </c>
      <c r="T862" s="48" t="e">
        <f t="shared" ref="T862:T876" ca="1" si="97">INDIRECT("'["&amp;$C$1&amp;".xls]"&amp;$B862&amp;"'!$l$5")</f>
        <v>#REF!</v>
      </c>
      <c r="U862" s="48" t="e">
        <f t="shared" ref="U862:U876" ca="1" si="98">INDIRECT("'["&amp;$C$1&amp;".xls]"&amp;$B862&amp;"'!$b$4")</f>
        <v>#REF!</v>
      </c>
      <c r="V862" s="48"/>
      <c r="W862" s="48"/>
      <c r="X862" s="48"/>
      <c r="Y862" s="48"/>
      <c r="Z862" s="61"/>
      <c r="AA862" s="48" t="e">
        <f t="shared" ca="1" si="64"/>
        <v>#REF!</v>
      </c>
      <c r="AB862" s="48" t="e">
        <f t="shared" ca="1" si="65"/>
        <v>#REF!</v>
      </c>
      <c r="AC862" s="48" t="e">
        <f t="shared" ca="1" si="66"/>
        <v>#REF!</v>
      </c>
      <c r="AD862" s="48" t="e">
        <f t="shared" ca="1" si="67"/>
        <v>#REF!</v>
      </c>
      <c r="AE862" s="48" t="e">
        <f t="shared" ca="1" si="68"/>
        <v>#REF!</v>
      </c>
      <c r="AF862" s="48" t="e">
        <f t="shared" ca="1" si="69"/>
        <v>#REF!</v>
      </c>
      <c r="AG862" s="48" t="e">
        <f t="shared" ca="1" si="70"/>
        <v>#REF!</v>
      </c>
      <c r="AH862" s="48" t="e">
        <f t="shared" ca="1" si="71"/>
        <v>#REF!</v>
      </c>
      <c r="AI862" s="48" t="e">
        <f t="shared" ca="1" si="72"/>
        <v>#REF!</v>
      </c>
      <c r="AJ862" s="48" t="e">
        <f t="shared" ca="1" si="73"/>
        <v>#REF!</v>
      </c>
      <c r="AK862" s="48" t="e">
        <f t="shared" ca="1" si="74"/>
        <v>#REF!</v>
      </c>
      <c r="AL862" s="48" t="e">
        <f t="shared" ca="1" si="75"/>
        <v>#REF!</v>
      </c>
      <c r="AM862" s="48" t="e">
        <f t="shared" ca="1" si="76"/>
        <v>#REF!</v>
      </c>
      <c r="AN862" s="48" t="e">
        <f t="shared" ca="1" si="77"/>
        <v>#REF!</v>
      </c>
      <c r="AO862" s="48" t="e">
        <f t="shared" ca="1" si="78"/>
        <v>#REF!</v>
      </c>
      <c r="AP862" s="48" t="e">
        <f t="shared" ca="1" si="79"/>
        <v>#REF!</v>
      </c>
      <c r="AQ862" s="48" t="e">
        <f t="shared" ca="1" si="80"/>
        <v>#REF!</v>
      </c>
      <c r="AR862" s="48" t="e">
        <f t="shared" ca="1" si="81"/>
        <v>#REF!</v>
      </c>
      <c r="AS862" s="48" t="e">
        <f t="shared" ca="1" si="82"/>
        <v>#REF!</v>
      </c>
      <c r="AT862" s="48" t="e">
        <f t="shared" ca="1" si="83"/>
        <v>#REF!</v>
      </c>
      <c r="AU862" s="93" t="e">
        <f t="shared" ref="AU862:AU876" ca="1" si="99">INDIRECT("'["&amp;$C$1&amp;".xls]"&amp;$B862&amp;"'!$B$6")</f>
        <v>#REF!</v>
      </c>
      <c r="AV862" s="93" t="e">
        <f t="shared" ca="1" si="58"/>
        <v>#REF!</v>
      </c>
      <c r="AW862" s="93" t="e">
        <f t="shared" ca="1" si="59"/>
        <v>#REF!</v>
      </c>
      <c r="AX862" s="93" t="e">
        <f t="shared" ca="1" si="60"/>
        <v>#REF!</v>
      </c>
      <c r="AY862" s="93" t="e">
        <f t="shared" ca="1" si="61"/>
        <v>#REF!</v>
      </c>
    </row>
    <row r="863" spans="1:51" ht="16.5" customHeight="1" x14ac:dyDescent="0.15">
      <c r="A863" s="121" t="s">
        <v>8046</v>
      </c>
      <c r="B863" s="47"/>
      <c r="C863" s="48" t="e">
        <f t="shared" ca="1" si="84"/>
        <v>#REF!</v>
      </c>
      <c r="D863" s="62" t="e">
        <f t="shared" ca="1" si="85"/>
        <v>#REF!</v>
      </c>
      <c r="E863" s="48" t="e">
        <f t="shared" ca="1" si="86"/>
        <v>#REF!</v>
      </c>
      <c r="F863" s="61" t="e">
        <f t="shared" ca="1" si="87"/>
        <v>#REF!</v>
      </c>
      <c r="G863" s="61" t="e">
        <f t="shared" ca="1" si="63"/>
        <v>#REF!</v>
      </c>
      <c r="H863" s="88" t="e">
        <f t="shared" ca="1" si="88"/>
        <v>#REF!</v>
      </c>
      <c r="I863" s="61" t="e">
        <f t="shared" ca="1" si="89"/>
        <v>#REF!</v>
      </c>
      <c r="J863" s="87"/>
      <c r="K863" s="62" t="e">
        <f t="shared" ca="1" si="90"/>
        <v>#REF!</v>
      </c>
      <c r="L863" s="62"/>
      <c r="M863" s="62" t="e">
        <f t="shared" ca="1" si="91"/>
        <v>#REF!</v>
      </c>
      <c r="N863" s="62" t="e">
        <f t="shared" ca="1" si="92"/>
        <v>#REF!</v>
      </c>
      <c r="O863" s="48" t="e">
        <f t="shared" ca="1" si="93"/>
        <v>#REF!</v>
      </c>
      <c r="P863" s="48" t="e">
        <f t="shared" ca="1" si="94"/>
        <v>#REF!</v>
      </c>
      <c r="Q863" s="48" t="e">
        <f t="shared" ca="1" si="95"/>
        <v>#REF!</v>
      </c>
      <c r="R863" s="48"/>
      <c r="S863" s="48" t="e">
        <f t="shared" ca="1" si="96"/>
        <v>#REF!</v>
      </c>
      <c r="T863" s="48" t="e">
        <f t="shared" ca="1" si="97"/>
        <v>#REF!</v>
      </c>
      <c r="U863" s="48" t="e">
        <f t="shared" ca="1" si="98"/>
        <v>#REF!</v>
      </c>
      <c r="V863" s="48"/>
      <c r="W863" s="48"/>
      <c r="X863" s="48"/>
      <c r="Y863" s="48"/>
      <c r="Z863" s="61"/>
      <c r="AA863" s="48" t="e">
        <f t="shared" ca="1" si="64"/>
        <v>#REF!</v>
      </c>
      <c r="AB863" s="48" t="e">
        <f t="shared" ca="1" si="65"/>
        <v>#REF!</v>
      </c>
      <c r="AC863" s="48" t="e">
        <f t="shared" ca="1" si="66"/>
        <v>#REF!</v>
      </c>
      <c r="AD863" s="48" t="e">
        <f t="shared" ca="1" si="67"/>
        <v>#REF!</v>
      </c>
      <c r="AE863" s="48" t="e">
        <f t="shared" ca="1" si="68"/>
        <v>#REF!</v>
      </c>
      <c r="AF863" s="48" t="e">
        <f t="shared" ca="1" si="69"/>
        <v>#REF!</v>
      </c>
      <c r="AG863" s="48" t="e">
        <f t="shared" ca="1" si="70"/>
        <v>#REF!</v>
      </c>
      <c r="AH863" s="48" t="e">
        <f t="shared" ca="1" si="71"/>
        <v>#REF!</v>
      </c>
      <c r="AI863" s="48" t="e">
        <f t="shared" ca="1" si="72"/>
        <v>#REF!</v>
      </c>
      <c r="AJ863" s="48" t="e">
        <f t="shared" ca="1" si="73"/>
        <v>#REF!</v>
      </c>
      <c r="AK863" s="48" t="e">
        <f t="shared" ca="1" si="74"/>
        <v>#REF!</v>
      </c>
      <c r="AL863" s="48" t="e">
        <f t="shared" ca="1" si="75"/>
        <v>#REF!</v>
      </c>
      <c r="AM863" s="48" t="e">
        <f t="shared" ca="1" si="76"/>
        <v>#REF!</v>
      </c>
      <c r="AN863" s="48" t="e">
        <f t="shared" ca="1" si="77"/>
        <v>#REF!</v>
      </c>
      <c r="AO863" s="48" t="e">
        <f t="shared" ca="1" si="78"/>
        <v>#REF!</v>
      </c>
      <c r="AP863" s="48" t="e">
        <f t="shared" ca="1" si="79"/>
        <v>#REF!</v>
      </c>
      <c r="AQ863" s="48" t="e">
        <f t="shared" ca="1" si="80"/>
        <v>#REF!</v>
      </c>
      <c r="AR863" s="48" t="e">
        <f t="shared" ca="1" si="81"/>
        <v>#REF!</v>
      </c>
      <c r="AS863" s="48" t="e">
        <f t="shared" ca="1" si="82"/>
        <v>#REF!</v>
      </c>
      <c r="AT863" s="48" t="e">
        <f t="shared" ca="1" si="83"/>
        <v>#REF!</v>
      </c>
      <c r="AU863" s="93" t="e">
        <f t="shared" ca="1" si="99"/>
        <v>#REF!</v>
      </c>
      <c r="AV863" s="93" t="e">
        <f t="shared" ca="1" si="58"/>
        <v>#REF!</v>
      </c>
      <c r="AW863" s="93" t="e">
        <f t="shared" ca="1" si="59"/>
        <v>#REF!</v>
      </c>
      <c r="AX863" s="93" t="e">
        <f t="shared" ca="1" si="60"/>
        <v>#REF!</v>
      </c>
      <c r="AY863" s="93" t="e">
        <f t="shared" ca="1" si="61"/>
        <v>#REF!</v>
      </c>
    </row>
    <row r="864" spans="1:51" ht="16.5" customHeight="1" x14ac:dyDescent="0.15">
      <c r="A864" s="121" t="s">
        <v>8047</v>
      </c>
      <c r="B864" s="47"/>
      <c r="C864" s="48" t="e">
        <f t="shared" ca="1" si="84"/>
        <v>#REF!</v>
      </c>
      <c r="D864" s="62" t="e">
        <f t="shared" ca="1" si="85"/>
        <v>#REF!</v>
      </c>
      <c r="E864" s="48" t="e">
        <f t="shared" ca="1" si="86"/>
        <v>#REF!</v>
      </c>
      <c r="F864" s="61" t="e">
        <f t="shared" ca="1" si="87"/>
        <v>#REF!</v>
      </c>
      <c r="G864" s="61" t="e">
        <f t="shared" ca="1" si="63"/>
        <v>#REF!</v>
      </c>
      <c r="H864" s="88" t="e">
        <f t="shared" ca="1" si="88"/>
        <v>#REF!</v>
      </c>
      <c r="I864" s="61" t="e">
        <f t="shared" ca="1" si="89"/>
        <v>#REF!</v>
      </c>
      <c r="J864" s="87"/>
      <c r="K864" s="62" t="e">
        <f t="shared" ca="1" si="90"/>
        <v>#REF!</v>
      </c>
      <c r="L864" s="62"/>
      <c r="M864" s="62" t="e">
        <f t="shared" ca="1" si="91"/>
        <v>#REF!</v>
      </c>
      <c r="N864" s="62" t="e">
        <f t="shared" ca="1" si="92"/>
        <v>#REF!</v>
      </c>
      <c r="O864" s="48" t="e">
        <f t="shared" ca="1" si="93"/>
        <v>#REF!</v>
      </c>
      <c r="P864" s="48" t="e">
        <f t="shared" ca="1" si="94"/>
        <v>#REF!</v>
      </c>
      <c r="Q864" s="48" t="e">
        <f t="shared" ca="1" si="95"/>
        <v>#REF!</v>
      </c>
      <c r="R864" s="48"/>
      <c r="S864" s="48" t="e">
        <f t="shared" ca="1" si="96"/>
        <v>#REF!</v>
      </c>
      <c r="T864" s="48" t="e">
        <f t="shared" ca="1" si="97"/>
        <v>#REF!</v>
      </c>
      <c r="U864" s="48" t="e">
        <f t="shared" ca="1" si="98"/>
        <v>#REF!</v>
      </c>
      <c r="V864" s="48"/>
      <c r="W864" s="48"/>
      <c r="X864" s="48"/>
      <c r="Y864" s="48"/>
      <c r="Z864" s="61"/>
      <c r="AA864" s="48" t="e">
        <f t="shared" ca="1" si="64"/>
        <v>#REF!</v>
      </c>
      <c r="AB864" s="48" t="e">
        <f t="shared" ca="1" si="65"/>
        <v>#REF!</v>
      </c>
      <c r="AC864" s="48" t="e">
        <f t="shared" ca="1" si="66"/>
        <v>#REF!</v>
      </c>
      <c r="AD864" s="48" t="e">
        <f t="shared" ca="1" si="67"/>
        <v>#REF!</v>
      </c>
      <c r="AE864" s="48" t="e">
        <f t="shared" ca="1" si="68"/>
        <v>#REF!</v>
      </c>
      <c r="AF864" s="48" t="e">
        <f t="shared" ca="1" si="69"/>
        <v>#REF!</v>
      </c>
      <c r="AG864" s="48" t="e">
        <f t="shared" ca="1" si="70"/>
        <v>#REF!</v>
      </c>
      <c r="AH864" s="48" t="e">
        <f t="shared" ca="1" si="71"/>
        <v>#REF!</v>
      </c>
      <c r="AI864" s="48" t="e">
        <f t="shared" ca="1" si="72"/>
        <v>#REF!</v>
      </c>
      <c r="AJ864" s="48" t="e">
        <f t="shared" ca="1" si="73"/>
        <v>#REF!</v>
      </c>
      <c r="AK864" s="48" t="e">
        <f t="shared" ca="1" si="74"/>
        <v>#REF!</v>
      </c>
      <c r="AL864" s="48" t="e">
        <f t="shared" ca="1" si="75"/>
        <v>#REF!</v>
      </c>
      <c r="AM864" s="48" t="e">
        <f t="shared" ca="1" si="76"/>
        <v>#REF!</v>
      </c>
      <c r="AN864" s="48" t="e">
        <f t="shared" ca="1" si="77"/>
        <v>#REF!</v>
      </c>
      <c r="AO864" s="48" t="e">
        <f t="shared" ca="1" si="78"/>
        <v>#REF!</v>
      </c>
      <c r="AP864" s="48" t="e">
        <f t="shared" ca="1" si="79"/>
        <v>#REF!</v>
      </c>
      <c r="AQ864" s="48" t="e">
        <f t="shared" ca="1" si="80"/>
        <v>#REF!</v>
      </c>
      <c r="AR864" s="48" t="e">
        <f t="shared" ca="1" si="81"/>
        <v>#REF!</v>
      </c>
      <c r="AS864" s="48" t="e">
        <f t="shared" ca="1" si="82"/>
        <v>#REF!</v>
      </c>
      <c r="AT864" s="48" t="e">
        <f t="shared" ca="1" si="83"/>
        <v>#REF!</v>
      </c>
      <c r="AU864" s="93" t="e">
        <f t="shared" ca="1" si="99"/>
        <v>#REF!</v>
      </c>
      <c r="AV864" s="93" t="e">
        <f t="shared" ca="1" si="58"/>
        <v>#REF!</v>
      </c>
      <c r="AW864" s="93" t="e">
        <f t="shared" ca="1" si="59"/>
        <v>#REF!</v>
      </c>
      <c r="AX864" s="93" t="e">
        <f t="shared" ca="1" si="60"/>
        <v>#REF!</v>
      </c>
      <c r="AY864" s="93" t="e">
        <f t="shared" ca="1" si="61"/>
        <v>#REF!</v>
      </c>
    </row>
    <row r="865" spans="1:51" ht="16.5" customHeight="1" x14ac:dyDescent="0.15">
      <c r="A865" s="121" t="s">
        <v>8048</v>
      </c>
      <c r="B865" s="47"/>
      <c r="C865" s="48" t="e">
        <f t="shared" ca="1" si="84"/>
        <v>#REF!</v>
      </c>
      <c r="D865" s="62" t="e">
        <f t="shared" ca="1" si="85"/>
        <v>#REF!</v>
      </c>
      <c r="E865" s="48" t="e">
        <f t="shared" ca="1" si="86"/>
        <v>#REF!</v>
      </c>
      <c r="F865" s="61" t="e">
        <f t="shared" ca="1" si="87"/>
        <v>#REF!</v>
      </c>
      <c r="G865" s="61" t="e">
        <f t="shared" ca="1" si="63"/>
        <v>#REF!</v>
      </c>
      <c r="H865" s="88" t="e">
        <f t="shared" ca="1" si="88"/>
        <v>#REF!</v>
      </c>
      <c r="I865" s="61" t="e">
        <f t="shared" ca="1" si="89"/>
        <v>#REF!</v>
      </c>
      <c r="J865" s="87"/>
      <c r="K865" s="62" t="e">
        <f t="shared" ca="1" si="90"/>
        <v>#REF!</v>
      </c>
      <c r="L865" s="62"/>
      <c r="M865" s="62" t="e">
        <f t="shared" ca="1" si="91"/>
        <v>#REF!</v>
      </c>
      <c r="N865" s="62" t="e">
        <f t="shared" ca="1" si="92"/>
        <v>#REF!</v>
      </c>
      <c r="O865" s="48" t="e">
        <f t="shared" ca="1" si="93"/>
        <v>#REF!</v>
      </c>
      <c r="P865" s="48" t="e">
        <f t="shared" ca="1" si="94"/>
        <v>#REF!</v>
      </c>
      <c r="Q865" s="48" t="e">
        <f t="shared" ca="1" si="95"/>
        <v>#REF!</v>
      </c>
      <c r="R865" s="48"/>
      <c r="S865" s="48" t="e">
        <f t="shared" ca="1" si="96"/>
        <v>#REF!</v>
      </c>
      <c r="T865" s="48" t="e">
        <f t="shared" ca="1" si="97"/>
        <v>#REF!</v>
      </c>
      <c r="U865" s="48" t="e">
        <f t="shared" ca="1" si="98"/>
        <v>#REF!</v>
      </c>
      <c r="V865" s="48"/>
      <c r="W865" s="48"/>
      <c r="X865" s="48"/>
      <c r="Y865" s="48"/>
      <c r="Z865" s="61"/>
      <c r="AA865" s="48" t="e">
        <f t="shared" ca="1" si="64"/>
        <v>#REF!</v>
      </c>
      <c r="AB865" s="48" t="e">
        <f t="shared" ca="1" si="65"/>
        <v>#REF!</v>
      </c>
      <c r="AC865" s="48" t="e">
        <f t="shared" ca="1" si="66"/>
        <v>#REF!</v>
      </c>
      <c r="AD865" s="48" t="e">
        <f t="shared" ca="1" si="67"/>
        <v>#REF!</v>
      </c>
      <c r="AE865" s="48" t="e">
        <f t="shared" ca="1" si="68"/>
        <v>#REF!</v>
      </c>
      <c r="AF865" s="48" t="e">
        <f t="shared" ca="1" si="69"/>
        <v>#REF!</v>
      </c>
      <c r="AG865" s="48" t="e">
        <f t="shared" ca="1" si="70"/>
        <v>#REF!</v>
      </c>
      <c r="AH865" s="48" t="e">
        <f t="shared" ca="1" si="71"/>
        <v>#REF!</v>
      </c>
      <c r="AI865" s="48" t="e">
        <f t="shared" ca="1" si="72"/>
        <v>#REF!</v>
      </c>
      <c r="AJ865" s="48" t="e">
        <f t="shared" ca="1" si="73"/>
        <v>#REF!</v>
      </c>
      <c r="AK865" s="48" t="e">
        <f t="shared" ca="1" si="74"/>
        <v>#REF!</v>
      </c>
      <c r="AL865" s="48" t="e">
        <f t="shared" ca="1" si="75"/>
        <v>#REF!</v>
      </c>
      <c r="AM865" s="48" t="e">
        <f t="shared" ca="1" si="76"/>
        <v>#REF!</v>
      </c>
      <c r="AN865" s="48" t="e">
        <f t="shared" ca="1" si="77"/>
        <v>#REF!</v>
      </c>
      <c r="AO865" s="48" t="e">
        <f t="shared" ca="1" si="78"/>
        <v>#REF!</v>
      </c>
      <c r="AP865" s="48" t="e">
        <f t="shared" ca="1" si="79"/>
        <v>#REF!</v>
      </c>
      <c r="AQ865" s="48" t="e">
        <f t="shared" ca="1" si="80"/>
        <v>#REF!</v>
      </c>
      <c r="AR865" s="48" t="e">
        <f t="shared" ca="1" si="81"/>
        <v>#REF!</v>
      </c>
      <c r="AS865" s="48" t="e">
        <f t="shared" ca="1" si="82"/>
        <v>#REF!</v>
      </c>
      <c r="AT865" s="48" t="e">
        <f t="shared" ca="1" si="83"/>
        <v>#REF!</v>
      </c>
      <c r="AU865" s="93" t="e">
        <f t="shared" ca="1" si="99"/>
        <v>#REF!</v>
      </c>
      <c r="AV865" s="93" t="e">
        <f t="shared" ca="1" si="58"/>
        <v>#REF!</v>
      </c>
      <c r="AW865" s="93" t="e">
        <f t="shared" ca="1" si="59"/>
        <v>#REF!</v>
      </c>
      <c r="AX865" s="93" t="e">
        <f t="shared" ca="1" si="60"/>
        <v>#REF!</v>
      </c>
      <c r="AY865" s="93" t="e">
        <f t="shared" ca="1" si="61"/>
        <v>#REF!</v>
      </c>
    </row>
    <row r="866" spans="1:51" ht="16.5" customHeight="1" x14ac:dyDescent="0.15">
      <c r="A866" s="121" t="s">
        <v>8049</v>
      </c>
      <c r="B866" s="47"/>
      <c r="C866" s="48" t="e">
        <f t="shared" ca="1" si="84"/>
        <v>#REF!</v>
      </c>
      <c r="D866" s="62" t="e">
        <f t="shared" ca="1" si="85"/>
        <v>#REF!</v>
      </c>
      <c r="E866" s="48" t="e">
        <f t="shared" ca="1" si="86"/>
        <v>#REF!</v>
      </c>
      <c r="F866" s="61" t="e">
        <f t="shared" ca="1" si="87"/>
        <v>#REF!</v>
      </c>
      <c r="G866" s="61" t="e">
        <f t="shared" ca="1" si="63"/>
        <v>#REF!</v>
      </c>
      <c r="H866" s="88" t="e">
        <f t="shared" ca="1" si="88"/>
        <v>#REF!</v>
      </c>
      <c r="I866" s="61" t="e">
        <f t="shared" ca="1" si="89"/>
        <v>#REF!</v>
      </c>
      <c r="J866" s="87"/>
      <c r="K866" s="62" t="e">
        <f t="shared" ca="1" si="90"/>
        <v>#REF!</v>
      </c>
      <c r="L866" s="62"/>
      <c r="M866" s="62" t="e">
        <f t="shared" ca="1" si="91"/>
        <v>#REF!</v>
      </c>
      <c r="N866" s="62" t="e">
        <f t="shared" ca="1" si="92"/>
        <v>#REF!</v>
      </c>
      <c r="O866" s="48" t="e">
        <f t="shared" ca="1" si="93"/>
        <v>#REF!</v>
      </c>
      <c r="P866" s="48" t="e">
        <f t="shared" ca="1" si="94"/>
        <v>#REF!</v>
      </c>
      <c r="Q866" s="48" t="e">
        <f t="shared" ca="1" si="95"/>
        <v>#REF!</v>
      </c>
      <c r="R866" s="48"/>
      <c r="S866" s="48" t="e">
        <f t="shared" ca="1" si="96"/>
        <v>#REF!</v>
      </c>
      <c r="T866" s="48" t="e">
        <f t="shared" ca="1" si="97"/>
        <v>#REF!</v>
      </c>
      <c r="U866" s="48" t="e">
        <f t="shared" ca="1" si="98"/>
        <v>#REF!</v>
      </c>
      <c r="V866" s="48"/>
      <c r="W866" s="48"/>
      <c r="X866" s="48"/>
      <c r="Y866" s="48"/>
      <c r="Z866" s="61"/>
      <c r="AA866" s="48" t="e">
        <f t="shared" ca="1" si="64"/>
        <v>#REF!</v>
      </c>
      <c r="AB866" s="48" t="e">
        <f t="shared" ca="1" si="65"/>
        <v>#REF!</v>
      </c>
      <c r="AC866" s="48" t="e">
        <f t="shared" ca="1" si="66"/>
        <v>#REF!</v>
      </c>
      <c r="AD866" s="48" t="e">
        <f t="shared" ca="1" si="67"/>
        <v>#REF!</v>
      </c>
      <c r="AE866" s="48" t="e">
        <f t="shared" ca="1" si="68"/>
        <v>#REF!</v>
      </c>
      <c r="AF866" s="48" t="e">
        <f t="shared" ca="1" si="69"/>
        <v>#REF!</v>
      </c>
      <c r="AG866" s="48" t="e">
        <f t="shared" ca="1" si="70"/>
        <v>#REF!</v>
      </c>
      <c r="AH866" s="48" t="e">
        <f t="shared" ca="1" si="71"/>
        <v>#REF!</v>
      </c>
      <c r="AI866" s="48" t="e">
        <f t="shared" ca="1" si="72"/>
        <v>#REF!</v>
      </c>
      <c r="AJ866" s="48" t="e">
        <f t="shared" ca="1" si="73"/>
        <v>#REF!</v>
      </c>
      <c r="AK866" s="48" t="e">
        <f t="shared" ca="1" si="74"/>
        <v>#REF!</v>
      </c>
      <c r="AL866" s="48" t="e">
        <f t="shared" ca="1" si="75"/>
        <v>#REF!</v>
      </c>
      <c r="AM866" s="48" t="e">
        <f t="shared" ca="1" si="76"/>
        <v>#REF!</v>
      </c>
      <c r="AN866" s="48" t="e">
        <f t="shared" ca="1" si="77"/>
        <v>#REF!</v>
      </c>
      <c r="AO866" s="48" t="e">
        <f t="shared" ca="1" si="78"/>
        <v>#REF!</v>
      </c>
      <c r="AP866" s="48" t="e">
        <f t="shared" ca="1" si="79"/>
        <v>#REF!</v>
      </c>
      <c r="AQ866" s="48" t="e">
        <f t="shared" ca="1" si="80"/>
        <v>#REF!</v>
      </c>
      <c r="AR866" s="48" t="e">
        <f t="shared" ca="1" si="81"/>
        <v>#REF!</v>
      </c>
      <c r="AS866" s="48" t="e">
        <f t="shared" ca="1" si="82"/>
        <v>#REF!</v>
      </c>
      <c r="AT866" s="48" t="e">
        <f t="shared" ca="1" si="83"/>
        <v>#REF!</v>
      </c>
      <c r="AU866" s="93" t="e">
        <f t="shared" ca="1" si="99"/>
        <v>#REF!</v>
      </c>
      <c r="AV866" s="93" t="e">
        <f t="shared" ca="1" si="58"/>
        <v>#REF!</v>
      </c>
      <c r="AW866" s="93" t="e">
        <f t="shared" ca="1" si="59"/>
        <v>#REF!</v>
      </c>
      <c r="AX866" s="93" t="e">
        <f t="shared" ca="1" si="60"/>
        <v>#REF!</v>
      </c>
      <c r="AY866" s="93" t="e">
        <f t="shared" ca="1" si="61"/>
        <v>#REF!</v>
      </c>
    </row>
    <row r="867" spans="1:51" ht="16.5" customHeight="1" x14ac:dyDescent="0.15">
      <c r="A867" s="121" t="s">
        <v>8050</v>
      </c>
      <c r="B867" s="47"/>
      <c r="C867" s="48" t="e">
        <f ca="1">INDIRECT("'["&amp;$C$1&amp;".xls]"&amp;$B867&amp;"'!$i$7")</f>
        <v>#REF!</v>
      </c>
      <c r="D867" s="62" t="e">
        <f t="shared" ca="1" si="85"/>
        <v>#REF!</v>
      </c>
      <c r="E867" s="48" t="e">
        <f t="shared" ca="1" si="86"/>
        <v>#REF!</v>
      </c>
      <c r="F867" s="61" t="e">
        <f t="shared" ca="1" si="87"/>
        <v>#REF!</v>
      </c>
      <c r="G867" s="61" t="e">
        <f t="shared" ca="1" si="63"/>
        <v>#REF!</v>
      </c>
      <c r="H867" s="88" t="e">
        <f t="shared" ca="1" si="88"/>
        <v>#REF!</v>
      </c>
      <c r="I867" s="61" t="e">
        <f t="shared" ca="1" si="89"/>
        <v>#REF!</v>
      </c>
      <c r="J867" s="87"/>
      <c r="K867" s="62" t="e">
        <f t="shared" ca="1" si="90"/>
        <v>#REF!</v>
      </c>
      <c r="L867" s="62"/>
      <c r="M867" s="62" t="e">
        <f t="shared" ca="1" si="91"/>
        <v>#REF!</v>
      </c>
      <c r="N867" s="62" t="e">
        <f t="shared" ca="1" si="92"/>
        <v>#REF!</v>
      </c>
      <c r="O867" s="48" t="e">
        <f t="shared" ca="1" si="93"/>
        <v>#REF!</v>
      </c>
      <c r="P867" s="48" t="e">
        <f t="shared" ca="1" si="94"/>
        <v>#REF!</v>
      </c>
      <c r="Q867" s="48" t="e">
        <f t="shared" ca="1" si="95"/>
        <v>#REF!</v>
      </c>
      <c r="R867" s="48"/>
      <c r="S867" s="48" t="e">
        <f t="shared" ca="1" si="96"/>
        <v>#REF!</v>
      </c>
      <c r="T867" s="48" t="e">
        <f t="shared" ca="1" si="97"/>
        <v>#REF!</v>
      </c>
      <c r="U867" s="48" t="e">
        <f t="shared" ca="1" si="98"/>
        <v>#REF!</v>
      </c>
      <c r="V867" s="48"/>
      <c r="W867" s="48"/>
      <c r="X867" s="48"/>
      <c r="Y867" s="48"/>
      <c r="Z867" s="61"/>
      <c r="AA867" s="48" t="e">
        <f t="shared" ca="1" si="64"/>
        <v>#REF!</v>
      </c>
      <c r="AB867" s="48" t="e">
        <f t="shared" ca="1" si="65"/>
        <v>#REF!</v>
      </c>
      <c r="AC867" s="48" t="e">
        <f t="shared" ca="1" si="66"/>
        <v>#REF!</v>
      </c>
      <c r="AD867" s="48" t="e">
        <f t="shared" ca="1" si="67"/>
        <v>#REF!</v>
      </c>
      <c r="AE867" s="48" t="e">
        <f t="shared" ca="1" si="68"/>
        <v>#REF!</v>
      </c>
      <c r="AF867" s="48" t="e">
        <f t="shared" ca="1" si="69"/>
        <v>#REF!</v>
      </c>
      <c r="AG867" s="48" t="e">
        <f t="shared" ca="1" si="70"/>
        <v>#REF!</v>
      </c>
      <c r="AH867" s="48" t="e">
        <f t="shared" ca="1" si="71"/>
        <v>#REF!</v>
      </c>
      <c r="AI867" s="48" t="e">
        <f t="shared" ca="1" si="72"/>
        <v>#REF!</v>
      </c>
      <c r="AJ867" s="48" t="e">
        <f t="shared" ca="1" si="73"/>
        <v>#REF!</v>
      </c>
      <c r="AK867" s="48" t="e">
        <f t="shared" ca="1" si="74"/>
        <v>#REF!</v>
      </c>
      <c r="AL867" s="48" t="e">
        <f t="shared" ca="1" si="75"/>
        <v>#REF!</v>
      </c>
      <c r="AM867" s="48" t="e">
        <f t="shared" ca="1" si="76"/>
        <v>#REF!</v>
      </c>
      <c r="AN867" s="48" t="e">
        <f t="shared" ca="1" si="77"/>
        <v>#REF!</v>
      </c>
      <c r="AO867" s="48" t="e">
        <f t="shared" ca="1" si="78"/>
        <v>#REF!</v>
      </c>
      <c r="AP867" s="48" t="e">
        <f t="shared" ca="1" si="79"/>
        <v>#REF!</v>
      </c>
      <c r="AQ867" s="48" t="e">
        <f t="shared" ca="1" si="80"/>
        <v>#REF!</v>
      </c>
      <c r="AR867" s="48" t="e">
        <f t="shared" ca="1" si="81"/>
        <v>#REF!</v>
      </c>
      <c r="AS867" s="48" t="e">
        <f t="shared" ca="1" si="82"/>
        <v>#REF!</v>
      </c>
      <c r="AT867" s="48" t="e">
        <f t="shared" ca="1" si="83"/>
        <v>#REF!</v>
      </c>
      <c r="AU867" s="93" t="e">
        <f t="shared" ca="1" si="99"/>
        <v>#REF!</v>
      </c>
      <c r="AV867" s="93" t="e">
        <f t="shared" ca="1" si="58"/>
        <v>#REF!</v>
      </c>
      <c r="AW867" s="93" t="e">
        <f t="shared" ca="1" si="59"/>
        <v>#REF!</v>
      </c>
      <c r="AX867" s="93" t="e">
        <f t="shared" ca="1" si="60"/>
        <v>#REF!</v>
      </c>
      <c r="AY867" s="93" t="e">
        <f t="shared" ca="1" si="61"/>
        <v>#REF!</v>
      </c>
    </row>
    <row r="868" spans="1:51" ht="16.5" customHeight="1" x14ac:dyDescent="0.15">
      <c r="A868" s="121" t="s">
        <v>8051</v>
      </c>
      <c r="B868" s="47"/>
      <c r="C868" s="48" t="e">
        <f ca="1">INDIRECT("'["&amp;$C$1&amp;".xls]"&amp;$B868&amp;"'!$i$7")</f>
        <v>#REF!</v>
      </c>
      <c r="D868" s="62" t="e">
        <f t="shared" ca="1" si="85"/>
        <v>#REF!</v>
      </c>
      <c r="E868" s="48" t="e">
        <f t="shared" ca="1" si="86"/>
        <v>#REF!</v>
      </c>
      <c r="F868" s="61" t="e">
        <f t="shared" ca="1" si="87"/>
        <v>#REF!</v>
      </c>
      <c r="G868" s="61" t="e">
        <f t="shared" ca="1" si="63"/>
        <v>#REF!</v>
      </c>
      <c r="H868" s="88" t="e">
        <f t="shared" ca="1" si="88"/>
        <v>#REF!</v>
      </c>
      <c r="I868" s="61" t="e">
        <f t="shared" ca="1" si="89"/>
        <v>#REF!</v>
      </c>
      <c r="J868" s="87"/>
      <c r="K868" s="62" t="e">
        <f t="shared" ca="1" si="90"/>
        <v>#REF!</v>
      </c>
      <c r="L868" s="62"/>
      <c r="M868" s="62" t="e">
        <f t="shared" ca="1" si="91"/>
        <v>#REF!</v>
      </c>
      <c r="N868" s="62" t="e">
        <f t="shared" ca="1" si="92"/>
        <v>#REF!</v>
      </c>
      <c r="O868" s="48" t="e">
        <f t="shared" ca="1" si="93"/>
        <v>#REF!</v>
      </c>
      <c r="P868" s="48" t="e">
        <f t="shared" ca="1" si="94"/>
        <v>#REF!</v>
      </c>
      <c r="Q868" s="48" t="e">
        <f t="shared" ca="1" si="95"/>
        <v>#REF!</v>
      </c>
      <c r="R868" s="48"/>
      <c r="S868" s="48" t="e">
        <f t="shared" ca="1" si="96"/>
        <v>#REF!</v>
      </c>
      <c r="T868" s="48" t="e">
        <f t="shared" ca="1" si="97"/>
        <v>#REF!</v>
      </c>
      <c r="U868" s="48" t="e">
        <f t="shared" ca="1" si="98"/>
        <v>#REF!</v>
      </c>
      <c r="V868" s="48"/>
      <c r="W868" s="48"/>
      <c r="X868" s="48"/>
      <c r="Y868" s="48"/>
      <c r="Z868" s="61"/>
      <c r="AA868" s="48" t="e">
        <f t="shared" ca="1" si="64"/>
        <v>#REF!</v>
      </c>
      <c r="AB868" s="48" t="e">
        <f t="shared" ca="1" si="65"/>
        <v>#REF!</v>
      </c>
      <c r="AC868" s="48" t="e">
        <f t="shared" ca="1" si="66"/>
        <v>#REF!</v>
      </c>
      <c r="AD868" s="48" t="e">
        <f t="shared" ca="1" si="67"/>
        <v>#REF!</v>
      </c>
      <c r="AE868" s="48" t="e">
        <f t="shared" ca="1" si="68"/>
        <v>#REF!</v>
      </c>
      <c r="AF868" s="48" t="e">
        <f t="shared" ca="1" si="69"/>
        <v>#REF!</v>
      </c>
      <c r="AG868" s="48" t="e">
        <f t="shared" ca="1" si="70"/>
        <v>#REF!</v>
      </c>
      <c r="AH868" s="48" t="e">
        <f t="shared" ca="1" si="71"/>
        <v>#REF!</v>
      </c>
      <c r="AI868" s="48" t="e">
        <f t="shared" ca="1" si="72"/>
        <v>#REF!</v>
      </c>
      <c r="AJ868" s="48" t="e">
        <f t="shared" ca="1" si="73"/>
        <v>#REF!</v>
      </c>
      <c r="AK868" s="48" t="e">
        <f t="shared" ca="1" si="74"/>
        <v>#REF!</v>
      </c>
      <c r="AL868" s="48" t="e">
        <f t="shared" ca="1" si="75"/>
        <v>#REF!</v>
      </c>
      <c r="AM868" s="48" t="e">
        <f t="shared" ca="1" si="76"/>
        <v>#REF!</v>
      </c>
      <c r="AN868" s="48" t="e">
        <f t="shared" ca="1" si="77"/>
        <v>#REF!</v>
      </c>
      <c r="AO868" s="48" t="e">
        <f t="shared" ca="1" si="78"/>
        <v>#REF!</v>
      </c>
      <c r="AP868" s="48" t="e">
        <f t="shared" ca="1" si="79"/>
        <v>#REF!</v>
      </c>
      <c r="AQ868" s="48" t="e">
        <f t="shared" ca="1" si="80"/>
        <v>#REF!</v>
      </c>
      <c r="AR868" s="48" t="e">
        <f t="shared" ca="1" si="81"/>
        <v>#REF!</v>
      </c>
      <c r="AS868" s="48" t="e">
        <f t="shared" ca="1" si="82"/>
        <v>#REF!</v>
      </c>
      <c r="AT868" s="48" t="e">
        <f t="shared" ca="1" si="83"/>
        <v>#REF!</v>
      </c>
      <c r="AU868" s="93" t="e">
        <f t="shared" ca="1" si="99"/>
        <v>#REF!</v>
      </c>
      <c r="AV868" s="93" t="e">
        <f t="shared" ca="1" si="58"/>
        <v>#REF!</v>
      </c>
      <c r="AW868" s="93" t="e">
        <f t="shared" ca="1" si="59"/>
        <v>#REF!</v>
      </c>
      <c r="AX868" s="93" t="e">
        <f t="shared" ca="1" si="60"/>
        <v>#REF!</v>
      </c>
      <c r="AY868" s="93" t="e">
        <f t="shared" ca="1" si="61"/>
        <v>#REF!</v>
      </c>
    </row>
    <row r="869" spans="1:51" ht="16.5" customHeight="1" x14ac:dyDescent="0.15">
      <c r="A869" s="121" t="s">
        <v>8052</v>
      </c>
      <c r="B869" s="47"/>
      <c r="C869" s="48" t="e">
        <f ca="1">INDIRECT("'["&amp;$C$1&amp;".xls]"&amp;$B869&amp;"'!$i$7")</f>
        <v>#REF!</v>
      </c>
      <c r="D869" s="62" t="e">
        <f t="shared" ca="1" si="85"/>
        <v>#REF!</v>
      </c>
      <c r="E869" s="48" t="e">
        <f t="shared" ca="1" si="86"/>
        <v>#REF!</v>
      </c>
      <c r="F869" s="61" t="e">
        <f t="shared" ca="1" si="87"/>
        <v>#REF!</v>
      </c>
      <c r="G869" s="61" t="e">
        <f t="shared" ca="1" si="63"/>
        <v>#REF!</v>
      </c>
      <c r="H869" s="88" t="e">
        <f t="shared" ca="1" si="88"/>
        <v>#REF!</v>
      </c>
      <c r="I869" s="61" t="e">
        <f t="shared" ca="1" si="89"/>
        <v>#REF!</v>
      </c>
      <c r="J869" s="87"/>
      <c r="K869" s="62" t="e">
        <f t="shared" ca="1" si="90"/>
        <v>#REF!</v>
      </c>
      <c r="L869" s="62"/>
      <c r="M869" s="62" t="e">
        <f t="shared" ca="1" si="91"/>
        <v>#REF!</v>
      </c>
      <c r="N869" s="62" t="e">
        <f t="shared" ca="1" si="92"/>
        <v>#REF!</v>
      </c>
      <c r="O869" s="48" t="e">
        <f t="shared" ca="1" si="93"/>
        <v>#REF!</v>
      </c>
      <c r="P869" s="48" t="e">
        <f t="shared" ca="1" si="94"/>
        <v>#REF!</v>
      </c>
      <c r="Q869" s="48" t="e">
        <f t="shared" ca="1" si="95"/>
        <v>#REF!</v>
      </c>
      <c r="R869" s="48"/>
      <c r="S869" s="48" t="e">
        <f t="shared" ca="1" si="96"/>
        <v>#REF!</v>
      </c>
      <c r="T869" s="48" t="e">
        <f t="shared" ca="1" si="97"/>
        <v>#REF!</v>
      </c>
      <c r="U869" s="48" t="e">
        <f t="shared" ca="1" si="98"/>
        <v>#REF!</v>
      </c>
      <c r="V869" s="48"/>
      <c r="W869" s="48"/>
      <c r="X869" s="48"/>
      <c r="Y869" s="48"/>
      <c r="Z869" s="61"/>
      <c r="AA869" s="48" t="e">
        <f t="shared" ca="1" si="64"/>
        <v>#REF!</v>
      </c>
      <c r="AB869" s="48" t="e">
        <f t="shared" ca="1" si="65"/>
        <v>#REF!</v>
      </c>
      <c r="AC869" s="48" t="e">
        <f t="shared" ca="1" si="66"/>
        <v>#REF!</v>
      </c>
      <c r="AD869" s="48" t="e">
        <f t="shared" ca="1" si="67"/>
        <v>#REF!</v>
      </c>
      <c r="AE869" s="48" t="e">
        <f t="shared" ca="1" si="68"/>
        <v>#REF!</v>
      </c>
      <c r="AF869" s="48" t="e">
        <f t="shared" ca="1" si="69"/>
        <v>#REF!</v>
      </c>
      <c r="AG869" s="48" t="e">
        <f t="shared" ca="1" si="70"/>
        <v>#REF!</v>
      </c>
      <c r="AH869" s="48" t="e">
        <f t="shared" ca="1" si="71"/>
        <v>#REF!</v>
      </c>
      <c r="AI869" s="48" t="e">
        <f t="shared" ca="1" si="72"/>
        <v>#REF!</v>
      </c>
      <c r="AJ869" s="48" t="e">
        <f t="shared" ca="1" si="73"/>
        <v>#REF!</v>
      </c>
      <c r="AK869" s="48" t="e">
        <f t="shared" ca="1" si="74"/>
        <v>#REF!</v>
      </c>
      <c r="AL869" s="48" t="e">
        <f t="shared" ca="1" si="75"/>
        <v>#REF!</v>
      </c>
      <c r="AM869" s="48" t="e">
        <f t="shared" ca="1" si="76"/>
        <v>#REF!</v>
      </c>
      <c r="AN869" s="48" t="e">
        <f t="shared" ca="1" si="77"/>
        <v>#REF!</v>
      </c>
      <c r="AO869" s="48" t="e">
        <f t="shared" ca="1" si="78"/>
        <v>#REF!</v>
      </c>
      <c r="AP869" s="48" t="e">
        <f t="shared" ca="1" si="79"/>
        <v>#REF!</v>
      </c>
      <c r="AQ869" s="48" t="e">
        <f t="shared" ca="1" si="80"/>
        <v>#REF!</v>
      </c>
      <c r="AR869" s="48" t="e">
        <f t="shared" ca="1" si="81"/>
        <v>#REF!</v>
      </c>
      <c r="AS869" s="48" t="e">
        <f t="shared" ca="1" si="82"/>
        <v>#REF!</v>
      </c>
      <c r="AT869" s="48" t="e">
        <f t="shared" ca="1" si="83"/>
        <v>#REF!</v>
      </c>
      <c r="AU869" s="93" t="e">
        <f t="shared" ca="1" si="99"/>
        <v>#REF!</v>
      </c>
      <c r="AV869" s="93" t="e">
        <f t="shared" ca="1" si="58"/>
        <v>#REF!</v>
      </c>
      <c r="AW869" s="93" t="e">
        <f t="shared" ca="1" si="59"/>
        <v>#REF!</v>
      </c>
      <c r="AX869" s="93" t="e">
        <f t="shared" ca="1" si="60"/>
        <v>#REF!</v>
      </c>
      <c r="AY869" s="93" t="e">
        <f t="shared" ca="1" si="61"/>
        <v>#REF!</v>
      </c>
    </row>
    <row r="870" spans="1:51" ht="16.5" customHeight="1" x14ac:dyDescent="0.15">
      <c r="A870" s="121" t="s">
        <v>8053</v>
      </c>
      <c r="B870" s="47"/>
      <c r="C870" s="48" t="e">
        <f t="shared" ca="1" si="84"/>
        <v>#REF!</v>
      </c>
      <c r="D870" s="62" t="e">
        <f t="shared" ca="1" si="85"/>
        <v>#REF!</v>
      </c>
      <c r="E870" s="48" t="e">
        <f t="shared" ca="1" si="86"/>
        <v>#REF!</v>
      </c>
      <c r="F870" s="61" t="e">
        <f t="shared" ca="1" si="87"/>
        <v>#REF!</v>
      </c>
      <c r="G870" s="61" t="e">
        <f t="shared" ca="1" si="63"/>
        <v>#REF!</v>
      </c>
      <c r="H870" s="88" t="e">
        <f t="shared" ca="1" si="88"/>
        <v>#REF!</v>
      </c>
      <c r="I870" s="61" t="e">
        <f t="shared" ca="1" si="89"/>
        <v>#REF!</v>
      </c>
      <c r="J870" s="87"/>
      <c r="K870" s="62" t="e">
        <f t="shared" ca="1" si="90"/>
        <v>#REF!</v>
      </c>
      <c r="L870" s="62"/>
      <c r="M870" s="62" t="e">
        <f t="shared" ca="1" si="91"/>
        <v>#REF!</v>
      </c>
      <c r="N870" s="62" t="e">
        <f t="shared" ca="1" si="92"/>
        <v>#REF!</v>
      </c>
      <c r="O870" s="48" t="e">
        <f t="shared" ca="1" si="93"/>
        <v>#REF!</v>
      </c>
      <c r="P870" s="48" t="e">
        <f t="shared" ca="1" si="94"/>
        <v>#REF!</v>
      </c>
      <c r="Q870" s="48" t="e">
        <f t="shared" ca="1" si="95"/>
        <v>#REF!</v>
      </c>
      <c r="R870" s="48"/>
      <c r="S870" s="48" t="e">
        <f t="shared" ca="1" si="96"/>
        <v>#REF!</v>
      </c>
      <c r="T870" s="48" t="e">
        <f t="shared" ca="1" si="97"/>
        <v>#REF!</v>
      </c>
      <c r="U870" s="48" t="e">
        <f t="shared" ca="1" si="98"/>
        <v>#REF!</v>
      </c>
      <c r="V870" s="48"/>
      <c r="W870" s="48"/>
      <c r="X870" s="48"/>
      <c r="Y870" s="48"/>
      <c r="Z870" s="61"/>
      <c r="AA870" s="48" t="e">
        <f t="shared" ca="1" si="64"/>
        <v>#REF!</v>
      </c>
      <c r="AB870" s="48" t="e">
        <f t="shared" ca="1" si="65"/>
        <v>#REF!</v>
      </c>
      <c r="AC870" s="48" t="e">
        <f t="shared" ca="1" si="66"/>
        <v>#REF!</v>
      </c>
      <c r="AD870" s="48" t="e">
        <f t="shared" ca="1" si="67"/>
        <v>#REF!</v>
      </c>
      <c r="AE870" s="48" t="e">
        <f t="shared" ca="1" si="68"/>
        <v>#REF!</v>
      </c>
      <c r="AF870" s="48" t="e">
        <f t="shared" ca="1" si="69"/>
        <v>#REF!</v>
      </c>
      <c r="AG870" s="48" t="e">
        <f t="shared" ca="1" si="70"/>
        <v>#REF!</v>
      </c>
      <c r="AH870" s="48" t="e">
        <f t="shared" ca="1" si="71"/>
        <v>#REF!</v>
      </c>
      <c r="AI870" s="48" t="e">
        <f t="shared" ca="1" si="72"/>
        <v>#REF!</v>
      </c>
      <c r="AJ870" s="48" t="e">
        <f t="shared" ca="1" si="73"/>
        <v>#REF!</v>
      </c>
      <c r="AK870" s="48" t="e">
        <f t="shared" ca="1" si="74"/>
        <v>#REF!</v>
      </c>
      <c r="AL870" s="48" t="e">
        <f t="shared" ca="1" si="75"/>
        <v>#REF!</v>
      </c>
      <c r="AM870" s="48" t="e">
        <f t="shared" ca="1" si="76"/>
        <v>#REF!</v>
      </c>
      <c r="AN870" s="48" t="e">
        <f t="shared" ca="1" si="77"/>
        <v>#REF!</v>
      </c>
      <c r="AO870" s="48" t="e">
        <f t="shared" ca="1" si="78"/>
        <v>#REF!</v>
      </c>
      <c r="AP870" s="48" t="e">
        <f t="shared" ca="1" si="79"/>
        <v>#REF!</v>
      </c>
      <c r="AQ870" s="48" t="e">
        <f t="shared" ca="1" si="80"/>
        <v>#REF!</v>
      </c>
      <c r="AR870" s="48" t="e">
        <f t="shared" ca="1" si="81"/>
        <v>#REF!</v>
      </c>
      <c r="AS870" s="48" t="e">
        <f t="shared" ca="1" si="82"/>
        <v>#REF!</v>
      </c>
      <c r="AT870" s="48" t="e">
        <f t="shared" ca="1" si="83"/>
        <v>#REF!</v>
      </c>
      <c r="AU870" s="93" t="e">
        <f t="shared" ca="1" si="99"/>
        <v>#REF!</v>
      </c>
      <c r="AV870" s="93" t="e">
        <f t="shared" ca="1" si="58"/>
        <v>#REF!</v>
      </c>
      <c r="AW870" s="93" t="e">
        <f t="shared" ca="1" si="59"/>
        <v>#REF!</v>
      </c>
      <c r="AX870" s="93" t="e">
        <f t="shared" ca="1" si="60"/>
        <v>#REF!</v>
      </c>
      <c r="AY870" s="93" t="e">
        <f t="shared" ca="1" si="61"/>
        <v>#REF!</v>
      </c>
    </row>
    <row r="871" spans="1:51" ht="16.5" customHeight="1" x14ac:dyDescent="0.15">
      <c r="A871" s="121" t="s">
        <v>8054</v>
      </c>
      <c r="B871" s="47"/>
      <c r="C871" s="48" t="e">
        <f t="shared" ca="1" si="84"/>
        <v>#REF!</v>
      </c>
      <c r="D871" s="62" t="e">
        <f t="shared" ca="1" si="85"/>
        <v>#REF!</v>
      </c>
      <c r="E871" s="48" t="e">
        <f t="shared" ca="1" si="86"/>
        <v>#REF!</v>
      </c>
      <c r="F871" s="61" t="e">
        <f t="shared" ca="1" si="87"/>
        <v>#REF!</v>
      </c>
      <c r="G871" s="61" t="e">
        <f t="shared" ca="1" si="63"/>
        <v>#REF!</v>
      </c>
      <c r="H871" s="88" t="e">
        <f t="shared" ca="1" si="88"/>
        <v>#REF!</v>
      </c>
      <c r="I871" s="61" t="e">
        <f t="shared" ca="1" si="89"/>
        <v>#REF!</v>
      </c>
      <c r="J871" s="87"/>
      <c r="K871" s="62" t="e">
        <f t="shared" ca="1" si="90"/>
        <v>#REF!</v>
      </c>
      <c r="L871" s="62"/>
      <c r="M871" s="62" t="e">
        <f t="shared" ca="1" si="91"/>
        <v>#REF!</v>
      </c>
      <c r="N871" s="62" t="e">
        <f t="shared" ca="1" si="92"/>
        <v>#REF!</v>
      </c>
      <c r="O871" s="48" t="e">
        <f t="shared" ca="1" si="93"/>
        <v>#REF!</v>
      </c>
      <c r="P871" s="48" t="e">
        <f t="shared" ca="1" si="94"/>
        <v>#REF!</v>
      </c>
      <c r="Q871" s="48" t="e">
        <f t="shared" ca="1" si="95"/>
        <v>#REF!</v>
      </c>
      <c r="R871" s="48"/>
      <c r="S871" s="48" t="e">
        <f t="shared" ca="1" si="96"/>
        <v>#REF!</v>
      </c>
      <c r="T871" s="48" t="e">
        <f t="shared" ca="1" si="97"/>
        <v>#REF!</v>
      </c>
      <c r="U871" s="48" t="e">
        <f t="shared" ca="1" si="98"/>
        <v>#REF!</v>
      </c>
      <c r="V871" s="48"/>
      <c r="W871" s="48"/>
      <c r="X871" s="48"/>
      <c r="Y871" s="48"/>
      <c r="Z871" s="61"/>
      <c r="AA871" s="48" t="e">
        <f t="shared" ca="1" si="64"/>
        <v>#REF!</v>
      </c>
      <c r="AB871" s="48" t="e">
        <f t="shared" ca="1" si="65"/>
        <v>#REF!</v>
      </c>
      <c r="AC871" s="48" t="e">
        <f t="shared" ca="1" si="66"/>
        <v>#REF!</v>
      </c>
      <c r="AD871" s="48" t="e">
        <f t="shared" ca="1" si="67"/>
        <v>#REF!</v>
      </c>
      <c r="AE871" s="48" t="e">
        <f t="shared" ca="1" si="68"/>
        <v>#REF!</v>
      </c>
      <c r="AF871" s="48" t="e">
        <f t="shared" ca="1" si="69"/>
        <v>#REF!</v>
      </c>
      <c r="AG871" s="48" t="e">
        <f t="shared" ca="1" si="70"/>
        <v>#REF!</v>
      </c>
      <c r="AH871" s="48" t="e">
        <f t="shared" ca="1" si="71"/>
        <v>#REF!</v>
      </c>
      <c r="AI871" s="48" t="e">
        <f t="shared" ca="1" si="72"/>
        <v>#REF!</v>
      </c>
      <c r="AJ871" s="48" t="e">
        <f t="shared" ca="1" si="73"/>
        <v>#REF!</v>
      </c>
      <c r="AK871" s="48" t="e">
        <f t="shared" ca="1" si="74"/>
        <v>#REF!</v>
      </c>
      <c r="AL871" s="48" t="e">
        <f t="shared" ca="1" si="75"/>
        <v>#REF!</v>
      </c>
      <c r="AM871" s="48" t="e">
        <f t="shared" ca="1" si="76"/>
        <v>#REF!</v>
      </c>
      <c r="AN871" s="48" t="e">
        <f t="shared" ca="1" si="77"/>
        <v>#REF!</v>
      </c>
      <c r="AO871" s="48" t="e">
        <f t="shared" ca="1" si="78"/>
        <v>#REF!</v>
      </c>
      <c r="AP871" s="48" t="e">
        <f t="shared" ca="1" si="79"/>
        <v>#REF!</v>
      </c>
      <c r="AQ871" s="48" t="e">
        <f t="shared" ca="1" si="80"/>
        <v>#REF!</v>
      </c>
      <c r="AR871" s="48" t="e">
        <f t="shared" ca="1" si="81"/>
        <v>#REF!</v>
      </c>
      <c r="AS871" s="48" t="e">
        <f t="shared" ca="1" si="82"/>
        <v>#REF!</v>
      </c>
      <c r="AT871" s="48" t="e">
        <f t="shared" ca="1" si="83"/>
        <v>#REF!</v>
      </c>
      <c r="AU871" s="93" t="e">
        <f t="shared" ca="1" si="99"/>
        <v>#REF!</v>
      </c>
      <c r="AV871" s="93" t="e">
        <f t="shared" ca="1" si="58"/>
        <v>#REF!</v>
      </c>
      <c r="AW871" s="93" t="e">
        <f t="shared" ca="1" si="59"/>
        <v>#REF!</v>
      </c>
      <c r="AX871" s="93" t="e">
        <f t="shared" ca="1" si="60"/>
        <v>#REF!</v>
      </c>
      <c r="AY871" s="93" t="e">
        <f t="shared" ca="1" si="61"/>
        <v>#REF!</v>
      </c>
    </row>
    <row r="872" spans="1:51" ht="16.5" customHeight="1" x14ac:dyDescent="0.15">
      <c r="A872" s="121" t="s">
        <v>8055</v>
      </c>
      <c r="B872" s="47"/>
      <c r="C872" s="48" t="e">
        <f t="shared" ca="1" si="84"/>
        <v>#REF!</v>
      </c>
      <c r="D872" s="62" t="e">
        <f t="shared" ca="1" si="85"/>
        <v>#REF!</v>
      </c>
      <c r="E872" s="48" t="e">
        <f t="shared" ca="1" si="86"/>
        <v>#REF!</v>
      </c>
      <c r="F872" s="61" t="e">
        <f t="shared" ca="1" si="87"/>
        <v>#REF!</v>
      </c>
      <c r="G872" s="61" t="e">
        <f t="shared" ca="1" si="63"/>
        <v>#REF!</v>
      </c>
      <c r="H872" s="88" t="e">
        <f t="shared" ca="1" si="88"/>
        <v>#REF!</v>
      </c>
      <c r="I872" s="61" t="e">
        <f t="shared" ca="1" si="89"/>
        <v>#REF!</v>
      </c>
      <c r="J872" s="87"/>
      <c r="K872" s="62" t="e">
        <f t="shared" ca="1" si="90"/>
        <v>#REF!</v>
      </c>
      <c r="L872" s="62"/>
      <c r="M872" s="62" t="e">
        <f t="shared" ca="1" si="91"/>
        <v>#REF!</v>
      </c>
      <c r="N872" s="62" t="e">
        <f t="shared" ca="1" si="92"/>
        <v>#REF!</v>
      </c>
      <c r="O872" s="48" t="e">
        <f t="shared" ca="1" si="93"/>
        <v>#REF!</v>
      </c>
      <c r="P872" s="48" t="e">
        <f t="shared" ca="1" si="94"/>
        <v>#REF!</v>
      </c>
      <c r="Q872" s="48" t="e">
        <f t="shared" ca="1" si="95"/>
        <v>#REF!</v>
      </c>
      <c r="R872" s="48"/>
      <c r="S872" s="48" t="e">
        <f t="shared" ca="1" si="96"/>
        <v>#REF!</v>
      </c>
      <c r="T872" s="48" t="e">
        <f t="shared" ca="1" si="97"/>
        <v>#REF!</v>
      </c>
      <c r="U872" s="48" t="e">
        <f t="shared" ca="1" si="98"/>
        <v>#REF!</v>
      </c>
      <c r="V872" s="48"/>
      <c r="W872" s="48"/>
      <c r="X872" s="48"/>
      <c r="Y872" s="48"/>
      <c r="Z872" s="61"/>
      <c r="AA872" s="48" t="e">
        <f t="shared" ca="1" si="64"/>
        <v>#REF!</v>
      </c>
      <c r="AB872" s="48" t="e">
        <f t="shared" ca="1" si="65"/>
        <v>#REF!</v>
      </c>
      <c r="AC872" s="48" t="e">
        <f t="shared" ca="1" si="66"/>
        <v>#REF!</v>
      </c>
      <c r="AD872" s="48" t="e">
        <f t="shared" ca="1" si="67"/>
        <v>#REF!</v>
      </c>
      <c r="AE872" s="48" t="e">
        <f t="shared" ca="1" si="68"/>
        <v>#REF!</v>
      </c>
      <c r="AF872" s="48" t="e">
        <f t="shared" ca="1" si="69"/>
        <v>#REF!</v>
      </c>
      <c r="AG872" s="48" t="e">
        <f t="shared" ca="1" si="70"/>
        <v>#REF!</v>
      </c>
      <c r="AH872" s="48" t="e">
        <f t="shared" ca="1" si="71"/>
        <v>#REF!</v>
      </c>
      <c r="AI872" s="48" t="e">
        <f t="shared" ca="1" si="72"/>
        <v>#REF!</v>
      </c>
      <c r="AJ872" s="48" t="e">
        <f t="shared" ca="1" si="73"/>
        <v>#REF!</v>
      </c>
      <c r="AK872" s="48" t="e">
        <f t="shared" ca="1" si="74"/>
        <v>#REF!</v>
      </c>
      <c r="AL872" s="48" t="e">
        <f t="shared" ca="1" si="75"/>
        <v>#REF!</v>
      </c>
      <c r="AM872" s="48" t="e">
        <f t="shared" ca="1" si="76"/>
        <v>#REF!</v>
      </c>
      <c r="AN872" s="48" t="e">
        <f t="shared" ca="1" si="77"/>
        <v>#REF!</v>
      </c>
      <c r="AO872" s="48" t="e">
        <f t="shared" ca="1" si="78"/>
        <v>#REF!</v>
      </c>
      <c r="AP872" s="48" t="e">
        <f t="shared" ca="1" si="79"/>
        <v>#REF!</v>
      </c>
      <c r="AQ872" s="48" t="e">
        <f t="shared" ca="1" si="80"/>
        <v>#REF!</v>
      </c>
      <c r="AR872" s="48" t="e">
        <f t="shared" ca="1" si="81"/>
        <v>#REF!</v>
      </c>
      <c r="AS872" s="48" t="e">
        <f t="shared" ca="1" si="82"/>
        <v>#REF!</v>
      </c>
      <c r="AT872" s="48" t="e">
        <f t="shared" ca="1" si="83"/>
        <v>#REF!</v>
      </c>
      <c r="AU872" s="93" t="e">
        <f t="shared" ca="1" si="99"/>
        <v>#REF!</v>
      </c>
      <c r="AV872" s="93" t="e">
        <f t="shared" ca="1" si="58"/>
        <v>#REF!</v>
      </c>
      <c r="AW872" s="93" t="e">
        <f t="shared" ca="1" si="59"/>
        <v>#REF!</v>
      </c>
      <c r="AX872" s="93" t="e">
        <f t="shared" ca="1" si="60"/>
        <v>#REF!</v>
      </c>
      <c r="AY872" s="93" t="e">
        <f t="shared" ca="1" si="61"/>
        <v>#REF!</v>
      </c>
    </row>
    <row r="873" spans="1:51" ht="16.5" customHeight="1" x14ac:dyDescent="0.15">
      <c r="A873" s="121" t="s">
        <v>8056</v>
      </c>
      <c r="B873" s="47"/>
      <c r="C873" s="48" t="e">
        <f t="shared" ca="1" si="84"/>
        <v>#REF!</v>
      </c>
      <c r="D873" s="62" t="e">
        <f t="shared" ca="1" si="85"/>
        <v>#REF!</v>
      </c>
      <c r="E873" s="48" t="e">
        <f t="shared" ca="1" si="86"/>
        <v>#REF!</v>
      </c>
      <c r="F873" s="61" t="e">
        <f t="shared" ca="1" si="87"/>
        <v>#REF!</v>
      </c>
      <c r="G873" s="61" t="e">
        <f t="shared" ca="1" si="63"/>
        <v>#REF!</v>
      </c>
      <c r="H873" s="88" t="e">
        <f t="shared" ca="1" si="88"/>
        <v>#REF!</v>
      </c>
      <c r="I873" s="61" t="e">
        <f t="shared" ca="1" si="89"/>
        <v>#REF!</v>
      </c>
      <c r="J873" s="87"/>
      <c r="K873" s="62" t="e">
        <f t="shared" ca="1" si="90"/>
        <v>#REF!</v>
      </c>
      <c r="L873" s="62"/>
      <c r="M873" s="62" t="e">
        <f t="shared" ca="1" si="91"/>
        <v>#REF!</v>
      </c>
      <c r="N873" s="62" t="e">
        <f t="shared" ca="1" si="92"/>
        <v>#REF!</v>
      </c>
      <c r="O873" s="48" t="e">
        <f t="shared" ca="1" si="93"/>
        <v>#REF!</v>
      </c>
      <c r="P873" s="48" t="e">
        <f t="shared" ca="1" si="94"/>
        <v>#REF!</v>
      </c>
      <c r="Q873" s="48" t="e">
        <f t="shared" ca="1" si="95"/>
        <v>#REF!</v>
      </c>
      <c r="R873" s="48"/>
      <c r="S873" s="48" t="e">
        <f t="shared" ca="1" si="96"/>
        <v>#REF!</v>
      </c>
      <c r="T873" s="48" t="e">
        <f t="shared" ca="1" si="97"/>
        <v>#REF!</v>
      </c>
      <c r="U873" s="48" t="e">
        <f t="shared" ca="1" si="98"/>
        <v>#REF!</v>
      </c>
      <c r="V873" s="48"/>
      <c r="W873" s="48"/>
      <c r="X873" s="48"/>
      <c r="Y873" s="48"/>
      <c r="Z873" s="61"/>
      <c r="AA873" s="48" t="e">
        <f t="shared" ca="1" si="64"/>
        <v>#REF!</v>
      </c>
      <c r="AB873" s="48" t="e">
        <f t="shared" ca="1" si="65"/>
        <v>#REF!</v>
      </c>
      <c r="AC873" s="48" t="e">
        <f t="shared" ca="1" si="66"/>
        <v>#REF!</v>
      </c>
      <c r="AD873" s="48" t="e">
        <f t="shared" ca="1" si="67"/>
        <v>#REF!</v>
      </c>
      <c r="AE873" s="48" t="e">
        <f t="shared" ca="1" si="68"/>
        <v>#REF!</v>
      </c>
      <c r="AF873" s="48" t="e">
        <f t="shared" ca="1" si="69"/>
        <v>#REF!</v>
      </c>
      <c r="AG873" s="48" t="e">
        <f t="shared" ca="1" si="70"/>
        <v>#REF!</v>
      </c>
      <c r="AH873" s="48" t="e">
        <f t="shared" ca="1" si="71"/>
        <v>#REF!</v>
      </c>
      <c r="AI873" s="48" t="e">
        <f t="shared" ca="1" si="72"/>
        <v>#REF!</v>
      </c>
      <c r="AJ873" s="48" t="e">
        <f t="shared" ca="1" si="73"/>
        <v>#REF!</v>
      </c>
      <c r="AK873" s="48" t="e">
        <f t="shared" ca="1" si="74"/>
        <v>#REF!</v>
      </c>
      <c r="AL873" s="48" t="e">
        <f t="shared" ca="1" si="75"/>
        <v>#REF!</v>
      </c>
      <c r="AM873" s="48" t="e">
        <f t="shared" ca="1" si="76"/>
        <v>#REF!</v>
      </c>
      <c r="AN873" s="48" t="e">
        <f t="shared" ca="1" si="77"/>
        <v>#REF!</v>
      </c>
      <c r="AO873" s="48" t="e">
        <f t="shared" ca="1" si="78"/>
        <v>#REF!</v>
      </c>
      <c r="AP873" s="48" t="e">
        <f t="shared" ca="1" si="79"/>
        <v>#REF!</v>
      </c>
      <c r="AQ873" s="48" t="e">
        <f t="shared" ca="1" si="80"/>
        <v>#REF!</v>
      </c>
      <c r="AR873" s="48" t="e">
        <f t="shared" ca="1" si="81"/>
        <v>#REF!</v>
      </c>
      <c r="AS873" s="48" t="e">
        <f t="shared" ca="1" si="82"/>
        <v>#REF!</v>
      </c>
      <c r="AT873" s="48" t="e">
        <f t="shared" ca="1" si="83"/>
        <v>#REF!</v>
      </c>
      <c r="AU873" s="93" t="e">
        <f t="shared" ca="1" si="99"/>
        <v>#REF!</v>
      </c>
      <c r="AV873" s="93" t="e">
        <f t="shared" ca="1" si="58"/>
        <v>#REF!</v>
      </c>
      <c r="AW873" s="93" t="e">
        <f t="shared" ca="1" si="59"/>
        <v>#REF!</v>
      </c>
      <c r="AX873" s="93" t="e">
        <f t="shared" ca="1" si="60"/>
        <v>#REF!</v>
      </c>
      <c r="AY873" s="93" t="e">
        <f t="shared" ca="1" si="61"/>
        <v>#REF!</v>
      </c>
    </row>
    <row r="874" spans="1:51" ht="16.5" customHeight="1" x14ac:dyDescent="0.15">
      <c r="A874" s="121" t="s">
        <v>8057</v>
      </c>
      <c r="B874" s="47"/>
      <c r="C874" s="48" t="e">
        <f t="shared" ca="1" si="84"/>
        <v>#REF!</v>
      </c>
      <c r="D874" s="62" t="e">
        <f t="shared" ca="1" si="85"/>
        <v>#REF!</v>
      </c>
      <c r="E874" s="48" t="e">
        <f t="shared" ca="1" si="86"/>
        <v>#REF!</v>
      </c>
      <c r="F874" s="61" t="e">
        <f t="shared" ca="1" si="87"/>
        <v>#REF!</v>
      </c>
      <c r="G874" s="61" t="e">
        <f t="shared" ca="1" si="63"/>
        <v>#REF!</v>
      </c>
      <c r="H874" s="88" t="e">
        <f t="shared" ca="1" si="88"/>
        <v>#REF!</v>
      </c>
      <c r="I874" s="61" t="e">
        <f t="shared" ca="1" si="89"/>
        <v>#REF!</v>
      </c>
      <c r="J874" s="87"/>
      <c r="K874" s="62" t="e">
        <f t="shared" ca="1" si="90"/>
        <v>#REF!</v>
      </c>
      <c r="L874" s="62"/>
      <c r="M874" s="62" t="e">
        <f t="shared" ca="1" si="91"/>
        <v>#REF!</v>
      </c>
      <c r="N874" s="62" t="e">
        <f t="shared" ca="1" si="92"/>
        <v>#REF!</v>
      </c>
      <c r="O874" s="48" t="e">
        <f t="shared" ca="1" si="93"/>
        <v>#REF!</v>
      </c>
      <c r="P874" s="48" t="e">
        <f t="shared" ca="1" si="94"/>
        <v>#REF!</v>
      </c>
      <c r="Q874" s="48" t="e">
        <f t="shared" ca="1" si="95"/>
        <v>#REF!</v>
      </c>
      <c r="R874" s="48"/>
      <c r="S874" s="48" t="e">
        <f t="shared" ca="1" si="96"/>
        <v>#REF!</v>
      </c>
      <c r="T874" s="48" t="e">
        <f t="shared" ca="1" si="97"/>
        <v>#REF!</v>
      </c>
      <c r="U874" s="48" t="e">
        <f t="shared" ca="1" si="98"/>
        <v>#REF!</v>
      </c>
      <c r="V874" s="48"/>
      <c r="W874" s="48"/>
      <c r="X874" s="48"/>
      <c r="Y874" s="48"/>
      <c r="Z874" s="61"/>
      <c r="AA874" s="48" t="e">
        <f t="shared" ca="1" si="64"/>
        <v>#REF!</v>
      </c>
      <c r="AB874" s="48" t="e">
        <f t="shared" ca="1" si="65"/>
        <v>#REF!</v>
      </c>
      <c r="AC874" s="48" t="e">
        <f t="shared" ca="1" si="66"/>
        <v>#REF!</v>
      </c>
      <c r="AD874" s="48" t="e">
        <f t="shared" ca="1" si="67"/>
        <v>#REF!</v>
      </c>
      <c r="AE874" s="48" t="e">
        <f t="shared" ca="1" si="68"/>
        <v>#REF!</v>
      </c>
      <c r="AF874" s="48" t="e">
        <f t="shared" ca="1" si="69"/>
        <v>#REF!</v>
      </c>
      <c r="AG874" s="48" t="e">
        <f t="shared" ca="1" si="70"/>
        <v>#REF!</v>
      </c>
      <c r="AH874" s="48" t="e">
        <f t="shared" ca="1" si="71"/>
        <v>#REF!</v>
      </c>
      <c r="AI874" s="48" t="e">
        <f t="shared" ca="1" si="72"/>
        <v>#REF!</v>
      </c>
      <c r="AJ874" s="48" t="e">
        <f t="shared" ca="1" si="73"/>
        <v>#REF!</v>
      </c>
      <c r="AK874" s="48" t="e">
        <f t="shared" ca="1" si="74"/>
        <v>#REF!</v>
      </c>
      <c r="AL874" s="48" t="e">
        <f t="shared" ca="1" si="75"/>
        <v>#REF!</v>
      </c>
      <c r="AM874" s="48" t="e">
        <f t="shared" ca="1" si="76"/>
        <v>#REF!</v>
      </c>
      <c r="AN874" s="48" t="e">
        <f t="shared" ca="1" si="77"/>
        <v>#REF!</v>
      </c>
      <c r="AO874" s="48" t="e">
        <f t="shared" ca="1" si="78"/>
        <v>#REF!</v>
      </c>
      <c r="AP874" s="48" t="e">
        <f t="shared" ca="1" si="79"/>
        <v>#REF!</v>
      </c>
      <c r="AQ874" s="48" t="e">
        <f t="shared" ca="1" si="80"/>
        <v>#REF!</v>
      </c>
      <c r="AR874" s="48" t="e">
        <f t="shared" ca="1" si="81"/>
        <v>#REF!</v>
      </c>
      <c r="AS874" s="48" t="e">
        <f t="shared" ca="1" si="82"/>
        <v>#REF!</v>
      </c>
      <c r="AT874" s="48" t="e">
        <f t="shared" ca="1" si="83"/>
        <v>#REF!</v>
      </c>
      <c r="AU874" s="93" t="e">
        <f t="shared" ca="1" si="99"/>
        <v>#REF!</v>
      </c>
      <c r="AV874" s="93" t="e">
        <f t="shared" ca="1" si="58"/>
        <v>#REF!</v>
      </c>
      <c r="AW874" s="93" t="e">
        <f t="shared" ca="1" si="59"/>
        <v>#REF!</v>
      </c>
      <c r="AX874" s="93" t="e">
        <f t="shared" ca="1" si="60"/>
        <v>#REF!</v>
      </c>
      <c r="AY874" s="93" t="e">
        <f t="shared" ca="1" si="61"/>
        <v>#REF!</v>
      </c>
    </row>
    <row r="875" spans="1:51" ht="16.5" customHeight="1" x14ac:dyDescent="0.15">
      <c r="A875" s="121" t="s">
        <v>8058</v>
      </c>
      <c r="B875" s="47"/>
      <c r="C875" s="48" t="e">
        <f t="shared" ca="1" si="84"/>
        <v>#REF!</v>
      </c>
      <c r="D875" s="62" t="e">
        <f t="shared" ca="1" si="85"/>
        <v>#REF!</v>
      </c>
      <c r="E875" s="48" t="e">
        <f t="shared" ca="1" si="86"/>
        <v>#REF!</v>
      </c>
      <c r="F875" s="61" t="e">
        <f t="shared" ca="1" si="87"/>
        <v>#REF!</v>
      </c>
      <c r="G875" s="61" t="e">
        <f t="shared" ca="1" si="63"/>
        <v>#REF!</v>
      </c>
      <c r="H875" s="88" t="e">
        <f t="shared" ca="1" si="88"/>
        <v>#REF!</v>
      </c>
      <c r="I875" s="61" t="e">
        <f t="shared" ca="1" si="89"/>
        <v>#REF!</v>
      </c>
      <c r="J875" s="87"/>
      <c r="K875" s="62" t="e">
        <f t="shared" ca="1" si="90"/>
        <v>#REF!</v>
      </c>
      <c r="L875" s="62"/>
      <c r="M875" s="62" t="e">
        <f t="shared" ca="1" si="91"/>
        <v>#REF!</v>
      </c>
      <c r="N875" s="62" t="e">
        <f t="shared" ca="1" si="92"/>
        <v>#REF!</v>
      </c>
      <c r="O875" s="48" t="e">
        <f t="shared" ca="1" si="93"/>
        <v>#REF!</v>
      </c>
      <c r="P875" s="48" t="e">
        <f t="shared" ca="1" si="94"/>
        <v>#REF!</v>
      </c>
      <c r="Q875" s="48" t="e">
        <f t="shared" ca="1" si="95"/>
        <v>#REF!</v>
      </c>
      <c r="R875" s="48"/>
      <c r="S875" s="48" t="e">
        <f t="shared" ca="1" si="96"/>
        <v>#REF!</v>
      </c>
      <c r="T875" s="48" t="e">
        <f t="shared" ca="1" si="97"/>
        <v>#REF!</v>
      </c>
      <c r="U875" s="48" t="e">
        <f t="shared" ca="1" si="98"/>
        <v>#REF!</v>
      </c>
      <c r="V875" s="48"/>
      <c r="W875" s="48"/>
      <c r="X875" s="48"/>
      <c r="Y875" s="48"/>
      <c r="Z875" s="61"/>
      <c r="AA875" s="48" t="e">
        <f t="shared" ca="1" si="64"/>
        <v>#REF!</v>
      </c>
      <c r="AB875" s="48" t="e">
        <f t="shared" ca="1" si="65"/>
        <v>#REF!</v>
      </c>
      <c r="AC875" s="48" t="e">
        <f t="shared" ca="1" si="66"/>
        <v>#REF!</v>
      </c>
      <c r="AD875" s="48" t="e">
        <f t="shared" ca="1" si="67"/>
        <v>#REF!</v>
      </c>
      <c r="AE875" s="48" t="e">
        <f t="shared" ca="1" si="68"/>
        <v>#REF!</v>
      </c>
      <c r="AF875" s="48" t="e">
        <f t="shared" ca="1" si="69"/>
        <v>#REF!</v>
      </c>
      <c r="AG875" s="48" t="e">
        <f t="shared" ca="1" si="70"/>
        <v>#REF!</v>
      </c>
      <c r="AH875" s="48" t="e">
        <f t="shared" ca="1" si="71"/>
        <v>#REF!</v>
      </c>
      <c r="AI875" s="48" t="e">
        <f t="shared" ca="1" si="72"/>
        <v>#REF!</v>
      </c>
      <c r="AJ875" s="48" t="e">
        <f t="shared" ca="1" si="73"/>
        <v>#REF!</v>
      </c>
      <c r="AK875" s="48" t="e">
        <f t="shared" ca="1" si="74"/>
        <v>#REF!</v>
      </c>
      <c r="AL875" s="48" t="e">
        <f t="shared" ca="1" si="75"/>
        <v>#REF!</v>
      </c>
      <c r="AM875" s="48" t="e">
        <f t="shared" ca="1" si="76"/>
        <v>#REF!</v>
      </c>
      <c r="AN875" s="48" t="e">
        <f t="shared" ca="1" si="77"/>
        <v>#REF!</v>
      </c>
      <c r="AO875" s="48" t="e">
        <f t="shared" ca="1" si="78"/>
        <v>#REF!</v>
      </c>
      <c r="AP875" s="48" t="e">
        <f t="shared" ca="1" si="79"/>
        <v>#REF!</v>
      </c>
      <c r="AQ875" s="48" t="e">
        <f t="shared" ca="1" si="80"/>
        <v>#REF!</v>
      </c>
      <c r="AR875" s="48" t="e">
        <f t="shared" ca="1" si="81"/>
        <v>#REF!</v>
      </c>
      <c r="AS875" s="48" t="e">
        <f t="shared" ca="1" si="82"/>
        <v>#REF!</v>
      </c>
      <c r="AT875" s="48" t="e">
        <f t="shared" ca="1" si="83"/>
        <v>#REF!</v>
      </c>
      <c r="AU875" s="93" t="e">
        <f t="shared" ca="1" si="99"/>
        <v>#REF!</v>
      </c>
      <c r="AV875" s="93" t="e">
        <f t="shared" ca="1" si="58"/>
        <v>#REF!</v>
      </c>
      <c r="AW875" s="93" t="e">
        <f t="shared" ca="1" si="59"/>
        <v>#REF!</v>
      </c>
      <c r="AX875" s="93" t="e">
        <f t="shared" ca="1" si="60"/>
        <v>#REF!</v>
      </c>
      <c r="AY875" s="93" t="e">
        <f t="shared" ca="1" si="61"/>
        <v>#REF!</v>
      </c>
    </row>
  </sheetData>
  <mergeCells count="1">
    <mergeCell ref="C1:E1"/>
  </mergeCells>
  <phoneticPr fontId="53"/>
  <conditionalFormatting sqref="H12:H126">
    <cfRule type="containsText" dxfId="36" priority="37" stopIfTrue="1" operator="containsText" text=" ">
      <formula>NOT(ISERROR(SEARCH(" ",H12)))</formula>
    </cfRule>
  </conditionalFormatting>
  <conditionalFormatting sqref="H127:H154">
    <cfRule type="containsText" dxfId="35" priority="36" stopIfTrue="1" operator="containsText" text=" ">
      <formula>NOT(ISERROR(SEARCH(" ",H127)))</formula>
    </cfRule>
  </conditionalFormatting>
  <conditionalFormatting sqref="H155:H171">
    <cfRule type="containsText" dxfId="34" priority="35" stopIfTrue="1" operator="containsText" text=" ">
      <formula>NOT(ISERROR(SEARCH(" ",H155)))</formula>
    </cfRule>
  </conditionalFormatting>
  <conditionalFormatting sqref="H172:H186">
    <cfRule type="containsText" dxfId="33" priority="34" stopIfTrue="1" operator="containsText" text=" ">
      <formula>NOT(ISERROR(SEARCH(" ",H172)))</formula>
    </cfRule>
  </conditionalFormatting>
  <conditionalFormatting sqref="H187:H208">
    <cfRule type="containsText" dxfId="32" priority="33" stopIfTrue="1" operator="containsText" text=" ">
      <formula>NOT(ISERROR(SEARCH(" ",H187)))</formula>
    </cfRule>
  </conditionalFormatting>
  <conditionalFormatting sqref="H209:H225">
    <cfRule type="containsText" dxfId="31" priority="32" stopIfTrue="1" operator="containsText" text=" ">
      <formula>NOT(ISERROR(SEARCH(" ",H209)))</formula>
    </cfRule>
  </conditionalFormatting>
  <conditionalFormatting sqref="H226:H233 H235">
    <cfRule type="containsText" dxfId="30" priority="31" stopIfTrue="1" operator="containsText" text=" ">
      <formula>NOT(ISERROR(SEARCH(" ",H226)))</formula>
    </cfRule>
  </conditionalFormatting>
  <conditionalFormatting sqref="H236:H249">
    <cfRule type="containsText" dxfId="29" priority="30" stopIfTrue="1" operator="containsText" text=" ">
      <formula>NOT(ISERROR(SEARCH(" ",H236)))</formula>
    </cfRule>
  </conditionalFormatting>
  <conditionalFormatting sqref="H250:H268">
    <cfRule type="containsText" dxfId="28" priority="29" stopIfTrue="1" operator="containsText" text=" ">
      <formula>NOT(ISERROR(SEARCH(" ",H250)))</formula>
    </cfRule>
  </conditionalFormatting>
  <conditionalFormatting sqref="H269:H288">
    <cfRule type="containsText" dxfId="27" priority="28" stopIfTrue="1" operator="containsText" text=" ">
      <formula>NOT(ISERROR(SEARCH(" ",H269)))</formula>
    </cfRule>
  </conditionalFormatting>
  <conditionalFormatting sqref="H289:H305">
    <cfRule type="containsText" dxfId="26" priority="27" stopIfTrue="1" operator="containsText" text=" ">
      <formula>NOT(ISERROR(SEARCH(" ",H289)))</formula>
    </cfRule>
  </conditionalFormatting>
  <conditionalFormatting sqref="H306:H327">
    <cfRule type="containsText" dxfId="25" priority="26" stopIfTrue="1" operator="containsText" text=" ">
      <formula>NOT(ISERROR(SEARCH(" ",H306)))</formula>
    </cfRule>
  </conditionalFormatting>
  <conditionalFormatting sqref="H328:H357">
    <cfRule type="containsText" dxfId="24" priority="25" stopIfTrue="1" operator="containsText" text=" ">
      <formula>NOT(ISERROR(SEARCH(" ",H328)))</formula>
    </cfRule>
  </conditionalFormatting>
  <conditionalFormatting sqref="H358:H371">
    <cfRule type="containsText" dxfId="23" priority="24" stopIfTrue="1" operator="containsText" text=" ">
      <formula>NOT(ISERROR(SEARCH(" ",H358)))</formula>
    </cfRule>
  </conditionalFormatting>
  <conditionalFormatting sqref="H372:H388">
    <cfRule type="containsText" dxfId="22" priority="23" stopIfTrue="1" operator="containsText" text=" ">
      <formula>NOT(ISERROR(SEARCH(" ",H372)))</formula>
    </cfRule>
  </conditionalFormatting>
  <conditionalFormatting sqref="H389:H414">
    <cfRule type="containsText" dxfId="21" priority="22" stopIfTrue="1" operator="containsText" text=" ">
      <formula>NOT(ISERROR(SEARCH(" ",H389)))</formula>
    </cfRule>
  </conditionalFormatting>
  <conditionalFormatting sqref="H415:H431">
    <cfRule type="containsText" dxfId="20" priority="21" stopIfTrue="1" operator="containsText" text=" ">
      <formula>NOT(ISERROR(SEARCH(" ",H415)))</formula>
    </cfRule>
  </conditionalFormatting>
  <conditionalFormatting sqref="H432:H452">
    <cfRule type="containsText" dxfId="19" priority="20" stopIfTrue="1" operator="containsText" text=" ">
      <formula>NOT(ISERROR(SEARCH(" ",H432)))</formula>
    </cfRule>
  </conditionalFormatting>
  <conditionalFormatting sqref="H453:H464">
    <cfRule type="containsText" dxfId="18" priority="19" stopIfTrue="1" operator="containsText" text=" ">
      <formula>NOT(ISERROR(SEARCH(" ",H453)))</formula>
    </cfRule>
  </conditionalFormatting>
  <conditionalFormatting sqref="H465:H482">
    <cfRule type="containsText" dxfId="17" priority="18" stopIfTrue="1" operator="containsText" text=" ">
      <formula>NOT(ISERROR(SEARCH(" ",H465)))</formula>
    </cfRule>
  </conditionalFormatting>
  <conditionalFormatting sqref="H483:H501">
    <cfRule type="containsText" dxfId="16" priority="17" stopIfTrue="1" operator="containsText" text=" ">
      <formula>NOT(ISERROR(SEARCH(" ",H483)))</formula>
    </cfRule>
  </conditionalFormatting>
  <conditionalFormatting sqref="H502:H529">
    <cfRule type="containsText" dxfId="15" priority="16" stopIfTrue="1" operator="containsText" text=" ">
      <formula>NOT(ISERROR(SEARCH(" ",H502)))</formula>
    </cfRule>
  </conditionalFormatting>
  <conditionalFormatting sqref="H530:H559">
    <cfRule type="containsText" dxfId="14" priority="15" stopIfTrue="1" operator="containsText" text=" ">
      <formula>NOT(ISERROR(SEARCH(" ",H530)))</formula>
    </cfRule>
  </conditionalFormatting>
  <conditionalFormatting sqref="H560:H587">
    <cfRule type="containsText" dxfId="13" priority="14" stopIfTrue="1" operator="containsText" text=" ">
      <formula>NOT(ISERROR(SEARCH(" ",H560)))</formula>
    </cfRule>
  </conditionalFormatting>
  <conditionalFormatting sqref="H588:H611">
    <cfRule type="containsText" dxfId="12" priority="13" stopIfTrue="1" operator="containsText" text=" ">
      <formula>NOT(ISERROR(SEARCH(" ",H588)))</formula>
    </cfRule>
  </conditionalFormatting>
  <conditionalFormatting sqref="H612:H621">
    <cfRule type="containsText" dxfId="11" priority="12" stopIfTrue="1" operator="containsText" text=" ">
      <formula>NOT(ISERROR(SEARCH(" ",H612)))</formula>
    </cfRule>
  </conditionalFormatting>
  <conditionalFormatting sqref="H622:H658">
    <cfRule type="containsText" dxfId="10" priority="11" stopIfTrue="1" operator="containsText" text=" ">
      <formula>NOT(ISERROR(SEARCH(" ",H622)))</formula>
    </cfRule>
  </conditionalFormatting>
  <conditionalFormatting sqref="H659:H689">
    <cfRule type="containsText" dxfId="9" priority="10" stopIfTrue="1" operator="containsText" text=" ">
      <formula>NOT(ISERROR(SEARCH(" ",H659)))</formula>
    </cfRule>
  </conditionalFormatting>
  <conditionalFormatting sqref="H690:H705">
    <cfRule type="containsText" dxfId="8" priority="9" stopIfTrue="1" operator="containsText" text=" ">
      <formula>NOT(ISERROR(SEARCH(" ",H690)))</formula>
    </cfRule>
  </conditionalFormatting>
  <conditionalFormatting sqref="H706:H723">
    <cfRule type="containsText" dxfId="7" priority="8" stopIfTrue="1" operator="containsText" text=" ">
      <formula>NOT(ISERROR(SEARCH(" ",H706)))</formula>
    </cfRule>
  </conditionalFormatting>
  <conditionalFormatting sqref="H724:H735">
    <cfRule type="containsText" dxfId="6" priority="7" stopIfTrue="1" operator="containsText" text=" ">
      <formula>NOT(ISERROR(SEARCH(" ",H724)))</formula>
    </cfRule>
  </conditionalFormatting>
  <conditionalFormatting sqref="H736:H763">
    <cfRule type="containsText" dxfId="5" priority="6" stopIfTrue="1" operator="containsText" text=" ">
      <formula>NOT(ISERROR(SEARCH(" ",H736)))</formula>
    </cfRule>
  </conditionalFormatting>
  <conditionalFormatting sqref="H764:H777">
    <cfRule type="containsText" dxfId="4" priority="5" stopIfTrue="1" operator="containsText" text=" ">
      <formula>NOT(ISERROR(SEARCH(" ",H764)))</formula>
    </cfRule>
  </conditionalFormatting>
  <conditionalFormatting sqref="H778:H787">
    <cfRule type="containsText" dxfId="3" priority="4" stopIfTrue="1" operator="containsText" text=" ">
      <formula>NOT(ISERROR(SEARCH(" ",H778)))</formula>
    </cfRule>
  </conditionalFormatting>
  <conditionalFormatting sqref="H788:H815">
    <cfRule type="containsText" dxfId="2" priority="3" stopIfTrue="1" operator="containsText" text=" ">
      <formula>NOT(ISERROR(SEARCH(" ",H788)))</formula>
    </cfRule>
  </conditionalFormatting>
  <conditionalFormatting sqref="H816:H848">
    <cfRule type="containsText" dxfId="1" priority="2" stopIfTrue="1" operator="containsText" text=" ">
      <formula>NOT(ISERROR(SEARCH(" ",H816)))</formula>
    </cfRule>
  </conditionalFormatting>
  <conditionalFormatting sqref="H849:H875">
    <cfRule type="containsText" dxfId="0" priority="1" stopIfTrue="1" operator="containsText" text=" ">
      <formula>NOT(ISERROR(SEARCH(" ",H849)))</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1]!VisibleNames">
                <anchor moveWithCells="1" sizeWithCells="1">
                  <from>
                    <xdr:col>14</xdr:col>
                    <xdr:colOff>476250</xdr:colOff>
                    <xdr:row>0</xdr:row>
                    <xdr:rowOff>95250</xdr:rowOff>
                  </from>
                  <to>
                    <xdr:col>15</xdr:col>
                    <xdr:colOff>781050</xdr:colOff>
                    <xdr:row>1</xdr:row>
                    <xdr:rowOff>0</xdr:rowOff>
                  </to>
                </anchor>
              </controlPr>
            </control>
          </mc:Choice>
        </mc:AlternateContent>
        <mc:AlternateContent xmlns:mc="http://schemas.openxmlformats.org/markup-compatibility/2006">
          <mc:Choice Requires="x14">
            <control shapeId="8194" r:id="rId4" name="Button 2">
              <controlPr defaultSize="0" print="0" autoFill="0" autoPict="0" macro="[1]!LedgerRecalculation">
                <anchor moveWithCells="1" sizeWithCells="1">
                  <from>
                    <xdr:col>0</xdr:col>
                    <xdr:colOff>142875</xdr:colOff>
                    <xdr:row>1</xdr:row>
                    <xdr:rowOff>66675</xdr:rowOff>
                  </from>
                  <to>
                    <xdr:col>1</xdr:col>
                    <xdr:colOff>219075</xdr:colOff>
                    <xdr:row>2</xdr:row>
                    <xdr:rowOff>180975</xdr:rowOff>
                  </to>
                </anchor>
              </controlPr>
            </control>
          </mc:Choice>
        </mc:AlternateContent>
        <mc:AlternateContent xmlns:mc="http://schemas.openxmlformats.org/markup-compatibility/2006">
          <mc:Choice Requires="x14">
            <control shapeId="8195" r:id="rId5" name="Button 3">
              <controlPr defaultSize="0" print="0" autoFill="0" autoPict="0" macro="[0]!MaterialCreation">
                <anchor moveWithCells="1" sizeWithCells="1">
                  <from>
                    <xdr:col>1</xdr:col>
                    <xdr:colOff>552450</xdr:colOff>
                    <xdr:row>1</xdr:row>
                    <xdr:rowOff>95250</xdr:rowOff>
                  </from>
                  <to>
                    <xdr:col>1</xdr:col>
                    <xdr:colOff>1343025</xdr:colOff>
                    <xdr:row>2</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FFFF00"/>
  </sheetPr>
  <dimension ref="B1:T74"/>
  <sheetViews>
    <sheetView view="pageBreakPreview" zoomScale="90" zoomScaleNormal="100" zoomScaleSheetLayoutView="90" workbookViewId="0">
      <selection activeCell="P3" sqref="P3"/>
    </sheetView>
  </sheetViews>
  <sheetFormatPr defaultRowHeight="13.5" x14ac:dyDescent="0.15"/>
  <sheetData>
    <row r="1" spans="15:20" ht="14.25" thickBot="1" x14ac:dyDescent="0.2"/>
    <row r="2" spans="15:20" x14ac:dyDescent="0.15">
      <c r="O2" s="170" t="s">
        <v>8062</v>
      </c>
      <c r="P2" s="176" t="s">
        <v>89</v>
      </c>
      <c r="Q2" s="177"/>
      <c r="R2" s="177"/>
      <c r="S2" s="177"/>
      <c r="T2" s="178"/>
    </row>
    <row r="3" spans="15:20" ht="14.25" thickBot="1" x14ac:dyDescent="0.2">
      <c r="O3" s="171" t="s">
        <v>275</v>
      </c>
      <c r="P3" s="179" t="str">
        <f>$O$3&amp;O6&amp;"（"&amp;P6&amp;"）"</f>
        <v>S16-0002株式会社MMコーポレーション　北大阪支店（大阪市立総合医療センター）</v>
      </c>
      <c r="Q3" s="180"/>
      <c r="R3" s="180"/>
      <c r="S3" s="180"/>
      <c r="T3" s="181"/>
    </row>
    <row r="4" spans="15:20" x14ac:dyDescent="0.15">
      <c r="O4" s="169"/>
      <c r="P4" s="169"/>
      <c r="Q4" s="169"/>
      <c r="R4" s="169"/>
      <c r="S4" s="169"/>
      <c r="T4" s="169"/>
    </row>
    <row r="5" spans="15:20" x14ac:dyDescent="0.15">
      <c r="O5" s="172" t="s">
        <v>91</v>
      </c>
      <c r="P5" s="172" t="s">
        <v>92</v>
      </c>
      <c r="Q5" s="172" t="s">
        <v>93</v>
      </c>
      <c r="R5" s="172" t="s">
        <v>94</v>
      </c>
      <c r="S5" s="172" t="s">
        <v>95</v>
      </c>
      <c r="T5" s="172" t="s">
        <v>96</v>
      </c>
    </row>
    <row r="6" spans="15:20" x14ac:dyDescent="0.15">
      <c r="O6" s="104" t="str">
        <f>VLOOKUP($O$3,[1]受付台帳!$A$3:$AT$1041,16,FALSE)</f>
        <v>株式会社MMコーポレーション　北大阪支店</v>
      </c>
      <c r="P6" s="94" t="str">
        <f>VLOOKUP($O$3,[1]受付台帳!$A$4:$AU$1041,21,FALSE)</f>
        <v>大阪市立総合医療センター</v>
      </c>
      <c r="Q6" s="94" t="str">
        <f>VLOOKUP($O$3,[1]受付台帳!$A$4:$AU$1041,13,FALSE)</f>
        <v>M-Turbo</v>
      </c>
      <c r="R6" s="94" t="str">
        <f>VLOOKUP($O$3,[1]受付台帳!$A$4:$AU$1041,15,FALSE)</f>
        <v>P09141-23</v>
      </c>
      <c r="S6" s="94" t="str">
        <f>VLOOKUP($O$3,[1]受付台帳!$A$4:$AU$1041,14,FALSE)</f>
        <v>WK0Y72</v>
      </c>
      <c r="T6" s="95">
        <f>VLOOKUP($O$3,[1]受付台帳!$A$4:$AU$1041,47,FALSE)</f>
        <v>40969</v>
      </c>
    </row>
    <row r="8" spans="15:20" hidden="1" x14ac:dyDescent="0.15"/>
    <row r="9" spans="15:20" hidden="1" x14ac:dyDescent="0.15"/>
    <row r="10" spans="15:20" hidden="1" x14ac:dyDescent="0.15"/>
    <row r="11" spans="15:20" hidden="1" x14ac:dyDescent="0.15"/>
    <row r="12" spans="15:20" hidden="1" x14ac:dyDescent="0.15"/>
    <row r="13" spans="15:20" hidden="1" x14ac:dyDescent="0.15"/>
    <row r="14" spans="15:20" hidden="1" x14ac:dyDescent="0.15"/>
    <row r="15" spans="15:20" hidden="1" x14ac:dyDescent="0.15"/>
    <row r="16" spans="15:20" hidden="1" x14ac:dyDescent="0.15"/>
    <row r="17" spans="2:10" hidden="1" x14ac:dyDescent="0.15"/>
    <row r="18" spans="2:10" hidden="1" x14ac:dyDescent="0.15"/>
    <row r="19" spans="2:10" hidden="1" x14ac:dyDescent="0.15"/>
    <row r="20" spans="2:10" hidden="1" x14ac:dyDescent="0.15"/>
    <row r="21" spans="2:10" x14ac:dyDescent="0.15">
      <c r="B21" s="2"/>
      <c r="C21" s="2"/>
      <c r="D21" s="2"/>
      <c r="E21" s="2"/>
      <c r="F21" s="2"/>
      <c r="G21" s="2"/>
      <c r="H21" s="2"/>
      <c r="I21" s="2"/>
      <c r="J21" s="2"/>
    </row>
    <row r="22" spans="2:10" ht="41.25" x14ac:dyDescent="0.15">
      <c r="B22" s="3" t="s">
        <v>19</v>
      </c>
      <c r="C22" s="3"/>
      <c r="D22" s="3"/>
      <c r="E22" s="3"/>
      <c r="F22" s="3"/>
      <c r="G22" s="3"/>
      <c r="H22" s="3"/>
      <c r="I22" s="3"/>
      <c r="J22" s="3"/>
    </row>
    <row r="23" spans="2:10" ht="42" x14ac:dyDescent="0.15">
      <c r="B23" s="4"/>
      <c r="C23" s="4"/>
      <c r="D23" s="2"/>
      <c r="E23" s="2"/>
      <c r="F23" s="2"/>
      <c r="G23" s="2"/>
      <c r="H23" s="2"/>
      <c r="I23" s="2"/>
      <c r="J23" s="2"/>
    </row>
    <row r="24" spans="2:10" ht="24" x14ac:dyDescent="0.15">
      <c r="B24" s="2"/>
      <c r="C24" s="2"/>
      <c r="D24" s="2"/>
      <c r="E24" s="2"/>
      <c r="F24" s="2"/>
      <c r="G24" s="2"/>
      <c r="H24" s="2"/>
      <c r="I24" s="2"/>
      <c r="J24" s="5" t="s">
        <v>20</v>
      </c>
    </row>
    <row r="25" spans="2:10" x14ac:dyDescent="0.15">
      <c r="B25" s="2"/>
      <c r="C25" s="2"/>
      <c r="D25" s="2"/>
      <c r="E25" s="2"/>
      <c r="F25" s="2"/>
      <c r="G25" s="2"/>
      <c r="H25" s="2"/>
      <c r="I25" s="2"/>
      <c r="J25" s="6" t="s">
        <v>0</v>
      </c>
    </row>
    <row r="26" spans="2:10" x14ac:dyDescent="0.15">
      <c r="B26" s="2"/>
      <c r="C26" s="2"/>
      <c r="D26" s="2"/>
      <c r="E26" s="2"/>
      <c r="F26" s="2"/>
      <c r="G26" s="2"/>
      <c r="H26" s="2"/>
      <c r="I26" s="2"/>
      <c r="J26" s="7" t="s">
        <v>1</v>
      </c>
    </row>
    <row r="27" spans="2:10" x14ac:dyDescent="0.15">
      <c r="B27" s="2"/>
      <c r="C27" s="2"/>
      <c r="D27" s="2"/>
      <c r="E27" s="2"/>
      <c r="F27" s="2"/>
      <c r="G27" s="2"/>
      <c r="H27" s="2"/>
      <c r="I27" s="2"/>
      <c r="J27" s="7" t="s">
        <v>2</v>
      </c>
    </row>
    <row r="28" spans="2:10" x14ac:dyDescent="0.15">
      <c r="B28" s="2"/>
      <c r="C28" s="2"/>
      <c r="D28" s="2"/>
      <c r="E28" s="2"/>
      <c r="F28" s="2"/>
      <c r="G28" s="2"/>
      <c r="H28" s="2"/>
      <c r="I28" s="2"/>
      <c r="J28" s="7" t="s">
        <v>3</v>
      </c>
    </row>
    <row r="29" spans="2:10" x14ac:dyDescent="0.15">
      <c r="B29" s="2"/>
      <c r="C29" s="2"/>
      <c r="D29" s="2"/>
      <c r="E29" s="2"/>
      <c r="F29" s="2"/>
      <c r="G29" s="2"/>
      <c r="H29" s="2"/>
      <c r="I29" s="2"/>
      <c r="J29" s="7" t="s">
        <v>21</v>
      </c>
    </row>
    <row r="30" spans="2:10" x14ac:dyDescent="0.15">
      <c r="B30" s="2"/>
      <c r="C30" s="2"/>
      <c r="D30" s="2"/>
      <c r="E30" s="2"/>
      <c r="F30" s="2"/>
      <c r="G30" s="2"/>
      <c r="H30" s="2"/>
      <c r="I30" s="2"/>
      <c r="J30" s="7" t="s">
        <v>22</v>
      </c>
    </row>
    <row r="31" spans="2:10" x14ac:dyDescent="0.15">
      <c r="B31" s="2"/>
      <c r="C31" s="2"/>
      <c r="D31" s="2"/>
      <c r="E31" s="2"/>
      <c r="F31" s="2"/>
      <c r="G31" s="2"/>
      <c r="H31" s="2"/>
      <c r="I31" s="2"/>
      <c r="J31" s="6"/>
    </row>
    <row r="32" spans="2:10" x14ac:dyDescent="0.15">
      <c r="B32" s="8"/>
      <c r="C32" s="8"/>
      <c r="D32" s="8"/>
      <c r="E32" s="8"/>
      <c r="F32" s="8"/>
      <c r="G32" s="8"/>
      <c r="H32" s="8"/>
      <c r="I32" s="8"/>
      <c r="J32" s="8"/>
    </row>
    <row r="33" spans="2:10" x14ac:dyDescent="0.15">
      <c r="B33" s="9"/>
      <c r="C33" s="9"/>
      <c r="D33" s="9"/>
      <c r="E33" s="9"/>
      <c r="F33" s="9"/>
      <c r="G33" s="9"/>
      <c r="H33" s="9"/>
      <c r="I33" s="9"/>
      <c r="J33" s="9"/>
    </row>
    <row r="34" spans="2:10" ht="14.25" x14ac:dyDescent="0.15">
      <c r="B34" s="10" t="s">
        <v>23</v>
      </c>
      <c r="C34" s="11">
        <f ca="1">TODAY()</f>
        <v>42713</v>
      </c>
      <c r="D34" s="11"/>
      <c r="E34" s="11"/>
      <c r="F34" s="11"/>
      <c r="G34" s="11"/>
      <c r="H34" s="11"/>
      <c r="I34" s="11"/>
      <c r="J34" s="12"/>
    </row>
    <row r="35" spans="2:10" ht="14.25" x14ac:dyDescent="0.15">
      <c r="B35" s="2"/>
      <c r="C35" s="2"/>
      <c r="D35" s="2"/>
      <c r="E35" s="13"/>
      <c r="F35" s="14"/>
      <c r="G35" s="14"/>
      <c r="H35" s="2"/>
      <c r="I35" s="2"/>
      <c r="J35" s="2"/>
    </row>
    <row r="36" spans="2:10" x14ac:dyDescent="0.15">
      <c r="B36" s="2"/>
      <c r="C36" s="2"/>
      <c r="D36" s="2"/>
      <c r="E36" s="2"/>
      <c r="F36" s="2"/>
      <c r="G36" s="2"/>
      <c r="H36" s="2"/>
      <c r="I36" s="2"/>
      <c r="J36" s="2"/>
    </row>
    <row r="37" spans="2:10" x14ac:dyDescent="0.15">
      <c r="B37" s="2"/>
      <c r="C37" s="2"/>
      <c r="D37" s="2"/>
      <c r="E37" s="2"/>
      <c r="F37" s="2"/>
      <c r="G37" s="2"/>
      <c r="H37" s="2"/>
      <c r="I37" s="2"/>
      <c r="J37" s="2"/>
    </row>
    <row r="38" spans="2:10" ht="14.25" x14ac:dyDescent="0.15">
      <c r="B38" s="15" t="str">
        <f>"INCLUDING THIS SHEET：  "&amp;$E$3&amp;"   PAGES"</f>
        <v>INCLUDING THIS SHEET：     PAGES</v>
      </c>
      <c r="C38" s="15"/>
      <c r="D38" s="15"/>
      <c r="E38" s="15"/>
      <c r="F38" s="15"/>
      <c r="G38" s="15"/>
      <c r="H38" s="15"/>
      <c r="I38" s="15"/>
      <c r="J38" s="15"/>
    </row>
    <row r="39" spans="2:10" x14ac:dyDescent="0.15">
      <c r="B39" s="8"/>
      <c r="C39" s="8"/>
      <c r="D39" s="8"/>
      <c r="E39" s="8"/>
      <c r="F39" s="8"/>
      <c r="G39" s="8"/>
      <c r="H39" s="8"/>
      <c r="I39" s="8"/>
      <c r="J39" s="8"/>
    </row>
    <row r="40" spans="2:10" x14ac:dyDescent="0.15">
      <c r="B40" s="2"/>
      <c r="C40" s="2"/>
      <c r="D40" s="2"/>
      <c r="E40" s="2"/>
      <c r="F40" s="2"/>
      <c r="G40" s="2"/>
      <c r="H40" s="2"/>
      <c r="I40" s="2"/>
      <c r="J40" s="2"/>
    </row>
    <row r="41" spans="2:10" ht="14.25" x14ac:dyDescent="0.15">
      <c r="B41" s="10" t="s">
        <v>24</v>
      </c>
      <c r="C41" s="16" t="e">
        <f>VLOOKUP($B$3,[1]受付台帳!$A$3:$AT$1041,16,FALSE)</f>
        <v>#N/A</v>
      </c>
      <c r="D41" s="16"/>
      <c r="E41" s="16"/>
      <c r="F41" s="16"/>
      <c r="G41" s="16"/>
      <c r="H41" s="16"/>
      <c r="I41" s="16"/>
      <c r="J41" s="2"/>
    </row>
    <row r="42" spans="2:10" x14ac:dyDescent="0.15">
      <c r="B42" s="2"/>
      <c r="C42" s="2"/>
      <c r="D42" s="2"/>
      <c r="E42" s="2"/>
      <c r="F42" s="2"/>
      <c r="G42" s="2"/>
      <c r="H42" s="2"/>
      <c r="I42" s="2"/>
      <c r="J42" s="2"/>
    </row>
    <row r="43" spans="2:10" ht="14.25" x14ac:dyDescent="0.15">
      <c r="B43" s="2"/>
      <c r="C43" s="16" t="e">
        <f>VLOOKUP($B$3,[1]受付台帳!$A$3:$AT$1041,17,FALSE)</f>
        <v>#N/A</v>
      </c>
      <c r="D43" s="16"/>
      <c r="E43" s="16"/>
      <c r="F43" s="16"/>
      <c r="G43" s="16"/>
      <c r="H43" s="16"/>
      <c r="I43" s="16"/>
      <c r="J43" s="2"/>
    </row>
    <row r="44" spans="2:10" x14ac:dyDescent="0.15">
      <c r="B44" s="2"/>
      <c r="C44" s="2"/>
      <c r="D44" s="2"/>
      <c r="E44" s="2"/>
      <c r="F44" s="2"/>
      <c r="G44" s="2"/>
      <c r="H44" s="2"/>
      <c r="I44" s="2"/>
      <c r="J44" s="2"/>
    </row>
    <row r="45" spans="2:10" ht="14.25" x14ac:dyDescent="0.15">
      <c r="B45" s="2"/>
      <c r="C45" s="2"/>
      <c r="D45" s="2"/>
      <c r="E45" s="2"/>
      <c r="F45" s="2"/>
      <c r="G45" s="2"/>
      <c r="H45" s="17" t="e">
        <f>"FAX ： "&amp;VLOOKUP($B$3,[1]受付台帳!$A$3:$AT$1041,20,FALSE)</f>
        <v>#N/A</v>
      </c>
      <c r="I45" s="17"/>
      <c r="J45" s="17"/>
    </row>
    <row r="46" spans="2:10" x14ac:dyDescent="0.15">
      <c r="B46" s="8"/>
      <c r="C46" s="8"/>
      <c r="D46" s="8"/>
      <c r="E46" s="8"/>
      <c r="F46" s="8"/>
      <c r="G46" s="8"/>
      <c r="H46" s="8"/>
      <c r="I46" s="8"/>
      <c r="J46" s="8"/>
    </row>
    <row r="47" spans="2:10" x14ac:dyDescent="0.15">
      <c r="B47" s="2"/>
      <c r="C47" s="2"/>
      <c r="D47" s="2"/>
      <c r="E47" s="2"/>
      <c r="F47" s="2"/>
      <c r="G47" s="2"/>
      <c r="H47" s="2"/>
      <c r="I47" s="2"/>
      <c r="J47" s="2"/>
    </row>
    <row r="48" spans="2:10" ht="14.25" x14ac:dyDescent="0.15">
      <c r="B48" s="10" t="s">
        <v>25</v>
      </c>
      <c r="C48" s="18" t="s">
        <v>26</v>
      </c>
      <c r="D48" s="18"/>
      <c r="E48" s="18"/>
      <c r="F48" s="18"/>
      <c r="G48" s="18"/>
      <c r="H48" s="18"/>
      <c r="I48" s="18"/>
      <c r="J48" s="2"/>
    </row>
    <row r="49" spans="2:10" x14ac:dyDescent="0.15">
      <c r="B49" s="2"/>
      <c r="C49" s="2"/>
      <c r="D49" s="19"/>
      <c r="E49" s="19"/>
      <c r="F49" s="19"/>
      <c r="G49" s="19"/>
      <c r="H49" s="19"/>
      <c r="I49" s="19"/>
      <c r="J49" s="19"/>
    </row>
    <row r="50" spans="2:10" ht="14.25" x14ac:dyDescent="0.15">
      <c r="B50" s="2"/>
      <c r="C50" s="2"/>
      <c r="D50" s="20"/>
      <c r="E50" s="21" t="s">
        <v>27</v>
      </c>
      <c r="F50" s="22"/>
      <c r="G50" s="22"/>
      <c r="H50" s="22"/>
      <c r="I50" s="22"/>
      <c r="J50" s="22"/>
    </row>
    <row r="51" spans="2:10" x14ac:dyDescent="0.15">
      <c r="B51" s="2"/>
      <c r="C51" s="2"/>
      <c r="D51" s="2"/>
      <c r="E51" s="2"/>
      <c r="F51" s="2"/>
      <c r="G51" s="2"/>
      <c r="H51" s="2"/>
      <c r="I51" s="2"/>
      <c r="J51" s="2"/>
    </row>
    <row r="52" spans="2:10" x14ac:dyDescent="0.15">
      <c r="B52" s="2"/>
      <c r="C52" s="2"/>
      <c r="D52" s="2"/>
      <c r="E52" s="2"/>
      <c r="F52" s="2"/>
      <c r="G52" s="2"/>
      <c r="H52" s="2"/>
      <c r="I52" s="2"/>
      <c r="J52" s="2"/>
    </row>
    <row r="53" spans="2:10" x14ac:dyDescent="0.15">
      <c r="B53" s="8"/>
      <c r="C53" s="8"/>
      <c r="D53" s="8"/>
      <c r="E53" s="8"/>
      <c r="F53" s="8"/>
      <c r="G53" s="8"/>
      <c r="H53" s="8"/>
      <c r="I53" s="8"/>
      <c r="J53" s="8"/>
    </row>
    <row r="54" spans="2:10" x14ac:dyDescent="0.15">
      <c r="B54" s="2"/>
      <c r="C54" s="2"/>
      <c r="D54" s="2"/>
      <c r="E54" s="2"/>
      <c r="F54" s="2"/>
      <c r="G54" s="2"/>
      <c r="H54" s="2"/>
      <c r="I54" s="2"/>
      <c r="J54" s="2"/>
    </row>
    <row r="55" spans="2:10" ht="14.25" x14ac:dyDescent="0.15">
      <c r="B55" s="22" t="e">
        <f>"■SUBJECT：   『"&amp;VLOOKUP($B$3,[1]受付台帳!$A$3:$AT$1041,21,FALSE)&amp;"』 様向け 超音波画像診断装置"</f>
        <v>#N/A</v>
      </c>
      <c r="C55" s="22"/>
      <c r="D55" s="22"/>
      <c r="E55" s="22"/>
      <c r="F55" s="22"/>
      <c r="G55" s="22"/>
      <c r="H55" s="22"/>
      <c r="I55" s="22"/>
      <c r="J55" s="22"/>
    </row>
    <row r="56" spans="2:10" x14ac:dyDescent="0.15">
      <c r="B56" s="2"/>
      <c r="C56" s="2"/>
      <c r="D56" s="2"/>
      <c r="E56" s="2"/>
      <c r="F56" s="2"/>
      <c r="G56" s="2"/>
      <c r="H56" s="2"/>
      <c r="I56" s="2"/>
      <c r="J56" s="2"/>
    </row>
    <row r="57" spans="2:10" ht="14.25" x14ac:dyDescent="0.15">
      <c r="B57" s="23" t="str">
        <f>M2&amp;"  "&amp;M3&amp;"  修理のお見積書"</f>
        <v xml:space="preserve">    修理のお見積書</v>
      </c>
      <c r="C57" s="23"/>
      <c r="D57" s="23"/>
      <c r="E57" s="23"/>
      <c r="F57" s="23"/>
      <c r="G57" s="23"/>
      <c r="H57" s="23"/>
      <c r="I57" s="23"/>
      <c r="J57" s="2"/>
    </row>
    <row r="58" spans="2:10" x14ac:dyDescent="0.15">
      <c r="B58" s="19"/>
      <c r="C58" s="19"/>
      <c r="D58" s="19"/>
      <c r="E58" s="19"/>
      <c r="F58" s="19"/>
      <c r="G58" s="19"/>
      <c r="H58" s="19"/>
      <c r="I58" s="19"/>
      <c r="J58" s="19"/>
    </row>
    <row r="59" spans="2:10" x14ac:dyDescent="0.15">
      <c r="B59" s="19"/>
      <c r="C59" s="19"/>
      <c r="D59" s="19"/>
      <c r="E59" s="19"/>
      <c r="F59" s="19"/>
      <c r="G59" s="19"/>
      <c r="H59" s="19"/>
      <c r="I59" s="19"/>
      <c r="J59" s="19"/>
    </row>
    <row r="60" spans="2:10" x14ac:dyDescent="0.15">
      <c r="B60" s="24" t="s">
        <v>28</v>
      </c>
      <c r="C60" s="25" t="s">
        <v>29</v>
      </c>
      <c r="D60" s="25"/>
      <c r="E60" s="25"/>
      <c r="F60" s="25"/>
      <c r="G60" s="25"/>
      <c r="H60" s="25"/>
      <c r="I60" s="25"/>
      <c r="J60" s="25"/>
    </row>
    <row r="61" spans="2:10" x14ac:dyDescent="0.15">
      <c r="B61" s="24" t="s">
        <v>28</v>
      </c>
      <c r="C61" s="25" t="s">
        <v>30</v>
      </c>
      <c r="D61" s="25"/>
      <c r="E61" s="25"/>
      <c r="F61" s="25"/>
      <c r="G61" s="25"/>
      <c r="H61" s="25"/>
      <c r="I61" s="25"/>
      <c r="J61" s="25"/>
    </row>
    <row r="62" spans="2:10" x14ac:dyDescent="0.15">
      <c r="B62" s="19"/>
      <c r="C62" s="19" t="s">
        <v>6</v>
      </c>
      <c r="D62" s="19"/>
      <c r="E62" s="19"/>
      <c r="F62" s="19"/>
      <c r="G62" s="19"/>
      <c r="H62" s="19"/>
      <c r="I62" s="19"/>
      <c r="J62" s="19"/>
    </row>
    <row r="63" spans="2:10" x14ac:dyDescent="0.15">
      <c r="B63" s="19"/>
      <c r="C63" s="19"/>
      <c r="D63" s="19"/>
      <c r="E63" s="19"/>
      <c r="F63" s="19"/>
      <c r="G63" s="19"/>
      <c r="H63" s="19"/>
      <c r="I63" s="19"/>
      <c r="J63" s="19"/>
    </row>
    <row r="64" spans="2:10" x14ac:dyDescent="0.15">
      <c r="B64" s="19"/>
      <c r="C64" s="26" t="str">
        <f>"★御見積書〔No."&amp;$F$3&amp;"〕 ※必須交換部品のみ修理する場合"</f>
        <v>★御見積書〔No.〕 ※必須交換部品のみ修理する場合</v>
      </c>
      <c r="D64" s="26"/>
      <c r="E64" s="26"/>
      <c r="F64" s="26"/>
      <c r="G64" s="26"/>
      <c r="H64" s="26"/>
      <c r="I64" s="26"/>
      <c r="J64" s="26"/>
    </row>
    <row r="65" spans="2:10" x14ac:dyDescent="0.15">
      <c r="B65" s="19"/>
      <c r="C65" s="26" t="str">
        <f>"★御見積書〔No."&amp;$F$4&amp;"〕 ※推奨交換部品を含めて修理する場合"</f>
        <v>★御見積書〔No.〕 ※推奨交換部品を含めて修理する場合</v>
      </c>
      <c r="D65" s="26"/>
      <c r="E65" s="26"/>
      <c r="F65" s="26"/>
      <c r="G65" s="26"/>
      <c r="H65" s="26"/>
      <c r="I65" s="26"/>
      <c r="J65" s="26"/>
    </row>
    <row r="66" spans="2:10" x14ac:dyDescent="0.15">
      <c r="B66" s="19"/>
      <c r="C66" s="19"/>
      <c r="D66" s="19"/>
      <c r="E66" s="19"/>
      <c r="F66" s="19"/>
      <c r="G66" s="19"/>
      <c r="H66" s="19"/>
      <c r="I66" s="19"/>
      <c r="J66" s="19"/>
    </row>
    <row r="67" spans="2:10" x14ac:dyDescent="0.15">
      <c r="B67" s="96"/>
      <c r="C67" s="27" t="s">
        <v>31</v>
      </c>
      <c r="D67" s="27"/>
      <c r="E67" s="27"/>
      <c r="F67" s="27"/>
      <c r="G67" s="27"/>
      <c r="H67" s="27"/>
      <c r="I67" s="27"/>
      <c r="J67" s="27"/>
    </row>
    <row r="68" spans="2:10" x14ac:dyDescent="0.15">
      <c r="B68" s="96"/>
      <c r="C68" s="27" t="s">
        <v>32</v>
      </c>
      <c r="D68" s="27"/>
      <c r="E68" s="27"/>
      <c r="F68" s="27"/>
      <c r="G68" s="27"/>
      <c r="H68" s="27"/>
      <c r="I68" s="27"/>
      <c r="J68" s="27"/>
    </row>
    <row r="69" spans="2:10" x14ac:dyDescent="0.15">
      <c r="B69" s="96"/>
      <c r="C69" s="27" t="s">
        <v>7</v>
      </c>
      <c r="D69" s="1"/>
      <c r="E69" s="1"/>
      <c r="F69" s="1"/>
      <c r="G69" s="1"/>
      <c r="H69" s="1"/>
      <c r="I69" s="1"/>
      <c r="J69" s="1"/>
    </row>
    <row r="70" spans="2:10" x14ac:dyDescent="0.15">
      <c r="B70" s="24"/>
      <c r="C70" s="27"/>
      <c r="D70" s="1"/>
      <c r="E70" s="1"/>
      <c r="F70" s="1"/>
      <c r="G70" s="1"/>
      <c r="H70" s="1"/>
      <c r="I70" s="1"/>
      <c r="J70" s="1"/>
    </row>
    <row r="71" spans="2:10" x14ac:dyDescent="0.15">
      <c r="B71" s="19"/>
      <c r="C71" s="19"/>
      <c r="D71" s="19"/>
      <c r="E71" s="19"/>
      <c r="F71" s="19"/>
      <c r="G71" s="19"/>
      <c r="H71" s="19"/>
      <c r="I71" s="19"/>
      <c r="J71" s="19"/>
    </row>
    <row r="72" spans="2:10" x14ac:dyDescent="0.15">
      <c r="B72" s="19"/>
      <c r="C72" s="25" t="s">
        <v>33</v>
      </c>
      <c r="D72" s="25"/>
      <c r="E72" s="25"/>
      <c r="F72" s="25"/>
      <c r="G72" s="25"/>
      <c r="H72" s="25"/>
      <c r="I72" s="25"/>
      <c r="J72" s="25"/>
    </row>
    <row r="73" spans="2:10" x14ac:dyDescent="0.15">
      <c r="B73" s="24" t="s">
        <v>28</v>
      </c>
      <c r="C73" s="19"/>
      <c r="D73" s="19"/>
      <c r="E73" s="19"/>
      <c r="F73" s="19"/>
      <c r="G73" s="19"/>
      <c r="H73" s="19"/>
      <c r="I73" s="19"/>
      <c r="J73" s="7" t="s">
        <v>34</v>
      </c>
    </row>
    <row r="74" spans="2:10" x14ac:dyDescent="0.15">
      <c r="B74" s="19"/>
      <c r="C74" s="19"/>
      <c r="D74" s="19"/>
      <c r="E74" s="19"/>
      <c r="F74" s="19"/>
      <c r="G74" s="19"/>
      <c r="H74" s="19"/>
      <c r="I74" s="19"/>
      <c r="J74" s="24"/>
    </row>
  </sheetData>
  <mergeCells count="19">
    <mergeCell ref="C72:J72"/>
    <mergeCell ref="C64:J64"/>
    <mergeCell ref="C65:J65"/>
    <mergeCell ref="C67:J67"/>
    <mergeCell ref="C68:J68"/>
    <mergeCell ref="C69:J69"/>
    <mergeCell ref="C70:J70"/>
    <mergeCell ref="C48:I48"/>
    <mergeCell ref="F50:J50"/>
    <mergeCell ref="B55:J55"/>
    <mergeCell ref="B57:I57"/>
    <mergeCell ref="C60:J60"/>
    <mergeCell ref="C61:J61"/>
    <mergeCell ref="B22:J22"/>
    <mergeCell ref="C34:I34"/>
    <mergeCell ref="B38:J38"/>
    <mergeCell ref="C41:I41"/>
    <mergeCell ref="C43:I43"/>
    <mergeCell ref="H45:J45"/>
  </mergeCells>
  <phoneticPr fontId="53"/>
  <dataValidations count="1">
    <dataValidation type="list" allowBlank="1" showInputMessage="1" showErrorMessage="1" sqref="F50:J50">
      <formula1>担当者</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Main.CreateFaxHeader">
                <anchor moveWithCells="1" sizeWithCells="1">
                  <from>
                    <xdr:col>2</xdr:col>
                    <xdr:colOff>447675</xdr:colOff>
                    <xdr:row>1</xdr:row>
                    <xdr:rowOff>123825</xdr:rowOff>
                  </from>
                  <to>
                    <xdr:col>4</xdr:col>
                    <xdr:colOff>95250</xdr:colOff>
                    <xdr:row>2</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FF00"/>
  </sheetPr>
  <dimension ref="B1:T82"/>
  <sheetViews>
    <sheetView view="pageBreakPreview" zoomScale="80" zoomScaleNormal="100" zoomScaleSheetLayoutView="80" workbookViewId="0">
      <selection activeCell="F51" sqref="F51:J51"/>
    </sheetView>
  </sheetViews>
  <sheetFormatPr defaultRowHeight="12.75" x14ac:dyDescent="0.15"/>
  <cols>
    <col min="1" max="1" width="9" style="169"/>
    <col min="2" max="2" width="3" style="169" customWidth="1"/>
    <col min="3" max="3" width="3.75" style="169" customWidth="1"/>
    <col min="4" max="4" width="12.125" style="169" customWidth="1"/>
    <col min="5" max="11" width="11.25" style="169" customWidth="1"/>
    <col min="12" max="168" width="9" style="169"/>
    <col min="169" max="169" width="3" style="169" customWidth="1"/>
    <col min="170" max="170" width="3.75" style="169" customWidth="1"/>
    <col min="171" max="171" width="12.125" style="169" customWidth="1"/>
    <col min="172" max="178" width="11.25" style="169" customWidth="1"/>
    <col min="179" max="179" width="9" style="169"/>
    <col min="180" max="187" width="3.125" style="169" customWidth="1"/>
    <col min="188" max="188" width="27.625" style="169" bestFit="1" customWidth="1"/>
    <col min="189" max="189" width="25.75" style="169" customWidth="1"/>
    <col min="190" max="190" width="10.625" style="169" bestFit="1" customWidth="1"/>
    <col min="191" max="191" width="11.5" style="169" customWidth="1"/>
    <col min="192" max="193" width="11.375" style="169" bestFit="1" customWidth="1"/>
    <col min="194" max="424" width="9" style="169"/>
    <col min="425" max="425" width="3" style="169" customWidth="1"/>
    <col min="426" max="426" width="3.75" style="169" customWidth="1"/>
    <col min="427" max="427" width="12.125" style="169" customWidth="1"/>
    <col min="428" max="434" width="11.25" style="169" customWidth="1"/>
    <col min="435" max="435" width="9" style="169"/>
    <col min="436" max="443" width="3.125" style="169" customWidth="1"/>
    <col min="444" max="444" width="27.625" style="169" bestFit="1" customWidth="1"/>
    <col min="445" max="445" width="25.75" style="169" customWidth="1"/>
    <col min="446" max="446" width="10.625" style="169" bestFit="1" customWidth="1"/>
    <col min="447" max="447" width="11.5" style="169" customWidth="1"/>
    <col min="448" max="449" width="11.375" style="169" bestFit="1" customWidth="1"/>
    <col min="450" max="680" width="9" style="169"/>
    <col min="681" max="681" width="3" style="169" customWidth="1"/>
    <col min="682" max="682" width="3.75" style="169" customWidth="1"/>
    <col min="683" max="683" width="12.125" style="169" customWidth="1"/>
    <col min="684" max="690" width="11.25" style="169" customWidth="1"/>
    <col min="691" max="691" width="9" style="169"/>
    <col min="692" max="699" width="3.125" style="169" customWidth="1"/>
    <col min="700" max="700" width="27.625" style="169" bestFit="1" customWidth="1"/>
    <col min="701" max="701" width="25.75" style="169" customWidth="1"/>
    <col min="702" max="702" width="10.625" style="169" bestFit="1" customWidth="1"/>
    <col min="703" max="703" width="11.5" style="169" customWidth="1"/>
    <col min="704" max="705" width="11.375" style="169" bestFit="1" customWidth="1"/>
    <col min="706" max="936" width="9" style="169"/>
    <col min="937" max="937" width="3" style="169" customWidth="1"/>
    <col min="938" max="938" width="3.75" style="169" customWidth="1"/>
    <col min="939" max="939" width="12.125" style="169" customWidth="1"/>
    <col min="940" max="946" width="11.25" style="169" customWidth="1"/>
    <col min="947" max="947" width="9" style="169"/>
    <col min="948" max="955" width="3.125" style="169" customWidth="1"/>
    <col min="956" max="956" width="27.625" style="169" bestFit="1" customWidth="1"/>
    <col min="957" max="957" width="25.75" style="169" customWidth="1"/>
    <col min="958" max="958" width="10.625" style="169" bestFit="1" customWidth="1"/>
    <col min="959" max="959" width="11.5" style="169" customWidth="1"/>
    <col min="960" max="961" width="11.375" style="169" bestFit="1" customWidth="1"/>
    <col min="962" max="1192" width="9" style="169"/>
    <col min="1193" max="1193" width="3" style="169" customWidth="1"/>
    <col min="1194" max="1194" width="3.75" style="169" customWidth="1"/>
    <col min="1195" max="1195" width="12.125" style="169" customWidth="1"/>
    <col min="1196" max="1202" width="11.25" style="169" customWidth="1"/>
    <col min="1203" max="1203" width="9" style="169"/>
    <col min="1204" max="1211" width="3.125" style="169" customWidth="1"/>
    <col min="1212" max="1212" width="27.625" style="169" bestFit="1" customWidth="1"/>
    <col min="1213" max="1213" width="25.75" style="169" customWidth="1"/>
    <col min="1214" max="1214" width="10.625" style="169" bestFit="1" customWidth="1"/>
    <col min="1215" max="1215" width="11.5" style="169" customWidth="1"/>
    <col min="1216" max="1217" width="11.375" style="169" bestFit="1" customWidth="1"/>
    <col min="1218" max="1448" width="9" style="169"/>
    <col min="1449" max="1449" width="3" style="169" customWidth="1"/>
    <col min="1450" max="1450" width="3.75" style="169" customWidth="1"/>
    <col min="1451" max="1451" width="12.125" style="169" customWidth="1"/>
    <col min="1452" max="1458" width="11.25" style="169" customWidth="1"/>
    <col min="1459" max="1459" width="9" style="169"/>
    <col min="1460" max="1467" width="3.125" style="169" customWidth="1"/>
    <col min="1468" max="1468" width="27.625" style="169" bestFit="1" customWidth="1"/>
    <col min="1469" max="1469" width="25.75" style="169" customWidth="1"/>
    <col min="1470" max="1470" width="10.625" style="169" bestFit="1" customWidth="1"/>
    <col min="1471" max="1471" width="11.5" style="169" customWidth="1"/>
    <col min="1472" max="1473" width="11.375" style="169" bestFit="1" customWidth="1"/>
    <col min="1474" max="1704" width="9" style="169"/>
    <col min="1705" max="1705" width="3" style="169" customWidth="1"/>
    <col min="1706" max="1706" width="3.75" style="169" customWidth="1"/>
    <col min="1707" max="1707" width="12.125" style="169" customWidth="1"/>
    <col min="1708" max="1714" width="11.25" style="169" customWidth="1"/>
    <col min="1715" max="1715" width="9" style="169"/>
    <col min="1716" max="1723" width="3.125" style="169" customWidth="1"/>
    <col min="1724" max="1724" width="27.625" style="169" bestFit="1" customWidth="1"/>
    <col min="1725" max="1725" width="25.75" style="169" customWidth="1"/>
    <col min="1726" max="1726" width="10.625" style="169" bestFit="1" customWidth="1"/>
    <col min="1727" max="1727" width="11.5" style="169" customWidth="1"/>
    <col min="1728" max="1729" width="11.375" style="169" bestFit="1" customWidth="1"/>
    <col min="1730" max="1960" width="9" style="169"/>
    <col min="1961" max="1961" width="3" style="169" customWidth="1"/>
    <col min="1962" max="1962" width="3.75" style="169" customWidth="1"/>
    <col min="1963" max="1963" width="12.125" style="169" customWidth="1"/>
    <col min="1964" max="1970" width="11.25" style="169" customWidth="1"/>
    <col min="1971" max="1971" width="9" style="169"/>
    <col min="1972" max="1979" width="3.125" style="169" customWidth="1"/>
    <col min="1980" max="1980" width="27.625" style="169" bestFit="1" customWidth="1"/>
    <col min="1981" max="1981" width="25.75" style="169" customWidth="1"/>
    <col min="1982" max="1982" width="10.625" style="169" bestFit="1" customWidth="1"/>
    <col min="1983" max="1983" width="11.5" style="169" customWidth="1"/>
    <col min="1984" max="1985" width="11.375" style="169" bestFit="1" customWidth="1"/>
    <col min="1986" max="2216" width="9" style="169"/>
    <col min="2217" max="2217" width="3" style="169" customWidth="1"/>
    <col min="2218" max="2218" width="3.75" style="169" customWidth="1"/>
    <col min="2219" max="2219" width="12.125" style="169" customWidth="1"/>
    <col min="2220" max="2226" width="11.25" style="169" customWidth="1"/>
    <col min="2227" max="2227" width="9" style="169"/>
    <col min="2228" max="2235" width="3.125" style="169" customWidth="1"/>
    <col min="2236" max="2236" width="27.625" style="169" bestFit="1" customWidth="1"/>
    <col min="2237" max="2237" width="25.75" style="169" customWidth="1"/>
    <col min="2238" max="2238" width="10.625" style="169" bestFit="1" customWidth="1"/>
    <col min="2239" max="2239" width="11.5" style="169" customWidth="1"/>
    <col min="2240" max="2241" width="11.375" style="169" bestFit="1" customWidth="1"/>
    <col min="2242" max="2472" width="9" style="169"/>
    <col min="2473" max="2473" width="3" style="169" customWidth="1"/>
    <col min="2474" max="2474" width="3.75" style="169" customWidth="1"/>
    <col min="2475" max="2475" width="12.125" style="169" customWidth="1"/>
    <col min="2476" max="2482" width="11.25" style="169" customWidth="1"/>
    <col min="2483" max="2483" width="9" style="169"/>
    <col min="2484" max="2491" width="3.125" style="169" customWidth="1"/>
    <col min="2492" max="2492" width="27.625" style="169" bestFit="1" customWidth="1"/>
    <col min="2493" max="2493" width="25.75" style="169" customWidth="1"/>
    <col min="2494" max="2494" width="10.625" style="169" bestFit="1" customWidth="1"/>
    <col min="2495" max="2495" width="11.5" style="169" customWidth="1"/>
    <col min="2496" max="2497" width="11.375" style="169" bestFit="1" customWidth="1"/>
    <col min="2498" max="2728" width="9" style="169"/>
    <col min="2729" max="2729" width="3" style="169" customWidth="1"/>
    <col min="2730" max="2730" width="3.75" style="169" customWidth="1"/>
    <col min="2731" max="2731" width="12.125" style="169" customWidth="1"/>
    <col min="2732" max="2738" width="11.25" style="169" customWidth="1"/>
    <col min="2739" max="2739" width="9" style="169"/>
    <col min="2740" max="2747" width="3.125" style="169" customWidth="1"/>
    <col min="2748" max="2748" width="27.625" style="169" bestFit="1" customWidth="1"/>
    <col min="2749" max="2749" width="25.75" style="169" customWidth="1"/>
    <col min="2750" max="2750" width="10.625" style="169" bestFit="1" customWidth="1"/>
    <col min="2751" max="2751" width="11.5" style="169" customWidth="1"/>
    <col min="2752" max="2753" width="11.375" style="169" bestFit="1" customWidth="1"/>
    <col min="2754" max="2984" width="9" style="169"/>
    <col min="2985" max="2985" width="3" style="169" customWidth="1"/>
    <col min="2986" max="2986" width="3.75" style="169" customWidth="1"/>
    <col min="2987" max="2987" width="12.125" style="169" customWidth="1"/>
    <col min="2988" max="2994" width="11.25" style="169" customWidth="1"/>
    <col min="2995" max="2995" width="9" style="169"/>
    <col min="2996" max="3003" width="3.125" style="169" customWidth="1"/>
    <col min="3004" max="3004" width="27.625" style="169" bestFit="1" customWidth="1"/>
    <col min="3005" max="3005" width="25.75" style="169" customWidth="1"/>
    <col min="3006" max="3006" width="10.625" style="169" bestFit="1" customWidth="1"/>
    <col min="3007" max="3007" width="11.5" style="169" customWidth="1"/>
    <col min="3008" max="3009" width="11.375" style="169" bestFit="1" customWidth="1"/>
    <col min="3010" max="3240" width="9" style="169"/>
    <col min="3241" max="3241" width="3" style="169" customWidth="1"/>
    <col min="3242" max="3242" width="3.75" style="169" customWidth="1"/>
    <col min="3243" max="3243" width="12.125" style="169" customWidth="1"/>
    <col min="3244" max="3250" width="11.25" style="169" customWidth="1"/>
    <col min="3251" max="3251" width="9" style="169"/>
    <col min="3252" max="3259" width="3.125" style="169" customWidth="1"/>
    <col min="3260" max="3260" width="27.625" style="169" bestFit="1" customWidth="1"/>
    <col min="3261" max="3261" width="25.75" style="169" customWidth="1"/>
    <col min="3262" max="3262" width="10.625" style="169" bestFit="1" customWidth="1"/>
    <col min="3263" max="3263" width="11.5" style="169" customWidth="1"/>
    <col min="3264" max="3265" width="11.375" style="169" bestFit="1" customWidth="1"/>
    <col min="3266" max="3496" width="9" style="169"/>
    <col min="3497" max="3497" width="3" style="169" customWidth="1"/>
    <col min="3498" max="3498" width="3.75" style="169" customWidth="1"/>
    <col min="3499" max="3499" width="12.125" style="169" customWidth="1"/>
    <col min="3500" max="3506" width="11.25" style="169" customWidth="1"/>
    <col min="3507" max="3507" width="9" style="169"/>
    <col min="3508" max="3515" width="3.125" style="169" customWidth="1"/>
    <col min="3516" max="3516" width="27.625" style="169" bestFit="1" customWidth="1"/>
    <col min="3517" max="3517" width="25.75" style="169" customWidth="1"/>
    <col min="3518" max="3518" width="10.625" style="169" bestFit="1" customWidth="1"/>
    <col min="3519" max="3519" width="11.5" style="169" customWidth="1"/>
    <col min="3520" max="3521" width="11.375" style="169" bestFit="1" customWidth="1"/>
    <col min="3522" max="3752" width="9" style="169"/>
    <col min="3753" max="3753" width="3" style="169" customWidth="1"/>
    <col min="3754" max="3754" width="3.75" style="169" customWidth="1"/>
    <col min="3755" max="3755" width="12.125" style="169" customWidth="1"/>
    <col min="3756" max="3762" width="11.25" style="169" customWidth="1"/>
    <col min="3763" max="3763" width="9" style="169"/>
    <col min="3764" max="3771" width="3.125" style="169" customWidth="1"/>
    <col min="3772" max="3772" width="27.625" style="169" bestFit="1" customWidth="1"/>
    <col min="3773" max="3773" width="25.75" style="169" customWidth="1"/>
    <col min="3774" max="3774" width="10.625" style="169" bestFit="1" customWidth="1"/>
    <col min="3775" max="3775" width="11.5" style="169" customWidth="1"/>
    <col min="3776" max="3777" width="11.375" style="169" bestFit="1" customWidth="1"/>
    <col min="3778" max="4008" width="9" style="169"/>
    <col min="4009" max="4009" width="3" style="169" customWidth="1"/>
    <col min="4010" max="4010" width="3.75" style="169" customWidth="1"/>
    <col min="4011" max="4011" width="12.125" style="169" customWidth="1"/>
    <col min="4012" max="4018" width="11.25" style="169" customWidth="1"/>
    <col min="4019" max="4019" width="9" style="169"/>
    <col min="4020" max="4027" width="3.125" style="169" customWidth="1"/>
    <col min="4028" max="4028" width="27.625" style="169" bestFit="1" customWidth="1"/>
    <col min="4029" max="4029" width="25.75" style="169" customWidth="1"/>
    <col min="4030" max="4030" width="10.625" style="169" bestFit="1" customWidth="1"/>
    <col min="4031" max="4031" width="11.5" style="169" customWidth="1"/>
    <col min="4032" max="4033" width="11.375" style="169" bestFit="1" customWidth="1"/>
    <col min="4034" max="4264" width="9" style="169"/>
    <col min="4265" max="4265" width="3" style="169" customWidth="1"/>
    <col min="4266" max="4266" width="3.75" style="169" customWidth="1"/>
    <col min="4267" max="4267" width="12.125" style="169" customWidth="1"/>
    <col min="4268" max="4274" width="11.25" style="169" customWidth="1"/>
    <col min="4275" max="4275" width="9" style="169"/>
    <col min="4276" max="4283" width="3.125" style="169" customWidth="1"/>
    <col min="4284" max="4284" width="27.625" style="169" bestFit="1" customWidth="1"/>
    <col min="4285" max="4285" width="25.75" style="169" customWidth="1"/>
    <col min="4286" max="4286" width="10.625" style="169" bestFit="1" customWidth="1"/>
    <col min="4287" max="4287" width="11.5" style="169" customWidth="1"/>
    <col min="4288" max="4289" width="11.375" style="169" bestFit="1" customWidth="1"/>
    <col min="4290" max="4520" width="9" style="169"/>
    <col min="4521" max="4521" width="3" style="169" customWidth="1"/>
    <col min="4522" max="4522" width="3.75" style="169" customWidth="1"/>
    <col min="4523" max="4523" width="12.125" style="169" customWidth="1"/>
    <col min="4524" max="4530" width="11.25" style="169" customWidth="1"/>
    <col min="4531" max="4531" width="9" style="169"/>
    <col min="4532" max="4539" width="3.125" style="169" customWidth="1"/>
    <col min="4540" max="4540" width="27.625" style="169" bestFit="1" customWidth="1"/>
    <col min="4541" max="4541" width="25.75" style="169" customWidth="1"/>
    <col min="4542" max="4542" width="10.625" style="169" bestFit="1" customWidth="1"/>
    <col min="4543" max="4543" width="11.5" style="169" customWidth="1"/>
    <col min="4544" max="4545" width="11.375" style="169" bestFit="1" customWidth="1"/>
    <col min="4546" max="4776" width="9" style="169"/>
    <col min="4777" max="4777" width="3" style="169" customWidth="1"/>
    <col min="4778" max="4778" width="3.75" style="169" customWidth="1"/>
    <col min="4779" max="4779" width="12.125" style="169" customWidth="1"/>
    <col min="4780" max="4786" width="11.25" style="169" customWidth="1"/>
    <col min="4787" max="4787" width="9" style="169"/>
    <col min="4788" max="4795" width="3.125" style="169" customWidth="1"/>
    <col min="4796" max="4796" width="27.625" style="169" bestFit="1" customWidth="1"/>
    <col min="4797" max="4797" width="25.75" style="169" customWidth="1"/>
    <col min="4798" max="4798" width="10.625" style="169" bestFit="1" customWidth="1"/>
    <col min="4799" max="4799" width="11.5" style="169" customWidth="1"/>
    <col min="4800" max="4801" width="11.375" style="169" bestFit="1" customWidth="1"/>
    <col min="4802" max="5032" width="9" style="169"/>
    <col min="5033" max="5033" width="3" style="169" customWidth="1"/>
    <col min="5034" max="5034" width="3.75" style="169" customWidth="1"/>
    <col min="5035" max="5035" width="12.125" style="169" customWidth="1"/>
    <col min="5036" max="5042" width="11.25" style="169" customWidth="1"/>
    <col min="5043" max="5043" width="9" style="169"/>
    <col min="5044" max="5051" width="3.125" style="169" customWidth="1"/>
    <col min="5052" max="5052" width="27.625" style="169" bestFit="1" customWidth="1"/>
    <col min="5053" max="5053" width="25.75" style="169" customWidth="1"/>
    <col min="5054" max="5054" width="10.625" style="169" bestFit="1" customWidth="1"/>
    <col min="5055" max="5055" width="11.5" style="169" customWidth="1"/>
    <col min="5056" max="5057" width="11.375" style="169" bestFit="1" customWidth="1"/>
    <col min="5058" max="5288" width="9" style="169"/>
    <col min="5289" max="5289" width="3" style="169" customWidth="1"/>
    <col min="5290" max="5290" width="3.75" style="169" customWidth="1"/>
    <col min="5291" max="5291" width="12.125" style="169" customWidth="1"/>
    <col min="5292" max="5298" width="11.25" style="169" customWidth="1"/>
    <col min="5299" max="5299" width="9" style="169"/>
    <col min="5300" max="5307" width="3.125" style="169" customWidth="1"/>
    <col min="5308" max="5308" width="27.625" style="169" bestFit="1" customWidth="1"/>
    <col min="5309" max="5309" width="25.75" style="169" customWidth="1"/>
    <col min="5310" max="5310" width="10.625" style="169" bestFit="1" customWidth="1"/>
    <col min="5311" max="5311" width="11.5" style="169" customWidth="1"/>
    <col min="5312" max="5313" width="11.375" style="169" bestFit="1" customWidth="1"/>
    <col min="5314" max="5544" width="9" style="169"/>
    <col min="5545" max="5545" width="3" style="169" customWidth="1"/>
    <col min="5546" max="5546" width="3.75" style="169" customWidth="1"/>
    <col min="5547" max="5547" width="12.125" style="169" customWidth="1"/>
    <col min="5548" max="5554" width="11.25" style="169" customWidth="1"/>
    <col min="5555" max="5555" width="9" style="169"/>
    <col min="5556" max="5563" width="3.125" style="169" customWidth="1"/>
    <col min="5564" max="5564" width="27.625" style="169" bestFit="1" customWidth="1"/>
    <col min="5565" max="5565" width="25.75" style="169" customWidth="1"/>
    <col min="5566" max="5566" width="10.625" style="169" bestFit="1" customWidth="1"/>
    <col min="5567" max="5567" width="11.5" style="169" customWidth="1"/>
    <col min="5568" max="5569" width="11.375" style="169" bestFit="1" customWidth="1"/>
    <col min="5570" max="5800" width="9" style="169"/>
    <col min="5801" max="5801" width="3" style="169" customWidth="1"/>
    <col min="5802" max="5802" width="3.75" style="169" customWidth="1"/>
    <col min="5803" max="5803" width="12.125" style="169" customWidth="1"/>
    <col min="5804" max="5810" width="11.25" style="169" customWidth="1"/>
    <col min="5811" max="5811" width="9" style="169"/>
    <col min="5812" max="5819" width="3.125" style="169" customWidth="1"/>
    <col min="5820" max="5820" width="27.625" style="169" bestFit="1" customWidth="1"/>
    <col min="5821" max="5821" width="25.75" style="169" customWidth="1"/>
    <col min="5822" max="5822" width="10.625" style="169" bestFit="1" customWidth="1"/>
    <col min="5823" max="5823" width="11.5" style="169" customWidth="1"/>
    <col min="5824" max="5825" width="11.375" style="169" bestFit="1" customWidth="1"/>
    <col min="5826" max="6056" width="9" style="169"/>
    <col min="6057" max="6057" width="3" style="169" customWidth="1"/>
    <col min="6058" max="6058" width="3.75" style="169" customWidth="1"/>
    <col min="6059" max="6059" width="12.125" style="169" customWidth="1"/>
    <col min="6060" max="6066" width="11.25" style="169" customWidth="1"/>
    <col min="6067" max="6067" width="9" style="169"/>
    <col min="6068" max="6075" width="3.125" style="169" customWidth="1"/>
    <col min="6076" max="6076" width="27.625" style="169" bestFit="1" customWidth="1"/>
    <col min="6077" max="6077" width="25.75" style="169" customWidth="1"/>
    <col min="6078" max="6078" width="10.625" style="169" bestFit="1" customWidth="1"/>
    <col min="6079" max="6079" width="11.5" style="169" customWidth="1"/>
    <col min="6080" max="6081" width="11.375" style="169" bestFit="1" customWidth="1"/>
    <col min="6082" max="6312" width="9" style="169"/>
    <col min="6313" max="6313" width="3" style="169" customWidth="1"/>
    <col min="6314" max="6314" width="3.75" style="169" customWidth="1"/>
    <col min="6315" max="6315" width="12.125" style="169" customWidth="1"/>
    <col min="6316" max="6322" width="11.25" style="169" customWidth="1"/>
    <col min="6323" max="6323" width="9" style="169"/>
    <col min="6324" max="6331" width="3.125" style="169" customWidth="1"/>
    <col min="6332" max="6332" width="27.625" style="169" bestFit="1" customWidth="1"/>
    <col min="6333" max="6333" width="25.75" style="169" customWidth="1"/>
    <col min="6334" max="6334" width="10.625" style="169" bestFit="1" customWidth="1"/>
    <col min="6335" max="6335" width="11.5" style="169" customWidth="1"/>
    <col min="6336" max="6337" width="11.375" style="169" bestFit="1" customWidth="1"/>
    <col min="6338" max="6568" width="9" style="169"/>
    <col min="6569" max="6569" width="3" style="169" customWidth="1"/>
    <col min="6570" max="6570" width="3.75" style="169" customWidth="1"/>
    <col min="6571" max="6571" width="12.125" style="169" customWidth="1"/>
    <col min="6572" max="6578" width="11.25" style="169" customWidth="1"/>
    <col min="6579" max="6579" width="9" style="169"/>
    <col min="6580" max="6587" width="3.125" style="169" customWidth="1"/>
    <col min="6588" max="6588" width="27.625" style="169" bestFit="1" customWidth="1"/>
    <col min="6589" max="6589" width="25.75" style="169" customWidth="1"/>
    <col min="6590" max="6590" width="10.625" style="169" bestFit="1" customWidth="1"/>
    <col min="6591" max="6591" width="11.5" style="169" customWidth="1"/>
    <col min="6592" max="6593" width="11.375" style="169" bestFit="1" customWidth="1"/>
    <col min="6594" max="6824" width="9" style="169"/>
    <col min="6825" max="6825" width="3" style="169" customWidth="1"/>
    <col min="6826" max="6826" width="3.75" style="169" customWidth="1"/>
    <col min="6827" max="6827" width="12.125" style="169" customWidth="1"/>
    <col min="6828" max="6834" width="11.25" style="169" customWidth="1"/>
    <col min="6835" max="6835" width="9" style="169"/>
    <col min="6836" max="6843" width="3.125" style="169" customWidth="1"/>
    <col min="6844" max="6844" width="27.625" style="169" bestFit="1" customWidth="1"/>
    <col min="6845" max="6845" width="25.75" style="169" customWidth="1"/>
    <col min="6846" max="6846" width="10.625" style="169" bestFit="1" customWidth="1"/>
    <col min="6847" max="6847" width="11.5" style="169" customWidth="1"/>
    <col min="6848" max="6849" width="11.375" style="169" bestFit="1" customWidth="1"/>
    <col min="6850" max="7080" width="9" style="169"/>
    <col min="7081" max="7081" width="3" style="169" customWidth="1"/>
    <col min="7082" max="7082" width="3.75" style="169" customWidth="1"/>
    <col min="7083" max="7083" width="12.125" style="169" customWidth="1"/>
    <col min="7084" max="7090" width="11.25" style="169" customWidth="1"/>
    <col min="7091" max="7091" width="9" style="169"/>
    <col min="7092" max="7099" width="3.125" style="169" customWidth="1"/>
    <col min="7100" max="7100" width="27.625" style="169" bestFit="1" customWidth="1"/>
    <col min="7101" max="7101" width="25.75" style="169" customWidth="1"/>
    <col min="7102" max="7102" width="10.625" style="169" bestFit="1" customWidth="1"/>
    <col min="7103" max="7103" width="11.5" style="169" customWidth="1"/>
    <col min="7104" max="7105" width="11.375" style="169" bestFit="1" customWidth="1"/>
    <col min="7106" max="7336" width="9" style="169"/>
    <col min="7337" max="7337" width="3" style="169" customWidth="1"/>
    <col min="7338" max="7338" width="3.75" style="169" customWidth="1"/>
    <col min="7339" max="7339" width="12.125" style="169" customWidth="1"/>
    <col min="7340" max="7346" width="11.25" style="169" customWidth="1"/>
    <col min="7347" max="7347" width="9" style="169"/>
    <col min="7348" max="7355" width="3.125" style="169" customWidth="1"/>
    <col min="7356" max="7356" width="27.625" style="169" bestFit="1" customWidth="1"/>
    <col min="7357" max="7357" width="25.75" style="169" customWidth="1"/>
    <col min="7358" max="7358" width="10.625" style="169" bestFit="1" customWidth="1"/>
    <col min="7359" max="7359" width="11.5" style="169" customWidth="1"/>
    <col min="7360" max="7361" width="11.375" style="169" bestFit="1" customWidth="1"/>
    <col min="7362" max="7592" width="9" style="169"/>
    <col min="7593" max="7593" width="3" style="169" customWidth="1"/>
    <col min="7594" max="7594" width="3.75" style="169" customWidth="1"/>
    <col min="7595" max="7595" width="12.125" style="169" customWidth="1"/>
    <col min="7596" max="7602" width="11.25" style="169" customWidth="1"/>
    <col min="7603" max="7603" width="9" style="169"/>
    <col min="7604" max="7611" width="3.125" style="169" customWidth="1"/>
    <col min="7612" max="7612" width="27.625" style="169" bestFit="1" customWidth="1"/>
    <col min="7613" max="7613" width="25.75" style="169" customWidth="1"/>
    <col min="7614" max="7614" width="10.625" style="169" bestFit="1" customWidth="1"/>
    <col min="7615" max="7615" width="11.5" style="169" customWidth="1"/>
    <col min="7616" max="7617" width="11.375" style="169" bestFit="1" customWidth="1"/>
    <col min="7618" max="7848" width="9" style="169"/>
    <col min="7849" max="7849" width="3" style="169" customWidth="1"/>
    <col min="7850" max="7850" width="3.75" style="169" customWidth="1"/>
    <col min="7851" max="7851" width="12.125" style="169" customWidth="1"/>
    <col min="7852" max="7858" width="11.25" style="169" customWidth="1"/>
    <col min="7859" max="7859" width="9" style="169"/>
    <col min="7860" max="7867" width="3.125" style="169" customWidth="1"/>
    <col min="7868" max="7868" width="27.625" style="169" bestFit="1" customWidth="1"/>
    <col min="7869" max="7869" width="25.75" style="169" customWidth="1"/>
    <col min="7870" max="7870" width="10.625" style="169" bestFit="1" customWidth="1"/>
    <col min="7871" max="7871" width="11.5" style="169" customWidth="1"/>
    <col min="7872" max="7873" width="11.375" style="169" bestFit="1" customWidth="1"/>
    <col min="7874" max="8104" width="9" style="169"/>
    <col min="8105" max="8105" width="3" style="169" customWidth="1"/>
    <col min="8106" max="8106" width="3.75" style="169" customWidth="1"/>
    <col min="8107" max="8107" width="12.125" style="169" customWidth="1"/>
    <col min="8108" max="8114" width="11.25" style="169" customWidth="1"/>
    <col min="8115" max="8115" width="9" style="169"/>
    <col min="8116" max="8123" width="3.125" style="169" customWidth="1"/>
    <col min="8124" max="8124" width="27.625" style="169" bestFit="1" customWidth="1"/>
    <col min="8125" max="8125" width="25.75" style="169" customWidth="1"/>
    <col min="8126" max="8126" width="10.625" style="169" bestFit="1" customWidth="1"/>
    <col min="8127" max="8127" width="11.5" style="169" customWidth="1"/>
    <col min="8128" max="8129" width="11.375" style="169" bestFit="1" customWidth="1"/>
    <col min="8130" max="8360" width="9" style="169"/>
    <col min="8361" max="8361" width="3" style="169" customWidth="1"/>
    <col min="8362" max="8362" width="3.75" style="169" customWidth="1"/>
    <col min="8363" max="8363" width="12.125" style="169" customWidth="1"/>
    <col min="8364" max="8370" width="11.25" style="169" customWidth="1"/>
    <col min="8371" max="8371" width="9" style="169"/>
    <col min="8372" max="8379" width="3.125" style="169" customWidth="1"/>
    <col min="8380" max="8380" width="27.625" style="169" bestFit="1" customWidth="1"/>
    <col min="8381" max="8381" width="25.75" style="169" customWidth="1"/>
    <col min="8382" max="8382" width="10.625" style="169" bestFit="1" customWidth="1"/>
    <col min="8383" max="8383" width="11.5" style="169" customWidth="1"/>
    <col min="8384" max="8385" width="11.375" style="169" bestFit="1" customWidth="1"/>
    <col min="8386" max="8616" width="9" style="169"/>
    <col min="8617" max="8617" width="3" style="169" customWidth="1"/>
    <col min="8618" max="8618" width="3.75" style="169" customWidth="1"/>
    <col min="8619" max="8619" width="12.125" style="169" customWidth="1"/>
    <col min="8620" max="8626" width="11.25" style="169" customWidth="1"/>
    <col min="8627" max="8627" width="9" style="169"/>
    <col min="8628" max="8635" width="3.125" style="169" customWidth="1"/>
    <col min="8636" max="8636" width="27.625" style="169" bestFit="1" customWidth="1"/>
    <col min="8637" max="8637" width="25.75" style="169" customWidth="1"/>
    <col min="8638" max="8638" width="10.625" style="169" bestFit="1" customWidth="1"/>
    <col min="8639" max="8639" width="11.5" style="169" customWidth="1"/>
    <col min="8640" max="8641" width="11.375" style="169" bestFit="1" customWidth="1"/>
    <col min="8642" max="8872" width="9" style="169"/>
    <col min="8873" max="8873" width="3" style="169" customWidth="1"/>
    <col min="8874" max="8874" width="3.75" style="169" customWidth="1"/>
    <col min="8875" max="8875" width="12.125" style="169" customWidth="1"/>
    <col min="8876" max="8882" width="11.25" style="169" customWidth="1"/>
    <col min="8883" max="8883" width="9" style="169"/>
    <col min="8884" max="8891" width="3.125" style="169" customWidth="1"/>
    <col min="8892" max="8892" width="27.625" style="169" bestFit="1" customWidth="1"/>
    <col min="8893" max="8893" width="25.75" style="169" customWidth="1"/>
    <col min="8894" max="8894" width="10.625" style="169" bestFit="1" customWidth="1"/>
    <col min="8895" max="8895" width="11.5" style="169" customWidth="1"/>
    <col min="8896" max="8897" width="11.375" style="169" bestFit="1" customWidth="1"/>
    <col min="8898" max="9128" width="9" style="169"/>
    <col min="9129" max="9129" width="3" style="169" customWidth="1"/>
    <col min="9130" max="9130" width="3.75" style="169" customWidth="1"/>
    <col min="9131" max="9131" width="12.125" style="169" customWidth="1"/>
    <col min="9132" max="9138" width="11.25" style="169" customWidth="1"/>
    <col min="9139" max="9139" width="9" style="169"/>
    <col min="9140" max="9147" width="3.125" style="169" customWidth="1"/>
    <col min="9148" max="9148" width="27.625" style="169" bestFit="1" customWidth="1"/>
    <col min="9149" max="9149" width="25.75" style="169" customWidth="1"/>
    <col min="9150" max="9150" width="10.625" style="169" bestFit="1" customWidth="1"/>
    <col min="9151" max="9151" width="11.5" style="169" customWidth="1"/>
    <col min="9152" max="9153" width="11.375" style="169" bestFit="1" customWidth="1"/>
    <col min="9154" max="9384" width="9" style="169"/>
    <col min="9385" max="9385" width="3" style="169" customWidth="1"/>
    <col min="9386" max="9386" width="3.75" style="169" customWidth="1"/>
    <col min="9387" max="9387" width="12.125" style="169" customWidth="1"/>
    <col min="9388" max="9394" width="11.25" style="169" customWidth="1"/>
    <col min="9395" max="9395" width="9" style="169"/>
    <col min="9396" max="9403" width="3.125" style="169" customWidth="1"/>
    <col min="9404" max="9404" width="27.625" style="169" bestFit="1" customWidth="1"/>
    <col min="9405" max="9405" width="25.75" style="169" customWidth="1"/>
    <col min="9406" max="9406" width="10.625" style="169" bestFit="1" customWidth="1"/>
    <col min="9407" max="9407" width="11.5" style="169" customWidth="1"/>
    <col min="9408" max="9409" width="11.375" style="169" bestFit="1" customWidth="1"/>
    <col min="9410" max="9640" width="9" style="169"/>
    <col min="9641" max="9641" width="3" style="169" customWidth="1"/>
    <col min="9642" max="9642" width="3.75" style="169" customWidth="1"/>
    <col min="9643" max="9643" width="12.125" style="169" customWidth="1"/>
    <col min="9644" max="9650" width="11.25" style="169" customWidth="1"/>
    <col min="9651" max="9651" width="9" style="169"/>
    <col min="9652" max="9659" width="3.125" style="169" customWidth="1"/>
    <col min="9660" max="9660" width="27.625" style="169" bestFit="1" customWidth="1"/>
    <col min="9661" max="9661" width="25.75" style="169" customWidth="1"/>
    <col min="9662" max="9662" width="10.625" style="169" bestFit="1" customWidth="1"/>
    <col min="9663" max="9663" width="11.5" style="169" customWidth="1"/>
    <col min="9664" max="9665" width="11.375" style="169" bestFit="1" customWidth="1"/>
    <col min="9666" max="9896" width="9" style="169"/>
    <col min="9897" max="9897" width="3" style="169" customWidth="1"/>
    <col min="9898" max="9898" width="3.75" style="169" customWidth="1"/>
    <col min="9899" max="9899" width="12.125" style="169" customWidth="1"/>
    <col min="9900" max="9906" width="11.25" style="169" customWidth="1"/>
    <col min="9907" max="9907" width="9" style="169"/>
    <col min="9908" max="9915" width="3.125" style="169" customWidth="1"/>
    <col min="9916" max="9916" width="27.625" style="169" bestFit="1" customWidth="1"/>
    <col min="9917" max="9917" width="25.75" style="169" customWidth="1"/>
    <col min="9918" max="9918" width="10.625" style="169" bestFit="1" customWidth="1"/>
    <col min="9919" max="9919" width="11.5" style="169" customWidth="1"/>
    <col min="9920" max="9921" width="11.375" style="169" bestFit="1" customWidth="1"/>
    <col min="9922" max="10152" width="9" style="169"/>
    <col min="10153" max="10153" width="3" style="169" customWidth="1"/>
    <col min="10154" max="10154" width="3.75" style="169" customWidth="1"/>
    <col min="10155" max="10155" width="12.125" style="169" customWidth="1"/>
    <col min="10156" max="10162" width="11.25" style="169" customWidth="1"/>
    <col min="10163" max="10163" width="9" style="169"/>
    <col min="10164" max="10171" width="3.125" style="169" customWidth="1"/>
    <col min="10172" max="10172" width="27.625" style="169" bestFit="1" customWidth="1"/>
    <col min="10173" max="10173" width="25.75" style="169" customWidth="1"/>
    <col min="10174" max="10174" width="10.625" style="169" bestFit="1" customWidth="1"/>
    <col min="10175" max="10175" width="11.5" style="169" customWidth="1"/>
    <col min="10176" max="10177" width="11.375" style="169" bestFit="1" customWidth="1"/>
    <col min="10178" max="10408" width="9" style="169"/>
    <col min="10409" max="10409" width="3" style="169" customWidth="1"/>
    <col min="10410" max="10410" width="3.75" style="169" customWidth="1"/>
    <col min="10411" max="10411" width="12.125" style="169" customWidth="1"/>
    <col min="10412" max="10418" width="11.25" style="169" customWidth="1"/>
    <col min="10419" max="10419" width="9" style="169"/>
    <col min="10420" max="10427" width="3.125" style="169" customWidth="1"/>
    <col min="10428" max="10428" width="27.625" style="169" bestFit="1" customWidth="1"/>
    <col min="10429" max="10429" width="25.75" style="169" customWidth="1"/>
    <col min="10430" max="10430" width="10.625" style="169" bestFit="1" customWidth="1"/>
    <col min="10431" max="10431" width="11.5" style="169" customWidth="1"/>
    <col min="10432" max="10433" width="11.375" style="169" bestFit="1" customWidth="1"/>
    <col min="10434" max="10664" width="9" style="169"/>
    <col min="10665" max="10665" width="3" style="169" customWidth="1"/>
    <col min="10666" max="10666" width="3.75" style="169" customWidth="1"/>
    <col min="10667" max="10667" width="12.125" style="169" customWidth="1"/>
    <col min="10668" max="10674" width="11.25" style="169" customWidth="1"/>
    <col min="10675" max="10675" width="9" style="169"/>
    <col min="10676" max="10683" width="3.125" style="169" customWidth="1"/>
    <col min="10684" max="10684" width="27.625" style="169" bestFit="1" customWidth="1"/>
    <col min="10685" max="10685" width="25.75" style="169" customWidth="1"/>
    <col min="10686" max="10686" width="10.625" style="169" bestFit="1" customWidth="1"/>
    <col min="10687" max="10687" width="11.5" style="169" customWidth="1"/>
    <col min="10688" max="10689" width="11.375" style="169" bestFit="1" customWidth="1"/>
    <col min="10690" max="10920" width="9" style="169"/>
    <col min="10921" max="10921" width="3" style="169" customWidth="1"/>
    <col min="10922" max="10922" width="3.75" style="169" customWidth="1"/>
    <col min="10923" max="10923" width="12.125" style="169" customWidth="1"/>
    <col min="10924" max="10930" width="11.25" style="169" customWidth="1"/>
    <col min="10931" max="10931" width="9" style="169"/>
    <col min="10932" max="10939" width="3.125" style="169" customWidth="1"/>
    <col min="10940" max="10940" width="27.625" style="169" bestFit="1" customWidth="1"/>
    <col min="10941" max="10941" width="25.75" style="169" customWidth="1"/>
    <col min="10942" max="10942" width="10.625" style="169" bestFit="1" customWidth="1"/>
    <col min="10943" max="10943" width="11.5" style="169" customWidth="1"/>
    <col min="10944" max="10945" width="11.375" style="169" bestFit="1" customWidth="1"/>
    <col min="10946" max="11176" width="9" style="169"/>
    <col min="11177" max="11177" width="3" style="169" customWidth="1"/>
    <col min="11178" max="11178" width="3.75" style="169" customWidth="1"/>
    <col min="11179" max="11179" width="12.125" style="169" customWidth="1"/>
    <col min="11180" max="11186" width="11.25" style="169" customWidth="1"/>
    <col min="11187" max="11187" width="9" style="169"/>
    <col min="11188" max="11195" width="3.125" style="169" customWidth="1"/>
    <col min="11196" max="11196" width="27.625" style="169" bestFit="1" customWidth="1"/>
    <col min="11197" max="11197" width="25.75" style="169" customWidth="1"/>
    <col min="11198" max="11198" width="10.625" style="169" bestFit="1" customWidth="1"/>
    <col min="11199" max="11199" width="11.5" style="169" customWidth="1"/>
    <col min="11200" max="11201" width="11.375" style="169" bestFit="1" customWidth="1"/>
    <col min="11202" max="11432" width="9" style="169"/>
    <col min="11433" max="11433" width="3" style="169" customWidth="1"/>
    <col min="11434" max="11434" width="3.75" style="169" customWidth="1"/>
    <col min="11435" max="11435" width="12.125" style="169" customWidth="1"/>
    <col min="11436" max="11442" width="11.25" style="169" customWidth="1"/>
    <col min="11443" max="11443" width="9" style="169"/>
    <col min="11444" max="11451" width="3.125" style="169" customWidth="1"/>
    <col min="11452" max="11452" width="27.625" style="169" bestFit="1" customWidth="1"/>
    <col min="11453" max="11453" width="25.75" style="169" customWidth="1"/>
    <col min="11454" max="11454" width="10.625" style="169" bestFit="1" customWidth="1"/>
    <col min="11455" max="11455" width="11.5" style="169" customWidth="1"/>
    <col min="11456" max="11457" width="11.375" style="169" bestFit="1" customWidth="1"/>
    <col min="11458" max="11688" width="9" style="169"/>
    <col min="11689" max="11689" width="3" style="169" customWidth="1"/>
    <col min="11690" max="11690" width="3.75" style="169" customWidth="1"/>
    <col min="11691" max="11691" width="12.125" style="169" customWidth="1"/>
    <col min="11692" max="11698" width="11.25" style="169" customWidth="1"/>
    <col min="11699" max="11699" width="9" style="169"/>
    <col min="11700" max="11707" width="3.125" style="169" customWidth="1"/>
    <col min="11708" max="11708" width="27.625" style="169" bestFit="1" customWidth="1"/>
    <col min="11709" max="11709" width="25.75" style="169" customWidth="1"/>
    <col min="11710" max="11710" width="10.625" style="169" bestFit="1" customWidth="1"/>
    <col min="11711" max="11711" width="11.5" style="169" customWidth="1"/>
    <col min="11712" max="11713" width="11.375" style="169" bestFit="1" customWidth="1"/>
    <col min="11714" max="11944" width="9" style="169"/>
    <col min="11945" max="11945" width="3" style="169" customWidth="1"/>
    <col min="11946" max="11946" width="3.75" style="169" customWidth="1"/>
    <col min="11947" max="11947" width="12.125" style="169" customWidth="1"/>
    <col min="11948" max="11954" width="11.25" style="169" customWidth="1"/>
    <col min="11955" max="11955" width="9" style="169"/>
    <col min="11956" max="11963" width="3.125" style="169" customWidth="1"/>
    <col min="11964" max="11964" width="27.625" style="169" bestFit="1" customWidth="1"/>
    <col min="11965" max="11965" width="25.75" style="169" customWidth="1"/>
    <col min="11966" max="11966" width="10.625" style="169" bestFit="1" customWidth="1"/>
    <col min="11967" max="11967" width="11.5" style="169" customWidth="1"/>
    <col min="11968" max="11969" width="11.375" style="169" bestFit="1" customWidth="1"/>
    <col min="11970" max="12200" width="9" style="169"/>
    <col min="12201" max="12201" width="3" style="169" customWidth="1"/>
    <col min="12202" max="12202" width="3.75" style="169" customWidth="1"/>
    <col min="12203" max="12203" width="12.125" style="169" customWidth="1"/>
    <col min="12204" max="12210" width="11.25" style="169" customWidth="1"/>
    <col min="12211" max="12211" width="9" style="169"/>
    <col min="12212" max="12219" width="3.125" style="169" customWidth="1"/>
    <col min="12220" max="12220" width="27.625" style="169" bestFit="1" customWidth="1"/>
    <col min="12221" max="12221" width="25.75" style="169" customWidth="1"/>
    <col min="12222" max="12222" width="10.625" style="169" bestFit="1" customWidth="1"/>
    <col min="12223" max="12223" width="11.5" style="169" customWidth="1"/>
    <col min="12224" max="12225" width="11.375" style="169" bestFit="1" customWidth="1"/>
    <col min="12226" max="12456" width="9" style="169"/>
    <col min="12457" max="12457" width="3" style="169" customWidth="1"/>
    <col min="12458" max="12458" width="3.75" style="169" customWidth="1"/>
    <col min="12459" max="12459" width="12.125" style="169" customWidth="1"/>
    <col min="12460" max="12466" width="11.25" style="169" customWidth="1"/>
    <col min="12467" max="12467" width="9" style="169"/>
    <col min="12468" max="12475" width="3.125" style="169" customWidth="1"/>
    <col min="12476" max="12476" width="27.625" style="169" bestFit="1" customWidth="1"/>
    <col min="12477" max="12477" width="25.75" style="169" customWidth="1"/>
    <col min="12478" max="12478" width="10.625" style="169" bestFit="1" customWidth="1"/>
    <col min="12479" max="12479" width="11.5" style="169" customWidth="1"/>
    <col min="12480" max="12481" width="11.375" style="169" bestFit="1" customWidth="1"/>
    <col min="12482" max="12712" width="9" style="169"/>
    <col min="12713" max="12713" width="3" style="169" customWidth="1"/>
    <col min="12714" max="12714" width="3.75" style="169" customWidth="1"/>
    <col min="12715" max="12715" width="12.125" style="169" customWidth="1"/>
    <col min="12716" max="12722" width="11.25" style="169" customWidth="1"/>
    <col min="12723" max="12723" width="9" style="169"/>
    <col min="12724" max="12731" width="3.125" style="169" customWidth="1"/>
    <col min="12732" max="12732" width="27.625" style="169" bestFit="1" customWidth="1"/>
    <col min="12733" max="12733" width="25.75" style="169" customWidth="1"/>
    <col min="12734" max="12734" width="10.625" style="169" bestFit="1" customWidth="1"/>
    <col min="12735" max="12735" width="11.5" style="169" customWidth="1"/>
    <col min="12736" max="12737" width="11.375" style="169" bestFit="1" customWidth="1"/>
    <col min="12738" max="12968" width="9" style="169"/>
    <col min="12969" max="12969" width="3" style="169" customWidth="1"/>
    <col min="12970" max="12970" width="3.75" style="169" customWidth="1"/>
    <col min="12971" max="12971" width="12.125" style="169" customWidth="1"/>
    <col min="12972" max="12978" width="11.25" style="169" customWidth="1"/>
    <col min="12979" max="12979" width="9" style="169"/>
    <col min="12980" max="12987" width="3.125" style="169" customWidth="1"/>
    <col min="12988" max="12988" width="27.625" style="169" bestFit="1" customWidth="1"/>
    <col min="12989" max="12989" width="25.75" style="169" customWidth="1"/>
    <col min="12990" max="12990" width="10.625" style="169" bestFit="1" customWidth="1"/>
    <col min="12991" max="12991" width="11.5" style="169" customWidth="1"/>
    <col min="12992" max="12993" width="11.375" style="169" bestFit="1" customWidth="1"/>
    <col min="12994" max="13224" width="9" style="169"/>
    <col min="13225" max="13225" width="3" style="169" customWidth="1"/>
    <col min="13226" max="13226" width="3.75" style="169" customWidth="1"/>
    <col min="13227" max="13227" width="12.125" style="169" customWidth="1"/>
    <col min="13228" max="13234" width="11.25" style="169" customWidth="1"/>
    <col min="13235" max="13235" width="9" style="169"/>
    <col min="13236" max="13243" width="3.125" style="169" customWidth="1"/>
    <col min="13244" max="13244" width="27.625" style="169" bestFit="1" customWidth="1"/>
    <col min="13245" max="13245" width="25.75" style="169" customWidth="1"/>
    <col min="13246" max="13246" width="10.625" style="169" bestFit="1" customWidth="1"/>
    <col min="13247" max="13247" width="11.5" style="169" customWidth="1"/>
    <col min="13248" max="13249" width="11.375" style="169" bestFit="1" customWidth="1"/>
    <col min="13250" max="13480" width="9" style="169"/>
    <col min="13481" max="13481" width="3" style="169" customWidth="1"/>
    <col min="13482" max="13482" width="3.75" style="169" customWidth="1"/>
    <col min="13483" max="13483" width="12.125" style="169" customWidth="1"/>
    <col min="13484" max="13490" width="11.25" style="169" customWidth="1"/>
    <col min="13491" max="13491" width="9" style="169"/>
    <col min="13492" max="13499" width="3.125" style="169" customWidth="1"/>
    <col min="13500" max="13500" width="27.625" style="169" bestFit="1" customWidth="1"/>
    <col min="13501" max="13501" width="25.75" style="169" customWidth="1"/>
    <col min="13502" max="13502" width="10.625" style="169" bestFit="1" customWidth="1"/>
    <col min="13503" max="13503" width="11.5" style="169" customWidth="1"/>
    <col min="13504" max="13505" width="11.375" style="169" bestFit="1" customWidth="1"/>
    <col min="13506" max="13736" width="9" style="169"/>
    <col min="13737" max="13737" width="3" style="169" customWidth="1"/>
    <col min="13738" max="13738" width="3.75" style="169" customWidth="1"/>
    <col min="13739" max="13739" width="12.125" style="169" customWidth="1"/>
    <col min="13740" max="13746" width="11.25" style="169" customWidth="1"/>
    <col min="13747" max="13747" width="9" style="169"/>
    <col min="13748" max="13755" width="3.125" style="169" customWidth="1"/>
    <col min="13756" max="13756" width="27.625" style="169" bestFit="1" customWidth="1"/>
    <col min="13757" max="13757" width="25.75" style="169" customWidth="1"/>
    <col min="13758" max="13758" width="10.625" style="169" bestFit="1" customWidth="1"/>
    <col min="13759" max="13759" width="11.5" style="169" customWidth="1"/>
    <col min="13760" max="13761" width="11.375" style="169" bestFit="1" customWidth="1"/>
    <col min="13762" max="13992" width="9" style="169"/>
    <col min="13993" max="13993" width="3" style="169" customWidth="1"/>
    <col min="13994" max="13994" width="3.75" style="169" customWidth="1"/>
    <col min="13995" max="13995" width="12.125" style="169" customWidth="1"/>
    <col min="13996" max="14002" width="11.25" style="169" customWidth="1"/>
    <col min="14003" max="14003" width="9" style="169"/>
    <col min="14004" max="14011" width="3.125" style="169" customWidth="1"/>
    <col min="14012" max="14012" width="27.625" style="169" bestFit="1" customWidth="1"/>
    <col min="14013" max="14013" width="25.75" style="169" customWidth="1"/>
    <col min="14014" max="14014" width="10.625" style="169" bestFit="1" customWidth="1"/>
    <col min="14015" max="14015" width="11.5" style="169" customWidth="1"/>
    <col min="14016" max="14017" width="11.375" style="169" bestFit="1" customWidth="1"/>
    <col min="14018" max="14248" width="9" style="169"/>
    <col min="14249" max="14249" width="3" style="169" customWidth="1"/>
    <col min="14250" max="14250" width="3.75" style="169" customWidth="1"/>
    <col min="14251" max="14251" width="12.125" style="169" customWidth="1"/>
    <col min="14252" max="14258" width="11.25" style="169" customWidth="1"/>
    <col min="14259" max="14259" width="9" style="169"/>
    <col min="14260" max="14267" width="3.125" style="169" customWidth="1"/>
    <col min="14268" max="14268" width="27.625" style="169" bestFit="1" customWidth="1"/>
    <col min="14269" max="14269" width="25.75" style="169" customWidth="1"/>
    <col min="14270" max="14270" width="10.625" style="169" bestFit="1" customWidth="1"/>
    <col min="14271" max="14271" width="11.5" style="169" customWidth="1"/>
    <col min="14272" max="14273" width="11.375" style="169" bestFit="1" customWidth="1"/>
    <col min="14274" max="14504" width="9" style="169"/>
    <col min="14505" max="14505" width="3" style="169" customWidth="1"/>
    <col min="14506" max="14506" width="3.75" style="169" customWidth="1"/>
    <col min="14507" max="14507" width="12.125" style="169" customWidth="1"/>
    <col min="14508" max="14514" width="11.25" style="169" customWidth="1"/>
    <col min="14515" max="14515" width="9" style="169"/>
    <col min="14516" max="14523" width="3.125" style="169" customWidth="1"/>
    <col min="14524" max="14524" width="27.625" style="169" bestFit="1" customWidth="1"/>
    <col min="14525" max="14525" width="25.75" style="169" customWidth="1"/>
    <col min="14526" max="14526" width="10.625" style="169" bestFit="1" customWidth="1"/>
    <col min="14527" max="14527" width="11.5" style="169" customWidth="1"/>
    <col min="14528" max="14529" width="11.375" style="169" bestFit="1" customWidth="1"/>
    <col min="14530" max="14760" width="9" style="169"/>
    <col min="14761" max="14761" width="3" style="169" customWidth="1"/>
    <col min="14762" max="14762" width="3.75" style="169" customWidth="1"/>
    <col min="14763" max="14763" width="12.125" style="169" customWidth="1"/>
    <col min="14764" max="14770" width="11.25" style="169" customWidth="1"/>
    <col min="14771" max="14771" width="9" style="169"/>
    <col min="14772" max="14779" width="3.125" style="169" customWidth="1"/>
    <col min="14780" max="14780" width="27.625" style="169" bestFit="1" customWidth="1"/>
    <col min="14781" max="14781" width="25.75" style="169" customWidth="1"/>
    <col min="14782" max="14782" width="10.625" style="169" bestFit="1" customWidth="1"/>
    <col min="14783" max="14783" width="11.5" style="169" customWidth="1"/>
    <col min="14784" max="14785" width="11.375" style="169" bestFit="1" customWidth="1"/>
    <col min="14786" max="15016" width="9" style="169"/>
    <col min="15017" max="15017" width="3" style="169" customWidth="1"/>
    <col min="15018" max="15018" width="3.75" style="169" customWidth="1"/>
    <col min="15019" max="15019" width="12.125" style="169" customWidth="1"/>
    <col min="15020" max="15026" width="11.25" style="169" customWidth="1"/>
    <col min="15027" max="15027" width="9" style="169"/>
    <col min="15028" max="15035" width="3.125" style="169" customWidth="1"/>
    <col min="15036" max="15036" width="27.625" style="169" bestFit="1" customWidth="1"/>
    <col min="15037" max="15037" width="25.75" style="169" customWidth="1"/>
    <col min="15038" max="15038" width="10.625" style="169" bestFit="1" customWidth="1"/>
    <col min="15039" max="15039" width="11.5" style="169" customWidth="1"/>
    <col min="15040" max="15041" width="11.375" style="169" bestFit="1" customWidth="1"/>
    <col min="15042" max="15272" width="9" style="169"/>
    <col min="15273" max="15273" width="3" style="169" customWidth="1"/>
    <col min="15274" max="15274" width="3.75" style="169" customWidth="1"/>
    <col min="15275" max="15275" width="12.125" style="169" customWidth="1"/>
    <col min="15276" max="15282" width="11.25" style="169" customWidth="1"/>
    <col min="15283" max="15283" width="9" style="169"/>
    <col min="15284" max="15291" width="3.125" style="169" customWidth="1"/>
    <col min="15292" max="15292" width="27.625" style="169" bestFit="1" customWidth="1"/>
    <col min="15293" max="15293" width="25.75" style="169" customWidth="1"/>
    <col min="15294" max="15294" width="10.625" style="169" bestFit="1" customWidth="1"/>
    <col min="15295" max="15295" width="11.5" style="169" customWidth="1"/>
    <col min="15296" max="15297" width="11.375" style="169" bestFit="1" customWidth="1"/>
    <col min="15298" max="15528" width="9" style="169"/>
    <col min="15529" max="15529" width="3" style="169" customWidth="1"/>
    <col min="15530" max="15530" width="3.75" style="169" customWidth="1"/>
    <col min="15531" max="15531" width="12.125" style="169" customWidth="1"/>
    <col min="15532" max="15538" width="11.25" style="169" customWidth="1"/>
    <col min="15539" max="15539" width="9" style="169"/>
    <col min="15540" max="15547" width="3.125" style="169" customWidth="1"/>
    <col min="15548" max="15548" width="27.625" style="169" bestFit="1" customWidth="1"/>
    <col min="15549" max="15549" width="25.75" style="169" customWidth="1"/>
    <col min="15550" max="15550" width="10.625" style="169" bestFit="1" customWidth="1"/>
    <col min="15551" max="15551" width="11.5" style="169" customWidth="1"/>
    <col min="15552" max="15553" width="11.375" style="169" bestFit="1" customWidth="1"/>
    <col min="15554" max="15784" width="9" style="169"/>
    <col min="15785" max="15785" width="3" style="169" customWidth="1"/>
    <col min="15786" max="15786" width="3.75" style="169" customWidth="1"/>
    <col min="15787" max="15787" width="12.125" style="169" customWidth="1"/>
    <col min="15788" max="15794" width="11.25" style="169" customWidth="1"/>
    <col min="15795" max="15795" width="9" style="169"/>
    <col min="15796" max="15803" width="3.125" style="169" customWidth="1"/>
    <col min="15804" max="15804" width="27.625" style="169" bestFit="1" customWidth="1"/>
    <col min="15805" max="15805" width="25.75" style="169" customWidth="1"/>
    <col min="15806" max="15806" width="10.625" style="169" bestFit="1" customWidth="1"/>
    <col min="15807" max="15807" width="11.5" style="169" customWidth="1"/>
    <col min="15808" max="15809" width="11.375" style="169" bestFit="1" customWidth="1"/>
    <col min="15810" max="16040" width="9" style="169"/>
    <col min="16041" max="16041" width="3" style="169" customWidth="1"/>
    <col min="16042" max="16042" width="3.75" style="169" customWidth="1"/>
    <col min="16043" max="16043" width="12.125" style="169" customWidth="1"/>
    <col min="16044" max="16050" width="11.25" style="169" customWidth="1"/>
    <col min="16051" max="16051" width="9" style="169"/>
    <col min="16052" max="16059" width="3.125" style="169" customWidth="1"/>
    <col min="16060" max="16060" width="27.625" style="169" bestFit="1" customWidth="1"/>
    <col min="16061" max="16061" width="25.75" style="169" customWidth="1"/>
    <col min="16062" max="16062" width="10.625" style="169" bestFit="1" customWidth="1"/>
    <col min="16063" max="16063" width="11.5" style="169" customWidth="1"/>
    <col min="16064" max="16065" width="11.375" style="169" bestFit="1" customWidth="1"/>
    <col min="16066" max="16384" width="9" style="169"/>
  </cols>
  <sheetData>
    <row r="1" spans="2:20" ht="13.5" thickBot="1" x14ac:dyDescent="0.2">
      <c r="B1" s="175"/>
    </row>
    <row r="2" spans="2:20" x14ac:dyDescent="0.15">
      <c r="O2" s="170" t="s">
        <v>88</v>
      </c>
      <c r="P2" s="176" t="s">
        <v>89</v>
      </c>
      <c r="Q2" s="177"/>
      <c r="R2" s="177"/>
      <c r="S2" s="177"/>
      <c r="T2" s="178"/>
    </row>
    <row r="3" spans="2:20" ht="13.5" thickBot="1" x14ac:dyDescent="0.2">
      <c r="O3" s="171" t="s">
        <v>90</v>
      </c>
      <c r="P3" s="179" t="str">
        <f>$O$3&amp;O6&amp;"（"&amp;P6&amp;"）"</f>
        <v>S16-0731日本コヴィディエン株式会社　東京第二営業所（東京都立多摩総合医療センター）</v>
      </c>
      <c r="Q3" s="180"/>
      <c r="R3" s="180"/>
      <c r="S3" s="180"/>
      <c r="T3" s="181"/>
    </row>
    <row r="5" spans="2:20" x14ac:dyDescent="0.15">
      <c r="O5" s="172" t="s">
        <v>91</v>
      </c>
      <c r="P5" s="172" t="s">
        <v>92</v>
      </c>
      <c r="Q5" s="172" t="s">
        <v>93</v>
      </c>
      <c r="R5" s="172" t="s">
        <v>94</v>
      </c>
      <c r="S5" s="172" t="s">
        <v>95</v>
      </c>
      <c r="T5" s="172" t="s">
        <v>96</v>
      </c>
    </row>
    <row r="6" spans="2:20" ht="13.5" x14ac:dyDescent="0.15">
      <c r="O6" s="104" t="str">
        <f>VLOOKUP($O$3,[1]受付台帳!$A$3:$AT$1041,16,FALSE)</f>
        <v>日本コヴィディエン株式会社　東京第二営業所</v>
      </c>
      <c r="P6" s="94" t="str">
        <f>VLOOKUP($O$3,[1]受付台帳!$A$4:$AU$1041,21,FALSE)</f>
        <v>東京都立多摩総合医療センター</v>
      </c>
      <c r="Q6" s="94" t="str">
        <f>VLOOKUP($O$3,[1]受付台帳!$A$4:$AU$1041,13,FALSE)</f>
        <v>iLook25</v>
      </c>
      <c r="R6" s="94" t="str">
        <f>VLOOKUP($O$3,[1]受付台帳!$A$4:$AU$1041,15,FALSE)</f>
        <v>P04303-01</v>
      </c>
      <c r="S6" s="94" t="str">
        <f>VLOOKUP($O$3,[1]受付台帳!$A$4:$AU$1041,14,FALSE)</f>
        <v>03359F</v>
      </c>
      <c r="T6" s="95">
        <f>VLOOKUP($O$3,[1]受付台帳!$A$4:$AU$1041,47,FALSE)</f>
        <v>38292</v>
      </c>
    </row>
    <row r="21" spans="2:11" ht="8.25" customHeight="1" x14ac:dyDescent="0.15"/>
    <row r="22" spans="2:11" ht="15" x14ac:dyDescent="0.15">
      <c r="B22" s="28"/>
      <c r="C22" s="28"/>
      <c r="D22" s="28"/>
      <c r="E22" s="28"/>
      <c r="F22" s="28"/>
      <c r="G22" s="28"/>
      <c r="K22" s="158"/>
    </row>
    <row r="23" spans="2:11" ht="15" x14ac:dyDescent="0.15">
      <c r="B23" s="28" t="str">
        <f>P6&amp;"　御中"</f>
        <v>東京都立多摩総合医療センター　御中</v>
      </c>
      <c r="C23" s="28"/>
      <c r="D23" s="28"/>
      <c r="E23" s="28"/>
      <c r="F23" s="28"/>
      <c r="G23" s="28"/>
      <c r="K23" s="158"/>
    </row>
    <row r="24" spans="2:11" ht="18.75" customHeight="1" x14ac:dyDescent="0.15">
      <c r="K24" s="158"/>
    </row>
    <row r="25" spans="2:11" x14ac:dyDescent="0.15">
      <c r="J25" s="160"/>
      <c r="K25" s="158" t="s">
        <v>86</v>
      </c>
    </row>
    <row r="26" spans="2:11" x14ac:dyDescent="0.15">
      <c r="K26" s="158" t="s">
        <v>97</v>
      </c>
    </row>
    <row r="27" spans="2:11" x14ac:dyDescent="0.15">
      <c r="K27" s="158" t="s">
        <v>98</v>
      </c>
    </row>
    <row r="29" spans="2:11" x14ac:dyDescent="0.15">
      <c r="K29" s="159" t="s">
        <v>99</v>
      </c>
    </row>
    <row r="30" spans="2:11" x14ac:dyDescent="0.15">
      <c r="K30" s="159" t="s">
        <v>100</v>
      </c>
    </row>
    <row r="31" spans="2:11" x14ac:dyDescent="0.15">
      <c r="K31" s="158" t="s">
        <v>101</v>
      </c>
    </row>
    <row r="32" spans="2:11" x14ac:dyDescent="0.15">
      <c r="K32" s="159" t="s">
        <v>102</v>
      </c>
    </row>
    <row r="34" spans="2:11" x14ac:dyDescent="0.15">
      <c r="B34" s="29" t="s">
        <v>103</v>
      </c>
      <c r="C34" s="30"/>
      <c r="D34" s="30"/>
      <c r="E34" s="30"/>
      <c r="F34" s="30"/>
      <c r="G34" s="30"/>
      <c r="H34" s="30"/>
      <c r="I34" s="30"/>
      <c r="J34" s="30"/>
      <c r="K34" s="30"/>
    </row>
    <row r="35" spans="2:11" x14ac:dyDescent="0.15">
      <c r="B35" s="30"/>
      <c r="C35" s="30"/>
      <c r="D35" s="30"/>
      <c r="E35" s="30"/>
      <c r="F35" s="30"/>
      <c r="G35" s="30"/>
      <c r="H35" s="30"/>
      <c r="I35" s="30"/>
      <c r="J35" s="30"/>
      <c r="K35" s="30"/>
    </row>
    <row r="36" spans="2:11" x14ac:dyDescent="0.15">
      <c r="B36" s="30"/>
      <c r="C36" s="30"/>
      <c r="D36" s="30"/>
      <c r="E36" s="30"/>
      <c r="F36" s="30"/>
      <c r="G36" s="30"/>
      <c r="H36" s="30"/>
      <c r="I36" s="30"/>
      <c r="J36" s="30"/>
      <c r="K36" s="30"/>
    </row>
    <row r="37" spans="2:11" x14ac:dyDescent="0.15">
      <c r="B37" s="163"/>
      <c r="C37" s="163"/>
      <c r="D37" s="163"/>
      <c r="E37" s="163"/>
      <c r="F37" s="163"/>
      <c r="G37" s="163"/>
      <c r="H37" s="163"/>
      <c r="I37" s="163"/>
      <c r="J37" s="163"/>
      <c r="K37" s="163"/>
    </row>
    <row r="39" spans="2:11" ht="13.5" customHeight="1" x14ac:dyDescent="0.15">
      <c r="B39" s="169" t="s">
        <v>87</v>
      </c>
    </row>
    <row r="40" spans="2:11" x14ac:dyDescent="0.15">
      <c r="B40" s="163"/>
      <c r="C40" s="31" t="s">
        <v>104</v>
      </c>
      <c r="D40" s="31"/>
      <c r="E40" s="31"/>
      <c r="F40" s="31"/>
      <c r="G40" s="31"/>
      <c r="H40" s="31"/>
      <c r="I40" s="31"/>
      <c r="J40" s="31"/>
      <c r="K40" s="31"/>
    </row>
    <row r="41" spans="2:11" x14ac:dyDescent="0.15">
      <c r="B41" s="163"/>
      <c r="C41" s="31"/>
      <c r="D41" s="31"/>
      <c r="E41" s="31"/>
      <c r="F41" s="31"/>
      <c r="G41" s="31"/>
      <c r="H41" s="31"/>
      <c r="I41" s="31"/>
      <c r="J41" s="31"/>
      <c r="K41" s="31"/>
    </row>
    <row r="42" spans="2:11" ht="13.5" customHeight="1" x14ac:dyDescent="0.15">
      <c r="B42" s="163"/>
      <c r="C42" s="31"/>
      <c r="D42" s="31"/>
      <c r="E42" s="31"/>
      <c r="F42" s="31"/>
      <c r="G42" s="31"/>
      <c r="H42" s="31"/>
      <c r="I42" s="31"/>
      <c r="J42" s="31"/>
      <c r="K42" s="31"/>
    </row>
    <row r="43" spans="2:11" x14ac:dyDescent="0.15">
      <c r="B43" s="163"/>
      <c r="C43" s="31"/>
      <c r="D43" s="31"/>
      <c r="E43" s="31"/>
      <c r="F43" s="31"/>
      <c r="G43" s="31"/>
      <c r="H43" s="31"/>
      <c r="I43" s="31"/>
      <c r="J43" s="31"/>
      <c r="K43" s="31"/>
    </row>
    <row r="44" spans="2:11" x14ac:dyDescent="0.15">
      <c r="B44" s="163"/>
      <c r="C44" s="31"/>
      <c r="D44" s="31"/>
      <c r="E44" s="31"/>
      <c r="F44" s="31"/>
      <c r="G44" s="31"/>
      <c r="H44" s="31"/>
      <c r="I44" s="31"/>
      <c r="J44" s="31"/>
      <c r="K44" s="31"/>
    </row>
    <row r="45" spans="2:11" ht="13.5" customHeight="1" x14ac:dyDescent="0.15">
      <c r="B45" s="163"/>
      <c r="C45" s="163"/>
      <c r="D45" s="163"/>
      <c r="E45" s="163"/>
      <c r="F45" s="163"/>
      <c r="G45" s="163"/>
      <c r="H45" s="163"/>
      <c r="I45" s="163"/>
      <c r="J45" s="163"/>
      <c r="K45" s="160" t="s">
        <v>105</v>
      </c>
    </row>
    <row r="46" spans="2:11" ht="13.5" customHeight="1" x14ac:dyDescent="0.15">
      <c r="B46" s="163"/>
      <c r="C46" s="163"/>
      <c r="D46" s="163"/>
      <c r="E46" s="163"/>
      <c r="F46" s="163"/>
      <c r="G46" s="163"/>
      <c r="H46" s="163"/>
      <c r="I46" s="163"/>
      <c r="J46" s="163"/>
      <c r="K46" s="160"/>
    </row>
    <row r="47" spans="2:11" ht="13.5" customHeight="1" x14ac:dyDescent="0.15"/>
    <row r="48" spans="2:11" ht="13.5" customHeight="1" x14ac:dyDescent="0.15">
      <c r="B48" s="32" t="s">
        <v>106</v>
      </c>
      <c r="C48" s="32"/>
      <c r="D48" s="32"/>
      <c r="E48" s="32"/>
      <c r="F48" s="32"/>
      <c r="G48" s="32"/>
      <c r="H48" s="32"/>
      <c r="I48" s="32"/>
      <c r="J48" s="32"/>
      <c r="K48" s="32"/>
    </row>
    <row r="49" spans="2:11" ht="13.5" customHeight="1" x14ac:dyDescent="0.15"/>
    <row r="50" spans="2:11" ht="13.5" customHeight="1" x14ac:dyDescent="0.15">
      <c r="B50" s="173" t="s">
        <v>107</v>
      </c>
    </row>
    <row r="51" spans="2:11" ht="13.5" customHeight="1" x14ac:dyDescent="0.15">
      <c r="C51" s="165"/>
      <c r="D51" s="33" t="s">
        <v>108</v>
      </c>
      <c r="E51" s="34"/>
      <c r="F51" s="33" t="str">
        <f>"SonoSite "&amp;Q6&amp;" ( "&amp;R6&amp;" )"</f>
        <v>SonoSite iLook25 ( P04303-01 )</v>
      </c>
      <c r="G51" s="35"/>
      <c r="H51" s="35"/>
      <c r="I51" s="35"/>
      <c r="J51" s="34"/>
    </row>
    <row r="52" spans="2:11" x14ac:dyDescent="0.15">
      <c r="C52" s="165"/>
      <c r="D52" s="33" t="s">
        <v>109</v>
      </c>
      <c r="E52" s="34"/>
      <c r="F52" s="33" t="str">
        <f>S6</f>
        <v>03359F</v>
      </c>
      <c r="G52" s="35"/>
      <c r="H52" s="35"/>
      <c r="I52" s="35"/>
      <c r="J52" s="34"/>
    </row>
    <row r="53" spans="2:11" x14ac:dyDescent="0.15">
      <c r="C53" s="165"/>
      <c r="D53" s="33" t="s">
        <v>110</v>
      </c>
      <c r="E53" s="34"/>
      <c r="F53" s="36">
        <f>T6</f>
        <v>38292</v>
      </c>
      <c r="G53" s="37"/>
      <c r="H53" s="37"/>
      <c r="I53" s="37"/>
      <c r="J53" s="38"/>
    </row>
    <row r="54" spans="2:11" x14ac:dyDescent="0.15">
      <c r="D54" s="161" t="s">
        <v>111</v>
      </c>
    </row>
    <row r="56" spans="2:11" ht="18.75" customHeight="1" x14ac:dyDescent="0.15">
      <c r="B56" s="173" t="s">
        <v>112</v>
      </c>
    </row>
    <row r="57" spans="2:11" ht="18.75" customHeight="1" x14ac:dyDescent="0.15">
      <c r="B57" s="164"/>
      <c r="C57" s="31" t="s">
        <v>113</v>
      </c>
      <c r="D57" s="31"/>
      <c r="E57" s="31"/>
      <c r="F57" s="31"/>
      <c r="G57" s="31"/>
      <c r="H57" s="31"/>
      <c r="I57" s="31"/>
      <c r="J57" s="31"/>
      <c r="K57" s="31"/>
    </row>
    <row r="58" spans="2:11" ht="18.75" customHeight="1" x14ac:dyDescent="0.15">
      <c r="B58" s="164"/>
      <c r="C58" s="31"/>
      <c r="D58" s="31"/>
      <c r="E58" s="31"/>
      <c r="F58" s="31"/>
      <c r="G58" s="31"/>
      <c r="H58" s="31"/>
      <c r="I58" s="31"/>
      <c r="J58" s="31"/>
      <c r="K58" s="31"/>
    </row>
    <row r="59" spans="2:11" x14ac:dyDescent="0.15">
      <c r="B59" s="164"/>
      <c r="C59" s="31"/>
      <c r="D59" s="31"/>
      <c r="E59" s="31"/>
      <c r="F59" s="31"/>
      <c r="G59" s="31"/>
      <c r="H59" s="31"/>
      <c r="I59" s="31"/>
      <c r="J59" s="31"/>
      <c r="K59" s="31"/>
    </row>
    <row r="60" spans="2:11" x14ac:dyDescent="0.15">
      <c r="B60" s="164"/>
      <c r="C60" s="31"/>
      <c r="D60" s="31"/>
      <c r="E60" s="31"/>
      <c r="F60" s="31"/>
      <c r="G60" s="31"/>
      <c r="H60" s="31"/>
      <c r="I60" s="31"/>
      <c r="J60" s="31"/>
      <c r="K60" s="31"/>
    </row>
    <row r="61" spans="2:11" x14ac:dyDescent="0.15">
      <c r="B61" s="164"/>
      <c r="C61" s="31"/>
      <c r="D61" s="31"/>
      <c r="E61" s="31"/>
      <c r="F61" s="31"/>
      <c r="G61" s="31"/>
      <c r="H61" s="31"/>
      <c r="I61" s="31"/>
      <c r="J61" s="31"/>
      <c r="K61" s="31"/>
    </row>
    <row r="62" spans="2:11" s="168" customFormat="1" ht="15" customHeight="1" x14ac:dyDescent="0.15">
      <c r="B62" s="164"/>
      <c r="C62" s="31"/>
      <c r="D62" s="31"/>
      <c r="E62" s="31"/>
      <c r="F62" s="31"/>
      <c r="G62" s="31"/>
      <c r="H62" s="31"/>
      <c r="I62" s="31"/>
      <c r="J62" s="31"/>
      <c r="K62" s="31"/>
    </row>
    <row r="63" spans="2:11" s="168" customFormat="1" ht="15" customHeight="1" x14ac:dyDescent="0.15">
      <c r="B63" s="164"/>
      <c r="C63" s="163"/>
      <c r="D63" s="163"/>
      <c r="E63" s="163"/>
      <c r="F63" s="163"/>
      <c r="G63" s="163"/>
      <c r="H63" s="163"/>
      <c r="I63" s="163"/>
      <c r="J63" s="163"/>
      <c r="K63" s="163"/>
    </row>
    <row r="64" spans="2:11" s="168" customFormat="1" ht="15" customHeight="1" x14ac:dyDescent="0.15">
      <c r="B64" s="162"/>
      <c r="C64" s="162"/>
      <c r="D64" s="162"/>
      <c r="E64" s="162"/>
      <c r="F64" s="162"/>
      <c r="G64" s="162"/>
      <c r="H64" s="162"/>
      <c r="I64" s="162"/>
      <c r="J64" s="162"/>
      <c r="K64" s="162"/>
    </row>
    <row r="65" spans="2:11" s="168" customFormat="1" ht="15" customHeight="1" x14ac:dyDescent="0.15">
      <c r="B65" s="163" t="s">
        <v>114</v>
      </c>
      <c r="C65" s="31" t="s">
        <v>115</v>
      </c>
      <c r="D65" s="31"/>
      <c r="E65" s="31"/>
      <c r="F65" s="31"/>
      <c r="G65" s="31"/>
      <c r="H65" s="31"/>
      <c r="I65" s="31"/>
      <c r="J65" s="31"/>
      <c r="K65" s="31"/>
    </row>
    <row r="66" spans="2:11" s="168" customFormat="1" ht="15" customHeight="1" x14ac:dyDescent="0.15">
      <c r="B66" s="163"/>
      <c r="C66" s="31"/>
      <c r="D66" s="31"/>
      <c r="E66" s="31"/>
      <c r="F66" s="31"/>
      <c r="G66" s="31"/>
      <c r="H66" s="31"/>
      <c r="I66" s="31"/>
      <c r="J66" s="31"/>
      <c r="K66" s="31"/>
    </row>
    <row r="67" spans="2:11" s="168" customFormat="1" ht="15" customHeight="1" x14ac:dyDescent="0.15">
      <c r="B67" s="163"/>
      <c r="C67" s="31"/>
      <c r="D67" s="31"/>
      <c r="E67" s="31"/>
      <c r="F67" s="31"/>
      <c r="G67" s="31"/>
      <c r="H67" s="31"/>
      <c r="I67" s="31"/>
      <c r="J67" s="31"/>
      <c r="K67" s="31"/>
    </row>
    <row r="68" spans="2:11" s="168" customFormat="1" ht="15" customHeight="1" x14ac:dyDescent="0.15">
      <c r="B68" s="163"/>
      <c r="C68" s="164"/>
      <c r="D68" s="164"/>
      <c r="E68" s="164"/>
      <c r="F68" s="164"/>
      <c r="G68" s="164"/>
      <c r="H68" s="164"/>
      <c r="I68" s="164"/>
      <c r="J68" s="164"/>
      <c r="K68" s="164"/>
    </row>
    <row r="69" spans="2:11" x14ac:dyDescent="0.15">
      <c r="B69" s="163"/>
      <c r="C69" s="164"/>
      <c r="D69" s="164"/>
      <c r="E69" s="164"/>
      <c r="F69" s="164"/>
      <c r="G69" s="164"/>
      <c r="H69" s="164"/>
      <c r="I69" s="164"/>
      <c r="J69" s="164"/>
      <c r="K69" s="164"/>
    </row>
    <row r="70" spans="2:11" ht="13.5" customHeight="1" x14ac:dyDescent="0.15">
      <c r="B70" s="173" t="s">
        <v>116</v>
      </c>
      <c r="C70" s="174"/>
      <c r="D70" s="174"/>
      <c r="E70" s="174"/>
      <c r="F70" s="174"/>
      <c r="G70" s="174"/>
      <c r="H70" s="174"/>
      <c r="I70" s="174"/>
      <c r="J70" s="174"/>
      <c r="K70" s="174"/>
    </row>
    <row r="71" spans="2:11" ht="13.5" customHeight="1" x14ac:dyDescent="0.15">
      <c r="B71" s="166"/>
      <c r="C71" s="31" t="s">
        <v>117</v>
      </c>
      <c r="D71" s="39"/>
      <c r="E71" s="39"/>
      <c r="F71" s="39"/>
      <c r="G71" s="39"/>
      <c r="H71" s="39"/>
      <c r="I71" s="39"/>
      <c r="J71" s="39"/>
      <c r="K71" s="39"/>
    </row>
    <row r="72" spans="2:11" x14ac:dyDescent="0.15">
      <c r="B72" s="167"/>
      <c r="C72" s="39"/>
      <c r="D72" s="39"/>
      <c r="E72" s="39"/>
      <c r="F72" s="39"/>
      <c r="G72" s="39"/>
      <c r="H72" s="39"/>
      <c r="I72" s="39"/>
      <c r="J72" s="39"/>
      <c r="K72" s="39"/>
    </row>
    <row r="73" spans="2:11" x14ac:dyDescent="0.15">
      <c r="B73" s="167"/>
      <c r="C73" s="39"/>
      <c r="D73" s="39"/>
      <c r="E73" s="39"/>
      <c r="F73" s="39"/>
      <c r="G73" s="39"/>
      <c r="H73" s="39"/>
      <c r="I73" s="39"/>
      <c r="J73" s="39"/>
      <c r="K73" s="39"/>
    </row>
    <row r="74" spans="2:11" ht="13.5" customHeight="1" x14ac:dyDescent="0.15">
      <c r="B74" s="167"/>
      <c r="C74" s="168"/>
      <c r="D74" s="168"/>
      <c r="E74" s="168"/>
      <c r="F74" s="168"/>
      <c r="G74" s="168"/>
      <c r="H74" s="168"/>
      <c r="I74" s="168"/>
      <c r="J74" s="168"/>
      <c r="K74" s="168"/>
    </row>
    <row r="75" spans="2:11" x14ac:dyDescent="0.15">
      <c r="K75" s="160"/>
    </row>
    <row r="76" spans="2:11" x14ac:dyDescent="0.15">
      <c r="B76" s="40" t="s">
        <v>118</v>
      </c>
      <c r="C76" s="40"/>
      <c r="D76" s="40"/>
      <c r="E76" s="40"/>
      <c r="F76" s="40"/>
      <c r="G76" s="40"/>
      <c r="H76" s="40"/>
      <c r="I76" s="40"/>
      <c r="J76" s="40"/>
      <c r="K76" s="40"/>
    </row>
    <row r="77" spans="2:11" x14ac:dyDescent="0.15">
      <c r="B77" s="40"/>
      <c r="C77" s="40"/>
      <c r="D77" s="40"/>
      <c r="E77" s="40"/>
      <c r="F77" s="40"/>
      <c r="G77" s="40"/>
      <c r="H77" s="40"/>
      <c r="I77" s="40"/>
      <c r="J77" s="40"/>
      <c r="K77" s="40"/>
    </row>
    <row r="81" ht="13.5" customHeight="1" x14ac:dyDescent="0.15"/>
    <row r="82" ht="15" customHeight="1" x14ac:dyDescent="0.15"/>
  </sheetData>
  <mergeCells count="15">
    <mergeCell ref="C71:K73"/>
    <mergeCell ref="B76:K77"/>
    <mergeCell ref="D52:E52"/>
    <mergeCell ref="F52:J52"/>
    <mergeCell ref="D53:E53"/>
    <mergeCell ref="F53:J53"/>
    <mergeCell ref="C57:K62"/>
    <mergeCell ref="C65:K67"/>
    <mergeCell ref="B22:G22"/>
    <mergeCell ref="B23:G23"/>
    <mergeCell ref="B34:K36"/>
    <mergeCell ref="C40:K44"/>
    <mergeCell ref="B48:K48"/>
    <mergeCell ref="D51:E51"/>
    <mergeCell ref="F51:J51"/>
  </mergeCells>
  <phoneticPr fontId="53"/>
  <printOptions horizontalCentered="1"/>
  <pageMargins left="0.35433070866141736" right="0.35433070866141736" top="0.9055118110236221" bottom="0.35433070866141736" header="0.39370078740157483" footer="0.39370078740157483"/>
  <pageSetup paperSize="9" orientation="portrait" r:id="rId1"/>
  <headerFooter>
    <oddHeader>&amp;R&amp;"ＭＳ 明朝,標準"&amp;10SSJ16-SV-26
発行日：&amp;D
&amp;G</oddHeader>
    <oddFooter>&amp;R&amp;"Century,標準"Rev.1</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097" r:id="rId5" name="Button 1">
              <controlPr defaultSize="0" print="0" autoFill="0" autoPict="0" macro="[1]!耐用期間終了後のご案内作成">
                <anchor moveWithCells="1" sizeWithCells="1">
                  <from>
                    <xdr:col>3</xdr:col>
                    <xdr:colOff>771525</xdr:colOff>
                    <xdr:row>14</xdr:row>
                    <xdr:rowOff>0</xdr:rowOff>
                  </from>
                  <to>
                    <xdr:col>6</xdr:col>
                    <xdr:colOff>0</xdr:colOff>
                    <xdr:row>17</xdr:row>
                    <xdr:rowOff>0</xdr:rowOff>
                  </to>
                </anchor>
              </controlPr>
            </control>
          </mc:Choice>
        </mc:AlternateContent>
        <mc:AlternateContent xmlns:mc="http://schemas.openxmlformats.org/markup-compatibility/2006">
          <mc:Choice Requires="x14">
            <control shapeId="4098" r:id="rId6" name="Button 2">
              <controlPr defaultSize="0" print="0" autoFill="0" autoPict="0" macro="[1]!耐用期間終了後のご案内保存">
                <anchor moveWithCells="1" sizeWithCells="1">
                  <from>
                    <xdr:col>7</xdr:col>
                    <xdr:colOff>0</xdr:colOff>
                    <xdr:row>13</xdr:row>
                    <xdr:rowOff>161925</xdr:rowOff>
                  </from>
                  <to>
                    <xdr:col>9</xdr:col>
                    <xdr:colOff>0</xdr:colOff>
                    <xdr:row>17</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FF00"/>
  </sheetPr>
  <dimension ref="B1:T125"/>
  <sheetViews>
    <sheetView view="pageBreakPreview" zoomScale="60" zoomScaleNormal="100" workbookViewId="0">
      <selection activeCell="N1" sqref="N1:N1048576"/>
    </sheetView>
  </sheetViews>
  <sheetFormatPr defaultRowHeight="13.5" x14ac:dyDescent="0.15"/>
  <cols>
    <col min="1" max="1" width="9" style="66"/>
    <col min="2" max="2" width="10.25" style="66" customWidth="1"/>
    <col min="3" max="3" width="7.5" style="66" customWidth="1"/>
    <col min="4" max="4" width="2.25" style="66" customWidth="1"/>
    <col min="5" max="5" width="3.5" style="66" hidden="1" customWidth="1"/>
    <col min="6" max="7" width="1" style="66" customWidth="1"/>
    <col min="8" max="8" width="14.5" style="66" customWidth="1"/>
    <col min="9" max="9" width="12.25" style="66" customWidth="1"/>
    <col min="10" max="10" width="11.875" style="66" customWidth="1"/>
    <col min="11" max="11" width="16.625" style="66" customWidth="1"/>
    <col min="12" max="12" width="16.75" style="66" customWidth="1"/>
    <col min="13" max="13" width="9" style="66"/>
    <col min="14" max="14" width="14.125" style="66" customWidth="1"/>
    <col min="15" max="256" width="9" style="66"/>
    <col min="257" max="257" width="10.25" style="66" customWidth="1"/>
    <col min="258" max="258" width="7.5" style="66" customWidth="1"/>
    <col min="259" max="259" width="2.25" style="66" customWidth="1"/>
    <col min="260" max="260" width="0" style="66" hidden="1" customWidth="1"/>
    <col min="261" max="262" width="1" style="66" customWidth="1"/>
    <col min="263" max="263" width="14.5" style="66" customWidth="1"/>
    <col min="264" max="264" width="12.25" style="66" customWidth="1"/>
    <col min="265" max="265" width="11.875" style="66" customWidth="1"/>
    <col min="266" max="266" width="16.625" style="66" customWidth="1"/>
    <col min="267" max="267" width="16.75" style="66" customWidth="1"/>
    <col min="268" max="268" width="9" style="66"/>
    <col min="269" max="269" width="8.625" style="66" customWidth="1"/>
    <col min="270" max="270" width="14.125" style="66" customWidth="1"/>
    <col min="271" max="512" width="9" style="66"/>
    <col min="513" max="513" width="10.25" style="66" customWidth="1"/>
    <col min="514" max="514" width="7.5" style="66" customWidth="1"/>
    <col min="515" max="515" width="2.25" style="66" customWidth="1"/>
    <col min="516" max="516" width="0" style="66" hidden="1" customWidth="1"/>
    <col min="517" max="518" width="1" style="66" customWidth="1"/>
    <col min="519" max="519" width="14.5" style="66" customWidth="1"/>
    <col min="520" max="520" width="12.25" style="66" customWidth="1"/>
    <col min="521" max="521" width="11.875" style="66" customWidth="1"/>
    <col min="522" max="522" width="16.625" style="66" customWidth="1"/>
    <col min="523" max="523" width="16.75" style="66" customWidth="1"/>
    <col min="524" max="524" width="9" style="66"/>
    <col min="525" max="525" width="8.625" style="66" customWidth="1"/>
    <col min="526" max="526" width="14.125" style="66" customWidth="1"/>
    <col min="527" max="768" width="9" style="66"/>
    <col min="769" max="769" width="10.25" style="66" customWidth="1"/>
    <col min="770" max="770" width="7.5" style="66" customWidth="1"/>
    <col min="771" max="771" width="2.25" style="66" customWidth="1"/>
    <col min="772" max="772" width="0" style="66" hidden="1" customWidth="1"/>
    <col min="773" max="774" width="1" style="66" customWidth="1"/>
    <col min="775" max="775" width="14.5" style="66" customWidth="1"/>
    <col min="776" max="776" width="12.25" style="66" customWidth="1"/>
    <col min="777" max="777" width="11.875" style="66" customWidth="1"/>
    <col min="778" max="778" width="16.625" style="66" customWidth="1"/>
    <col min="779" max="779" width="16.75" style="66" customWidth="1"/>
    <col min="780" max="780" width="9" style="66"/>
    <col min="781" max="781" width="8.625" style="66" customWidth="1"/>
    <col min="782" max="782" width="14.125" style="66" customWidth="1"/>
    <col min="783" max="1024" width="9" style="66"/>
    <col min="1025" max="1025" width="10.25" style="66" customWidth="1"/>
    <col min="1026" max="1026" width="7.5" style="66" customWidth="1"/>
    <col min="1027" max="1027" width="2.25" style="66" customWidth="1"/>
    <col min="1028" max="1028" width="0" style="66" hidden="1" customWidth="1"/>
    <col min="1029" max="1030" width="1" style="66" customWidth="1"/>
    <col min="1031" max="1031" width="14.5" style="66" customWidth="1"/>
    <col min="1032" max="1032" width="12.25" style="66" customWidth="1"/>
    <col min="1033" max="1033" width="11.875" style="66" customWidth="1"/>
    <col min="1034" max="1034" width="16.625" style="66" customWidth="1"/>
    <col min="1035" max="1035" width="16.75" style="66" customWidth="1"/>
    <col min="1036" max="1036" width="9" style="66"/>
    <col min="1037" max="1037" width="8.625" style="66" customWidth="1"/>
    <col min="1038" max="1038" width="14.125" style="66" customWidth="1"/>
    <col min="1039" max="1280" width="9" style="66"/>
    <col min="1281" max="1281" width="10.25" style="66" customWidth="1"/>
    <col min="1282" max="1282" width="7.5" style="66" customWidth="1"/>
    <col min="1283" max="1283" width="2.25" style="66" customWidth="1"/>
    <col min="1284" max="1284" width="0" style="66" hidden="1" customWidth="1"/>
    <col min="1285" max="1286" width="1" style="66" customWidth="1"/>
    <col min="1287" max="1287" width="14.5" style="66" customWidth="1"/>
    <col min="1288" max="1288" width="12.25" style="66" customWidth="1"/>
    <col min="1289" max="1289" width="11.875" style="66" customWidth="1"/>
    <col min="1290" max="1290" width="16.625" style="66" customWidth="1"/>
    <col min="1291" max="1291" width="16.75" style="66" customWidth="1"/>
    <col min="1292" max="1292" width="9" style="66"/>
    <col min="1293" max="1293" width="8.625" style="66" customWidth="1"/>
    <col min="1294" max="1294" width="14.125" style="66" customWidth="1"/>
    <col min="1295" max="1536" width="9" style="66"/>
    <col min="1537" max="1537" width="10.25" style="66" customWidth="1"/>
    <col min="1538" max="1538" width="7.5" style="66" customWidth="1"/>
    <col min="1539" max="1539" width="2.25" style="66" customWidth="1"/>
    <col min="1540" max="1540" width="0" style="66" hidden="1" customWidth="1"/>
    <col min="1541" max="1542" width="1" style="66" customWidth="1"/>
    <col min="1543" max="1543" width="14.5" style="66" customWidth="1"/>
    <col min="1544" max="1544" width="12.25" style="66" customWidth="1"/>
    <col min="1545" max="1545" width="11.875" style="66" customWidth="1"/>
    <col min="1546" max="1546" width="16.625" style="66" customWidth="1"/>
    <col min="1547" max="1547" width="16.75" style="66" customWidth="1"/>
    <col min="1548" max="1548" width="9" style="66"/>
    <col min="1549" max="1549" width="8.625" style="66" customWidth="1"/>
    <col min="1550" max="1550" width="14.125" style="66" customWidth="1"/>
    <col min="1551" max="1792" width="9" style="66"/>
    <col min="1793" max="1793" width="10.25" style="66" customWidth="1"/>
    <col min="1794" max="1794" width="7.5" style="66" customWidth="1"/>
    <col min="1795" max="1795" width="2.25" style="66" customWidth="1"/>
    <col min="1796" max="1796" width="0" style="66" hidden="1" customWidth="1"/>
    <col min="1797" max="1798" width="1" style="66" customWidth="1"/>
    <col min="1799" max="1799" width="14.5" style="66" customWidth="1"/>
    <col min="1800" max="1800" width="12.25" style="66" customWidth="1"/>
    <col min="1801" max="1801" width="11.875" style="66" customWidth="1"/>
    <col min="1802" max="1802" width="16.625" style="66" customWidth="1"/>
    <col min="1803" max="1803" width="16.75" style="66" customWidth="1"/>
    <col min="1804" max="1804" width="9" style="66"/>
    <col min="1805" max="1805" width="8.625" style="66" customWidth="1"/>
    <col min="1806" max="1806" width="14.125" style="66" customWidth="1"/>
    <col min="1807" max="2048" width="9" style="66"/>
    <col min="2049" max="2049" width="10.25" style="66" customWidth="1"/>
    <col min="2050" max="2050" width="7.5" style="66" customWidth="1"/>
    <col min="2051" max="2051" width="2.25" style="66" customWidth="1"/>
    <col min="2052" max="2052" width="0" style="66" hidden="1" customWidth="1"/>
    <col min="2053" max="2054" width="1" style="66" customWidth="1"/>
    <col min="2055" max="2055" width="14.5" style="66" customWidth="1"/>
    <col min="2056" max="2056" width="12.25" style="66" customWidth="1"/>
    <col min="2057" max="2057" width="11.875" style="66" customWidth="1"/>
    <col min="2058" max="2058" width="16.625" style="66" customWidth="1"/>
    <col min="2059" max="2059" width="16.75" style="66" customWidth="1"/>
    <col min="2060" max="2060" width="9" style="66"/>
    <col min="2061" max="2061" width="8.625" style="66" customWidth="1"/>
    <col min="2062" max="2062" width="14.125" style="66" customWidth="1"/>
    <col min="2063" max="2304" width="9" style="66"/>
    <col min="2305" max="2305" width="10.25" style="66" customWidth="1"/>
    <col min="2306" max="2306" width="7.5" style="66" customWidth="1"/>
    <col min="2307" max="2307" width="2.25" style="66" customWidth="1"/>
    <col min="2308" max="2308" width="0" style="66" hidden="1" customWidth="1"/>
    <col min="2309" max="2310" width="1" style="66" customWidth="1"/>
    <col min="2311" max="2311" width="14.5" style="66" customWidth="1"/>
    <col min="2312" max="2312" width="12.25" style="66" customWidth="1"/>
    <col min="2313" max="2313" width="11.875" style="66" customWidth="1"/>
    <col min="2314" max="2314" width="16.625" style="66" customWidth="1"/>
    <col min="2315" max="2315" width="16.75" style="66" customWidth="1"/>
    <col min="2316" max="2316" width="9" style="66"/>
    <col min="2317" max="2317" width="8.625" style="66" customWidth="1"/>
    <col min="2318" max="2318" width="14.125" style="66" customWidth="1"/>
    <col min="2319" max="2560" width="9" style="66"/>
    <col min="2561" max="2561" width="10.25" style="66" customWidth="1"/>
    <col min="2562" max="2562" width="7.5" style="66" customWidth="1"/>
    <col min="2563" max="2563" width="2.25" style="66" customWidth="1"/>
    <col min="2564" max="2564" width="0" style="66" hidden="1" customWidth="1"/>
    <col min="2565" max="2566" width="1" style="66" customWidth="1"/>
    <col min="2567" max="2567" width="14.5" style="66" customWidth="1"/>
    <col min="2568" max="2568" width="12.25" style="66" customWidth="1"/>
    <col min="2569" max="2569" width="11.875" style="66" customWidth="1"/>
    <col min="2570" max="2570" width="16.625" style="66" customWidth="1"/>
    <col min="2571" max="2571" width="16.75" style="66" customWidth="1"/>
    <col min="2572" max="2572" width="9" style="66"/>
    <col min="2573" max="2573" width="8.625" style="66" customWidth="1"/>
    <col min="2574" max="2574" width="14.125" style="66" customWidth="1"/>
    <col min="2575" max="2816" width="9" style="66"/>
    <col min="2817" max="2817" width="10.25" style="66" customWidth="1"/>
    <col min="2818" max="2818" width="7.5" style="66" customWidth="1"/>
    <col min="2819" max="2819" width="2.25" style="66" customWidth="1"/>
    <col min="2820" max="2820" width="0" style="66" hidden="1" customWidth="1"/>
    <col min="2821" max="2822" width="1" style="66" customWidth="1"/>
    <col min="2823" max="2823" width="14.5" style="66" customWidth="1"/>
    <col min="2824" max="2824" width="12.25" style="66" customWidth="1"/>
    <col min="2825" max="2825" width="11.875" style="66" customWidth="1"/>
    <col min="2826" max="2826" width="16.625" style="66" customWidth="1"/>
    <col min="2827" max="2827" width="16.75" style="66" customWidth="1"/>
    <col min="2828" max="2828" width="9" style="66"/>
    <col min="2829" max="2829" width="8.625" style="66" customWidth="1"/>
    <col min="2830" max="2830" width="14.125" style="66" customWidth="1"/>
    <col min="2831" max="3072" width="9" style="66"/>
    <col min="3073" max="3073" width="10.25" style="66" customWidth="1"/>
    <col min="3074" max="3074" width="7.5" style="66" customWidth="1"/>
    <col min="3075" max="3075" width="2.25" style="66" customWidth="1"/>
    <col min="3076" max="3076" width="0" style="66" hidden="1" customWidth="1"/>
    <col min="3077" max="3078" width="1" style="66" customWidth="1"/>
    <col min="3079" max="3079" width="14.5" style="66" customWidth="1"/>
    <col min="3080" max="3080" width="12.25" style="66" customWidth="1"/>
    <col min="3081" max="3081" width="11.875" style="66" customWidth="1"/>
    <col min="3082" max="3082" width="16.625" style="66" customWidth="1"/>
    <col min="3083" max="3083" width="16.75" style="66" customWidth="1"/>
    <col min="3084" max="3084" width="9" style="66"/>
    <col min="3085" max="3085" width="8.625" style="66" customWidth="1"/>
    <col min="3086" max="3086" width="14.125" style="66" customWidth="1"/>
    <col min="3087" max="3328" width="9" style="66"/>
    <col min="3329" max="3329" width="10.25" style="66" customWidth="1"/>
    <col min="3330" max="3330" width="7.5" style="66" customWidth="1"/>
    <col min="3331" max="3331" width="2.25" style="66" customWidth="1"/>
    <col min="3332" max="3332" width="0" style="66" hidden="1" customWidth="1"/>
    <col min="3333" max="3334" width="1" style="66" customWidth="1"/>
    <col min="3335" max="3335" width="14.5" style="66" customWidth="1"/>
    <col min="3336" max="3336" width="12.25" style="66" customWidth="1"/>
    <col min="3337" max="3337" width="11.875" style="66" customWidth="1"/>
    <col min="3338" max="3338" width="16.625" style="66" customWidth="1"/>
    <col min="3339" max="3339" width="16.75" style="66" customWidth="1"/>
    <col min="3340" max="3340" width="9" style="66"/>
    <col min="3341" max="3341" width="8.625" style="66" customWidth="1"/>
    <col min="3342" max="3342" width="14.125" style="66" customWidth="1"/>
    <col min="3343" max="3584" width="9" style="66"/>
    <col min="3585" max="3585" width="10.25" style="66" customWidth="1"/>
    <col min="3586" max="3586" width="7.5" style="66" customWidth="1"/>
    <col min="3587" max="3587" width="2.25" style="66" customWidth="1"/>
    <col min="3588" max="3588" width="0" style="66" hidden="1" customWidth="1"/>
    <col min="3589" max="3590" width="1" style="66" customWidth="1"/>
    <col min="3591" max="3591" width="14.5" style="66" customWidth="1"/>
    <col min="3592" max="3592" width="12.25" style="66" customWidth="1"/>
    <col min="3593" max="3593" width="11.875" style="66" customWidth="1"/>
    <col min="3594" max="3594" width="16.625" style="66" customWidth="1"/>
    <col min="3595" max="3595" width="16.75" style="66" customWidth="1"/>
    <col min="3596" max="3596" width="9" style="66"/>
    <col min="3597" max="3597" width="8.625" style="66" customWidth="1"/>
    <col min="3598" max="3598" width="14.125" style="66" customWidth="1"/>
    <col min="3599" max="3840" width="9" style="66"/>
    <col min="3841" max="3841" width="10.25" style="66" customWidth="1"/>
    <col min="3842" max="3842" width="7.5" style="66" customWidth="1"/>
    <col min="3843" max="3843" width="2.25" style="66" customWidth="1"/>
    <col min="3844" max="3844" width="0" style="66" hidden="1" customWidth="1"/>
    <col min="3845" max="3846" width="1" style="66" customWidth="1"/>
    <col min="3847" max="3847" width="14.5" style="66" customWidth="1"/>
    <col min="3848" max="3848" width="12.25" style="66" customWidth="1"/>
    <col min="3849" max="3849" width="11.875" style="66" customWidth="1"/>
    <col min="3850" max="3850" width="16.625" style="66" customWidth="1"/>
    <col min="3851" max="3851" width="16.75" style="66" customWidth="1"/>
    <col min="3852" max="3852" width="9" style="66"/>
    <col min="3853" max="3853" width="8.625" style="66" customWidth="1"/>
    <col min="3854" max="3854" width="14.125" style="66" customWidth="1"/>
    <col min="3855" max="4096" width="9" style="66"/>
    <col min="4097" max="4097" width="10.25" style="66" customWidth="1"/>
    <col min="4098" max="4098" width="7.5" style="66" customWidth="1"/>
    <col min="4099" max="4099" width="2.25" style="66" customWidth="1"/>
    <col min="4100" max="4100" width="0" style="66" hidden="1" customWidth="1"/>
    <col min="4101" max="4102" width="1" style="66" customWidth="1"/>
    <col min="4103" max="4103" width="14.5" style="66" customWidth="1"/>
    <col min="4104" max="4104" width="12.25" style="66" customWidth="1"/>
    <col min="4105" max="4105" width="11.875" style="66" customWidth="1"/>
    <col min="4106" max="4106" width="16.625" style="66" customWidth="1"/>
    <col min="4107" max="4107" width="16.75" style="66" customWidth="1"/>
    <col min="4108" max="4108" width="9" style="66"/>
    <col min="4109" max="4109" width="8.625" style="66" customWidth="1"/>
    <col min="4110" max="4110" width="14.125" style="66" customWidth="1"/>
    <col min="4111" max="4352" width="9" style="66"/>
    <col min="4353" max="4353" width="10.25" style="66" customWidth="1"/>
    <col min="4354" max="4354" width="7.5" style="66" customWidth="1"/>
    <col min="4355" max="4355" width="2.25" style="66" customWidth="1"/>
    <col min="4356" max="4356" width="0" style="66" hidden="1" customWidth="1"/>
    <col min="4357" max="4358" width="1" style="66" customWidth="1"/>
    <col min="4359" max="4359" width="14.5" style="66" customWidth="1"/>
    <col min="4360" max="4360" width="12.25" style="66" customWidth="1"/>
    <col min="4361" max="4361" width="11.875" style="66" customWidth="1"/>
    <col min="4362" max="4362" width="16.625" style="66" customWidth="1"/>
    <col min="4363" max="4363" width="16.75" style="66" customWidth="1"/>
    <col min="4364" max="4364" width="9" style="66"/>
    <col min="4365" max="4365" width="8.625" style="66" customWidth="1"/>
    <col min="4366" max="4366" width="14.125" style="66" customWidth="1"/>
    <col min="4367" max="4608" width="9" style="66"/>
    <col min="4609" max="4609" width="10.25" style="66" customWidth="1"/>
    <col min="4610" max="4610" width="7.5" style="66" customWidth="1"/>
    <col min="4611" max="4611" width="2.25" style="66" customWidth="1"/>
    <col min="4612" max="4612" width="0" style="66" hidden="1" customWidth="1"/>
    <col min="4613" max="4614" width="1" style="66" customWidth="1"/>
    <col min="4615" max="4615" width="14.5" style="66" customWidth="1"/>
    <col min="4616" max="4616" width="12.25" style="66" customWidth="1"/>
    <col min="4617" max="4617" width="11.875" style="66" customWidth="1"/>
    <col min="4618" max="4618" width="16.625" style="66" customWidth="1"/>
    <col min="4619" max="4619" width="16.75" style="66" customWidth="1"/>
    <col min="4620" max="4620" width="9" style="66"/>
    <col min="4621" max="4621" width="8.625" style="66" customWidth="1"/>
    <col min="4622" max="4622" width="14.125" style="66" customWidth="1"/>
    <col min="4623" max="4864" width="9" style="66"/>
    <col min="4865" max="4865" width="10.25" style="66" customWidth="1"/>
    <col min="4866" max="4866" width="7.5" style="66" customWidth="1"/>
    <col min="4867" max="4867" width="2.25" style="66" customWidth="1"/>
    <col min="4868" max="4868" width="0" style="66" hidden="1" customWidth="1"/>
    <col min="4869" max="4870" width="1" style="66" customWidth="1"/>
    <col min="4871" max="4871" width="14.5" style="66" customWidth="1"/>
    <col min="4872" max="4872" width="12.25" style="66" customWidth="1"/>
    <col min="4873" max="4873" width="11.875" style="66" customWidth="1"/>
    <col min="4874" max="4874" width="16.625" style="66" customWidth="1"/>
    <col min="4875" max="4875" width="16.75" style="66" customWidth="1"/>
    <col min="4876" max="4876" width="9" style="66"/>
    <col min="4877" max="4877" width="8.625" style="66" customWidth="1"/>
    <col min="4878" max="4878" width="14.125" style="66" customWidth="1"/>
    <col min="4879" max="5120" width="9" style="66"/>
    <col min="5121" max="5121" width="10.25" style="66" customWidth="1"/>
    <col min="5122" max="5122" width="7.5" style="66" customWidth="1"/>
    <col min="5123" max="5123" width="2.25" style="66" customWidth="1"/>
    <col min="5124" max="5124" width="0" style="66" hidden="1" customWidth="1"/>
    <col min="5125" max="5126" width="1" style="66" customWidth="1"/>
    <col min="5127" max="5127" width="14.5" style="66" customWidth="1"/>
    <col min="5128" max="5128" width="12.25" style="66" customWidth="1"/>
    <col min="5129" max="5129" width="11.875" style="66" customWidth="1"/>
    <col min="5130" max="5130" width="16.625" style="66" customWidth="1"/>
    <col min="5131" max="5131" width="16.75" style="66" customWidth="1"/>
    <col min="5132" max="5132" width="9" style="66"/>
    <col min="5133" max="5133" width="8.625" style="66" customWidth="1"/>
    <col min="5134" max="5134" width="14.125" style="66" customWidth="1"/>
    <col min="5135" max="5376" width="9" style="66"/>
    <col min="5377" max="5377" width="10.25" style="66" customWidth="1"/>
    <col min="5378" max="5378" width="7.5" style="66" customWidth="1"/>
    <col min="5379" max="5379" width="2.25" style="66" customWidth="1"/>
    <col min="5380" max="5380" width="0" style="66" hidden="1" customWidth="1"/>
    <col min="5381" max="5382" width="1" style="66" customWidth="1"/>
    <col min="5383" max="5383" width="14.5" style="66" customWidth="1"/>
    <col min="5384" max="5384" width="12.25" style="66" customWidth="1"/>
    <col min="5385" max="5385" width="11.875" style="66" customWidth="1"/>
    <col min="5386" max="5386" width="16.625" style="66" customWidth="1"/>
    <col min="5387" max="5387" width="16.75" style="66" customWidth="1"/>
    <col min="5388" max="5388" width="9" style="66"/>
    <col min="5389" max="5389" width="8.625" style="66" customWidth="1"/>
    <col min="5390" max="5390" width="14.125" style="66" customWidth="1"/>
    <col min="5391" max="5632" width="9" style="66"/>
    <col min="5633" max="5633" width="10.25" style="66" customWidth="1"/>
    <col min="5634" max="5634" width="7.5" style="66" customWidth="1"/>
    <col min="5635" max="5635" width="2.25" style="66" customWidth="1"/>
    <col min="5636" max="5636" width="0" style="66" hidden="1" customWidth="1"/>
    <col min="5637" max="5638" width="1" style="66" customWidth="1"/>
    <col min="5639" max="5639" width="14.5" style="66" customWidth="1"/>
    <col min="5640" max="5640" width="12.25" style="66" customWidth="1"/>
    <col min="5641" max="5641" width="11.875" style="66" customWidth="1"/>
    <col min="5642" max="5642" width="16.625" style="66" customWidth="1"/>
    <col min="5643" max="5643" width="16.75" style="66" customWidth="1"/>
    <col min="5644" max="5644" width="9" style="66"/>
    <col min="5645" max="5645" width="8.625" style="66" customWidth="1"/>
    <col min="5646" max="5646" width="14.125" style="66" customWidth="1"/>
    <col min="5647" max="5888" width="9" style="66"/>
    <col min="5889" max="5889" width="10.25" style="66" customWidth="1"/>
    <col min="5890" max="5890" width="7.5" style="66" customWidth="1"/>
    <col min="5891" max="5891" width="2.25" style="66" customWidth="1"/>
    <col min="5892" max="5892" width="0" style="66" hidden="1" customWidth="1"/>
    <col min="5893" max="5894" width="1" style="66" customWidth="1"/>
    <col min="5895" max="5895" width="14.5" style="66" customWidth="1"/>
    <col min="5896" max="5896" width="12.25" style="66" customWidth="1"/>
    <col min="5897" max="5897" width="11.875" style="66" customWidth="1"/>
    <col min="5898" max="5898" width="16.625" style="66" customWidth="1"/>
    <col min="5899" max="5899" width="16.75" style="66" customWidth="1"/>
    <col min="5900" max="5900" width="9" style="66"/>
    <col min="5901" max="5901" width="8.625" style="66" customWidth="1"/>
    <col min="5902" max="5902" width="14.125" style="66" customWidth="1"/>
    <col min="5903" max="6144" width="9" style="66"/>
    <col min="6145" max="6145" width="10.25" style="66" customWidth="1"/>
    <col min="6146" max="6146" width="7.5" style="66" customWidth="1"/>
    <col min="6147" max="6147" width="2.25" style="66" customWidth="1"/>
    <col min="6148" max="6148" width="0" style="66" hidden="1" customWidth="1"/>
    <col min="6149" max="6150" width="1" style="66" customWidth="1"/>
    <col min="6151" max="6151" width="14.5" style="66" customWidth="1"/>
    <col min="6152" max="6152" width="12.25" style="66" customWidth="1"/>
    <col min="6153" max="6153" width="11.875" style="66" customWidth="1"/>
    <col min="6154" max="6154" width="16.625" style="66" customWidth="1"/>
    <col min="6155" max="6155" width="16.75" style="66" customWidth="1"/>
    <col min="6156" max="6156" width="9" style="66"/>
    <col min="6157" max="6157" width="8.625" style="66" customWidth="1"/>
    <col min="6158" max="6158" width="14.125" style="66" customWidth="1"/>
    <col min="6159" max="6400" width="9" style="66"/>
    <col min="6401" max="6401" width="10.25" style="66" customWidth="1"/>
    <col min="6402" max="6402" width="7.5" style="66" customWidth="1"/>
    <col min="6403" max="6403" width="2.25" style="66" customWidth="1"/>
    <col min="6404" max="6404" width="0" style="66" hidden="1" customWidth="1"/>
    <col min="6405" max="6406" width="1" style="66" customWidth="1"/>
    <col min="6407" max="6407" width="14.5" style="66" customWidth="1"/>
    <col min="6408" max="6408" width="12.25" style="66" customWidth="1"/>
    <col min="6409" max="6409" width="11.875" style="66" customWidth="1"/>
    <col min="6410" max="6410" width="16.625" style="66" customWidth="1"/>
    <col min="6411" max="6411" width="16.75" style="66" customWidth="1"/>
    <col min="6412" max="6412" width="9" style="66"/>
    <col min="6413" max="6413" width="8.625" style="66" customWidth="1"/>
    <col min="6414" max="6414" width="14.125" style="66" customWidth="1"/>
    <col min="6415" max="6656" width="9" style="66"/>
    <col min="6657" max="6657" width="10.25" style="66" customWidth="1"/>
    <col min="6658" max="6658" width="7.5" style="66" customWidth="1"/>
    <col min="6659" max="6659" width="2.25" style="66" customWidth="1"/>
    <col min="6660" max="6660" width="0" style="66" hidden="1" customWidth="1"/>
    <col min="6661" max="6662" width="1" style="66" customWidth="1"/>
    <col min="6663" max="6663" width="14.5" style="66" customWidth="1"/>
    <col min="6664" max="6664" width="12.25" style="66" customWidth="1"/>
    <col min="6665" max="6665" width="11.875" style="66" customWidth="1"/>
    <col min="6666" max="6666" width="16.625" style="66" customWidth="1"/>
    <col min="6667" max="6667" width="16.75" style="66" customWidth="1"/>
    <col min="6668" max="6668" width="9" style="66"/>
    <col min="6669" max="6669" width="8.625" style="66" customWidth="1"/>
    <col min="6670" max="6670" width="14.125" style="66" customWidth="1"/>
    <col min="6671" max="6912" width="9" style="66"/>
    <col min="6913" max="6913" width="10.25" style="66" customWidth="1"/>
    <col min="6914" max="6914" width="7.5" style="66" customWidth="1"/>
    <col min="6915" max="6915" width="2.25" style="66" customWidth="1"/>
    <col min="6916" max="6916" width="0" style="66" hidden="1" customWidth="1"/>
    <col min="6917" max="6918" width="1" style="66" customWidth="1"/>
    <col min="6919" max="6919" width="14.5" style="66" customWidth="1"/>
    <col min="6920" max="6920" width="12.25" style="66" customWidth="1"/>
    <col min="6921" max="6921" width="11.875" style="66" customWidth="1"/>
    <col min="6922" max="6922" width="16.625" style="66" customWidth="1"/>
    <col min="6923" max="6923" width="16.75" style="66" customWidth="1"/>
    <col min="6924" max="6924" width="9" style="66"/>
    <col min="6925" max="6925" width="8.625" style="66" customWidth="1"/>
    <col min="6926" max="6926" width="14.125" style="66" customWidth="1"/>
    <col min="6927" max="7168" width="9" style="66"/>
    <col min="7169" max="7169" width="10.25" style="66" customWidth="1"/>
    <col min="7170" max="7170" width="7.5" style="66" customWidth="1"/>
    <col min="7171" max="7171" width="2.25" style="66" customWidth="1"/>
    <col min="7172" max="7172" width="0" style="66" hidden="1" customWidth="1"/>
    <col min="7173" max="7174" width="1" style="66" customWidth="1"/>
    <col min="7175" max="7175" width="14.5" style="66" customWidth="1"/>
    <col min="7176" max="7176" width="12.25" style="66" customWidth="1"/>
    <col min="7177" max="7177" width="11.875" style="66" customWidth="1"/>
    <col min="7178" max="7178" width="16.625" style="66" customWidth="1"/>
    <col min="7179" max="7179" width="16.75" style="66" customWidth="1"/>
    <col min="7180" max="7180" width="9" style="66"/>
    <col min="7181" max="7181" width="8.625" style="66" customWidth="1"/>
    <col min="7182" max="7182" width="14.125" style="66" customWidth="1"/>
    <col min="7183" max="7424" width="9" style="66"/>
    <col min="7425" max="7425" width="10.25" style="66" customWidth="1"/>
    <col min="7426" max="7426" width="7.5" style="66" customWidth="1"/>
    <col min="7427" max="7427" width="2.25" style="66" customWidth="1"/>
    <col min="7428" max="7428" width="0" style="66" hidden="1" customWidth="1"/>
    <col min="7429" max="7430" width="1" style="66" customWidth="1"/>
    <col min="7431" max="7431" width="14.5" style="66" customWidth="1"/>
    <col min="7432" max="7432" width="12.25" style="66" customWidth="1"/>
    <col min="7433" max="7433" width="11.875" style="66" customWidth="1"/>
    <col min="7434" max="7434" width="16.625" style="66" customWidth="1"/>
    <col min="7435" max="7435" width="16.75" style="66" customWidth="1"/>
    <col min="7436" max="7436" width="9" style="66"/>
    <col min="7437" max="7437" width="8.625" style="66" customWidth="1"/>
    <col min="7438" max="7438" width="14.125" style="66" customWidth="1"/>
    <col min="7439" max="7680" width="9" style="66"/>
    <col min="7681" max="7681" width="10.25" style="66" customWidth="1"/>
    <col min="7682" max="7682" width="7.5" style="66" customWidth="1"/>
    <col min="7683" max="7683" width="2.25" style="66" customWidth="1"/>
    <col min="7684" max="7684" width="0" style="66" hidden="1" customWidth="1"/>
    <col min="7685" max="7686" width="1" style="66" customWidth="1"/>
    <col min="7687" max="7687" width="14.5" style="66" customWidth="1"/>
    <col min="7688" max="7688" width="12.25" style="66" customWidth="1"/>
    <col min="7689" max="7689" width="11.875" style="66" customWidth="1"/>
    <col min="7690" max="7690" width="16.625" style="66" customWidth="1"/>
    <col min="7691" max="7691" width="16.75" style="66" customWidth="1"/>
    <col min="7692" max="7692" width="9" style="66"/>
    <col min="7693" max="7693" width="8.625" style="66" customWidth="1"/>
    <col min="7694" max="7694" width="14.125" style="66" customWidth="1"/>
    <col min="7695" max="7936" width="9" style="66"/>
    <col min="7937" max="7937" width="10.25" style="66" customWidth="1"/>
    <col min="7938" max="7938" width="7.5" style="66" customWidth="1"/>
    <col min="7939" max="7939" width="2.25" style="66" customWidth="1"/>
    <col min="7940" max="7940" width="0" style="66" hidden="1" customWidth="1"/>
    <col min="7941" max="7942" width="1" style="66" customWidth="1"/>
    <col min="7943" max="7943" width="14.5" style="66" customWidth="1"/>
    <col min="7944" max="7944" width="12.25" style="66" customWidth="1"/>
    <col min="7945" max="7945" width="11.875" style="66" customWidth="1"/>
    <col min="7946" max="7946" width="16.625" style="66" customWidth="1"/>
    <col min="7947" max="7947" width="16.75" style="66" customWidth="1"/>
    <col min="7948" max="7948" width="9" style="66"/>
    <col min="7949" max="7949" width="8.625" style="66" customWidth="1"/>
    <col min="7950" max="7950" width="14.125" style="66" customWidth="1"/>
    <col min="7951" max="8192" width="9" style="66"/>
    <col min="8193" max="8193" width="10.25" style="66" customWidth="1"/>
    <col min="8194" max="8194" width="7.5" style="66" customWidth="1"/>
    <col min="8195" max="8195" width="2.25" style="66" customWidth="1"/>
    <col min="8196" max="8196" width="0" style="66" hidden="1" customWidth="1"/>
    <col min="8197" max="8198" width="1" style="66" customWidth="1"/>
    <col min="8199" max="8199" width="14.5" style="66" customWidth="1"/>
    <col min="8200" max="8200" width="12.25" style="66" customWidth="1"/>
    <col min="8201" max="8201" width="11.875" style="66" customWidth="1"/>
    <col min="8202" max="8202" width="16.625" style="66" customWidth="1"/>
    <col min="8203" max="8203" width="16.75" style="66" customWidth="1"/>
    <col min="8204" max="8204" width="9" style="66"/>
    <col min="8205" max="8205" width="8.625" style="66" customWidth="1"/>
    <col min="8206" max="8206" width="14.125" style="66" customWidth="1"/>
    <col min="8207" max="8448" width="9" style="66"/>
    <col min="8449" max="8449" width="10.25" style="66" customWidth="1"/>
    <col min="8450" max="8450" width="7.5" style="66" customWidth="1"/>
    <col min="8451" max="8451" width="2.25" style="66" customWidth="1"/>
    <col min="8452" max="8452" width="0" style="66" hidden="1" customWidth="1"/>
    <col min="8453" max="8454" width="1" style="66" customWidth="1"/>
    <col min="8455" max="8455" width="14.5" style="66" customWidth="1"/>
    <col min="8456" max="8456" width="12.25" style="66" customWidth="1"/>
    <col min="8457" max="8457" width="11.875" style="66" customWidth="1"/>
    <col min="8458" max="8458" width="16.625" style="66" customWidth="1"/>
    <col min="8459" max="8459" width="16.75" style="66" customWidth="1"/>
    <col min="8460" max="8460" width="9" style="66"/>
    <col min="8461" max="8461" width="8.625" style="66" customWidth="1"/>
    <col min="8462" max="8462" width="14.125" style="66" customWidth="1"/>
    <col min="8463" max="8704" width="9" style="66"/>
    <col min="8705" max="8705" width="10.25" style="66" customWidth="1"/>
    <col min="8706" max="8706" width="7.5" style="66" customWidth="1"/>
    <col min="8707" max="8707" width="2.25" style="66" customWidth="1"/>
    <col min="8708" max="8708" width="0" style="66" hidden="1" customWidth="1"/>
    <col min="8709" max="8710" width="1" style="66" customWidth="1"/>
    <col min="8711" max="8711" width="14.5" style="66" customWidth="1"/>
    <col min="8712" max="8712" width="12.25" style="66" customWidth="1"/>
    <col min="8713" max="8713" width="11.875" style="66" customWidth="1"/>
    <col min="8714" max="8714" width="16.625" style="66" customWidth="1"/>
    <col min="8715" max="8715" width="16.75" style="66" customWidth="1"/>
    <col min="8716" max="8716" width="9" style="66"/>
    <col min="8717" max="8717" width="8.625" style="66" customWidth="1"/>
    <col min="8718" max="8718" width="14.125" style="66" customWidth="1"/>
    <col min="8719" max="8960" width="9" style="66"/>
    <col min="8961" max="8961" width="10.25" style="66" customWidth="1"/>
    <col min="8962" max="8962" width="7.5" style="66" customWidth="1"/>
    <col min="8963" max="8963" width="2.25" style="66" customWidth="1"/>
    <col min="8964" max="8964" width="0" style="66" hidden="1" customWidth="1"/>
    <col min="8965" max="8966" width="1" style="66" customWidth="1"/>
    <col min="8967" max="8967" width="14.5" style="66" customWidth="1"/>
    <col min="8968" max="8968" width="12.25" style="66" customWidth="1"/>
    <col min="8969" max="8969" width="11.875" style="66" customWidth="1"/>
    <col min="8970" max="8970" width="16.625" style="66" customWidth="1"/>
    <col min="8971" max="8971" width="16.75" style="66" customWidth="1"/>
    <col min="8972" max="8972" width="9" style="66"/>
    <col min="8973" max="8973" width="8.625" style="66" customWidth="1"/>
    <col min="8974" max="8974" width="14.125" style="66" customWidth="1"/>
    <col min="8975" max="9216" width="9" style="66"/>
    <col min="9217" max="9217" width="10.25" style="66" customWidth="1"/>
    <col min="9218" max="9218" width="7.5" style="66" customWidth="1"/>
    <col min="9219" max="9219" width="2.25" style="66" customWidth="1"/>
    <col min="9220" max="9220" width="0" style="66" hidden="1" customWidth="1"/>
    <col min="9221" max="9222" width="1" style="66" customWidth="1"/>
    <col min="9223" max="9223" width="14.5" style="66" customWidth="1"/>
    <col min="9224" max="9224" width="12.25" style="66" customWidth="1"/>
    <col min="9225" max="9225" width="11.875" style="66" customWidth="1"/>
    <col min="9226" max="9226" width="16.625" style="66" customWidth="1"/>
    <col min="9227" max="9227" width="16.75" style="66" customWidth="1"/>
    <col min="9228" max="9228" width="9" style="66"/>
    <col min="9229" max="9229" width="8.625" style="66" customWidth="1"/>
    <col min="9230" max="9230" width="14.125" style="66" customWidth="1"/>
    <col min="9231" max="9472" width="9" style="66"/>
    <col min="9473" max="9473" width="10.25" style="66" customWidth="1"/>
    <col min="9474" max="9474" width="7.5" style="66" customWidth="1"/>
    <col min="9475" max="9475" width="2.25" style="66" customWidth="1"/>
    <col min="9476" max="9476" width="0" style="66" hidden="1" customWidth="1"/>
    <col min="9477" max="9478" width="1" style="66" customWidth="1"/>
    <col min="9479" max="9479" width="14.5" style="66" customWidth="1"/>
    <col min="9480" max="9480" width="12.25" style="66" customWidth="1"/>
    <col min="9481" max="9481" width="11.875" style="66" customWidth="1"/>
    <col min="9482" max="9482" width="16.625" style="66" customWidth="1"/>
    <col min="9483" max="9483" width="16.75" style="66" customWidth="1"/>
    <col min="9484" max="9484" width="9" style="66"/>
    <col min="9485" max="9485" width="8.625" style="66" customWidth="1"/>
    <col min="9486" max="9486" width="14.125" style="66" customWidth="1"/>
    <col min="9487" max="9728" width="9" style="66"/>
    <col min="9729" max="9729" width="10.25" style="66" customWidth="1"/>
    <col min="9730" max="9730" width="7.5" style="66" customWidth="1"/>
    <col min="9731" max="9731" width="2.25" style="66" customWidth="1"/>
    <col min="9732" max="9732" width="0" style="66" hidden="1" customWidth="1"/>
    <col min="9733" max="9734" width="1" style="66" customWidth="1"/>
    <col min="9735" max="9735" width="14.5" style="66" customWidth="1"/>
    <col min="9736" max="9736" width="12.25" style="66" customWidth="1"/>
    <col min="9737" max="9737" width="11.875" style="66" customWidth="1"/>
    <col min="9738" max="9738" width="16.625" style="66" customWidth="1"/>
    <col min="9739" max="9739" width="16.75" style="66" customWidth="1"/>
    <col min="9740" max="9740" width="9" style="66"/>
    <col min="9741" max="9741" width="8.625" style="66" customWidth="1"/>
    <col min="9742" max="9742" width="14.125" style="66" customWidth="1"/>
    <col min="9743" max="9984" width="9" style="66"/>
    <col min="9985" max="9985" width="10.25" style="66" customWidth="1"/>
    <col min="9986" max="9986" width="7.5" style="66" customWidth="1"/>
    <col min="9987" max="9987" width="2.25" style="66" customWidth="1"/>
    <col min="9988" max="9988" width="0" style="66" hidden="1" customWidth="1"/>
    <col min="9989" max="9990" width="1" style="66" customWidth="1"/>
    <col min="9991" max="9991" width="14.5" style="66" customWidth="1"/>
    <col min="9992" max="9992" width="12.25" style="66" customWidth="1"/>
    <col min="9993" max="9993" width="11.875" style="66" customWidth="1"/>
    <col min="9994" max="9994" width="16.625" style="66" customWidth="1"/>
    <col min="9995" max="9995" width="16.75" style="66" customWidth="1"/>
    <col min="9996" max="9996" width="9" style="66"/>
    <col min="9997" max="9997" width="8.625" style="66" customWidth="1"/>
    <col min="9998" max="9998" width="14.125" style="66" customWidth="1"/>
    <col min="9999" max="10240" width="9" style="66"/>
    <col min="10241" max="10241" width="10.25" style="66" customWidth="1"/>
    <col min="10242" max="10242" width="7.5" style="66" customWidth="1"/>
    <col min="10243" max="10243" width="2.25" style="66" customWidth="1"/>
    <col min="10244" max="10244" width="0" style="66" hidden="1" customWidth="1"/>
    <col min="10245" max="10246" width="1" style="66" customWidth="1"/>
    <col min="10247" max="10247" width="14.5" style="66" customWidth="1"/>
    <col min="10248" max="10248" width="12.25" style="66" customWidth="1"/>
    <col min="10249" max="10249" width="11.875" style="66" customWidth="1"/>
    <col min="10250" max="10250" width="16.625" style="66" customWidth="1"/>
    <col min="10251" max="10251" width="16.75" style="66" customWidth="1"/>
    <col min="10252" max="10252" width="9" style="66"/>
    <col min="10253" max="10253" width="8.625" style="66" customWidth="1"/>
    <col min="10254" max="10254" width="14.125" style="66" customWidth="1"/>
    <col min="10255" max="10496" width="9" style="66"/>
    <col min="10497" max="10497" width="10.25" style="66" customWidth="1"/>
    <col min="10498" max="10498" width="7.5" style="66" customWidth="1"/>
    <col min="10499" max="10499" width="2.25" style="66" customWidth="1"/>
    <col min="10500" max="10500" width="0" style="66" hidden="1" customWidth="1"/>
    <col min="10501" max="10502" width="1" style="66" customWidth="1"/>
    <col min="10503" max="10503" width="14.5" style="66" customWidth="1"/>
    <col min="10504" max="10504" width="12.25" style="66" customWidth="1"/>
    <col min="10505" max="10505" width="11.875" style="66" customWidth="1"/>
    <col min="10506" max="10506" width="16.625" style="66" customWidth="1"/>
    <col min="10507" max="10507" width="16.75" style="66" customWidth="1"/>
    <col min="10508" max="10508" width="9" style="66"/>
    <col min="10509" max="10509" width="8.625" style="66" customWidth="1"/>
    <col min="10510" max="10510" width="14.125" style="66" customWidth="1"/>
    <col min="10511" max="10752" width="9" style="66"/>
    <col min="10753" max="10753" width="10.25" style="66" customWidth="1"/>
    <col min="10754" max="10754" width="7.5" style="66" customWidth="1"/>
    <col min="10755" max="10755" width="2.25" style="66" customWidth="1"/>
    <col min="10756" max="10756" width="0" style="66" hidden="1" customWidth="1"/>
    <col min="10757" max="10758" width="1" style="66" customWidth="1"/>
    <col min="10759" max="10759" width="14.5" style="66" customWidth="1"/>
    <col min="10760" max="10760" width="12.25" style="66" customWidth="1"/>
    <col min="10761" max="10761" width="11.875" style="66" customWidth="1"/>
    <col min="10762" max="10762" width="16.625" style="66" customWidth="1"/>
    <col min="10763" max="10763" width="16.75" style="66" customWidth="1"/>
    <col min="10764" max="10764" width="9" style="66"/>
    <col min="10765" max="10765" width="8.625" style="66" customWidth="1"/>
    <col min="10766" max="10766" width="14.125" style="66" customWidth="1"/>
    <col min="10767" max="11008" width="9" style="66"/>
    <col min="11009" max="11009" width="10.25" style="66" customWidth="1"/>
    <col min="11010" max="11010" width="7.5" style="66" customWidth="1"/>
    <col min="11011" max="11011" width="2.25" style="66" customWidth="1"/>
    <col min="11012" max="11012" width="0" style="66" hidden="1" customWidth="1"/>
    <col min="11013" max="11014" width="1" style="66" customWidth="1"/>
    <col min="11015" max="11015" width="14.5" style="66" customWidth="1"/>
    <col min="11016" max="11016" width="12.25" style="66" customWidth="1"/>
    <col min="11017" max="11017" width="11.875" style="66" customWidth="1"/>
    <col min="11018" max="11018" width="16.625" style="66" customWidth="1"/>
    <col min="11019" max="11019" width="16.75" style="66" customWidth="1"/>
    <col min="11020" max="11020" width="9" style="66"/>
    <col min="11021" max="11021" width="8.625" style="66" customWidth="1"/>
    <col min="11022" max="11022" width="14.125" style="66" customWidth="1"/>
    <col min="11023" max="11264" width="9" style="66"/>
    <col min="11265" max="11265" width="10.25" style="66" customWidth="1"/>
    <col min="11266" max="11266" width="7.5" style="66" customWidth="1"/>
    <col min="11267" max="11267" width="2.25" style="66" customWidth="1"/>
    <col min="11268" max="11268" width="0" style="66" hidden="1" customWidth="1"/>
    <col min="11269" max="11270" width="1" style="66" customWidth="1"/>
    <col min="11271" max="11271" width="14.5" style="66" customWidth="1"/>
    <col min="11272" max="11272" width="12.25" style="66" customWidth="1"/>
    <col min="11273" max="11273" width="11.875" style="66" customWidth="1"/>
    <col min="11274" max="11274" width="16.625" style="66" customWidth="1"/>
    <col min="11275" max="11275" width="16.75" style="66" customWidth="1"/>
    <col min="11276" max="11276" width="9" style="66"/>
    <col min="11277" max="11277" width="8.625" style="66" customWidth="1"/>
    <col min="11278" max="11278" width="14.125" style="66" customWidth="1"/>
    <col min="11279" max="11520" width="9" style="66"/>
    <col min="11521" max="11521" width="10.25" style="66" customWidth="1"/>
    <col min="11522" max="11522" width="7.5" style="66" customWidth="1"/>
    <col min="11523" max="11523" width="2.25" style="66" customWidth="1"/>
    <col min="11524" max="11524" width="0" style="66" hidden="1" customWidth="1"/>
    <col min="11525" max="11526" width="1" style="66" customWidth="1"/>
    <col min="11527" max="11527" width="14.5" style="66" customWidth="1"/>
    <col min="11528" max="11528" width="12.25" style="66" customWidth="1"/>
    <col min="11529" max="11529" width="11.875" style="66" customWidth="1"/>
    <col min="11530" max="11530" width="16.625" style="66" customWidth="1"/>
    <col min="11531" max="11531" width="16.75" style="66" customWidth="1"/>
    <col min="11532" max="11532" width="9" style="66"/>
    <col min="11533" max="11533" width="8.625" style="66" customWidth="1"/>
    <col min="11534" max="11534" width="14.125" style="66" customWidth="1"/>
    <col min="11535" max="11776" width="9" style="66"/>
    <col min="11777" max="11777" width="10.25" style="66" customWidth="1"/>
    <col min="11778" max="11778" width="7.5" style="66" customWidth="1"/>
    <col min="11779" max="11779" width="2.25" style="66" customWidth="1"/>
    <col min="11780" max="11780" width="0" style="66" hidden="1" customWidth="1"/>
    <col min="11781" max="11782" width="1" style="66" customWidth="1"/>
    <col min="11783" max="11783" width="14.5" style="66" customWidth="1"/>
    <col min="11784" max="11784" width="12.25" style="66" customWidth="1"/>
    <col min="11785" max="11785" width="11.875" style="66" customWidth="1"/>
    <col min="11786" max="11786" width="16.625" style="66" customWidth="1"/>
    <col min="11787" max="11787" width="16.75" style="66" customWidth="1"/>
    <col min="11788" max="11788" width="9" style="66"/>
    <col min="11789" max="11789" width="8.625" style="66" customWidth="1"/>
    <col min="11790" max="11790" width="14.125" style="66" customWidth="1"/>
    <col min="11791" max="12032" width="9" style="66"/>
    <col min="12033" max="12033" width="10.25" style="66" customWidth="1"/>
    <col min="12034" max="12034" width="7.5" style="66" customWidth="1"/>
    <col min="12035" max="12035" width="2.25" style="66" customWidth="1"/>
    <col min="12036" max="12036" width="0" style="66" hidden="1" customWidth="1"/>
    <col min="12037" max="12038" width="1" style="66" customWidth="1"/>
    <col min="12039" max="12039" width="14.5" style="66" customWidth="1"/>
    <col min="12040" max="12040" width="12.25" style="66" customWidth="1"/>
    <col min="12041" max="12041" width="11.875" style="66" customWidth="1"/>
    <col min="12042" max="12042" width="16.625" style="66" customWidth="1"/>
    <col min="12043" max="12043" width="16.75" style="66" customWidth="1"/>
    <col min="12044" max="12044" width="9" style="66"/>
    <col min="12045" max="12045" width="8.625" style="66" customWidth="1"/>
    <col min="12046" max="12046" width="14.125" style="66" customWidth="1"/>
    <col min="12047" max="12288" width="9" style="66"/>
    <col min="12289" max="12289" width="10.25" style="66" customWidth="1"/>
    <col min="12290" max="12290" width="7.5" style="66" customWidth="1"/>
    <col min="12291" max="12291" width="2.25" style="66" customWidth="1"/>
    <col min="12292" max="12292" width="0" style="66" hidden="1" customWidth="1"/>
    <col min="12293" max="12294" width="1" style="66" customWidth="1"/>
    <col min="12295" max="12295" width="14.5" style="66" customWidth="1"/>
    <col min="12296" max="12296" width="12.25" style="66" customWidth="1"/>
    <col min="12297" max="12297" width="11.875" style="66" customWidth="1"/>
    <col min="12298" max="12298" width="16.625" style="66" customWidth="1"/>
    <col min="12299" max="12299" width="16.75" style="66" customWidth="1"/>
    <col min="12300" max="12300" width="9" style="66"/>
    <col min="12301" max="12301" width="8.625" style="66" customWidth="1"/>
    <col min="12302" max="12302" width="14.125" style="66" customWidth="1"/>
    <col min="12303" max="12544" width="9" style="66"/>
    <col min="12545" max="12545" width="10.25" style="66" customWidth="1"/>
    <col min="12546" max="12546" width="7.5" style="66" customWidth="1"/>
    <col min="12547" max="12547" width="2.25" style="66" customWidth="1"/>
    <col min="12548" max="12548" width="0" style="66" hidden="1" customWidth="1"/>
    <col min="12549" max="12550" width="1" style="66" customWidth="1"/>
    <col min="12551" max="12551" width="14.5" style="66" customWidth="1"/>
    <col min="12552" max="12552" width="12.25" style="66" customWidth="1"/>
    <col min="12553" max="12553" width="11.875" style="66" customWidth="1"/>
    <col min="12554" max="12554" width="16.625" style="66" customWidth="1"/>
    <col min="12555" max="12555" width="16.75" style="66" customWidth="1"/>
    <col min="12556" max="12556" width="9" style="66"/>
    <col min="12557" max="12557" width="8.625" style="66" customWidth="1"/>
    <col min="12558" max="12558" width="14.125" style="66" customWidth="1"/>
    <col min="12559" max="12800" width="9" style="66"/>
    <col min="12801" max="12801" width="10.25" style="66" customWidth="1"/>
    <col min="12802" max="12802" width="7.5" style="66" customWidth="1"/>
    <col min="12803" max="12803" width="2.25" style="66" customWidth="1"/>
    <col min="12804" max="12804" width="0" style="66" hidden="1" customWidth="1"/>
    <col min="12805" max="12806" width="1" style="66" customWidth="1"/>
    <col min="12807" max="12807" width="14.5" style="66" customWidth="1"/>
    <col min="12808" max="12808" width="12.25" style="66" customWidth="1"/>
    <col min="12809" max="12809" width="11.875" style="66" customWidth="1"/>
    <col min="12810" max="12810" width="16.625" style="66" customWidth="1"/>
    <col min="12811" max="12811" width="16.75" style="66" customWidth="1"/>
    <col min="12812" max="12812" width="9" style="66"/>
    <col min="12813" max="12813" width="8.625" style="66" customWidth="1"/>
    <col min="12814" max="12814" width="14.125" style="66" customWidth="1"/>
    <col min="12815" max="13056" width="9" style="66"/>
    <col min="13057" max="13057" width="10.25" style="66" customWidth="1"/>
    <col min="13058" max="13058" width="7.5" style="66" customWidth="1"/>
    <col min="13059" max="13059" width="2.25" style="66" customWidth="1"/>
    <col min="13060" max="13060" width="0" style="66" hidden="1" customWidth="1"/>
    <col min="13061" max="13062" width="1" style="66" customWidth="1"/>
    <col min="13063" max="13063" width="14.5" style="66" customWidth="1"/>
    <col min="13064" max="13064" width="12.25" style="66" customWidth="1"/>
    <col min="13065" max="13065" width="11.875" style="66" customWidth="1"/>
    <col min="13066" max="13066" width="16.625" style="66" customWidth="1"/>
    <col min="13067" max="13067" width="16.75" style="66" customWidth="1"/>
    <col min="13068" max="13068" width="9" style="66"/>
    <col min="13069" max="13069" width="8.625" style="66" customWidth="1"/>
    <col min="13070" max="13070" width="14.125" style="66" customWidth="1"/>
    <col min="13071" max="13312" width="9" style="66"/>
    <col min="13313" max="13313" width="10.25" style="66" customWidth="1"/>
    <col min="13314" max="13314" width="7.5" style="66" customWidth="1"/>
    <col min="13315" max="13315" width="2.25" style="66" customWidth="1"/>
    <col min="13316" max="13316" width="0" style="66" hidden="1" customWidth="1"/>
    <col min="13317" max="13318" width="1" style="66" customWidth="1"/>
    <col min="13319" max="13319" width="14.5" style="66" customWidth="1"/>
    <col min="13320" max="13320" width="12.25" style="66" customWidth="1"/>
    <col min="13321" max="13321" width="11.875" style="66" customWidth="1"/>
    <col min="13322" max="13322" width="16.625" style="66" customWidth="1"/>
    <col min="13323" max="13323" width="16.75" style="66" customWidth="1"/>
    <col min="13324" max="13324" width="9" style="66"/>
    <col min="13325" max="13325" width="8.625" style="66" customWidth="1"/>
    <col min="13326" max="13326" width="14.125" style="66" customWidth="1"/>
    <col min="13327" max="13568" width="9" style="66"/>
    <col min="13569" max="13569" width="10.25" style="66" customWidth="1"/>
    <col min="13570" max="13570" width="7.5" style="66" customWidth="1"/>
    <col min="13571" max="13571" width="2.25" style="66" customWidth="1"/>
    <col min="13572" max="13572" width="0" style="66" hidden="1" customWidth="1"/>
    <col min="13573" max="13574" width="1" style="66" customWidth="1"/>
    <col min="13575" max="13575" width="14.5" style="66" customWidth="1"/>
    <col min="13576" max="13576" width="12.25" style="66" customWidth="1"/>
    <col min="13577" max="13577" width="11.875" style="66" customWidth="1"/>
    <col min="13578" max="13578" width="16.625" style="66" customWidth="1"/>
    <col min="13579" max="13579" width="16.75" style="66" customWidth="1"/>
    <col min="13580" max="13580" width="9" style="66"/>
    <col min="13581" max="13581" width="8.625" style="66" customWidth="1"/>
    <col min="13582" max="13582" width="14.125" style="66" customWidth="1"/>
    <col min="13583" max="13824" width="9" style="66"/>
    <col min="13825" max="13825" width="10.25" style="66" customWidth="1"/>
    <col min="13826" max="13826" width="7.5" style="66" customWidth="1"/>
    <col min="13827" max="13827" width="2.25" style="66" customWidth="1"/>
    <col min="13828" max="13828" width="0" style="66" hidden="1" customWidth="1"/>
    <col min="13829" max="13830" width="1" style="66" customWidth="1"/>
    <col min="13831" max="13831" width="14.5" style="66" customWidth="1"/>
    <col min="13832" max="13832" width="12.25" style="66" customWidth="1"/>
    <col min="13833" max="13833" width="11.875" style="66" customWidth="1"/>
    <col min="13834" max="13834" width="16.625" style="66" customWidth="1"/>
    <col min="13835" max="13835" width="16.75" style="66" customWidth="1"/>
    <col min="13836" max="13836" width="9" style="66"/>
    <col min="13837" max="13837" width="8.625" style="66" customWidth="1"/>
    <col min="13838" max="13838" width="14.125" style="66" customWidth="1"/>
    <col min="13839" max="14080" width="9" style="66"/>
    <col min="14081" max="14081" width="10.25" style="66" customWidth="1"/>
    <col min="14082" max="14082" width="7.5" style="66" customWidth="1"/>
    <col min="14083" max="14083" width="2.25" style="66" customWidth="1"/>
    <col min="14084" max="14084" width="0" style="66" hidden="1" customWidth="1"/>
    <col min="14085" max="14086" width="1" style="66" customWidth="1"/>
    <col min="14087" max="14087" width="14.5" style="66" customWidth="1"/>
    <col min="14088" max="14088" width="12.25" style="66" customWidth="1"/>
    <col min="14089" max="14089" width="11.875" style="66" customWidth="1"/>
    <col min="14090" max="14090" width="16.625" style="66" customWidth="1"/>
    <col min="14091" max="14091" width="16.75" style="66" customWidth="1"/>
    <col min="14092" max="14092" width="9" style="66"/>
    <col min="14093" max="14093" width="8.625" style="66" customWidth="1"/>
    <col min="14094" max="14094" width="14.125" style="66" customWidth="1"/>
    <col min="14095" max="14336" width="9" style="66"/>
    <col min="14337" max="14337" width="10.25" style="66" customWidth="1"/>
    <col min="14338" max="14338" width="7.5" style="66" customWidth="1"/>
    <col min="14339" max="14339" width="2.25" style="66" customWidth="1"/>
    <col min="14340" max="14340" width="0" style="66" hidden="1" customWidth="1"/>
    <col min="14341" max="14342" width="1" style="66" customWidth="1"/>
    <col min="14343" max="14343" width="14.5" style="66" customWidth="1"/>
    <col min="14344" max="14344" width="12.25" style="66" customWidth="1"/>
    <col min="14345" max="14345" width="11.875" style="66" customWidth="1"/>
    <col min="14346" max="14346" width="16.625" style="66" customWidth="1"/>
    <col min="14347" max="14347" width="16.75" style="66" customWidth="1"/>
    <col min="14348" max="14348" width="9" style="66"/>
    <col min="14349" max="14349" width="8.625" style="66" customWidth="1"/>
    <col min="14350" max="14350" width="14.125" style="66" customWidth="1"/>
    <col min="14351" max="14592" width="9" style="66"/>
    <col min="14593" max="14593" width="10.25" style="66" customWidth="1"/>
    <col min="14594" max="14594" width="7.5" style="66" customWidth="1"/>
    <col min="14595" max="14595" width="2.25" style="66" customWidth="1"/>
    <col min="14596" max="14596" width="0" style="66" hidden="1" customWidth="1"/>
    <col min="14597" max="14598" width="1" style="66" customWidth="1"/>
    <col min="14599" max="14599" width="14.5" style="66" customWidth="1"/>
    <col min="14600" max="14600" width="12.25" style="66" customWidth="1"/>
    <col min="14601" max="14601" width="11.875" style="66" customWidth="1"/>
    <col min="14602" max="14602" width="16.625" style="66" customWidth="1"/>
    <col min="14603" max="14603" width="16.75" style="66" customWidth="1"/>
    <col min="14604" max="14604" width="9" style="66"/>
    <col min="14605" max="14605" width="8.625" style="66" customWidth="1"/>
    <col min="14606" max="14606" width="14.125" style="66" customWidth="1"/>
    <col min="14607" max="14848" width="9" style="66"/>
    <col min="14849" max="14849" width="10.25" style="66" customWidth="1"/>
    <col min="14850" max="14850" width="7.5" style="66" customWidth="1"/>
    <col min="14851" max="14851" width="2.25" style="66" customWidth="1"/>
    <col min="14852" max="14852" width="0" style="66" hidden="1" customWidth="1"/>
    <col min="14853" max="14854" width="1" style="66" customWidth="1"/>
    <col min="14855" max="14855" width="14.5" style="66" customWidth="1"/>
    <col min="14856" max="14856" width="12.25" style="66" customWidth="1"/>
    <col min="14857" max="14857" width="11.875" style="66" customWidth="1"/>
    <col min="14858" max="14858" width="16.625" style="66" customWidth="1"/>
    <col min="14859" max="14859" width="16.75" style="66" customWidth="1"/>
    <col min="14860" max="14860" width="9" style="66"/>
    <col min="14861" max="14861" width="8.625" style="66" customWidth="1"/>
    <col min="14862" max="14862" width="14.125" style="66" customWidth="1"/>
    <col min="14863" max="15104" width="9" style="66"/>
    <col min="15105" max="15105" width="10.25" style="66" customWidth="1"/>
    <col min="15106" max="15106" width="7.5" style="66" customWidth="1"/>
    <col min="15107" max="15107" width="2.25" style="66" customWidth="1"/>
    <col min="15108" max="15108" width="0" style="66" hidden="1" customWidth="1"/>
    <col min="15109" max="15110" width="1" style="66" customWidth="1"/>
    <col min="15111" max="15111" width="14.5" style="66" customWidth="1"/>
    <col min="15112" max="15112" width="12.25" style="66" customWidth="1"/>
    <col min="15113" max="15113" width="11.875" style="66" customWidth="1"/>
    <col min="15114" max="15114" width="16.625" style="66" customWidth="1"/>
    <col min="15115" max="15115" width="16.75" style="66" customWidth="1"/>
    <col min="15116" max="15116" width="9" style="66"/>
    <col min="15117" max="15117" width="8.625" style="66" customWidth="1"/>
    <col min="15118" max="15118" width="14.125" style="66" customWidth="1"/>
    <col min="15119" max="15360" width="9" style="66"/>
    <col min="15361" max="15361" width="10.25" style="66" customWidth="1"/>
    <col min="15362" max="15362" width="7.5" style="66" customWidth="1"/>
    <col min="15363" max="15363" width="2.25" style="66" customWidth="1"/>
    <col min="15364" max="15364" width="0" style="66" hidden="1" customWidth="1"/>
    <col min="15365" max="15366" width="1" style="66" customWidth="1"/>
    <col min="15367" max="15367" width="14.5" style="66" customWidth="1"/>
    <col min="15368" max="15368" width="12.25" style="66" customWidth="1"/>
    <col min="15369" max="15369" width="11.875" style="66" customWidth="1"/>
    <col min="15370" max="15370" width="16.625" style="66" customWidth="1"/>
    <col min="15371" max="15371" width="16.75" style="66" customWidth="1"/>
    <col min="15372" max="15372" width="9" style="66"/>
    <col min="15373" max="15373" width="8.625" style="66" customWidth="1"/>
    <col min="15374" max="15374" width="14.125" style="66" customWidth="1"/>
    <col min="15375" max="15616" width="9" style="66"/>
    <col min="15617" max="15617" width="10.25" style="66" customWidth="1"/>
    <col min="15618" max="15618" width="7.5" style="66" customWidth="1"/>
    <col min="15619" max="15619" width="2.25" style="66" customWidth="1"/>
    <col min="15620" max="15620" width="0" style="66" hidden="1" customWidth="1"/>
    <col min="15621" max="15622" width="1" style="66" customWidth="1"/>
    <col min="15623" max="15623" width="14.5" style="66" customWidth="1"/>
    <col min="15624" max="15624" width="12.25" style="66" customWidth="1"/>
    <col min="15625" max="15625" width="11.875" style="66" customWidth="1"/>
    <col min="15626" max="15626" width="16.625" style="66" customWidth="1"/>
    <col min="15627" max="15627" width="16.75" style="66" customWidth="1"/>
    <col min="15628" max="15628" width="9" style="66"/>
    <col min="15629" max="15629" width="8.625" style="66" customWidth="1"/>
    <col min="15630" max="15630" width="14.125" style="66" customWidth="1"/>
    <col min="15631" max="15872" width="9" style="66"/>
    <col min="15873" max="15873" width="10.25" style="66" customWidth="1"/>
    <col min="15874" max="15874" width="7.5" style="66" customWidth="1"/>
    <col min="15875" max="15875" width="2.25" style="66" customWidth="1"/>
    <col min="15876" max="15876" width="0" style="66" hidden="1" customWidth="1"/>
    <col min="15877" max="15878" width="1" style="66" customWidth="1"/>
    <col min="15879" max="15879" width="14.5" style="66" customWidth="1"/>
    <col min="15880" max="15880" width="12.25" style="66" customWidth="1"/>
    <col min="15881" max="15881" width="11.875" style="66" customWidth="1"/>
    <col min="15882" max="15882" width="16.625" style="66" customWidth="1"/>
    <col min="15883" max="15883" width="16.75" style="66" customWidth="1"/>
    <col min="15884" max="15884" width="9" style="66"/>
    <col min="15885" max="15885" width="8.625" style="66" customWidth="1"/>
    <col min="15886" max="15886" width="14.125" style="66" customWidth="1"/>
    <col min="15887" max="16128" width="9" style="66"/>
    <col min="16129" max="16129" width="10.25" style="66" customWidth="1"/>
    <col min="16130" max="16130" width="7.5" style="66" customWidth="1"/>
    <col min="16131" max="16131" width="2.25" style="66" customWidth="1"/>
    <col min="16132" max="16132" width="0" style="66" hidden="1" customWidth="1"/>
    <col min="16133" max="16134" width="1" style="66" customWidth="1"/>
    <col min="16135" max="16135" width="14.5" style="66" customWidth="1"/>
    <col min="16136" max="16136" width="12.25" style="66" customWidth="1"/>
    <col min="16137" max="16137" width="11.875" style="66" customWidth="1"/>
    <col min="16138" max="16138" width="16.625" style="66" customWidth="1"/>
    <col min="16139" max="16139" width="16.75" style="66" customWidth="1"/>
    <col min="16140" max="16140" width="9" style="66"/>
    <col min="16141" max="16141" width="8.625" style="66" customWidth="1"/>
    <col min="16142" max="16142" width="14.125" style="66" customWidth="1"/>
    <col min="16143" max="16384" width="9" style="66"/>
  </cols>
  <sheetData>
    <row r="1" spans="2:20" ht="14.25" thickBot="1" x14ac:dyDescent="0.2">
      <c r="B1" s="119"/>
    </row>
    <row r="2" spans="2:20" x14ac:dyDescent="0.15">
      <c r="B2" s="119"/>
      <c r="O2" s="170" t="s">
        <v>88</v>
      </c>
      <c r="P2" s="176" t="s">
        <v>89</v>
      </c>
      <c r="Q2" s="177"/>
      <c r="R2" s="177"/>
      <c r="S2" s="177"/>
      <c r="T2" s="178"/>
    </row>
    <row r="3" spans="2:20" ht="14.25" thickBot="1" x14ac:dyDescent="0.2">
      <c r="B3" s="119"/>
      <c r="O3" s="171" t="s">
        <v>90</v>
      </c>
      <c r="P3" s="179" t="str">
        <f>$O$3&amp;O6&amp;"（"&amp;P6&amp;"）"</f>
        <v>S16-0731日本コヴィディエン株式会社　東京第二営業所（東京都立多摩総合医療センター）</v>
      </c>
      <c r="Q3" s="180"/>
      <c r="R3" s="180"/>
      <c r="S3" s="180"/>
      <c r="T3" s="181"/>
    </row>
    <row r="4" spans="2:20" x14ac:dyDescent="0.15">
      <c r="B4" s="119"/>
      <c r="O4" s="169"/>
      <c r="P4" s="169"/>
      <c r="Q4" s="169"/>
      <c r="R4" s="169"/>
      <c r="S4" s="169"/>
      <c r="T4" s="169"/>
    </row>
    <row r="5" spans="2:20" x14ac:dyDescent="0.15">
      <c r="B5" s="119"/>
      <c r="O5" s="172" t="s">
        <v>91</v>
      </c>
      <c r="P5" s="172" t="s">
        <v>92</v>
      </c>
      <c r="Q5" s="172" t="s">
        <v>93</v>
      </c>
      <c r="R5" s="172" t="s">
        <v>94</v>
      </c>
      <c r="S5" s="172" t="s">
        <v>95</v>
      </c>
      <c r="T5" s="172" t="s">
        <v>96</v>
      </c>
    </row>
    <row r="6" spans="2:20" x14ac:dyDescent="0.15">
      <c r="B6" s="119"/>
      <c r="O6" s="104" t="str">
        <f>VLOOKUP($O$3,[1]受付台帳!$A$3:$AT$1041,16,FALSE)</f>
        <v>日本コヴィディエン株式会社　東京第二営業所</v>
      </c>
      <c r="P6" s="94" t="str">
        <f>VLOOKUP($O$3,[1]受付台帳!$A$4:$AU$1041,21,FALSE)</f>
        <v>東京都立多摩総合医療センター</v>
      </c>
      <c r="Q6" s="94" t="str">
        <f>VLOOKUP($O$3,[1]受付台帳!$A$4:$AU$1041,13,FALSE)</f>
        <v>iLook25</v>
      </c>
      <c r="R6" s="94" t="str">
        <f>VLOOKUP($O$3,[1]受付台帳!$A$4:$AU$1041,15,FALSE)</f>
        <v>P04303-01</v>
      </c>
      <c r="S6" s="94" t="str">
        <f>VLOOKUP($O$3,[1]受付台帳!$A$4:$AU$1041,14,FALSE)</f>
        <v>03359F</v>
      </c>
      <c r="T6" s="95">
        <f>VLOOKUP($O$3,[1]受付台帳!$A$4:$AU$1041,47,FALSE)</f>
        <v>38292</v>
      </c>
    </row>
    <row r="7" spans="2:20" x14ac:dyDescent="0.15">
      <c r="B7" s="119"/>
    </row>
    <row r="8" spans="2:20" x14ac:dyDescent="0.15">
      <c r="B8" s="119"/>
    </row>
    <row r="9" spans="2:20" x14ac:dyDescent="0.15">
      <c r="B9" s="119"/>
    </row>
    <row r="10" spans="2:20" x14ac:dyDescent="0.15">
      <c r="B10" s="119"/>
    </row>
    <row r="11" spans="2:20" x14ac:dyDescent="0.15">
      <c r="B11" s="119"/>
    </row>
    <row r="12" spans="2:20" x14ac:dyDescent="0.15">
      <c r="B12" s="119"/>
    </row>
    <row r="13" spans="2:20" x14ac:dyDescent="0.15">
      <c r="B13" s="119"/>
    </row>
    <row r="14" spans="2:20" x14ac:dyDescent="0.15">
      <c r="B14" s="119"/>
    </row>
    <row r="15" spans="2:20" x14ac:dyDescent="0.15">
      <c r="B15" s="119"/>
    </row>
    <row r="16" spans="2:20" x14ac:dyDescent="0.15">
      <c r="B16" s="119"/>
    </row>
    <row r="17" spans="2:12" x14ac:dyDescent="0.15">
      <c r="B17" s="119"/>
    </row>
    <row r="18" spans="2:12" x14ac:dyDescent="0.15">
      <c r="B18" s="119"/>
    </row>
    <row r="19" spans="2:12" x14ac:dyDescent="0.15">
      <c r="B19" s="119"/>
    </row>
    <row r="20" spans="2:12" x14ac:dyDescent="0.15">
      <c r="B20" s="119"/>
    </row>
    <row r="22" spans="2:12" x14ac:dyDescent="0.15">
      <c r="J22" s="70"/>
      <c r="K22" s="71"/>
      <c r="L22" s="71" t="str">
        <f>"文書番号： "&amp;$B$7</f>
        <v xml:space="preserve">文書番号： </v>
      </c>
    </row>
    <row r="23" spans="2:12" x14ac:dyDescent="0.15">
      <c r="B23" s="45"/>
      <c r="C23" s="45"/>
      <c r="D23" s="45"/>
      <c r="E23" s="45"/>
      <c r="F23" s="45"/>
      <c r="G23" s="45"/>
      <c r="H23" s="45"/>
      <c r="I23" s="45"/>
      <c r="J23" s="213" t="str">
        <f>"発行日付： "&amp;$B$5</f>
        <v xml:space="preserve">発行日付： </v>
      </c>
      <c r="K23" s="213"/>
      <c r="L23" s="213"/>
    </row>
    <row r="24" spans="2:12" x14ac:dyDescent="0.15">
      <c r="B24" s="214" t="e">
        <f>VLOOKUP($B$7,[1]受付台帳!$A$3:$AT$1041,21,FALSE)&amp;"   御中"</f>
        <v>#N/A</v>
      </c>
      <c r="C24" s="214"/>
      <c r="D24" s="214"/>
      <c r="E24" s="214"/>
      <c r="F24" s="214"/>
      <c r="G24" s="214"/>
      <c r="H24" s="214"/>
      <c r="I24" s="214"/>
    </row>
    <row r="25" spans="2:12" x14ac:dyDescent="0.15">
      <c r="B25" s="215"/>
      <c r="C25" s="215"/>
      <c r="D25" s="215"/>
      <c r="E25" s="215"/>
      <c r="F25" s="215"/>
      <c r="G25" s="215"/>
      <c r="H25" s="215"/>
      <c r="I25" s="215"/>
    </row>
    <row r="26" spans="2:12" x14ac:dyDescent="0.15">
      <c r="B26" s="72"/>
      <c r="C26" s="68"/>
      <c r="D26" s="68"/>
      <c r="E26" s="68"/>
      <c r="F26" s="68"/>
    </row>
    <row r="27" spans="2:12" ht="17.25" customHeight="1" x14ac:dyDescent="0.15">
      <c r="B27" s="216" t="s">
        <v>147</v>
      </c>
      <c r="C27" s="216"/>
      <c r="D27" s="216"/>
      <c r="E27" s="216"/>
      <c r="F27" s="216"/>
      <c r="G27" s="216"/>
      <c r="H27" s="216"/>
      <c r="I27" s="216"/>
      <c r="J27" s="216"/>
      <c r="K27" s="216"/>
      <c r="L27" s="216"/>
    </row>
    <row r="28" spans="2:12" x14ac:dyDescent="0.15">
      <c r="B28" s="216"/>
      <c r="C28" s="216"/>
      <c r="D28" s="216"/>
      <c r="E28" s="216"/>
      <c r="F28" s="216"/>
      <c r="G28" s="216"/>
      <c r="H28" s="216"/>
      <c r="I28" s="216"/>
      <c r="J28" s="216"/>
      <c r="K28" s="216"/>
      <c r="L28" s="216"/>
    </row>
    <row r="29" spans="2:12" x14ac:dyDescent="0.15">
      <c r="I29" s="70"/>
      <c r="K29" s="70"/>
      <c r="L29" s="71"/>
    </row>
    <row r="30" spans="2:12" x14ac:dyDescent="0.15">
      <c r="B30" s="68"/>
      <c r="I30" s="70"/>
      <c r="K30" s="70"/>
      <c r="L30" s="71" t="s">
        <v>148</v>
      </c>
    </row>
    <row r="31" spans="2:12" x14ac:dyDescent="0.15">
      <c r="I31" s="70"/>
      <c r="K31" s="70"/>
      <c r="L31" s="71" t="s">
        <v>149</v>
      </c>
    </row>
    <row r="32" spans="2:12" x14ac:dyDescent="0.15">
      <c r="I32" s="70"/>
      <c r="K32" s="70"/>
      <c r="L32" s="86" t="s">
        <v>150</v>
      </c>
    </row>
    <row r="33" spans="2:13" x14ac:dyDescent="0.15">
      <c r="L33" s="71" t="s">
        <v>151</v>
      </c>
    </row>
    <row r="35" spans="2:13" x14ac:dyDescent="0.15">
      <c r="B35" s="66" t="s">
        <v>152</v>
      </c>
      <c r="M35" s="86"/>
    </row>
    <row r="36" spans="2:13" x14ac:dyDescent="0.15">
      <c r="B36" s="66" t="s">
        <v>153</v>
      </c>
      <c r="C36" s="73"/>
      <c r="D36" s="73"/>
      <c r="E36" s="73"/>
      <c r="F36" s="73"/>
      <c r="G36" s="73"/>
      <c r="H36" s="73"/>
      <c r="I36" s="73"/>
      <c r="J36" s="73"/>
      <c r="K36" s="73"/>
    </row>
    <row r="37" spans="2:13" x14ac:dyDescent="0.15">
      <c r="B37" s="66" t="s">
        <v>154</v>
      </c>
    </row>
    <row r="38" spans="2:13" x14ac:dyDescent="0.15">
      <c r="B38" s="66" t="s">
        <v>155</v>
      </c>
      <c r="L38" s="74" t="s">
        <v>156</v>
      </c>
    </row>
    <row r="39" spans="2:13" x14ac:dyDescent="0.15">
      <c r="L39" s="74"/>
    </row>
    <row r="40" spans="2:13" x14ac:dyDescent="0.15">
      <c r="K40" s="75"/>
    </row>
    <row r="41" spans="2:13" x14ac:dyDescent="0.15">
      <c r="B41" s="217" t="s">
        <v>119</v>
      </c>
      <c r="C41" s="217"/>
      <c r="D41" s="217"/>
      <c r="E41" s="217"/>
      <c r="F41" s="217"/>
      <c r="G41" s="217"/>
      <c r="H41" s="217"/>
      <c r="I41" s="217"/>
      <c r="J41" s="217"/>
      <c r="K41" s="217"/>
      <c r="L41" s="217"/>
    </row>
    <row r="42" spans="2:13" x14ac:dyDescent="0.15">
      <c r="B42" s="76"/>
      <c r="C42" s="76"/>
      <c r="D42" s="76"/>
      <c r="E42" s="76"/>
      <c r="F42" s="76"/>
      <c r="G42" s="76"/>
      <c r="H42" s="76"/>
      <c r="I42" s="76"/>
      <c r="J42" s="76"/>
      <c r="K42" s="76"/>
      <c r="L42" s="76"/>
    </row>
    <row r="43" spans="2:13" x14ac:dyDescent="0.15">
      <c r="B43" s="76"/>
      <c r="C43" s="76"/>
      <c r="D43" s="76"/>
      <c r="E43" s="76"/>
      <c r="F43" s="76"/>
      <c r="G43" s="76"/>
      <c r="H43" s="76"/>
      <c r="I43" s="76"/>
      <c r="J43" s="76"/>
      <c r="K43" s="76"/>
    </row>
    <row r="44" spans="2:13" x14ac:dyDescent="0.15">
      <c r="B44" s="86" t="s">
        <v>120</v>
      </c>
      <c r="C44" s="69" t="e">
        <f>IF("SR#"=VLOOKUP($B$7,[1]受付台帳!$A$3:$AT$1041,3,FALSE),$B$7,VLOOKUP($B$7,[1]受付台帳!$A$3:$AT$1041,3,FALSE))</f>
        <v>#N/A</v>
      </c>
      <c r="D44" s="69"/>
      <c r="H44" s="86" t="s">
        <v>121</v>
      </c>
      <c r="I44" s="107" t="e">
        <f>"超音波画像診断装置 SonoSite "&amp;VLOOKUP($B$7,[1]受付台帳!$A$3:$AT$1041,13,FALSE)</f>
        <v>#N/A</v>
      </c>
      <c r="J44" s="107"/>
      <c r="K44" s="107"/>
      <c r="L44" s="107"/>
    </row>
    <row r="45" spans="2:13" ht="4.5" customHeight="1" x14ac:dyDescent="0.15">
      <c r="B45" s="86"/>
      <c r="H45" s="86"/>
      <c r="J45" s="70"/>
    </row>
    <row r="46" spans="2:13" x14ac:dyDescent="0.15">
      <c r="B46" s="86" t="s">
        <v>122</v>
      </c>
      <c r="C46" s="69" t="e">
        <f>VLOOKUP($B$7,[1]受付台帳!$A$3:$AT$1041,14,FALSE)</f>
        <v>#N/A</v>
      </c>
      <c r="D46" s="69"/>
      <c r="H46" s="108" t="s">
        <v>157</v>
      </c>
      <c r="I46" s="107" t="e">
        <f>VLOOKUP($B$7,[1]受付台帳!$A$3:$AT$1041,15,FALSE)</f>
        <v>#N/A</v>
      </c>
      <c r="J46" s="107"/>
      <c r="K46" s="107"/>
      <c r="L46" s="107"/>
    </row>
    <row r="47" spans="2:13" ht="4.5" customHeight="1" x14ac:dyDescent="0.15">
      <c r="B47" s="86"/>
      <c r="J47" s="70"/>
    </row>
    <row r="48" spans="2:13" x14ac:dyDescent="0.15">
      <c r="B48" s="86" t="s">
        <v>158</v>
      </c>
      <c r="C48" s="218" t="s">
        <v>159</v>
      </c>
      <c r="D48" s="218"/>
      <c r="E48" s="218"/>
      <c r="F48" s="218"/>
      <c r="G48" s="218"/>
      <c r="H48" s="218"/>
      <c r="I48" s="218"/>
      <c r="J48" s="218"/>
      <c r="K48" s="218"/>
      <c r="L48" s="218"/>
    </row>
    <row r="50" spans="2:12" ht="6" customHeight="1" x14ac:dyDescent="0.15">
      <c r="B50" s="219" t="s">
        <v>123</v>
      </c>
      <c r="C50" s="220"/>
      <c r="D50" s="97"/>
      <c r="E50" s="105"/>
      <c r="F50" s="77"/>
      <c r="G50" s="77"/>
      <c r="H50" s="77"/>
      <c r="I50" s="77"/>
      <c r="J50" s="77"/>
      <c r="K50" s="77"/>
      <c r="L50" s="78"/>
    </row>
    <row r="51" spans="2:12" s="68" customFormat="1" ht="13.5" customHeight="1" x14ac:dyDescent="0.15">
      <c r="B51" s="219"/>
      <c r="C51" s="220"/>
      <c r="D51" s="98"/>
      <c r="E51" s="41" t="s">
        <v>160</v>
      </c>
      <c r="F51" s="41"/>
      <c r="G51" s="41"/>
      <c r="H51" s="41"/>
      <c r="I51" s="41"/>
      <c r="J51" s="41"/>
      <c r="K51" s="41"/>
      <c r="L51" s="42"/>
    </row>
    <row r="52" spans="2:12" s="68" customFormat="1" ht="13.5" customHeight="1" x14ac:dyDescent="0.15">
      <c r="B52" s="219"/>
      <c r="C52" s="220"/>
      <c r="D52" s="98"/>
      <c r="E52" s="41" t="s">
        <v>161</v>
      </c>
      <c r="F52" s="41"/>
      <c r="G52" s="41"/>
      <c r="H52" s="41"/>
      <c r="I52" s="41"/>
      <c r="J52" s="41"/>
      <c r="K52" s="41"/>
      <c r="L52" s="42"/>
    </row>
    <row r="53" spans="2:12" s="68" customFormat="1" ht="13.5" customHeight="1" x14ac:dyDescent="0.15">
      <c r="B53" s="219"/>
      <c r="C53" s="220"/>
      <c r="D53" s="98"/>
      <c r="E53" s="41" t="s">
        <v>162</v>
      </c>
      <c r="F53" s="41"/>
      <c r="G53" s="41"/>
      <c r="H53" s="41"/>
      <c r="I53" s="41"/>
      <c r="J53" s="41"/>
      <c r="K53" s="41"/>
      <c r="L53" s="42"/>
    </row>
    <row r="54" spans="2:12" s="68" customFormat="1" ht="13.5" customHeight="1" x14ac:dyDescent="0.15">
      <c r="B54" s="219"/>
      <c r="C54" s="220"/>
      <c r="D54" s="98"/>
      <c r="E54" s="41" t="s">
        <v>163</v>
      </c>
      <c r="F54" s="41"/>
      <c r="G54" s="41"/>
      <c r="H54" s="41"/>
      <c r="I54" s="41"/>
      <c r="J54" s="41"/>
      <c r="K54" s="41"/>
      <c r="L54" s="42"/>
    </row>
    <row r="55" spans="2:12" s="68" customFormat="1" ht="13.5" customHeight="1" x14ac:dyDescent="0.15">
      <c r="B55" s="219"/>
      <c r="C55" s="220"/>
      <c r="D55" s="98"/>
      <c r="E55" s="41" t="s">
        <v>164</v>
      </c>
      <c r="F55" s="41"/>
      <c r="G55" s="41"/>
      <c r="H55" s="41"/>
      <c r="I55" s="41"/>
      <c r="J55" s="41"/>
      <c r="K55" s="41"/>
      <c r="L55" s="42"/>
    </row>
    <row r="56" spans="2:12" s="68" customFormat="1" ht="13.5" customHeight="1" x14ac:dyDescent="0.15">
      <c r="B56" s="219"/>
      <c r="C56" s="220"/>
      <c r="D56" s="98"/>
      <c r="E56" s="41" t="s">
        <v>165</v>
      </c>
      <c r="F56" s="41"/>
      <c r="G56" s="41"/>
      <c r="H56" s="41"/>
      <c r="I56" s="41"/>
      <c r="J56" s="41"/>
      <c r="K56" s="41"/>
      <c r="L56" s="42"/>
    </row>
    <row r="57" spans="2:12" s="68" customFormat="1" ht="13.5" customHeight="1" x14ac:dyDescent="0.15">
      <c r="B57" s="219"/>
      <c r="C57" s="220"/>
      <c r="D57" s="98"/>
      <c r="E57" s="41" t="s">
        <v>166</v>
      </c>
      <c r="F57" s="41"/>
      <c r="G57" s="41"/>
      <c r="H57" s="41"/>
      <c r="I57" s="41"/>
      <c r="J57" s="41"/>
      <c r="K57" s="41"/>
      <c r="L57" s="42"/>
    </row>
    <row r="58" spans="2:12" s="68" customFormat="1" ht="13.5" customHeight="1" x14ac:dyDescent="0.15">
      <c r="B58" s="219"/>
      <c r="C58" s="220"/>
      <c r="D58" s="98"/>
      <c r="E58" s="41" t="s">
        <v>167</v>
      </c>
      <c r="F58" s="41"/>
      <c r="G58" s="41"/>
      <c r="H58" s="41"/>
      <c r="I58" s="41"/>
      <c r="J58" s="41"/>
      <c r="K58" s="41"/>
      <c r="L58" s="42"/>
    </row>
    <row r="59" spans="2:12" s="68" customFormat="1" ht="13.5" customHeight="1" x14ac:dyDescent="0.15">
      <c r="B59" s="219"/>
      <c r="C59" s="220"/>
      <c r="D59" s="98"/>
      <c r="E59" s="41" t="s">
        <v>168</v>
      </c>
      <c r="F59" s="41"/>
      <c r="G59" s="41"/>
      <c r="H59" s="41"/>
      <c r="I59" s="41"/>
      <c r="J59" s="41"/>
      <c r="K59" s="41"/>
      <c r="L59" s="42"/>
    </row>
    <row r="60" spans="2:12" s="68" customFormat="1" ht="6" customHeight="1" x14ac:dyDescent="0.15">
      <c r="B60" s="219"/>
      <c r="C60" s="220"/>
      <c r="D60" s="99"/>
      <c r="E60" s="106"/>
      <c r="F60" s="79"/>
      <c r="G60" s="79"/>
      <c r="H60" s="79"/>
      <c r="I60" s="79"/>
      <c r="J60" s="79"/>
      <c r="K60" s="79"/>
      <c r="L60" s="101"/>
    </row>
    <row r="61" spans="2:12" s="68" customFormat="1" ht="6" customHeight="1" x14ac:dyDescent="0.15">
      <c r="B61" s="219" t="s">
        <v>124</v>
      </c>
      <c r="C61" s="220"/>
      <c r="D61" s="97"/>
      <c r="E61" s="81"/>
      <c r="F61" s="81"/>
      <c r="G61" s="81"/>
      <c r="H61" s="81"/>
      <c r="I61" s="81"/>
      <c r="J61" s="81"/>
      <c r="K61" s="81"/>
      <c r="L61" s="78"/>
    </row>
    <row r="62" spans="2:12" s="68" customFormat="1" ht="13.5" customHeight="1" x14ac:dyDescent="0.15">
      <c r="B62" s="219"/>
      <c r="C62" s="220"/>
      <c r="D62" s="98"/>
      <c r="E62" s="221" t="s">
        <v>125</v>
      </c>
      <c r="F62" s="221"/>
      <c r="G62" s="221"/>
      <c r="H62" s="221"/>
      <c r="I62" s="221"/>
      <c r="J62" s="221"/>
      <c r="K62" s="221"/>
      <c r="L62" s="222"/>
    </row>
    <row r="63" spans="2:12" s="68" customFormat="1" ht="6" customHeight="1" x14ac:dyDescent="0.15">
      <c r="B63" s="219"/>
      <c r="C63" s="220"/>
      <c r="D63" s="98"/>
      <c r="E63" s="110"/>
      <c r="F63" s="82"/>
      <c r="G63" s="82"/>
      <c r="H63" s="82"/>
      <c r="I63" s="82"/>
      <c r="J63" s="82"/>
      <c r="K63" s="82"/>
      <c r="L63" s="83"/>
    </row>
    <row r="64" spans="2:12" s="68" customFormat="1" ht="48.75" customHeight="1" x14ac:dyDescent="0.15">
      <c r="B64" s="219"/>
      <c r="C64" s="220"/>
      <c r="D64" s="98"/>
      <c r="E64" s="223" t="s">
        <v>169</v>
      </c>
      <c r="F64" s="223"/>
      <c r="G64" s="223"/>
      <c r="H64" s="223"/>
      <c r="I64" s="223"/>
      <c r="J64" s="223"/>
      <c r="K64" s="223"/>
      <c r="L64" s="224"/>
    </row>
    <row r="65" spans="2:12" s="68" customFormat="1" ht="6" customHeight="1" x14ac:dyDescent="0.15">
      <c r="B65" s="219"/>
      <c r="C65" s="220"/>
      <c r="D65" s="98"/>
      <c r="E65" s="110"/>
      <c r="F65" s="82"/>
      <c r="G65" s="82"/>
      <c r="H65" s="82"/>
      <c r="I65" s="82"/>
      <c r="J65" s="82"/>
      <c r="K65" s="82"/>
      <c r="L65" s="83"/>
    </row>
    <row r="66" spans="2:12" s="68" customFormat="1" ht="13.5" customHeight="1" x14ac:dyDescent="0.15">
      <c r="B66" s="219"/>
      <c r="C66" s="220"/>
      <c r="D66" s="98"/>
      <c r="E66" s="221" t="s">
        <v>126</v>
      </c>
      <c r="F66" s="221"/>
      <c r="G66" s="221"/>
      <c r="H66" s="221"/>
      <c r="I66" s="221"/>
      <c r="J66" s="221"/>
      <c r="K66" s="221"/>
      <c r="L66" s="222"/>
    </row>
    <row r="67" spans="2:12" s="68" customFormat="1" ht="6" customHeight="1" x14ac:dyDescent="0.15">
      <c r="B67" s="219"/>
      <c r="C67" s="220"/>
      <c r="D67" s="98"/>
      <c r="E67" s="114"/>
      <c r="F67" s="91"/>
      <c r="G67" s="91"/>
      <c r="H67" s="91"/>
      <c r="I67" s="91"/>
      <c r="J67" s="91"/>
      <c r="K67" s="91"/>
      <c r="L67" s="92"/>
    </row>
    <row r="68" spans="2:12" s="68" customFormat="1" ht="48.75" customHeight="1" x14ac:dyDescent="0.15">
      <c r="B68" s="219"/>
      <c r="C68" s="220"/>
      <c r="D68" s="98"/>
      <c r="E68" s="43" t="s">
        <v>170</v>
      </c>
      <c r="F68" s="43"/>
      <c r="G68" s="43"/>
      <c r="H68" s="43"/>
      <c r="I68" s="43"/>
      <c r="J68" s="43"/>
      <c r="K68" s="43"/>
      <c r="L68" s="44"/>
    </row>
    <row r="69" spans="2:12" s="68" customFormat="1" ht="6" customHeight="1" x14ac:dyDescent="0.15">
      <c r="B69" s="219"/>
      <c r="C69" s="220"/>
      <c r="D69" s="98"/>
      <c r="E69" s="110"/>
      <c r="F69" s="82"/>
      <c r="G69" s="82"/>
      <c r="H69" s="82"/>
      <c r="I69" s="82"/>
      <c r="J69" s="82"/>
      <c r="K69" s="82"/>
      <c r="L69" s="83"/>
    </row>
    <row r="70" spans="2:12" s="68" customFormat="1" ht="13.5" customHeight="1" x14ac:dyDescent="0.15">
      <c r="B70" s="219"/>
      <c r="C70" s="220"/>
      <c r="D70" s="98"/>
      <c r="E70" s="221" t="s">
        <v>127</v>
      </c>
      <c r="F70" s="221"/>
      <c r="G70" s="221"/>
      <c r="H70" s="221"/>
      <c r="I70" s="221"/>
      <c r="J70" s="221"/>
      <c r="K70" s="221"/>
      <c r="L70" s="222"/>
    </row>
    <row r="71" spans="2:12" s="68" customFormat="1" ht="6" customHeight="1" x14ac:dyDescent="0.15">
      <c r="B71" s="219"/>
      <c r="C71" s="220"/>
      <c r="D71" s="98"/>
      <c r="E71" s="115"/>
      <c r="F71" s="82"/>
      <c r="G71" s="82"/>
      <c r="H71" s="82"/>
      <c r="I71" s="82"/>
      <c r="J71" s="82"/>
      <c r="K71" s="82"/>
      <c r="L71" s="83"/>
    </row>
    <row r="72" spans="2:12" s="68" customFormat="1" ht="48.75" customHeight="1" x14ac:dyDescent="0.15">
      <c r="B72" s="219"/>
      <c r="C72" s="220"/>
      <c r="D72" s="98"/>
      <c r="E72" s="225" t="s">
        <v>171</v>
      </c>
      <c r="F72" s="225"/>
      <c r="G72" s="225"/>
      <c r="H72" s="225"/>
      <c r="I72" s="225"/>
      <c r="J72" s="225"/>
      <c r="K72" s="225"/>
      <c r="L72" s="226"/>
    </row>
    <row r="73" spans="2:12" s="68" customFormat="1" ht="6" customHeight="1" x14ac:dyDescent="0.15">
      <c r="B73" s="219"/>
      <c r="C73" s="220"/>
      <c r="D73" s="98"/>
      <c r="E73" s="110"/>
      <c r="F73" s="82"/>
      <c r="G73" s="82"/>
      <c r="H73" s="82"/>
      <c r="I73" s="82"/>
      <c r="J73" s="82"/>
      <c r="K73" s="82"/>
      <c r="L73" s="83"/>
    </row>
    <row r="74" spans="2:12" s="68" customFormat="1" ht="13.5" customHeight="1" x14ac:dyDescent="0.15">
      <c r="B74" s="219"/>
      <c r="C74" s="220"/>
      <c r="D74" s="98"/>
      <c r="E74" s="221" t="s">
        <v>128</v>
      </c>
      <c r="F74" s="221"/>
      <c r="G74" s="221"/>
      <c r="H74" s="221"/>
      <c r="I74" s="221"/>
      <c r="J74" s="221"/>
      <c r="K74" s="221"/>
      <c r="L74" s="222"/>
    </row>
    <row r="75" spans="2:12" s="68" customFormat="1" ht="6" customHeight="1" x14ac:dyDescent="0.15">
      <c r="B75" s="219"/>
      <c r="C75" s="220"/>
      <c r="D75" s="98"/>
      <c r="E75" s="114"/>
      <c r="F75" s="91"/>
      <c r="G75" s="91"/>
      <c r="H75" s="91"/>
      <c r="I75" s="91"/>
      <c r="J75" s="91"/>
      <c r="K75" s="91"/>
      <c r="L75" s="92"/>
    </row>
    <row r="76" spans="2:12" s="68" customFormat="1" ht="48.75" customHeight="1" x14ac:dyDescent="0.15">
      <c r="B76" s="219"/>
      <c r="C76" s="220"/>
      <c r="D76" s="98"/>
      <c r="E76" s="43" t="s">
        <v>172</v>
      </c>
      <c r="F76" s="43"/>
      <c r="G76" s="43"/>
      <c r="H76" s="43"/>
      <c r="I76" s="43"/>
      <c r="J76" s="43"/>
      <c r="K76" s="43"/>
      <c r="L76" s="44"/>
    </row>
    <row r="77" spans="2:12" s="68" customFormat="1" ht="6" customHeight="1" x14ac:dyDescent="0.15">
      <c r="B77" s="219"/>
      <c r="C77" s="220"/>
      <c r="D77" s="98"/>
      <c r="E77" s="110"/>
      <c r="F77" s="82"/>
      <c r="G77" s="82"/>
      <c r="H77" s="82"/>
      <c r="I77" s="82"/>
      <c r="J77" s="82"/>
      <c r="K77" s="82"/>
      <c r="L77" s="83"/>
    </row>
    <row r="78" spans="2:12" s="68" customFormat="1" ht="13.5" customHeight="1" x14ac:dyDescent="0.15">
      <c r="B78" s="219"/>
      <c r="C78" s="220"/>
      <c r="D78" s="98"/>
      <c r="E78" s="221" t="s">
        <v>129</v>
      </c>
      <c r="F78" s="221"/>
      <c r="G78" s="221"/>
      <c r="H78" s="221"/>
      <c r="I78" s="221"/>
      <c r="J78" s="221"/>
      <c r="K78" s="221"/>
      <c r="L78" s="222"/>
    </row>
    <row r="79" spans="2:12" s="68" customFormat="1" ht="6" customHeight="1" x14ac:dyDescent="0.15">
      <c r="B79" s="219"/>
      <c r="C79" s="220"/>
      <c r="D79" s="98"/>
      <c r="E79" s="114"/>
      <c r="F79" s="91"/>
      <c r="G79" s="91"/>
      <c r="H79" s="91"/>
      <c r="I79" s="91"/>
      <c r="J79" s="91"/>
      <c r="K79" s="91"/>
      <c r="L79" s="92"/>
    </row>
    <row r="80" spans="2:12" s="68" customFormat="1" ht="48.75" customHeight="1" x14ac:dyDescent="0.15">
      <c r="B80" s="219"/>
      <c r="C80" s="220"/>
      <c r="D80" s="98"/>
      <c r="E80" s="43" t="s">
        <v>173</v>
      </c>
      <c r="F80" s="43"/>
      <c r="G80" s="43"/>
      <c r="H80" s="43"/>
      <c r="I80" s="43"/>
      <c r="J80" s="43"/>
      <c r="K80" s="43"/>
      <c r="L80" s="44"/>
    </row>
    <row r="81" spans="2:12" s="68" customFormat="1" ht="6" customHeight="1" x14ac:dyDescent="0.15">
      <c r="B81" s="219"/>
      <c r="C81" s="220"/>
      <c r="D81" s="98"/>
      <c r="E81" s="110"/>
      <c r="F81" s="82"/>
      <c r="G81" s="82"/>
      <c r="H81" s="82"/>
      <c r="I81" s="82"/>
      <c r="J81" s="82"/>
      <c r="K81" s="82"/>
      <c r="L81" s="83"/>
    </row>
    <row r="82" spans="2:12" s="68" customFormat="1" ht="13.5" customHeight="1" x14ac:dyDescent="0.15">
      <c r="B82" s="219"/>
      <c r="C82" s="220"/>
      <c r="D82" s="98"/>
      <c r="E82" s="221" t="s">
        <v>130</v>
      </c>
      <c r="F82" s="221"/>
      <c r="G82" s="221"/>
      <c r="H82" s="221"/>
      <c r="I82" s="221"/>
      <c r="J82" s="221"/>
      <c r="K82" s="221"/>
      <c r="L82" s="222"/>
    </row>
    <row r="83" spans="2:12" s="68" customFormat="1" ht="6" customHeight="1" x14ac:dyDescent="0.15">
      <c r="B83" s="219"/>
      <c r="C83" s="220"/>
      <c r="D83" s="98"/>
      <c r="E83" s="109"/>
      <c r="F83" s="91"/>
      <c r="G83" s="91"/>
      <c r="H83" s="91"/>
      <c r="I83" s="91"/>
      <c r="J83" s="91"/>
      <c r="K83" s="91"/>
      <c r="L83" s="92"/>
    </row>
    <row r="84" spans="2:12" s="68" customFormat="1" ht="48.75" customHeight="1" x14ac:dyDescent="0.15">
      <c r="B84" s="219"/>
      <c r="C84" s="220"/>
      <c r="D84" s="98"/>
      <c r="E84" s="43" t="s">
        <v>174</v>
      </c>
      <c r="F84" s="43"/>
      <c r="G84" s="43"/>
      <c r="H84" s="43"/>
      <c r="I84" s="43"/>
      <c r="J84" s="43"/>
      <c r="K84" s="43"/>
      <c r="L84" s="44"/>
    </row>
    <row r="85" spans="2:12" s="68" customFormat="1" ht="6" customHeight="1" x14ac:dyDescent="0.15">
      <c r="B85" s="219"/>
      <c r="C85" s="220"/>
      <c r="D85" s="98"/>
      <c r="E85" s="110"/>
      <c r="F85" s="82"/>
      <c r="G85" s="82"/>
      <c r="H85" s="82"/>
      <c r="I85" s="82"/>
      <c r="J85" s="82"/>
      <c r="K85" s="82"/>
      <c r="L85" s="83"/>
    </row>
    <row r="86" spans="2:12" s="68" customFormat="1" ht="13.5" customHeight="1" x14ac:dyDescent="0.15">
      <c r="B86" s="219"/>
      <c r="C86" s="220"/>
      <c r="D86" s="98"/>
      <c r="E86" s="221" t="s">
        <v>131</v>
      </c>
      <c r="F86" s="221"/>
      <c r="G86" s="221"/>
      <c r="H86" s="221"/>
      <c r="I86" s="221"/>
      <c r="J86" s="221"/>
      <c r="K86" s="221"/>
      <c r="L86" s="222"/>
    </row>
    <row r="87" spans="2:12" s="68" customFormat="1" ht="6" customHeight="1" x14ac:dyDescent="0.15">
      <c r="B87" s="219"/>
      <c r="C87" s="220"/>
      <c r="D87" s="98"/>
      <c r="E87" s="109"/>
      <c r="F87" s="91"/>
      <c r="G87" s="91"/>
      <c r="H87" s="91"/>
      <c r="I87" s="91"/>
      <c r="J87" s="91"/>
      <c r="K87" s="91"/>
      <c r="L87" s="92"/>
    </row>
    <row r="88" spans="2:12" s="68" customFormat="1" ht="48.75" customHeight="1" x14ac:dyDescent="0.15">
      <c r="B88" s="219"/>
      <c r="C88" s="220"/>
      <c r="D88" s="98"/>
      <c r="E88" s="43" t="s">
        <v>175</v>
      </c>
      <c r="F88" s="43"/>
      <c r="G88" s="43"/>
      <c r="H88" s="43"/>
      <c r="I88" s="43"/>
      <c r="J88" s="43"/>
      <c r="K88" s="43"/>
      <c r="L88" s="44"/>
    </row>
    <row r="89" spans="2:12" s="68" customFormat="1" ht="6" customHeight="1" x14ac:dyDescent="0.15">
      <c r="B89" s="219"/>
      <c r="C89" s="220"/>
      <c r="D89" s="98"/>
      <c r="E89" s="110"/>
      <c r="F89" s="82"/>
      <c r="G89" s="82"/>
      <c r="H89" s="82"/>
      <c r="I89" s="82"/>
      <c r="J89" s="82"/>
      <c r="K89" s="82"/>
      <c r="L89" s="83"/>
    </row>
    <row r="90" spans="2:12" s="68" customFormat="1" ht="13.5" customHeight="1" x14ac:dyDescent="0.15">
      <c r="B90" s="219"/>
      <c r="C90" s="220"/>
      <c r="D90" s="98"/>
      <c r="E90" s="221" t="s">
        <v>130</v>
      </c>
      <c r="F90" s="221"/>
      <c r="G90" s="221"/>
      <c r="H90" s="221"/>
      <c r="I90" s="221"/>
      <c r="J90" s="221"/>
      <c r="K90" s="221"/>
      <c r="L90" s="222"/>
    </row>
    <row r="91" spans="2:12" s="68" customFormat="1" ht="6" customHeight="1" x14ac:dyDescent="0.15">
      <c r="B91" s="219"/>
      <c r="C91" s="220"/>
      <c r="D91" s="98"/>
      <c r="E91" s="114"/>
      <c r="F91" s="91"/>
      <c r="G91" s="91"/>
      <c r="H91" s="91"/>
      <c r="I91" s="91"/>
      <c r="J91" s="91"/>
      <c r="K91" s="91"/>
      <c r="L91" s="92"/>
    </row>
    <row r="92" spans="2:12" s="68" customFormat="1" ht="48.75" customHeight="1" x14ac:dyDescent="0.15">
      <c r="B92" s="219"/>
      <c r="C92" s="220"/>
      <c r="D92" s="98"/>
      <c r="E92" s="43" t="s">
        <v>176</v>
      </c>
      <c r="F92" s="43"/>
      <c r="G92" s="43"/>
      <c r="H92" s="43"/>
      <c r="I92" s="43"/>
      <c r="J92" s="43"/>
      <c r="K92" s="43"/>
      <c r="L92" s="44"/>
    </row>
    <row r="93" spans="2:12" s="68" customFormat="1" ht="6" customHeight="1" x14ac:dyDescent="0.15">
      <c r="B93" s="219"/>
      <c r="C93" s="220"/>
      <c r="D93" s="98"/>
      <c r="E93" s="110"/>
      <c r="F93" s="82"/>
      <c r="G93" s="82"/>
      <c r="H93" s="82"/>
      <c r="I93" s="82"/>
      <c r="J93" s="82"/>
      <c r="K93" s="82"/>
      <c r="L93" s="83"/>
    </row>
    <row r="94" spans="2:12" s="68" customFormat="1" ht="13.5" customHeight="1" x14ac:dyDescent="0.15">
      <c r="B94" s="219"/>
      <c r="C94" s="220"/>
      <c r="D94" s="98"/>
      <c r="E94" s="221" t="s">
        <v>130</v>
      </c>
      <c r="F94" s="221"/>
      <c r="G94" s="221"/>
      <c r="H94" s="221"/>
      <c r="I94" s="221"/>
      <c r="J94" s="221"/>
      <c r="K94" s="221"/>
      <c r="L94" s="222"/>
    </row>
    <row r="95" spans="2:12" s="68" customFormat="1" ht="6" customHeight="1" x14ac:dyDescent="0.15">
      <c r="B95" s="219"/>
      <c r="C95" s="220"/>
      <c r="D95" s="98"/>
      <c r="E95" s="109"/>
      <c r="F95" s="91"/>
      <c r="G95" s="91"/>
      <c r="H95" s="91"/>
      <c r="I95" s="91"/>
      <c r="J95" s="91"/>
      <c r="K95" s="91"/>
      <c r="L95" s="92"/>
    </row>
    <row r="96" spans="2:12" s="68" customFormat="1" ht="48.75" customHeight="1" x14ac:dyDescent="0.15">
      <c r="B96" s="219"/>
      <c r="C96" s="220"/>
      <c r="D96" s="98"/>
      <c r="E96" s="43" t="s">
        <v>177</v>
      </c>
      <c r="F96" s="43"/>
      <c r="G96" s="43"/>
      <c r="H96" s="43"/>
      <c r="I96" s="43"/>
      <c r="J96" s="43"/>
      <c r="K96" s="43"/>
      <c r="L96" s="44"/>
    </row>
    <row r="97" spans="2:12" s="68" customFormat="1" ht="6" customHeight="1" x14ac:dyDescent="0.15">
      <c r="B97" s="219"/>
      <c r="C97" s="220"/>
      <c r="D97" s="98"/>
      <c r="E97" s="110"/>
      <c r="F97" s="82"/>
      <c r="G97" s="82"/>
      <c r="H97" s="82"/>
      <c r="I97" s="82"/>
      <c r="J97" s="82"/>
      <c r="K97" s="82"/>
      <c r="L97" s="83"/>
    </row>
    <row r="98" spans="2:12" s="68" customFormat="1" ht="13.5" customHeight="1" x14ac:dyDescent="0.15">
      <c r="B98" s="219"/>
      <c r="C98" s="220"/>
      <c r="D98" s="98"/>
      <c r="E98" s="227" t="s">
        <v>178</v>
      </c>
      <c r="F98" s="227"/>
      <c r="G98" s="227"/>
      <c r="H98" s="227"/>
      <c r="I98" s="227"/>
      <c r="J98" s="227"/>
      <c r="K98" s="227"/>
      <c r="L98" s="228"/>
    </row>
    <row r="99" spans="2:12" s="68" customFormat="1" ht="6" customHeight="1" x14ac:dyDescent="0.15">
      <c r="B99" s="219"/>
      <c r="C99" s="220"/>
      <c r="D99" s="99"/>
      <c r="E99" s="79"/>
      <c r="F99" s="79"/>
      <c r="G99" s="79"/>
      <c r="H99" s="79"/>
      <c r="I99" s="79"/>
      <c r="J99" s="79"/>
      <c r="K99" s="79"/>
      <c r="L99" s="80"/>
    </row>
    <row r="100" spans="2:12" s="68" customFormat="1" ht="6" customHeight="1" x14ac:dyDescent="0.15">
      <c r="B100" s="219" t="s">
        <v>179</v>
      </c>
      <c r="C100" s="220"/>
      <c r="D100" s="97"/>
      <c r="E100" s="117"/>
      <c r="F100" s="117"/>
      <c r="G100" s="81"/>
      <c r="H100" s="105"/>
      <c r="I100" s="81"/>
      <c r="J100" s="81"/>
      <c r="K100" s="81"/>
      <c r="L100" s="102"/>
    </row>
    <row r="101" spans="2:12" s="68" customFormat="1" x14ac:dyDescent="0.15">
      <c r="B101" s="219"/>
      <c r="C101" s="220"/>
      <c r="D101" s="98"/>
      <c r="E101" s="120" t="s">
        <v>132</v>
      </c>
      <c r="F101" s="41" t="s">
        <v>180</v>
      </c>
      <c r="G101" s="41"/>
      <c r="H101" s="227" t="s">
        <v>181</v>
      </c>
      <c r="I101" s="227"/>
      <c r="J101" s="227"/>
      <c r="K101" s="227"/>
      <c r="L101" s="228"/>
    </row>
    <row r="102" spans="2:12" s="68" customFormat="1" x14ac:dyDescent="0.15">
      <c r="B102" s="219"/>
      <c r="C102" s="220"/>
      <c r="D102" s="98"/>
      <c r="E102" s="120" t="s">
        <v>132</v>
      </c>
      <c r="F102" s="41" t="s">
        <v>133</v>
      </c>
      <c r="G102" s="41"/>
      <c r="H102" s="227" t="s">
        <v>182</v>
      </c>
      <c r="I102" s="227"/>
      <c r="J102" s="227"/>
      <c r="K102" s="227"/>
      <c r="L102" s="228"/>
    </row>
    <row r="103" spans="2:12" s="68" customFormat="1" x14ac:dyDescent="0.15">
      <c r="B103" s="219"/>
      <c r="C103" s="220"/>
      <c r="D103" s="98"/>
      <c r="E103" s="120" t="s">
        <v>132</v>
      </c>
      <c r="F103" s="41" t="s">
        <v>134</v>
      </c>
      <c r="G103" s="41"/>
      <c r="H103" s="227" t="s">
        <v>183</v>
      </c>
      <c r="I103" s="227"/>
      <c r="J103" s="227"/>
      <c r="K103" s="227"/>
      <c r="L103" s="228"/>
    </row>
    <row r="104" spans="2:12" s="68" customFormat="1" x14ac:dyDescent="0.15">
      <c r="B104" s="219"/>
      <c r="C104" s="220"/>
      <c r="D104" s="98"/>
      <c r="E104" s="120" t="s">
        <v>135</v>
      </c>
      <c r="F104" s="41" t="s">
        <v>136</v>
      </c>
      <c r="G104" s="41"/>
      <c r="H104" s="227" t="s">
        <v>184</v>
      </c>
      <c r="I104" s="227"/>
      <c r="J104" s="227"/>
      <c r="K104" s="227"/>
      <c r="L104" s="228"/>
    </row>
    <row r="105" spans="2:12" s="68" customFormat="1" x14ac:dyDescent="0.15">
      <c r="B105" s="219"/>
      <c r="C105" s="220"/>
      <c r="D105" s="98"/>
      <c r="E105" s="120" t="s">
        <v>132</v>
      </c>
      <c r="F105" s="41" t="s">
        <v>137</v>
      </c>
      <c r="G105" s="41"/>
      <c r="H105" s="227" t="s">
        <v>185</v>
      </c>
      <c r="I105" s="227"/>
      <c r="J105" s="227"/>
      <c r="K105" s="227"/>
      <c r="L105" s="228"/>
    </row>
    <row r="106" spans="2:12" s="68" customFormat="1" x14ac:dyDescent="0.15">
      <c r="B106" s="219"/>
      <c r="C106" s="220"/>
      <c r="D106" s="98"/>
      <c r="E106" s="120" t="s">
        <v>132</v>
      </c>
      <c r="F106" s="41" t="s">
        <v>138</v>
      </c>
      <c r="G106" s="41"/>
      <c r="H106" s="227" t="s">
        <v>186</v>
      </c>
      <c r="I106" s="227"/>
      <c r="J106" s="227"/>
      <c r="K106" s="227"/>
      <c r="L106" s="228"/>
    </row>
    <row r="107" spans="2:12" s="68" customFormat="1" x14ac:dyDescent="0.15">
      <c r="B107" s="219"/>
      <c r="C107" s="220"/>
      <c r="D107" s="98"/>
      <c r="E107" s="120" t="s">
        <v>132</v>
      </c>
      <c r="F107" s="41" t="s">
        <v>139</v>
      </c>
      <c r="G107" s="41"/>
      <c r="H107" s="227" t="s">
        <v>187</v>
      </c>
      <c r="I107" s="227"/>
      <c r="J107" s="227"/>
      <c r="K107" s="227"/>
      <c r="L107" s="228"/>
    </row>
    <row r="108" spans="2:12" s="68" customFormat="1" x14ac:dyDescent="0.15">
      <c r="B108" s="219"/>
      <c r="C108" s="220"/>
      <c r="D108" s="98"/>
      <c r="E108" s="120" t="s">
        <v>135</v>
      </c>
      <c r="F108" s="41" t="s">
        <v>140</v>
      </c>
      <c r="G108" s="41"/>
      <c r="H108" s="227" t="s">
        <v>188</v>
      </c>
      <c r="I108" s="227"/>
      <c r="J108" s="227"/>
      <c r="K108" s="227"/>
      <c r="L108" s="228"/>
    </row>
    <row r="109" spans="2:12" s="68" customFormat="1" x14ac:dyDescent="0.15">
      <c r="B109" s="219"/>
      <c r="C109" s="220"/>
      <c r="D109" s="98"/>
      <c r="E109" s="120" t="s">
        <v>132</v>
      </c>
      <c r="F109" s="41" t="s">
        <v>189</v>
      </c>
      <c r="G109" s="41"/>
      <c r="H109" s="227" t="s">
        <v>190</v>
      </c>
      <c r="I109" s="227"/>
      <c r="J109" s="227"/>
      <c r="K109" s="227"/>
      <c r="L109" s="228"/>
    </row>
    <row r="110" spans="2:12" s="68" customFormat="1" x14ac:dyDescent="0.15">
      <c r="B110" s="219"/>
      <c r="C110" s="220"/>
      <c r="D110" s="98"/>
      <c r="E110" s="120" t="s">
        <v>132</v>
      </c>
      <c r="F110" s="41" t="s">
        <v>141</v>
      </c>
      <c r="G110" s="41"/>
      <c r="H110" s="227" t="s">
        <v>191</v>
      </c>
      <c r="I110" s="227"/>
      <c r="J110" s="227"/>
      <c r="K110" s="227"/>
      <c r="L110" s="228"/>
    </row>
    <row r="111" spans="2:12" s="68" customFormat="1" x14ac:dyDescent="0.15">
      <c r="B111" s="219"/>
      <c r="C111" s="220"/>
      <c r="D111" s="98"/>
      <c r="E111" s="120" t="s">
        <v>132</v>
      </c>
      <c r="F111" s="41" t="s">
        <v>142</v>
      </c>
      <c r="G111" s="41"/>
      <c r="H111" s="227" t="s">
        <v>192</v>
      </c>
      <c r="I111" s="227"/>
      <c r="J111" s="227"/>
      <c r="K111" s="227"/>
      <c r="L111" s="228"/>
    </row>
    <row r="112" spans="2:12" s="68" customFormat="1" x14ac:dyDescent="0.15">
      <c r="B112" s="219"/>
      <c r="C112" s="220"/>
      <c r="D112" s="98"/>
      <c r="E112" s="120" t="s">
        <v>135</v>
      </c>
      <c r="F112" s="41" t="s">
        <v>143</v>
      </c>
      <c r="G112" s="41"/>
      <c r="H112" s="227" t="s">
        <v>193</v>
      </c>
      <c r="I112" s="227"/>
      <c r="J112" s="227"/>
      <c r="K112" s="227"/>
      <c r="L112" s="228"/>
    </row>
    <row r="113" spans="2:12" s="68" customFormat="1" ht="6" customHeight="1" x14ac:dyDescent="0.15">
      <c r="B113" s="219"/>
      <c r="C113" s="220"/>
      <c r="D113" s="99"/>
      <c r="E113" s="118"/>
      <c r="F113" s="118"/>
      <c r="G113" s="100"/>
      <c r="H113" s="106"/>
      <c r="I113" s="84"/>
      <c r="J113" s="84"/>
      <c r="K113" s="84"/>
      <c r="L113" s="103"/>
    </row>
    <row r="114" spans="2:12" s="68" customFormat="1" ht="6" customHeight="1" x14ac:dyDescent="0.15">
      <c r="B114" s="229" t="s">
        <v>194</v>
      </c>
      <c r="C114" s="230"/>
      <c r="D114" s="111"/>
      <c r="E114" s="116"/>
      <c r="F114" s="85"/>
      <c r="G114" s="85"/>
      <c r="H114" s="85"/>
      <c r="I114" s="85"/>
      <c r="J114" s="85"/>
      <c r="K114" s="85"/>
      <c r="L114" s="78"/>
    </row>
    <row r="115" spans="2:12" s="68" customFormat="1" ht="13.5" customHeight="1" x14ac:dyDescent="0.15">
      <c r="B115" s="229"/>
      <c r="C115" s="230"/>
      <c r="D115" s="112"/>
      <c r="E115" s="227" t="s">
        <v>195</v>
      </c>
      <c r="F115" s="227"/>
      <c r="G115" s="227"/>
      <c r="H115" s="227"/>
      <c r="I115" s="227"/>
      <c r="J115" s="227"/>
      <c r="K115" s="227"/>
      <c r="L115" s="228"/>
    </row>
    <row r="116" spans="2:12" s="68" customFormat="1" x14ac:dyDescent="0.15">
      <c r="B116" s="229"/>
      <c r="C116" s="230"/>
      <c r="D116" s="112"/>
      <c r="E116" s="227" t="s">
        <v>144</v>
      </c>
      <c r="F116" s="227"/>
      <c r="G116" s="227"/>
      <c r="H116" s="227"/>
      <c r="I116" s="227"/>
      <c r="J116" s="227"/>
      <c r="K116" s="227"/>
      <c r="L116" s="228"/>
    </row>
    <row r="117" spans="2:12" s="68" customFormat="1" x14ac:dyDescent="0.15">
      <c r="B117" s="229"/>
      <c r="C117" s="230"/>
      <c r="D117" s="112"/>
      <c r="E117" s="227" t="s">
        <v>196</v>
      </c>
      <c r="F117" s="227"/>
      <c r="G117" s="227"/>
      <c r="H117" s="227"/>
      <c r="I117" s="227"/>
      <c r="J117" s="227"/>
      <c r="K117" s="227"/>
      <c r="L117" s="228"/>
    </row>
    <row r="118" spans="2:12" s="68" customFormat="1" x14ac:dyDescent="0.15">
      <c r="B118" s="229"/>
      <c r="C118" s="230"/>
      <c r="D118" s="112"/>
      <c r="E118" s="227" t="s">
        <v>197</v>
      </c>
      <c r="F118" s="227"/>
      <c r="G118" s="227"/>
      <c r="H118" s="227"/>
      <c r="I118" s="227"/>
      <c r="J118" s="227"/>
      <c r="K118" s="227"/>
      <c r="L118" s="228"/>
    </row>
    <row r="119" spans="2:12" s="68" customFormat="1" x14ac:dyDescent="0.15">
      <c r="B119" s="229"/>
      <c r="C119" s="230"/>
      <c r="D119" s="112"/>
      <c r="E119" s="227" t="s">
        <v>198</v>
      </c>
      <c r="F119" s="227"/>
      <c r="G119" s="227"/>
      <c r="H119" s="227"/>
      <c r="I119" s="227"/>
      <c r="J119" s="227"/>
      <c r="K119" s="227"/>
      <c r="L119" s="228"/>
    </row>
    <row r="120" spans="2:12" s="68" customFormat="1" x14ac:dyDescent="0.15">
      <c r="B120" s="229"/>
      <c r="C120" s="230"/>
      <c r="D120" s="112"/>
      <c r="E120" s="227" t="s">
        <v>199</v>
      </c>
      <c r="F120" s="227"/>
      <c r="G120" s="227"/>
      <c r="H120" s="227"/>
      <c r="I120" s="227"/>
      <c r="J120" s="227"/>
      <c r="K120" s="227"/>
      <c r="L120" s="228"/>
    </row>
    <row r="121" spans="2:12" s="68" customFormat="1" x14ac:dyDescent="0.15">
      <c r="B121" s="229"/>
      <c r="C121" s="230"/>
      <c r="D121" s="112"/>
      <c r="E121" s="227" t="s">
        <v>200</v>
      </c>
      <c r="F121" s="227"/>
      <c r="G121" s="227"/>
      <c r="H121" s="227"/>
      <c r="I121" s="227"/>
      <c r="J121" s="227"/>
      <c r="K121" s="231" t="s">
        <v>145</v>
      </c>
      <c r="L121" s="232"/>
    </row>
    <row r="122" spans="2:12" ht="6" customHeight="1" x14ac:dyDescent="0.15">
      <c r="B122" s="229"/>
      <c r="C122" s="230"/>
      <c r="D122" s="113"/>
      <c r="E122" s="67"/>
      <c r="F122" s="67"/>
      <c r="G122" s="67"/>
      <c r="H122" s="67"/>
      <c r="I122" s="67"/>
      <c r="J122" s="67"/>
      <c r="K122" s="67"/>
      <c r="L122" s="80"/>
    </row>
    <row r="123" spans="2:12" ht="6" customHeight="1" x14ac:dyDescent="0.15"/>
    <row r="124" spans="2:12" x14ac:dyDescent="0.15">
      <c r="B124" s="233" t="s">
        <v>201</v>
      </c>
      <c r="C124" s="233"/>
      <c r="D124" s="233"/>
      <c r="E124" s="233"/>
      <c r="F124" s="233"/>
      <c r="G124" s="233"/>
      <c r="H124" s="233"/>
      <c r="I124" s="233"/>
      <c r="J124" s="233"/>
      <c r="K124" s="233"/>
      <c r="L124" s="233"/>
    </row>
    <row r="125" spans="2:12" x14ac:dyDescent="0.15">
      <c r="L125" s="86" t="s">
        <v>146</v>
      </c>
    </row>
  </sheetData>
  <mergeCells count="72">
    <mergeCell ref="K121:L121"/>
    <mergeCell ref="B124:L124"/>
    <mergeCell ref="F112:G112"/>
    <mergeCell ref="H112:L112"/>
    <mergeCell ref="B114:C122"/>
    <mergeCell ref="E115:L115"/>
    <mergeCell ref="E116:L116"/>
    <mergeCell ref="E117:L117"/>
    <mergeCell ref="E118:L118"/>
    <mergeCell ref="E119:L119"/>
    <mergeCell ref="E120:L120"/>
    <mergeCell ref="E121:J121"/>
    <mergeCell ref="F109:G109"/>
    <mergeCell ref="H109:L109"/>
    <mergeCell ref="F110:G110"/>
    <mergeCell ref="H110:L110"/>
    <mergeCell ref="F111:G111"/>
    <mergeCell ref="H111:L111"/>
    <mergeCell ref="F106:G106"/>
    <mergeCell ref="H106:L106"/>
    <mergeCell ref="F107:G107"/>
    <mergeCell ref="H107:L107"/>
    <mergeCell ref="F108:G108"/>
    <mergeCell ref="H108:L108"/>
    <mergeCell ref="F103:G103"/>
    <mergeCell ref="H103:L103"/>
    <mergeCell ref="F104:G104"/>
    <mergeCell ref="H104:L104"/>
    <mergeCell ref="F105:G105"/>
    <mergeCell ref="H105:L105"/>
    <mergeCell ref="E90:L90"/>
    <mergeCell ref="E92:L92"/>
    <mergeCell ref="E94:L94"/>
    <mergeCell ref="E96:L96"/>
    <mergeCell ref="E98:L98"/>
    <mergeCell ref="B100:C113"/>
    <mergeCell ref="F101:G101"/>
    <mergeCell ref="H101:L101"/>
    <mergeCell ref="F102:G102"/>
    <mergeCell ref="H102:L102"/>
    <mergeCell ref="E78:L78"/>
    <mergeCell ref="E80:L80"/>
    <mergeCell ref="E82:L82"/>
    <mergeCell ref="E84:L84"/>
    <mergeCell ref="E86:L86"/>
    <mergeCell ref="E88:L88"/>
    <mergeCell ref="E59:L59"/>
    <mergeCell ref="B61:C99"/>
    <mergeCell ref="E62:L62"/>
    <mergeCell ref="E64:L64"/>
    <mergeCell ref="E66:L66"/>
    <mergeCell ref="E68:L68"/>
    <mergeCell ref="E70:L70"/>
    <mergeCell ref="E72:L72"/>
    <mergeCell ref="E74:L74"/>
    <mergeCell ref="E76:L76"/>
    <mergeCell ref="C48:L48"/>
    <mergeCell ref="B50:C60"/>
    <mergeCell ref="E51:L51"/>
    <mergeCell ref="E52:L52"/>
    <mergeCell ref="E53:L53"/>
    <mergeCell ref="E54:L54"/>
    <mergeCell ref="E55:L55"/>
    <mergeCell ref="E56:L56"/>
    <mergeCell ref="E57:L57"/>
    <mergeCell ref="E58:L58"/>
    <mergeCell ref="B23:I23"/>
    <mergeCell ref="J23:L23"/>
    <mergeCell ref="B24:I24"/>
    <mergeCell ref="B25:I25"/>
    <mergeCell ref="B27:L28"/>
    <mergeCell ref="B41:L41"/>
  </mergeCells>
  <phoneticPr fontId="53"/>
  <printOptions horizontalCentered="1"/>
  <pageMargins left="0.51181102362204722" right="0.51181102362204722" top="0.98425196850393704" bottom="0.98425196850393704" header="0.51181102362204722" footer="0.51181102362204722"/>
  <pageSetup paperSize="9" orientation="portrait" r:id="rId1"/>
  <headerFooter>
    <oddHeader>&amp;R&amp;G</oddHeader>
  </headerFooter>
  <legacyDrawingHF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FFFF00"/>
  </sheetPr>
  <dimension ref="B1:AA75"/>
  <sheetViews>
    <sheetView view="pageBreakPreview" zoomScale="85" zoomScaleNormal="100" zoomScaleSheetLayoutView="85" workbookViewId="0">
      <selection activeCell="Q19" sqref="Q19"/>
    </sheetView>
  </sheetViews>
  <sheetFormatPr defaultRowHeight="12.75" x14ac:dyDescent="0.15"/>
  <cols>
    <col min="1" max="1" width="9" style="169"/>
    <col min="2" max="2" width="2.25" style="169" customWidth="1"/>
    <col min="3" max="3" width="3.75" style="169" customWidth="1"/>
    <col min="4" max="4" width="4.125" style="169" customWidth="1"/>
    <col min="5" max="5" width="10.5" style="169" customWidth="1"/>
    <col min="6" max="6" width="13" style="169" customWidth="1"/>
    <col min="7" max="7" width="9.5" style="169" customWidth="1"/>
    <col min="8" max="8" width="11.25" style="169" customWidth="1"/>
    <col min="9" max="9" width="10.625" style="169" customWidth="1"/>
    <col min="10" max="10" width="12.5" style="169" customWidth="1"/>
    <col min="11" max="11" width="13.25" style="169" customWidth="1"/>
    <col min="12" max="19" width="12" style="169" customWidth="1"/>
    <col min="20" max="20" width="27.625" style="169" bestFit="1" customWidth="1"/>
    <col min="21" max="21" width="25.75" style="169" customWidth="1"/>
    <col min="22" max="22" width="10.625" style="169" bestFit="1" customWidth="1"/>
    <col min="23" max="23" width="11.5" style="169" customWidth="1"/>
    <col min="24" max="25" width="11.375" style="169" bestFit="1" customWidth="1"/>
    <col min="26" max="26" width="9" style="169"/>
    <col min="27" max="27" width="8.875" style="169" customWidth="1"/>
    <col min="28" max="257" width="9" style="169"/>
    <col min="258" max="258" width="2.25" style="169" customWidth="1"/>
    <col min="259" max="259" width="3.75" style="169" customWidth="1"/>
    <col min="260" max="260" width="4.125" style="169" customWidth="1"/>
    <col min="261" max="261" width="10.5" style="169" customWidth="1"/>
    <col min="262" max="262" width="13" style="169" customWidth="1"/>
    <col min="263" max="263" width="9.5" style="169" customWidth="1"/>
    <col min="264" max="264" width="11.25" style="169" customWidth="1"/>
    <col min="265" max="265" width="10.625" style="169" customWidth="1"/>
    <col min="266" max="266" width="12.5" style="169" customWidth="1"/>
    <col min="267" max="267" width="13.25" style="169" customWidth="1"/>
    <col min="268" max="275" width="3.125" style="169" customWidth="1"/>
    <col min="276" max="276" width="27.625" style="169" bestFit="1" customWidth="1"/>
    <col min="277" max="277" width="25.75" style="169" customWidth="1"/>
    <col min="278" max="278" width="10.625" style="169" bestFit="1" customWidth="1"/>
    <col min="279" max="279" width="11.5" style="169" customWidth="1"/>
    <col min="280" max="281" width="11.375" style="169" bestFit="1" customWidth="1"/>
    <col min="282" max="282" width="9" style="169"/>
    <col min="283" max="283" width="8.875" style="169" customWidth="1"/>
    <col min="284" max="513" width="9" style="169"/>
    <col min="514" max="514" width="2.25" style="169" customWidth="1"/>
    <col min="515" max="515" width="3.75" style="169" customWidth="1"/>
    <col min="516" max="516" width="4.125" style="169" customWidth="1"/>
    <col min="517" max="517" width="10.5" style="169" customWidth="1"/>
    <col min="518" max="518" width="13" style="169" customWidth="1"/>
    <col min="519" max="519" width="9.5" style="169" customWidth="1"/>
    <col min="520" max="520" width="11.25" style="169" customWidth="1"/>
    <col min="521" max="521" width="10.625" style="169" customWidth="1"/>
    <col min="522" max="522" width="12.5" style="169" customWidth="1"/>
    <col min="523" max="523" width="13.25" style="169" customWidth="1"/>
    <col min="524" max="531" width="3.125" style="169" customWidth="1"/>
    <col min="532" max="532" width="27.625" style="169" bestFit="1" customWidth="1"/>
    <col min="533" max="533" width="25.75" style="169" customWidth="1"/>
    <col min="534" max="534" width="10.625" style="169" bestFit="1" customWidth="1"/>
    <col min="535" max="535" width="11.5" style="169" customWidth="1"/>
    <col min="536" max="537" width="11.375" style="169" bestFit="1" customWidth="1"/>
    <col min="538" max="538" width="9" style="169"/>
    <col min="539" max="539" width="8.875" style="169" customWidth="1"/>
    <col min="540" max="769" width="9" style="169"/>
    <col min="770" max="770" width="2.25" style="169" customWidth="1"/>
    <col min="771" max="771" width="3.75" style="169" customWidth="1"/>
    <col min="772" max="772" width="4.125" style="169" customWidth="1"/>
    <col min="773" max="773" width="10.5" style="169" customWidth="1"/>
    <col min="774" max="774" width="13" style="169" customWidth="1"/>
    <col min="775" max="775" width="9.5" style="169" customWidth="1"/>
    <col min="776" max="776" width="11.25" style="169" customWidth="1"/>
    <col min="777" max="777" width="10.625" style="169" customWidth="1"/>
    <col min="778" max="778" width="12.5" style="169" customWidth="1"/>
    <col min="779" max="779" width="13.25" style="169" customWidth="1"/>
    <col min="780" max="787" width="3.125" style="169" customWidth="1"/>
    <col min="788" max="788" width="27.625" style="169" bestFit="1" customWidth="1"/>
    <col min="789" max="789" width="25.75" style="169" customWidth="1"/>
    <col min="790" max="790" width="10.625" style="169" bestFit="1" customWidth="1"/>
    <col min="791" max="791" width="11.5" style="169" customWidth="1"/>
    <col min="792" max="793" width="11.375" style="169" bestFit="1" customWidth="1"/>
    <col min="794" max="794" width="9" style="169"/>
    <col min="795" max="795" width="8.875" style="169" customWidth="1"/>
    <col min="796" max="1025" width="9" style="169"/>
    <col min="1026" max="1026" width="2.25" style="169" customWidth="1"/>
    <col min="1027" max="1027" width="3.75" style="169" customWidth="1"/>
    <col min="1028" max="1028" width="4.125" style="169" customWidth="1"/>
    <col min="1029" max="1029" width="10.5" style="169" customWidth="1"/>
    <col min="1030" max="1030" width="13" style="169" customWidth="1"/>
    <col min="1031" max="1031" width="9.5" style="169" customWidth="1"/>
    <col min="1032" max="1032" width="11.25" style="169" customWidth="1"/>
    <col min="1033" max="1033" width="10.625" style="169" customWidth="1"/>
    <col min="1034" max="1034" width="12.5" style="169" customWidth="1"/>
    <col min="1035" max="1035" width="13.25" style="169" customWidth="1"/>
    <col min="1036" max="1043" width="3.125" style="169" customWidth="1"/>
    <col min="1044" max="1044" width="27.625" style="169" bestFit="1" customWidth="1"/>
    <col min="1045" max="1045" width="25.75" style="169" customWidth="1"/>
    <col min="1046" max="1046" width="10.625" style="169" bestFit="1" customWidth="1"/>
    <col min="1047" max="1047" width="11.5" style="169" customWidth="1"/>
    <col min="1048" max="1049" width="11.375" style="169" bestFit="1" customWidth="1"/>
    <col min="1050" max="1050" width="9" style="169"/>
    <col min="1051" max="1051" width="8.875" style="169" customWidth="1"/>
    <col min="1052" max="1281" width="9" style="169"/>
    <col min="1282" max="1282" width="2.25" style="169" customWidth="1"/>
    <col min="1283" max="1283" width="3.75" style="169" customWidth="1"/>
    <col min="1284" max="1284" width="4.125" style="169" customWidth="1"/>
    <col min="1285" max="1285" width="10.5" style="169" customWidth="1"/>
    <col min="1286" max="1286" width="13" style="169" customWidth="1"/>
    <col min="1287" max="1287" width="9.5" style="169" customWidth="1"/>
    <col min="1288" max="1288" width="11.25" style="169" customWidth="1"/>
    <col min="1289" max="1289" width="10.625" style="169" customWidth="1"/>
    <col min="1290" max="1290" width="12.5" style="169" customWidth="1"/>
    <col min="1291" max="1291" width="13.25" style="169" customWidth="1"/>
    <col min="1292" max="1299" width="3.125" style="169" customWidth="1"/>
    <col min="1300" max="1300" width="27.625" style="169" bestFit="1" customWidth="1"/>
    <col min="1301" max="1301" width="25.75" style="169" customWidth="1"/>
    <col min="1302" max="1302" width="10.625" style="169" bestFit="1" customWidth="1"/>
    <col min="1303" max="1303" width="11.5" style="169" customWidth="1"/>
    <col min="1304" max="1305" width="11.375" style="169" bestFit="1" customWidth="1"/>
    <col min="1306" max="1306" width="9" style="169"/>
    <col min="1307" max="1307" width="8.875" style="169" customWidth="1"/>
    <col min="1308" max="1537" width="9" style="169"/>
    <col min="1538" max="1538" width="2.25" style="169" customWidth="1"/>
    <col min="1539" max="1539" width="3.75" style="169" customWidth="1"/>
    <col min="1540" max="1540" width="4.125" style="169" customWidth="1"/>
    <col min="1541" max="1541" width="10.5" style="169" customWidth="1"/>
    <col min="1542" max="1542" width="13" style="169" customWidth="1"/>
    <col min="1543" max="1543" width="9.5" style="169" customWidth="1"/>
    <col min="1544" max="1544" width="11.25" style="169" customWidth="1"/>
    <col min="1545" max="1545" width="10.625" style="169" customWidth="1"/>
    <col min="1546" max="1546" width="12.5" style="169" customWidth="1"/>
    <col min="1547" max="1547" width="13.25" style="169" customWidth="1"/>
    <col min="1548" max="1555" width="3.125" style="169" customWidth="1"/>
    <col min="1556" max="1556" width="27.625" style="169" bestFit="1" customWidth="1"/>
    <col min="1557" max="1557" width="25.75" style="169" customWidth="1"/>
    <col min="1558" max="1558" width="10.625" style="169" bestFit="1" customWidth="1"/>
    <col min="1559" max="1559" width="11.5" style="169" customWidth="1"/>
    <col min="1560" max="1561" width="11.375" style="169" bestFit="1" customWidth="1"/>
    <col min="1562" max="1562" width="9" style="169"/>
    <col min="1563" max="1563" width="8.875" style="169" customWidth="1"/>
    <col min="1564" max="1793" width="9" style="169"/>
    <col min="1794" max="1794" width="2.25" style="169" customWidth="1"/>
    <col min="1795" max="1795" width="3.75" style="169" customWidth="1"/>
    <col min="1796" max="1796" width="4.125" style="169" customWidth="1"/>
    <col min="1797" max="1797" width="10.5" style="169" customWidth="1"/>
    <col min="1798" max="1798" width="13" style="169" customWidth="1"/>
    <col min="1799" max="1799" width="9.5" style="169" customWidth="1"/>
    <col min="1800" max="1800" width="11.25" style="169" customWidth="1"/>
    <col min="1801" max="1801" width="10.625" style="169" customWidth="1"/>
    <col min="1802" max="1802" width="12.5" style="169" customWidth="1"/>
    <col min="1803" max="1803" width="13.25" style="169" customWidth="1"/>
    <col min="1804" max="1811" width="3.125" style="169" customWidth="1"/>
    <col min="1812" max="1812" width="27.625" style="169" bestFit="1" customWidth="1"/>
    <col min="1813" max="1813" width="25.75" style="169" customWidth="1"/>
    <col min="1814" max="1814" width="10.625" style="169" bestFit="1" customWidth="1"/>
    <col min="1815" max="1815" width="11.5" style="169" customWidth="1"/>
    <col min="1816" max="1817" width="11.375" style="169" bestFit="1" customWidth="1"/>
    <col min="1818" max="1818" width="9" style="169"/>
    <col min="1819" max="1819" width="8.875" style="169" customWidth="1"/>
    <col min="1820" max="2049" width="9" style="169"/>
    <col min="2050" max="2050" width="2.25" style="169" customWidth="1"/>
    <col min="2051" max="2051" width="3.75" style="169" customWidth="1"/>
    <col min="2052" max="2052" width="4.125" style="169" customWidth="1"/>
    <col min="2053" max="2053" width="10.5" style="169" customWidth="1"/>
    <col min="2054" max="2054" width="13" style="169" customWidth="1"/>
    <col min="2055" max="2055" width="9.5" style="169" customWidth="1"/>
    <col min="2056" max="2056" width="11.25" style="169" customWidth="1"/>
    <col min="2057" max="2057" width="10.625" style="169" customWidth="1"/>
    <col min="2058" max="2058" width="12.5" style="169" customWidth="1"/>
    <col min="2059" max="2059" width="13.25" style="169" customWidth="1"/>
    <col min="2060" max="2067" width="3.125" style="169" customWidth="1"/>
    <col min="2068" max="2068" width="27.625" style="169" bestFit="1" customWidth="1"/>
    <col min="2069" max="2069" width="25.75" style="169" customWidth="1"/>
    <col min="2070" max="2070" width="10.625" style="169" bestFit="1" customWidth="1"/>
    <col min="2071" max="2071" width="11.5" style="169" customWidth="1"/>
    <col min="2072" max="2073" width="11.375" style="169" bestFit="1" customWidth="1"/>
    <col min="2074" max="2074" width="9" style="169"/>
    <col min="2075" max="2075" width="8.875" style="169" customWidth="1"/>
    <col min="2076" max="2305" width="9" style="169"/>
    <col min="2306" max="2306" width="2.25" style="169" customWidth="1"/>
    <col min="2307" max="2307" width="3.75" style="169" customWidth="1"/>
    <col min="2308" max="2308" width="4.125" style="169" customWidth="1"/>
    <col min="2309" max="2309" width="10.5" style="169" customWidth="1"/>
    <col min="2310" max="2310" width="13" style="169" customWidth="1"/>
    <col min="2311" max="2311" width="9.5" style="169" customWidth="1"/>
    <col min="2312" max="2312" width="11.25" style="169" customWidth="1"/>
    <col min="2313" max="2313" width="10.625" style="169" customWidth="1"/>
    <col min="2314" max="2314" width="12.5" style="169" customWidth="1"/>
    <col min="2315" max="2315" width="13.25" style="169" customWidth="1"/>
    <col min="2316" max="2323" width="3.125" style="169" customWidth="1"/>
    <col min="2324" max="2324" width="27.625" style="169" bestFit="1" customWidth="1"/>
    <col min="2325" max="2325" width="25.75" style="169" customWidth="1"/>
    <col min="2326" max="2326" width="10.625" style="169" bestFit="1" customWidth="1"/>
    <col min="2327" max="2327" width="11.5" style="169" customWidth="1"/>
    <col min="2328" max="2329" width="11.375" style="169" bestFit="1" customWidth="1"/>
    <col min="2330" max="2330" width="9" style="169"/>
    <col min="2331" max="2331" width="8.875" style="169" customWidth="1"/>
    <col min="2332" max="2561" width="9" style="169"/>
    <col min="2562" max="2562" width="2.25" style="169" customWidth="1"/>
    <col min="2563" max="2563" width="3.75" style="169" customWidth="1"/>
    <col min="2564" max="2564" width="4.125" style="169" customWidth="1"/>
    <col min="2565" max="2565" width="10.5" style="169" customWidth="1"/>
    <col min="2566" max="2566" width="13" style="169" customWidth="1"/>
    <col min="2567" max="2567" width="9.5" style="169" customWidth="1"/>
    <col min="2568" max="2568" width="11.25" style="169" customWidth="1"/>
    <col min="2569" max="2569" width="10.625" style="169" customWidth="1"/>
    <col min="2570" max="2570" width="12.5" style="169" customWidth="1"/>
    <col min="2571" max="2571" width="13.25" style="169" customWidth="1"/>
    <col min="2572" max="2579" width="3.125" style="169" customWidth="1"/>
    <col min="2580" max="2580" width="27.625" style="169" bestFit="1" customWidth="1"/>
    <col min="2581" max="2581" width="25.75" style="169" customWidth="1"/>
    <col min="2582" max="2582" width="10.625" style="169" bestFit="1" customWidth="1"/>
    <col min="2583" max="2583" width="11.5" style="169" customWidth="1"/>
    <col min="2584" max="2585" width="11.375" style="169" bestFit="1" customWidth="1"/>
    <col min="2586" max="2586" width="9" style="169"/>
    <col min="2587" max="2587" width="8.875" style="169" customWidth="1"/>
    <col min="2588" max="2817" width="9" style="169"/>
    <col min="2818" max="2818" width="2.25" style="169" customWidth="1"/>
    <col min="2819" max="2819" width="3.75" style="169" customWidth="1"/>
    <col min="2820" max="2820" width="4.125" style="169" customWidth="1"/>
    <col min="2821" max="2821" width="10.5" style="169" customWidth="1"/>
    <col min="2822" max="2822" width="13" style="169" customWidth="1"/>
    <col min="2823" max="2823" width="9.5" style="169" customWidth="1"/>
    <col min="2824" max="2824" width="11.25" style="169" customWidth="1"/>
    <col min="2825" max="2825" width="10.625" style="169" customWidth="1"/>
    <col min="2826" max="2826" width="12.5" style="169" customWidth="1"/>
    <col min="2827" max="2827" width="13.25" style="169" customWidth="1"/>
    <col min="2828" max="2835" width="3.125" style="169" customWidth="1"/>
    <col min="2836" max="2836" width="27.625" style="169" bestFit="1" customWidth="1"/>
    <col min="2837" max="2837" width="25.75" style="169" customWidth="1"/>
    <col min="2838" max="2838" width="10.625" style="169" bestFit="1" customWidth="1"/>
    <col min="2839" max="2839" width="11.5" style="169" customWidth="1"/>
    <col min="2840" max="2841" width="11.375" style="169" bestFit="1" customWidth="1"/>
    <col min="2842" max="2842" width="9" style="169"/>
    <col min="2843" max="2843" width="8.875" style="169" customWidth="1"/>
    <col min="2844" max="3073" width="9" style="169"/>
    <col min="3074" max="3074" width="2.25" style="169" customWidth="1"/>
    <col min="3075" max="3075" width="3.75" style="169" customWidth="1"/>
    <col min="3076" max="3076" width="4.125" style="169" customWidth="1"/>
    <col min="3077" max="3077" width="10.5" style="169" customWidth="1"/>
    <col min="3078" max="3078" width="13" style="169" customWidth="1"/>
    <col min="3079" max="3079" width="9.5" style="169" customWidth="1"/>
    <col min="3080" max="3080" width="11.25" style="169" customWidth="1"/>
    <col min="3081" max="3081" width="10.625" style="169" customWidth="1"/>
    <col min="3082" max="3082" width="12.5" style="169" customWidth="1"/>
    <col min="3083" max="3083" width="13.25" style="169" customWidth="1"/>
    <col min="3084" max="3091" width="3.125" style="169" customWidth="1"/>
    <col min="3092" max="3092" width="27.625" style="169" bestFit="1" customWidth="1"/>
    <col min="3093" max="3093" width="25.75" style="169" customWidth="1"/>
    <col min="3094" max="3094" width="10.625" style="169" bestFit="1" customWidth="1"/>
    <col min="3095" max="3095" width="11.5" style="169" customWidth="1"/>
    <col min="3096" max="3097" width="11.375" style="169" bestFit="1" customWidth="1"/>
    <col min="3098" max="3098" width="9" style="169"/>
    <col min="3099" max="3099" width="8.875" style="169" customWidth="1"/>
    <col min="3100" max="3329" width="9" style="169"/>
    <col min="3330" max="3330" width="2.25" style="169" customWidth="1"/>
    <col min="3331" max="3331" width="3.75" style="169" customWidth="1"/>
    <col min="3332" max="3332" width="4.125" style="169" customWidth="1"/>
    <col min="3333" max="3333" width="10.5" style="169" customWidth="1"/>
    <col min="3334" max="3334" width="13" style="169" customWidth="1"/>
    <col min="3335" max="3335" width="9.5" style="169" customWidth="1"/>
    <col min="3336" max="3336" width="11.25" style="169" customWidth="1"/>
    <col min="3337" max="3337" width="10.625" style="169" customWidth="1"/>
    <col min="3338" max="3338" width="12.5" style="169" customWidth="1"/>
    <col min="3339" max="3339" width="13.25" style="169" customWidth="1"/>
    <col min="3340" max="3347" width="3.125" style="169" customWidth="1"/>
    <col min="3348" max="3348" width="27.625" style="169" bestFit="1" customWidth="1"/>
    <col min="3349" max="3349" width="25.75" style="169" customWidth="1"/>
    <col min="3350" max="3350" width="10.625" style="169" bestFit="1" customWidth="1"/>
    <col min="3351" max="3351" width="11.5" style="169" customWidth="1"/>
    <col min="3352" max="3353" width="11.375" style="169" bestFit="1" customWidth="1"/>
    <col min="3354" max="3354" width="9" style="169"/>
    <col min="3355" max="3355" width="8.875" style="169" customWidth="1"/>
    <col min="3356" max="3585" width="9" style="169"/>
    <col min="3586" max="3586" width="2.25" style="169" customWidth="1"/>
    <col min="3587" max="3587" width="3.75" style="169" customWidth="1"/>
    <col min="3588" max="3588" width="4.125" style="169" customWidth="1"/>
    <col min="3589" max="3589" width="10.5" style="169" customWidth="1"/>
    <col min="3590" max="3590" width="13" style="169" customWidth="1"/>
    <col min="3591" max="3591" width="9.5" style="169" customWidth="1"/>
    <col min="3592" max="3592" width="11.25" style="169" customWidth="1"/>
    <col min="3593" max="3593" width="10.625" style="169" customWidth="1"/>
    <col min="3594" max="3594" width="12.5" style="169" customWidth="1"/>
    <col min="3595" max="3595" width="13.25" style="169" customWidth="1"/>
    <col min="3596" max="3603" width="3.125" style="169" customWidth="1"/>
    <col min="3604" max="3604" width="27.625" style="169" bestFit="1" customWidth="1"/>
    <col min="3605" max="3605" width="25.75" style="169" customWidth="1"/>
    <col min="3606" max="3606" width="10.625" style="169" bestFit="1" customWidth="1"/>
    <col min="3607" max="3607" width="11.5" style="169" customWidth="1"/>
    <col min="3608" max="3609" width="11.375" style="169" bestFit="1" customWidth="1"/>
    <col min="3610" max="3610" width="9" style="169"/>
    <col min="3611" max="3611" width="8.875" style="169" customWidth="1"/>
    <col min="3612" max="3841" width="9" style="169"/>
    <col min="3842" max="3842" width="2.25" style="169" customWidth="1"/>
    <col min="3843" max="3843" width="3.75" style="169" customWidth="1"/>
    <col min="3844" max="3844" width="4.125" style="169" customWidth="1"/>
    <col min="3845" max="3845" width="10.5" style="169" customWidth="1"/>
    <col min="3846" max="3846" width="13" style="169" customWidth="1"/>
    <col min="3847" max="3847" width="9.5" style="169" customWidth="1"/>
    <col min="3848" max="3848" width="11.25" style="169" customWidth="1"/>
    <col min="3849" max="3849" width="10.625" style="169" customWidth="1"/>
    <col min="3850" max="3850" width="12.5" style="169" customWidth="1"/>
    <col min="3851" max="3851" width="13.25" style="169" customWidth="1"/>
    <col min="3852" max="3859" width="3.125" style="169" customWidth="1"/>
    <col min="3860" max="3860" width="27.625" style="169" bestFit="1" customWidth="1"/>
    <col min="3861" max="3861" width="25.75" style="169" customWidth="1"/>
    <col min="3862" max="3862" width="10.625" style="169" bestFit="1" customWidth="1"/>
    <col min="3863" max="3863" width="11.5" style="169" customWidth="1"/>
    <col min="3864" max="3865" width="11.375" style="169" bestFit="1" customWidth="1"/>
    <col min="3866" max="3866" width="9" style="169"/>
    <col min="3867" max="3867" width="8.875" style="169" customWidth="1"/>
    <col min="3868" max="4097" width="9" style="169"/>
    <col min="4098" max="4098" width="2.25" style="169" customWidth="1"/>
    <col min="4099" max="4099" width="3.75" style="169" customWidth="1"/>
    <col min="4100" max="4100" width="4.125" style="169" customWidth="1"/>
    <col min="4101" max="4101" width="10.5" style="169" customWidth="1"/>
    <col min="4102" max="4102" width="13" style="169" customWidth="1"/>
    <col min="4103" max="4103" width="9.5" style="169" customWidth="1"/>
    <col min="4104" max="4104" width="11.25" style="169" customWidth="1"/>
    <col min="4105" max="4105" width="10.625" style="169" customWidth="1"/>
    <col min="4106" max="4106" width="12.5" style="169" customWidth="1"/>
    <col min="4107" max="4107" width="13.25" style="169" customWidth="1"/>
    <col min="4108" max="4115" width="3.125" style="169" customWidth="1"/>
    <col min="4116" max="4116" width="27.625" style="169" bestFit="1" customWidth="1"/>
    <col min="4117" max="4117" width="25.75" style="169" customWidth="1"/>
    <col min="4118" max="4118" width="10.625" style="169" bestFit="1" customWidth="1"/>
    <col min="4119" max="4119" width="11.5" style="169" customWidth="1"/>
    <col min="4120" max="4121" width="11.375" style="169" bestFit="1" customWidth="1"/>
    <col min="4122" max="4122" width="9" style="169"/>
    <col min="4123" max="4123" width="8.875" style="169" customWidth="1"/>
    <col min="4124" max="4353" width="9" style="169"/>
    <col min="4354" max="4354" width="2.25" style="169" customWidth="1"/>
    <col min="4355" max="4355" width="3.75" style="169" customWidth="1"/>
    <col min="4356" max="4356" width="4.125" style="169" customWidth="1"/>
    <col min="4357" max="4357" width="10.5" style="169" customWidth="1"/>
    <col min="4358" max="4358" width="13" style="169" customWidth="1"/>
    <col min="4359" max="4359" width="9.5" style="169" customWidth="1"/>
    <col min="4360" max="4360" width="11.25" style="169" customWidth="1"/>
    <col min="4361" max="4361" width="10.625" style="169" customWidth="1"/>
    <col min="4362" max="4362" width="12.5" style="169" customWidth="1"/>
    <col min="4363" max="4363" width="13.25" style="169" customWidth="1"/>
    <col min="4364" max="4371" width="3.125" style="169" customWidth="1"/>
    <col min="4372" max="4372" width="27.625" style="169" bestFit="1" customWidth="1"/>
    <col min="4373" max="4373" width="25.75" style="169" customWidth="1"/>
    <col min="4374" max="4374" width="10.625" style="169" bestFit="1" customWidth="1"/>
    <col min="4375" max="4375" width="11.5" style="169" customWidth="1"/>
    <col min="4376" max="4377" width="11.375" style="169" bestFit="1" customWidth="1"/>
    <col min="4378" max="4378" width="9" style="169"/>
    <col min="4379" max="4379" width="8.875" style="169" customWidth="1"/>
    <col min="4380" max="4609" width="9" style="169"/>
    <col min="4610" max="4610" width="2.25" style="169" customWidth="1"/>
    <col min="4611" max="4611" width="3.75" style="169" customWidth="1"/>
    <col min="4612" max="4612" width="4.125" style="169" customWidth="1"/>
    <col min="4613" max="4613" width="10.5" style="169" customWidth="1"/>
    <col min="4614" max="4614" width="13" style="169" customWidth="1"/>
    <col min="4615" max="4615" width="9.5" style="169" customWidth="1"/>
    <col min="4616" max="4616" width="11.25" style="169" customWidth="1"/>
    <col min="4617" max="4617" width="10.625" style="169" customWidth="1"/>
    <col min="4618" max="4618" width="12.5" style="169" customWidth="1"/>
    <col min="4619" max="4619" width="13.25" style="169" customWidth="1"/>
    <col min="4620" max="4627" width="3.125" style="169" customWidth="1"/>
    <col min="4628" max="4628" width="27.625" style="169" bestFit="1" customWidth="1"/>
    <col min="4629" max="4629" width="25.75" style="169" customWidth="1"/>
    <col min="4630" max="4630" width="10.625" style="169" bestFit="1" customWidth="1"/>
    <col min="4631" max="4631" width="11.5" style="169" customWidth="1"/>
    <col min="4632" max="4633" width="11.375" style="169" bestFit="1" customWidth="1"/>
    <col min="4634" max="4634" width="9" style="169"/>
    <col min="4635" max="4635" width="8.875" style="169" customWidth="1"/>
    <col min="4636" max="4865" width="9" style="169"/>
    <col min="4866" max="4866" width="2.25" style="169" customWidth="1"/>
    <col min="4867" max="4867" width="3.75" style="169" customWidth="1"/>
    <col min="4868" max="4868" width="4.125" style="169" customWidth="1"/>
    <col min="4869" max="4869" width="10.5" style="169" customWidth="1"/>
    <col min="4870" max="4870" width="13" style="169" customWidth="1"/>
    <col min="4871" max="4871" width="9.5" style="169" customWidth="1"/>
    <col min="4872" max="4872" width="11.25" style="169" customWidth="1"/>
    <col min="4873" max="4873" width="10.625" style="169" customWidth="1"/>
    <col min="4874" max="4874" width="12.5" style="169" customWidth="1"/>
    <col min="4875" max="4875" width="13.25" style="169" customWidth="1"/>
    <col min="4876" max="4883" width="3.125" style="169" customWidth="1"/>
    <col min="4884" max="4884" width="27.625" style="169" bestFit="1" customWidth="1"/>
    <col min="4885" max="4885" width="25.75" style="169" customWidth="1"/>
    <col min="4886" max="4886" width="10.625" style="169" bestFit="1" customWidth="1"/>
    <col min="4887" max="4887" width="11.5" style="169" customWidth="1"/>
    <col min="4888" max="4889" width="11.375" style="169" bestFit="1" customWidth="1"/>
    <col min="4890" max="4890" width="9" style="169"/>
    <col min="4891" max="4891" width="8.875" style="169" customWidth="1"/>
    <col min="4892" max="5121" width="9" style="169"/>
    <col min="5122" max="5122" width="2.25" style="169" customWidth="1"/>
    <col min="5123" max="5123" width="3.75" style="169" customWidth="1"/>
    <col min="5124" max="5124" width="4.125" style="169" customWidth="1"/>
    <col min="5125" max="5125" width="10.5" style="169" customWidth="1"/>
    <col min="5126" max="5126" width="13" style="169" customWidth="1"/>
    <col min="5127" max="5127" width="9.5" style="169" customWidth="1"/>
    <col min="5128" max="5128" width="11.25" style="169" customWidth="1"/>
    <col min="5129" max="5129" width="10.625" style="169" customWidth="1"/>
    <col min="5130" max="5130" width="12.5" style="169" customWidth="1"/>
    <col min="5131" max="5131" width="13.25" style="169" customWidth="1"/>
    <col min="5132" max="5139" width="3.125" style="169" customWidth="1"/>
    <col min="5140" max="5140" width="27.625" style="169" bestFit="1" customWidth="1"/>
    <col min="5141" max="5141" width="25.75" style="169" customWidth="1"/>
    <col min="5142" max="5142" width="10.625" style="169" bestFit="1" customWidth="1"/>
    <col min="5143" max="5143" width="11.5" style="169" customWidth="1"/>
    <col min="5144" max="5145" width="11.375" style="169" bestFit="1" customWidth="1"/>
    <col min="5146" max="5146" width="9" style="169"/>
    <col min="5147" max="5147" width="8.875" style="169" customWidth="1"/>
    <col min="5148" max="5377" width="9" style="169"/>
    <col min="5378" max="5378" width="2.25" style="169" customWidth="1"/>
    <col min="5379" max="5379" width="3.75" style="169" customWidth="1"/>
    <col min="5380" max="5380" width="4.125" style="169" customWidth="1"/>
    <col min="5381" max="5381" width="10.5" style="169" customWidth="1"/>
    <col min="5382" max="5382" width="13" style="169" customWidth="1"/>
    <col min="5383" max="5383" width="9.5" style="169" customWidth="1"/>
    <col min="5384" max="5384" width="11.25" style="169" customWidth="1"/>
    <col min="5385" max="5385" width="10.625" style="169" customWidth="1"/>
    <col min="5386" max="5386" width="12.5" style="169" customWidth="1"/>
    <col min="5387" max="5387" width="13.25" style="169" customWidth="1"/>
    <col min="5388" max="5395" width="3.125" style="169" customWidth="1"/>
    <col min="5396" max="5396" width="27.625" style="169" bestFit="1" customWidth="1"/>
    <col min="5397" max="5397" width="25.75" style="169" customWidth="1"/>
    <col min="5398" max="5398" width="10.625" style="169" bestFit="1" customWidth="1"/>
    <col min="5399" max="5399" width="11.5" style="169" customWidth="1"/>
    <col min="5400" max="5401" width="11.375" style="169" bestFit="1" customWidth="1"/>
    <col min="5402" max="5402" width="9" style="169"/>
    <col min="5403" max="5403" width="8.875" style="169" customWidth="1"/>
    <col min="5404" max="5633" width="9" style="169"/>
    <col min="5634" max="5634" width="2.25" style="169" customWidth="1"/>
    <col min="5635" max="5635" width="3.75" style="169" customWidth="1"/>
    <col min="5636" max="5636" width="4.125" style="169" customWidth="1"/>
    <col min="5637" max="5637" width="10.5" style="169" customWidth="1"/>
    <col min="5638" max="5638" width="13" style="169" customWidth="1"/>
    <col min="5639" max="5639" width="9.5" style="169" customWidth="1"/>
    <col min="5640" max="5640" width="11.25" style="169" customWidth="1"/>
    <col min="5641" max="5641" width="10.625" style="169" customWidth="1"/>
    <col min="5642" max="5642" width="12.5" style="169" customWidth="1"/>
    <col min="5643" max="5643" width="13.25" style="169" customWidth="1"/>
    <col min="5644" max="5651" width="3.125" style="169" customWidth="1"/>
    <col min="5652" max="5652" width="27.625" style="169" bestFit="1" customWidth="1"/>
    <col min="5653" max="5653" width="25.75" style="169" customWidth="1"/>
    <col min="5654" max="5654" width="10.625" style="169" bestFit="1" customWidth="1"/>
    <col min="5655" max="5655" width="11.5" style="169" customWidth="1"/>
    <col min="5656" max="5657" width="11.375" style="169" bestFit="1" customWidth="1"/>
    <col min="5658" max="5658" width="9" style="169"/>
    <col min="5659" max="5659" width="8.875" style="169" customWidth="1"/>
    <col min="5660" max="5889" width="9" style="169"/>
    <col min="5890" max="5890" width="2.25" style="169" customWidth="1"/>
    <col min="5891" max="5891" width="3.75" style="169" customWidth="1"/>
    <col min="5892" max="5892" width="4.125" style="169" customWidth="1"/>
    <col min="5893" max="5893" width="10.5" style="169" customWidth="1"/>
    <col min="5894" max="5894" width="13" style="169" customWidth="1"/>
    <col min="5895" max="5895" width="9.5" style="169" customWidth="1"/>
    <col min="5896" max="5896" width="11.25" style="169" customWidth="1"/>
    <col min="5897" max="5897" width="10.625" style="169" customWidth="1"/>
    <col min="5898" max="5898" width="12.5" style="169" customWidth="1"/>
    <col min="5899" max="5899" width="13.25" style="169" customWidth="1"/>
    <col min="5900" max="5907" width="3.125" style="169" customWidth="1"/>
    <col min="5908" max="5908" width="27.625" style="169" bestFit="1" customWidth="1"/>
    <col min="5909" max="5909" width="25.75" style="169" customWidth="1"/>
    <col min="5910" max="5910" width="10.625" style="169" bestFit="1" customWidth="1"/>
    <col min="5911" max="5911" width="11.5" style="169" customWidth="1"/>
    <col min="5912" max="5913" width="11.375" style="169" bestFit="1" customWidth="1"/>
    <col min="5914" max="5914" width="9" style="169"/>
    <col min="5915" max="5915" width="8.875" style="169" customWidth="1"/>
    <col min="5916" max="6145" width="9" style="169"/>
    <col min="6146" max="6146" width="2.25" style="169" customWidth="1"/>
    <col min="6147" max="6147" width="3.75" style="169" customWidth="1"/>
    <col min="6148" max="6148" width="4.125" style="169" customWidth="1"/>
    <col min="6149" max="6149" width="10.5" style="169" customWidth="1"/>
    <col min="6150" max="6150" width="13" style="169" customWidth="1"/>
    <col min="6151" max="6151" width="9.5" style="169" customWidth="1"/>
    <col min="6152" max="6152" width="11.25" style="169" customWidth="1"/>
    <col min="6153" max="6153" width="10.625" style="169" customWidth="1"/>
    <col min="6154" max="6154" width="12.5" style="169" customWidth="1"/>
    <col min="6155" max="6155" width="13.25" style="169" customWidth="1"/>
    <col min="6156" max="6163" width="3.125" style="169" customWidth="1"/>
    <col min="6164" max="6164" width="27.625" style="169" bestFit="1" customWidth="1"/>
    <col min="6165" max="6165" width="25.75" style="169" customWidth="1"/>
    <col min="6166" max="6166" width="10.625" style="169" bestFit="1" customWidth="1"/>
    <col min="6167" max="6167" width="11.5" style="169" customWidth="1"/>
    <col min="6168" max="6169" width="11.375" style="169" bestFit="1" customWidth="1"/>
    <col min="6170" max="6170" width="9" style="169"/>
    <col min="6171" max="6171" width="8.875" style="169" customWidth="1"/>
    <col min="6172" max="6401" width="9" style="169"/>
    <col min="6402" max="6402" width="2.25" style="169" customWidth="1"/>
    <col min="6403" max="6403" width="3.75" style="169" customWidth="1"/>
    <col min="6404" max="6404" width="4.125" style="169" customWidth="1"/>
    <col min="6405" max="6405" width="10.5" style="169" customWidth="1"/>
    <col min="6406" max="6406" width="13" style="169" customWidth="1"/>
    <col min="6407" max="6407" width="9.5" style="169" customWidth="1"/>
    <col min="6408" max="6408" width="11.25" style="169" customWidth="1"/>
    <col min="6409" max="6409" width="10.625" style="169" customWidth="1"/>
    <col min="6410" max="6410" width="12.5" style="169" customWidth="1"/>
    <col min="6411" max="6411" width="13.25" style="169" customWidth="1"/>
    <col min="6412" max="6419" width="3.125" style="169" customWidth="1"/>
    <col min="6420" max="6420" width="27.625" style="169" bestFit="1" customWidth="1"/>
    <col min="6421" max="6421" width="25.75" style="169" customWidth="1"/>
    <col min="6422" max="6422" width="10.625" style="169" bestFit="1" customWidth="1"/>
    <col min="6423" max="6423" width="11.5" style="169" customWidth="1"/>
    <col min="6424" max="6425" width="11.375" style="169" bestFit="1" customWidth="1"/>
    <col min="6426" max="6426" width="9" style="169"/>
    <col min="6427" max="6427" width="8.875" style="169" customWidth="1"/>
    <col min="6428" max="6657" width="9" style="169"/>
    <col min="6658" max="6658" width="2.25" style="169" customWidth="1"/>
    <col min="6659" max="6659" width="3.75" style="169" customWidth="1"/>
    <col min="6660" max="6660" width="4.125" style="169" customWidth="1"/>
    <col min="6661" max="6661" width="10.5" style="169" customWidth="1"/>
    <col min="6662" max="6662" width="13" style="169" customWidth="1"/>
    <col min="6663" max="6663" width="9.5" style="169" customWidth="1"/>
    <col min="6664" max="6664" width="11.25" style="169" customWidth="1"/>
    <col min="6665" max="6665" width="10.625" style="169" customWidth="1"/>
    <col min="6666" max="6666" width="12.5" style="169" customWidth="1"/>
    <col min="6667" max="6667" width="13.25" style="169" customWidth="1"/>
    <col min="6668" max="6675" width="3.125" style="169" customWidth="1"/>
    <col min="6676" max="6676" width="27.625" style="169" bestFit="1" customWidth="1"/>
    <col min="6677" max="6677" width="25.75" style="169" customWidth="1"/>
    <col min="6678" max="6678" width="10.625" style="169" bestFit="1" customWidth="1"/>
    <col min="6679" max="6679" width="11.5" style="169" customWidth="1"/>
    <col min="6680" max="6681" width="11.375" style="169" bestFit="1" customWidth="1"/>
    <col min="6682" max="6682" width="9" style="169"/>
    <col min="6683" max="6683" width="8.875" style="169" customWidth="1"/>
    <col min="6684" max="6913" width="9" style="169"/>
    <col min="6914" max="6914" width="2.25" style="169" customWidth="1"/>
    <col min="6915" max="6915" width="3.75" style="169" customWidth="1"/>
    <col min="6916" max="6916" width="4.125" style="169" customWidth="1"/>
    <col min="6917" max="6917" width="10.5" style="169" customWidth="1"/>
    <col min="6918" max="6918" width="13" style="169" customWidth="1"/>
    <col min="6919" max="6919" width="9.5" style="169" customWidth="1"/>
    <col min="6920" max="6920" width="11.25" style="169" customWidth="1"/>
    <col min="6921" max="6921" width="10.625" style="169" customWidth="1"/>
    <col min="6922" max="6922" width="12.5" style="169" customWidth="1"/>
    <col min="6923" max="6923" width="13.25" style="169" customWidth="1"/>
    <col min="6924" max="6931" width="3.125" style="169" customWidth="1"/>
    <col min="6932" max="6932" width="27.625" style="169" bestFit="1" customWidth="1"/>
    <col min="6933" max="6933" width="25.75" style="169" customWidth="1"/>
    <col min="6934" max="6934" width="10.625" style="169" bestFit="1" customWidth="1"/>
    <col min="6935" max="6935" width="11.5" style="169" customWidth="1"/>
    <col min="6936" max="6937" width="11.375" style="169" bestFit="1" customWidth="1"/>
    <col min="6938" max="6938" width="9" style="169"/>
    <col min="6939" max="6939" width="8.875" style="169" customWidth="1"/>
    <col min="6940" max="7169" width="9" style="169"/>
    <col min="7170" max="7170" width="2.25" style="169" customWidth="1"/>
    <col min="7171" max="7171" width="3.75" style="169" customWidth="1"/>
    <col min="7172" max="7172" width="4.125" style="169" customWidth="1"/>
    <col min="7173" max="7173" width="10.5" style="169" customWidth="1"/>
    <col min="7174" max="7174" width="13" style="169" customWidth="1"/>
    <col min="7175" max="7175" width="9.5" style="169" customWidth="1"/>
    <col min="7176" max="7176" width="11.25" style="169" customWidth="1"/>
    <col min="7177" max="7177" width="10.625" style="169" customWidth="1"/>
    <col min="7178" max="7178" width="12.5" style="169" customWidth="1"/>
    <col min="7179" max="7179" width="13.25" style="169" customWidth="1"/>
    <col min="7180" max="7187" width="3.125" style="169" customWidth="1"/>
    <col min="7188" max="7188" width="27.625" style="169" bestFit="1" customWidth="1"/>
    <col min="7189" max="7189" width="25.75" style="169" customWidth="1"/>
    <col min="7190" max="7190" width="10.625" style="169" bestFit="1" customWidth="1"/>
    <col min="7191" max="7191" width="11.5" style="169" customWidth="1"/>
    <col min="7192" max="7193" width="11.375" style="169" bestFit="1" customWidth="1"/>
    <col min="7194" max="7194" width="9" style="169"/>
    <col min="7195" max="7195" width="8.875" style="169" customWidth="1"/>
    <col min="7196" max="7425" width="9" style="169"/>
    <col min="7426" max="7426" width="2.25" style="169" customWidth="1"/>
    <col min="7427" max="7427" width="3.75" style="169" customWidth="1"/>
    <col min="7428" max="7428" width="4.125" style="169" customWidth="1"/>
    <col min="7429" max="7429" width="10.5" style="169" customWidth="1"/>
    <col min="7430" max="7430" width="13" style="169" customWidth="1"/>
    <col min="7431" max="7431" width="9.5" style="169" customWidth="1"/>
    <col min="7432" max="7432" width="11.25" style="169" customWidth="1"/>
    <col min="7433" max="7433" width="10.625" style="169" customWidth="1"/>
    <col min="7434" max="7434" width="12.5" style="169" customWidth="1"/>
    <col min="7435" max="7435" width="13.25" style="169" customWidth="1"/>
    <col min="7436" max="7443" width="3.125" style="169" customWidth="1"/>
    <col min="7444" max="7444" width="27.625" style="169" bestFit="1" customWidth="1"/>
    <col min="7445" max="7445" width="25.75" style="169" customWidth="1"/>
    <col min="7446" max="7446" width="10.625" style="169" bestFit="1" customWidth="1"/>
    <col min="7447" max="7447" width="11.5" style="169" customWidth="1"/>
    <col min="7448" max="7449" width="11.375" style="169" bestFit="1" customWidth="1"/>
    <col min="7450" max="7450" width="9" style="169"/>
    <col min="7451" max="7451" width="8.875" style="169" customWidth="1"/>
    <col min="7452" max="7681" width="9" style="169"/>
    <col min="7682" max="7682" width="2.25" style="169" customWidth="1"/>
    <col min="7683" max="7683" width="3.75" style="169" customWidth="1"/>
    <col min="7684" max="7684" width="4.125" style="169" customWidth="1"/>
    <col min="7685" max="7685" width="10.5" style="169" customWidth="1"/>
    <col min="7686" max="7686" width="13" style="169" customWidth="1"/>
    <col min="7687" max="7687" width="9.5" style="169" customWidth="1"/>
    <col min="7688" max="7688" width="11.25" style="169" customWidth="1"/>
    <col min="7689" max="7689" width="10.625" style="169" customWidth="1"/>
    <col min="7690" max="7690" width="12.5" style="169" customWidth="1"/>
    <col min="7691" max="7691" width="13.25" style="169" customWidth="1"/>
    <col min="7692" max="7699" width="3.125" style="169" customWidth="1"/>
    <col min="7700" max="7700" width="27.625" style="169" bestFit="1" customWidth="1"/>
    <col min="7701" max="7701" width="25.75" style="169" customWidth="1"/>
    <col min="7702" max="7702" width="10.625" style="169" bestFit="1" customWidth="1"/>
    <col min="7703" max="7703" width="11.5" style="169" customWidth="1"/>
    <col min="7704" max="7705" width="11.375" style="169" bestFit="1" customWidth="1"/>
    <col min="7706" max="7706" width="9" style="169"/>
    <col min="7707" max="7707" width="8.875" style="169" customWidth="1"/>
    <col min="7708" max="7937" width="9" style="169"/>
    <col min="7938" max="7938" width="2.25" style="169" customWidth="1"/>
    <col min="7939" max="7939" width="3.75" style="169" customWidth="1"/>
    <col min="7940" max="7940" width="4.125" style="169" customWidth="1"/>
    <col min="7941" max="7941" width="10.5" style="169" customWidth="1"/>
    <col min="7942" max="7942" width="13" style="169" customWidth="1"/>
    <col min="7943" max="7943" width="9.5" style="169" customWidth="1"/>
    <col min="7944" max="7944" width="11.25" style="169" customWidth="1"/>
    <col min="7945" max="7945" width="10.625" style="169" customWidth="1"/>
    <col min="7946" max="7946" width="12.5" style="169" customWidth="1"/>
    <col min="7947" max="7947" width="13.25" style="169" customWidth="1"/>
    <col min="7948" max="7955" width="3.125" style="169" customWidth="1"/>
    <col min="7956" max="7956" width="27.625" style="169" bestFit="1" customWidth="1"/>
    <col min="7957" max="7957" width="25.75" style="169" customWidth="1"/>
    <col min="7958" max="7958" width="10.625" style="169" bestFit="1" customWidth="1"/>
    <col min="7959" max="7959" width="11.5" style="169" customWidth="1"/>
    <col min="7960" max="7961" width="11.375" style="169" bestFit="1" customWidth="1"/>
    <col min="7962" max="7962" width="9" style="169"/>
    <col min="7963" max="7963" width="8.875" style="169" customWidth="1"/>
    <col min="7964" max="8193" width="9" style="169"/>
    <col min="8194" max="8194" width="2.25" style="169" customWidth="1"/>
    <col min="8195" max="8195" width="3.75" style="169" customWidth="1"/>
    <col min="8196" max="8196" width="4.125" style="169" customWidth="1"/>
    <col min="8197" max="8197" width="10.5" style="169" customWidth="1"/>
    <col min="8198" max="8198" width="13" style="169" customWidth="1"/>
    <col min="8199" max="8199" width="9.5" style="169" customWidth="1"/>
    <col min="8200" max="8200" width="11.25" style="169" customWidth="1"/>
    <col min="8201" max="8201" width="10.625" style="169" customWidth="1"/>
    <col min="8202" max="8202" width="12.5" style="169" customWidth="1"/>
    <col min="8203" max="8203" width="13.25" style="169" customWidth="1"/>
    <col min="8204" max="8211" width="3.125" style="169" customWidth="1"/>
    <col min="8212" max="8212" width="27.625" style="169" bestFit="1" customWidth="1"/>
    <col min="8213" max="8213" width="25.75" style="169" customWidth="1"/>
    <col min="8214" max="8214" width="10.625" style="169" bestFit="1" customWidth="1"/>
    <col min="8215" max="8215" width="11.5" style="169" customWidth="1"/>
    <col min="8216" max="8217" width="11.375" style="169" bestFit="1" customWidth="1"/>
    <col min="8218" max="8218" width="9" style="169"/>
    <col min="8219" max="8219" width="8.875" style="169" customWidth="1"/>
    <col min="8220" max="8449" width="9" style="169"/>
    <col min="8450" max="8450" width="2.25" style="169" customWidth="1"/>
    <col min="8451" max="8451" width="3.75" style="169" customWidth="1"/>
    <col min="8452" max="8452" width="4.125" style="169" customWidth="1"/>
    <col min="8453" max="8453" width="10.5" style="169" customWidth="1"/>
    <col min="8454" max="8454" width="13" style="169" customWidth="1"/>
    <col min="8455" max="8455" width="9.5" style="169" customWidth="1"/>
    <col min="8456" max="8456" width="11.25" style="169" customWidth="1"/>
    <col min="8457" max="8457" width="10.625" style="169" customWidth="1"/>
    <col min="8458" max="8458" width="12.5" style="169" customWidth="1"/>
    <col min="8459" max="8459" width="13.25" style="169" customWidth="1"/>
    <col min="8460" max="8467" width="3.125" style="169" customWidth="1"/>
    <col min="8468" max="8468" width="27.625" style="169" bestFit="1" customWidth="1"/>
    <col min="8469" max="8469" width="25.75" style="169" customWidth="1"/>
    <col min="8470" max="8470" width="10.625" style="169" bestFit="1" customWidth="1"/>
    <col min="8471" max="8471" width="11.5" style="169" customWidth="1"/>
    <col min="8472" max="8473" width="11.375" style="169" bestFit="1" customWidth="1"/>
    <col min="8474" max="8474" width="9" style="169"/>
    <col min="8475" max="8475" width="8.875" style="169" customWidth="1"/>
    <col min="8476" max="8705" width="9" style="169"/>
    <col min="8706" max="8706" width="2.25" style="169" customWidth="1"/>
    <col min="8707" max="8707" width="3.75" style="169" customWidth="1"/>
    <col min="8708" max="8708" width="4.125" style="169" customWidth="1"/>
    <col min="8709" max="8709" width="10.5" style="169" customWidth="1"/>
    <col min="8710" max="8710" width="13" style="169" customWidth="1"/>
    <col min="8711" max="8711" width="9.5" style="169" customWidth="1"/>
    <col min="8712" max="8712" width="11.25" style="169" customWidth="1"/>
    <col min="8713" max="8713" width="10.625" style="169" customWidth="1"/>
    <col min="8714" max="8714" width="12.5" style="169" customWidth="1"/>
    <col min="8715" max="8715" width="13.25" style="169" customWidth="1"/>
    <col min="8716" max="8723" width="3.125" style="169" customWidth="1"/>
    <col min="8724" max="8724" width="27.625" style="169" bestFit="1" customWidth="1"/>
    <col min="8725" max="8725" width="25.75" style="169" customWidth="1"/>
    <col min="8726" max="8726" width="10.625" style="169" bestFit="1" customWidth="1"/>
    <col min="8727" max="8727" width="11.5" style="169" customWidth="1"/>
    <col min="8728" max="8729" width="11.375" style="169" bestFit="1" customWidth="1"/>
    <col min="8730" max="8730" width="9" style="169"/>
    <col min="8731" max="8731" width="8.875" style="169" customWidth="1"/>
    <col min="8732" max="8961" width="9" style="169"/>
    <col min="8962" max="8962" width="2.25" style="169" customWidth="1"/>
    <col min="8963" max="8963" width="3.75" style="169" customWidth="1"/>
    <col min="8964" max="8964" width="4.125" style="169" customWidth="1"/>
    <col min="8965" max="8965" width="10.5" style="169" customWidth="1"/>
    <col min="8966" max="8966" width="13" style="169" customWidth="1"/>
    <col min="8967" max="8967" width="9.5" style="169" customWidth="1"/>
    <col min="8968" max="8968" width="11.25" style="169" customWidth="1"/>
    <col min="8969" max="8969" width="10.625" style="169" customWidth="1"/>
    <col min="8970" max="8970" width="12.5" style="169" customWidth="1"/>
    <col min="8971" max="8971" width="13.25" style="169" customWidth="1"/>
    <col min="8972" max="8979" width="3.125" style="169" customWidth="1"/>
    <col min="8980" max="8980" width="27.625" style="169" bestFit="1" customWidth="1"/>
    <col min="8981" max="8981" width="25.75" style="169" customWidth="1"/>
    <col min="8982" max="8982" width="10.625" style="169" bestFit="1" customWidth="1"/>
    <col min="8983" max="8983" width="11.5" style="169" customWidth="1"/>
    <col min="8984" max="8985" width="11.375" style="169" bestFit="1" customWidth="1"/>
    <col min="8986" max="8986" width="9" style="169"/>
    <col min="8987" max="8987" width="8.875" style="169" customWidth="1"/>
    <col min="8988" max="9217" width="9" style="169"/>
    <col min="9218" max="9218" width="2.25" style="169" customWidth="1"/>
    <col min="9219" max="9219" width="3.75" style="169" customWidth="1"/>
    <col min="9220" max="9220" width="4.125" style="169" customWidth="1"/>
    <col min="9221" max="9221" width="10.5" style="169" customWidth="1"/>
    <col min="9222" max="9222" width="13" style="169" customWidth="1"/>
    <col min="9223" max="9223" width="9.5" style="169" customWidth="1"/>
    <col min="9224" max="9224" width="11.25" style="169" customWidth="1"/>
    <col min="9225" max="9225" width="10.625" style="169" customWidth="1"/>
    <col min="9226" max="9226" width="12.5" style="169" customWidth="1"/>
    <col min="9227" max="9227" width="13.25" style="169" customWidth="1"/>
    <col min="9228" max="9235" width="3.125" style="169" customWidth="1"/>
    <col min="9236" max="9236" width="27.625" style="169" bestFit="1" customWidth="1"/>
    <col min="9237" max="9237" width="25.75" style="169" customWidth="1"/>
    <col min="9238" max="9238" width="10.625" style="169" bestFit="1" customWidth="1"/>
    <col min="9239" max="9239" width="11.5" style="169" customWidth="1"/>
    <col min="9240" max="9241" width="11.375" style="169" bestFit="1" customWidth="1"/>
    <col min="9242" max="9242" width="9" style="169"/>
    <col min="9243" max="9243" width="8.875" style="169" customWidth="1"/>
    <col min="9244" max="9473" width="9" style="169"/>
    <col min="9474" max="9474" width="2.25" style="169" customWidth="1"/>
    <col min="9475" max="9475" width="3.75" style="169" customWidth="1"/>
    <col min="9476" max="9476" width="4.125" style="169" customWidth="1"/>
    <col min="9477" max="9477" width="10.5" style="169" customWidth="1"/>
    <col min="9478" max="9478" width="13" style="169" customWidth="1"/>
    <col min="9479" max="9479" width="9.5" style="169" customWidth="1"/>
    <col min="9480" max="9480" width="11.25" style="169" customWidth="1"/>
    <col min="9481" max="9481" width="10.625" style="169" customWidth="1"/>
    <col min="9482" max="9482" width="12.5" style="169" customWidth="1"/>
    <col min="9483" max="9483" width="13.25" style="169" customWidth="1"/>
    <col min="9484" max="9491" width="3.125" style="169" customWidth="1"/>
    <col min="9492" max="9492" width="27.625" style="169" bestFit="1" customWidth="1"/>
    <col min="9493" max="9493" width="25.75" style="169" customWidth="1"/>
    <col min="9494" max="9494" width="10.625" style="169" bestFit="1" customWidth="1"/>
    <col min="9495" max="9495" width="11.5" style="169" customWidth="1"/>
    <col min="9496" max="9497" width="11.375" style="169" bestFit="1" customWidth="1"/>
    <col min="9498" max="9498" width="9" style="169"/>
    <col min="9499" max="9499" width="8.875" style="169" customWidth="1"/>
    <col min="9500" max="9729" width="9" style="169"/>
    <col min="9730" max="9730" width="2.25" style="169" customWidth="1"/>
    <col min="9731" max="9731" width="3.75" style="169" customWidth="1"/>
    <col min="9732" max="9732" width="4.125" style="169" customWidth="1"/>
    <col min="9733" max="9733" width="10.5" style="169" customWidth="1"/>
    <col min="9734" max="9734" width="13" style="169" customWidth="1"/>
    <col min="9735" max="9735" width="9.5" style="169" customWidth="1"/>
    <col min="9736" max="9736" width="11.25" style="169" customWidth="1"/>
    <col min="9737" max="9737" width="10.625" style="169" customWidth="1"/>
    <col min="9738" max="9738" width="12.5" style="169" customWidth="1"/>
    <col min="9739" max="9739" width="13.25" style="169" customWidth="1"/>
    <col min="9740" max="9747" width="3.125" style="169" customWidth="1"/>
    <col min="9748" max="9748" width="27.625" style="169" bestFit="1" customWidth="1"/>
    <col min="9749" max="9749" width="25.75" style="169" customWidth="1"/>
    <col min="9750" max="9750" width="10.625" style="169" bestFit="1" customWidth="1"/>
    <col min="9751" max="9751" width="11.5" style="169" customWidth="1"/>
    <col min="9752" max="9753" width="11.375" style="169" bestFit="1" customWidth="1"/>
    <col min="9754" max="9754" width="9" style="169"/>
    <col min="9755" max="9755" width="8.875" style="169" customWidth="1"/>
    <col min="9756" max="9985" width="9" style="169"/>
    <col min="9986" max="9986" width="2.25" style="169" customWidth="1"/>
    <col min="9987" max="9987" width="3.75" style="169" customWidth="1"/>
    <col min="9988" max="9988" width="4.125" style="169" customWidth="1"/>
    <col min="9989" max="9989" width="10.5" style="169" customWidth="1"/>
    <col min="9990" max="9990" width="13" style="169" customWidth="1"/>
    <col min="9991" max="9991" width="9.5" style="169" customWidth="1"/>
    <col min="9992" max="9992" width="11.25" style="169" customWidth="1"/>
    <col min="9993" max="9993" width="10.625" style="169" customWidth="1"/>
    <col min="9994" max="9994" width="12.5" style="169" customWidth="1"/>
    <col min="9995" max="9995" width="13.25" style="169" customWidth="1"/>
    <col min="9996" max="10003" width="3.125" style="169" customWidth="1"/>
    <col min="10004" max="10004" width="27.625" style="169" bestFit="1" customWidth="1"/>
    <col min="10005" max="10005" width="25.75" style="169" customWidth="1"/>
    <col min="10006" max="10006" width="10.625" style="169" bestFit="1" customWidth="1"/>
    <col min="10007" max="10007" width="11.5" style="169" customWidth="1"/>
    <col min="10008" max="10009" width="11.375" style="169" bestFit="1" customWidth="1"/>
    <col min="10010" max="10010" width="9" style="169"/>
    <col min="10011" max="10011" width="8.875" style="169" customWidth="1"/>
    <col min="10012" max="10241" width="9" style="169"/>
    <col min="10242" max="10242" width="2.25" style="169" customWidth="1"/>
    <col min="10243" max="10243" width="3.75" style="169" customWidth="1"/>
    <col min="10244" max="10244" width="4.125" style="169" customWidth="1"/>
    <col min="10245" max="10245" width="10.5" style="169" customWidth="1"/>
    <col min="10246" max="10246" width="13" style="169" customWidth="1"/>
    <col min="10247" max="10247" width="9.5" style="169" customWidth="1"/>
    <col min="10248" max="10248" width="11.25" style="169" customWidth="1"/>
    <col min="10249" max="10249" width="10.625" style="169" customWidth="1"/>
    <col min="10250" max="10250" width="12.5" style="169" customWidth="1"/>
    <col min="10251" max="10251" width="13.25" style="169" customWidth="1"/>
    <col min="10252" max="10259" width="3.125" style="169" customWidth="1"/>
    <col min="10260" max="10260" width="27.625" style="169" bestFit="1" customWidth="1"/>
    <col min="10261" max="10261" width="25.75" style="169" customWidth="1"/>
    <col min="10262" max="10262" width="10.625" style="169" bestFit="1" customWidth="1"/>
    <col min="10263" max="10263" width="11.5" style="169" customWidth="1"/>
    <col min="10264" max="10265" width="11.375" style="169" bestFit="1" customWidth="1"/>
    <col min="10266" max="10266" width="9" style="169"/>
    <col min="10267" max="10267" width="8.875" style="169" customWidth="1"/>
    <col min="10268" max="10497" width="9" style="169"/>
    <col min="10498" max="10498" width="2.25" style="169" customWidth="1"/>
    <col min="10499" max="10499" width="3.75" style="169" customWidth="1"/>
    <col min="10500" max="10500" width="4.125" style="169" customWidth="1"/>
    <col min="10501" max="10501" width="10.5" style="169" customWidth="1"/>
    <col min="10502" max="10502" width="13" style="169" customWidth="1"/>
    <col min="10503" max="10503" width="9.5" style="169" customWidth="1"/>
    <col min="10504" max="10504" width="11.25" style="169" customWidth="1"/>
    <col min="10505" max="10505" width="10.625" style="169" customWidth="1"/>
    <col min="10506" max="10506" width="12.5" style="169" customWidth="1"/>
    <col min="10507" max="10507" width="13.25" style="169" customWidth="1"/>
    <col min="10508" max="10515" width="3.125" style="169" customWidth="1"/>
    <col min="10516" max="10516" width="27.625" style="169" bestFit="1" customWidth="1"/>
    <col min="10517" max="10517" width="25.75" style="169" customWidth="1"/>
    <col min="10518" max="10518" width="10.625" style="169" bestFit="1" customWidth="1"/>
    <col min="10519" max="10519" width="11.5" style="169" customWidth="1"/>
    <col min="10520" max="10521" width="11.375" style="169" bestFit="1" customWidth="1"/>
    <col min="10522" max="10522" width="9" style="169"/>
    <col min="10523" max="10523" width="8.875" style="169" customWidth="1"/>
    <col min="10524" max="10753" width="9" style="169"/>
    <col min="10754" max="10754" width="2.25" style="169" customWidth="1"/>
    <col min="10755" max="10755" width="3.75" style="169" customWidth="1"/>
    <col min="10756" max="10756" width="4.125" style="169" customWidth="1"/>
    <col min="10757" max="10757" width="10.5" style="169" customWidth="1"/>
    <col min="10758" max="10758" width="13" style="169" customWidth="1"/>
    <col min="10759" max="10759" width="9.5" style="169" customWidth="1"/>
    <col min="10760" max="10760" width="11.25" style="169" customWidth="1"/>
    <col min="10761" max="10761" width="10.625" style="169" customWidth="1"/>
    <col min="10762" max="10762" width="12.5" style="169" customWidth="1"/>
    <col min="10763" max="10763" width="13.25" style="169" customWidth="1"/>
    <col min="10764" max="10771" width="3.125" style="169" customWidth="1"/>
    <col min="10772" max="10772" width="27.625" style="169" bestFit="1" customWidth="1"/>
    <col min="10773" max="10773" width="25.75" style="169" customWidth="1"/>
    <col min="10774" max="10774" width="10.625" style="169" bestFit="1" customWidth="1"/>
    <col min="10775" max="10775" width="11.5" style="169" customWidth="1"/>
    <col min="10776" max="10777" width="11.375" style="169" bestFit="1" customWidth="1"/>
    <col min="10778" max="10778" width="9" style="169"/>
    <col min="10779" max="10779" width="8.875" style="169" customWidth="1"/>
    <col min="10780" max="11009" width="9" style="169"/>
    <col min="11010" max="11010" width="2.25" style="169" customWidth="1"/>
    <col min="11011" max="11011" width="3.75" style="169" customWidth="1"/>
    <col min="11012" max="11012" width="4.125" style="169" customWidth="1"/>
    <col min="11013" max="11013" width="10.5" style="169" customWidth="1"/>
    <col min="11014" max="11014" width="13" style="169" customWidth="1"/>
    <col min="11015" max="11015" width="9.5" style="169" customWidth="1"/>
    <col min="11016" max="11016" width="11.25" style="169" customWidth="1"/>
    <col min="11017" max="11017" width="10.625" style="169" customWidth="1"/>
    <col min="11018" max="11018" width="12.5" style="169" customWidth="1"/>
    <col min="11019" max="11019" width="13.25" style="169" customWidth="1"/>
    <col min="11020" max="11027" width="3.125" style="169" customWidth="1"/>
    <col min="11028" max="11028" width="27.625" style="169" bestFit="1" customWidth="1"/>
    <col min="11029" max="11029" width="25.75" style="169" customWidth="1"/>
    <col min="11030" max="11030" width="10.625" style="169" bestFit="1" customWidth="1"/>
    <col min="11031" max="11031" width="11.5" style="169" customWidth="1"/>
    <col min="11032" max="11033" width="11.375" style="169" bestFit="1" customWidth="1"/>
    <col min="11034" max="11034" width="9" style="169"/>
    <col min="11035" max="11035" width="8.875" style="169" customWidth="1"/>
    <col min="11036" max="11265" width="9" style="169"/>
    <col min="11266" max="11266" width="2.25" style="169" customWidth="1"/>
    <col min="11267" max="11267" width="3.75" style="169" customWidth="1"/>
    <col min="11268" max="11268" width="4.125" style="169" customWidth="1"/>
    <col min="11269" max="11269" width="10.5" style="169" customWidth="1"/>
    <col min="11270" max="11270" width="13" style="169" customWidth="1"/>
    <col min="11271" max="11271" width="9.5" style="169" customWidth="1"/>
    <col min="11272" max="11272" width="11.25" style="169" customWidth="1"/>
    <col min="11273" max="11273" width="10.625" style="169" customWidth="1"/>
    <col min="11274" max="11274" width="12.5" style="169" customWidth="1"/>
    <col min="11275" max="11275" width="13.25" style="169" customWidth="1"/>
    <col min="11276" max="11283" width="3.125" style="169" customWidth="1"/>
    <col min="11284" max="11284" width="27.625" style="169" bestFit="1" customWidth="1"/>
    <col min="11285" max="11285" width="25.75" style="169" customWidth="1"/>
    <col min="11286" max="11286" width="10.625" style="169" bestFit="1" customWidth="1"/>
    <col min="11287" max="11287" width="11.5" style="169" customWidth="1"/>
    <col min="11288" max="11289" width="11.375" style="169" bestFit="1" customWidth="1"/>
    <col min="11290" max="11290" width="9" style="169"/>
    <col min="11291" max="11291" width="8.875" style="169" customWidth="1"/>
    <col min="11292" max="11521" width="9" style="169"/>
    <col min="11522" max="11522" width="2.25" style="169" customWidth="1"/>
    <col min="11523" max="11523" width="3.75" style="169" customWidth="1"/>
    <col min="11524" max="11524" width="4.125" style="169" customWidth="1"/>
    <col min="11525" max="11525" width="10.5" style="169" customWidth="1"/>
    <col min="11526" max="11526" width="13" style="169" customWidth="1"/>
    <col min="11527" max="11527" width="9.5" style="169" customWidth="1"/>
    <col min="11528" max="11528" width="11.25" style="169" customWidth="1"/>
    <col min="11529" max="11529" width="10.625" style="169" customWidth="1"/>
    <col min="11530" max="11530" width="12.5" style="169" customWidth="1"/>
    <col min="11531" max="11531" width="13.25" style="169" customWidth="1"/>
    <col min="11532" max="11539" width="3.125" style="169" customWidth="1"/>
    <col min="11540" max="11540" width="27.625" style="169" bestFit="1" customWidth="1"/>
    <col min="11541" max="11541" width="25.75" style="169" customWidth="1"/>
    <col min="11542" max="11542" width="10.625" style="169" bestFit="1" customWidth="1"/>
    <col min="11543" max="11543" width="11.5" style="169" customWidth="1"/>
    <col min="11544" max="11545" width="11.375" style="169" bestFit="1" customWidth="1"/>
    <col min="11546" max="11546" width="9" style="169"/>
    <col min="11547" max="11547" width="8.875" style="169" customWidth="1"/>
    <col min="11548" max="11777" width="9" style="169"/>
    <col min="11778" max="11778" width="2.25" style="169" customWidth="1"/>
    <col min="11779" max="11779" width="3.75" style="169" customWidth="1"/>
    <col min="11780" max="11780" width="4.125" style="169" customWidth="1"/>
    <col min="11781" max="11781" width="10.5" style="169" customWidth="1"/>
    <col min="11782" max="11782" width="13" style="169" customWidth="1"/>
    <col min="11783" max="11783" width="9.5" style="169" customWidth="1"/>
    <col min="11784" max="11784" width="11.25" style="169" customWidth="1"/>
    <col min="11785" max="11785" width="10.625" style="169" customWidth="1"/>
    <col min="11786" max="11786" width="12.5" style="169" customWidth="1"/>
    <col min="11787" max="11787" width="13.25" style="169" customWidth="1"/>
    <col min="11788" max="11795" width="3.125" style="169" customWidth="1"/>
    <col min="11796" max="11796" width="27.625" style="169" bestFit="1" customWidth="1"/>
    <col min="11797" max="11797" width="25.75" style="169" customWidth="1"/>
    <col min="11798" max="11798" width="10.625" style="169" bestFit="1" customWidth="1"/>
    <col min="11799" max="11799" width="11.5" style="169" customWidth="1"/>
    <col min="11800" max="11801" width="11.375" style="169" bestFit="1" customWidth="1"/>
    <col min="11802" max="11802" width="9" style="169"/>
    <col min="11803" max="11803" width="8.875" style="169" customWidth="1"/>
    <col min="11804" max="12033" width="9" style="169"/>
    <col min="12034" max="12034" width="2.25" style="169" customWidth="1"/>
    <col min="12035" max="12035" width="3.75" style="169" customWidth="1"/>
    <col min="12036" max="12036" width="4.125" style="169" customWidth="1"/>
    <col min="12037" max="12037" width="10.5" style="169" customWidth="1"/>
    <col min="12038" max="12038" width="13" style="169" customWidth="1"/>
    <col min="12039" max="12039" width="9.5" style="169" customWidth="1"/>
    <col min="12040" max="12040" width="11.25" style="169" customWidth="1"/>
    <col min="12041" max="12041" width="10.625" style="169" customWidth="1"/>
    <col min="12042" max="12042" width="12.5" style="169" customWidth="1"/>
    <col min="12043" max="12043" width="13.25" style="169" customWidth="1"/>
    <col min="12044" max="12051" width="3.125" style="169" customWidth="1"/>
    <col min="12052" max="12052" width="27.625" style="169" bestFit="1" customWidth="1"/>
    <col min="12053" max="12053" width="25.75" style="169" customWidth="1"/>
    <col min="12054" max="12054" width="10.625" style="169" bestFit="1" customWidth="1"/>
    <col min="12055" max="12055" width="11.5" style="169" customWidth="1"/>
    <col min="12056" max="12057" width="11.375" style="169" bestFit="1" customWidth="1"/>
    <col min="12058" max="12058" width="9" style="169"/>
    <col min="12059" max="12059" width="8.875" style="169" customWidth="1"/>
    <col min="12060" max="12289" width="9" style="169"/>
    <col min="12290" max="12290" width="2.25" style="169" customWidth="1"/>
    <col min="12291" max="12291" width="3.75" style="169" customWidth="1"/>
    <col min="12292" max="12292" width="4.125" style="169" customWidth="1"/>
    <col min="12293" max="12293" width="10.5" style="169" customWidth="1"/>
    <col min="12294" max="12294" width="13" style="169" customWidth="1"/>
    <col min="12295" max="12295" width="9.5" style="169" customWidth="1"/>
    <col min="12296" max="12296" width="11.25" style="169" customWidth="1"/>
    <col min="12297" max="12297" width="10.625" style="169" customWidth="1"/>
    <col min="12298" max="12298" width="12.5" style="169" customWidth="1"/>
    <col min="12299" max="12299" width="13.25" style="169" customWidth="1"/>
    <col min="12300" max="12307" width="3.125" style="169" customWidth="1"/>
    <col min="12308" max="12308" width="27.625" style="169" bestFit="1" customWidth="1"/>
    <col min="12309" max="12309" width="25.75" style="169" customWidth="1"/>
    <col min="12310" max="12310" width="10.625" style="169" bestFit="1" customWidth="1"/>
    <col min="12311" max="12311" width="11.5" style="169" customWidth="1"/>
    <col min="12312" max="12313" width="11.375" style="169" bestFit="1" customWidth="1"/>
    <col min="12314" max="12314" width="9" style="169"/>
    <col min="12315" max="12315" width="8.875" style="169" customWidth="1"/>
    <col min="12316" max="12545" width="9" style="169"/>
    <col min="12546" max="12546" width="2.25" style="169" customWidth="1"/>
    <col min="12547" max="12547" width="3.75" style="169" customWidth="1"/>
    <col min="12548" max="12548" width="4.125" style="169" customWidth="1"/>
    <col min="12549" max="12549" width="10.5" style="169" customWidth="1"/>
    <col min="12550" max="12550" width="13" style="169" customWidth="1"/>
    <col min="12551" max="12551" width="9.5" style="169" customWidth="1"/>
    <col min="12552" max="12552" width="11.25" style="169" customWidth="1"/>
    <col min="12553" max="12553" width="10.625" style="169" customWidth="1"/>
    <col min="12554" max="12554" width="12.5" style="169" customWidth="1"/>
    <col min="12555" max="12555" width="13.25" style="169" customWidth="1"/>
    <col min="12556" max="12563" width="3.125" style="169" customWidth="1"/>
    <col min="12564" max="12564" width="27.625" style="169" bestFit="1" customWidth="1"/>
    <col min="12565" max="12565" width="25.75" style="169" customWidth="1"/>
    <col min="12566" max="12566" width="10.625" style="169" bestFit="1" customWidth="1"/>
    <col min="12567" max="12567" width="11.5" style="169" customWidth="1"/>
    <col min="12568" max="12569" width="11.375" style="169" bestFit="1" customWidth="1"/>
    <col min="12570" max="12570" width="9" style="169"/>
    <col min="12571" max="12571" width="8.875" style="169" customWidth="1"/>
    <col min="12572" max="12801" width="9" style="169"/>
    <col min="12802" max="12802" width="2.25" style="169" customWidth="1"/>
    <col min="12803" max="12803" width="3.75" style="169" customWidth="1"/>
    <col min="12804" max="12804" width="4.125" style="169" customWidth="1"/>
    <col min="12805" max="12805" width="10.5" style="169" customWidth="1"/>
    <col min="12806" max="12806" width="13" style="169" customWidth="1"/>
    <col min="12807" max="12807" width="9.5" style="169" customWidth="1"/>
    <col min="12808" max="12808" width="11.25" style="169" customWidth="1"/>
    <col min="12809" max="12809" width="10.625" style="169" customWidth="1"/>
    <col min="12810" max="12810" width="12.5" style="169" customWidth="1"/>
    <col min="12811" max="12811" width="13.25" style="169" customWidth="1"/>
    <col min="12812" max="12819" width="3.125" style="169" customWidth="1"/>
    <col min="12820" max="12820" width="27.625" style="169" bestFit="1" customWidth="1"/>
    <col min="12821" max="12821" width="25.75" style="169" customWidth="1"/>
    <col min="12822" max="12822" width="10.625" style="169" bestFit="1" customWidth="1"/>
    <col min="12823" max="12823" width="11.5" style="169" customWidth="1"/>
    <col min="12824" max="12825" width="11.375" style="169" bestFit="1" customWidth="1"/>
    <col min="12826" max="12826" width="9" style="169"/>
    <col min="12827" max="12827" width="8.875" style="169" customWidth="1"/>
    <col min="12828" max="13057" width="9" style="169"/>
    <col min="13058" max="13058" width="2.25" style="169" customWidth="1"/>
    <col min="13059" max="13059" width="3.75" style="169" customWidth="1"/>
    <col min="13060" max="13060" width="4.125" style="169" customWidth="1"/>
    <col min="13061" max="13061" width="10.5" style="169" customWidth="1"/>
    <col min="13062" max="13062" width="13" style="169" customWidth="1"/>
    <col min="13063" max="13063" width="9.5" style="169" customWidth="1"/>
    <col min="13064" max="13064" width="11.25" style="169" customWidth="1"/>
    <col min="13065" max="13065" width="10.625" style="169" customWidth="1"/>
    <col min="13066" max="13066" width="12.5" style="169" customWidth="1"/>
    <col min="13067" max="13067" width="13.25" style="169" customWidth="1"/>
    <col min="13068" max="13075" width="3.125" style="169" customWidth="1"/>
    <col min="13076" max="13076" width="27.625" style="169" bestFit="1" customWidth="1"/>
    <col min="13077" max="13077" width="25.75" style="169" customWidth="1"/>
    <col min="13078" max="13078" width="10.625" style="169" bestFit="1" customWidth="1"/>
    <col min="13079" max="13079" width="11.5" style="169" customWidth="1"/>
    <col min="13080" max="13081" width="11.375" style="169" bestFit="1" customWidth="1"/>
    <col min="13082" max="13082" width="9" style="169"/>
    <col min="13083" max="13083" width="8.875" style="169" customWidth="1"/>
    <col min="13084" max="13313" width="9" style="169"/>
    <col min="13314" max="13314" width="2.25" style="169" customWidth="1"/>
    <col min="13315" max="13315" width="3.75" style="169" customWidth="1"/>
    <col min="13316" max="13316" width="4.125" style="169" customWidth="1"/>
    <col min="13317" max="13317" width="10.5" style="169" customWidth="1"/>
    <col min="13318" max="13318" width="13" style="169" customWidth="1"/>
    <col min="13319" max="13319" width="9.5" style="169" customWidth="1"/>
    <col min="13320" max="13320" width="11.25" style="169" customWidth="1"/>
    <col min="13321" max="13321" width="10.625" style="169" customWidth="1"/>
    <col min="13322" max="13322" width="12.5" style="169" customWidth="1"/>
    <col min="13323" max="13323" width="13.25" style="169" customWidth="1"/>
    <col min="13324" max="13331" width="3.125" style="169" customWidth="1"/>
    <col min="13332" max="13332" width="27.625" style="169" bestFit="1" customWidth="1"/>
    <col min="13333" max="13333" width="25.75" style="169" customWidth="1"/>
    <col min="13334" max="13334" width="10.625" style="169" bestFit="1" customWidth="1"/>
    <col min="13335" max="13335" width="11.5" style="169" customWidth="1"/>
    <col min="13336" max="13337" width="11.375" style="169" bestFit="1" customWidth="1"/>
    <col min="13338" max="13338" width="9" style="169"/>
    <col min="13339" max="13339" width="8.875" style="169" customWidth="1"/>
    <col min="13340" max="13569" width="9" style="169"/>
    <col min="13570" max="13570" width="2.25" style="169" customWidth="1"/>
    <col min="13571" max="13571" width="3.75" style="169" customWidth="1"/>
    <col min="13572" max="13572" width="4.125" style="169" customWidth="1"/>
    <col min="13573" max="13573" width="10.5" style="169" customWidth="1"/>
    <col min="13574" max="13574" width="13" style="169" customWidth="1"/>
    <col min="13575" max="13575" width="9.5" style="169" customWidth="1"/>
    <col min="13576" max="13576" width="11.25" style="169" customWidth="1"/>
    <col min="13577" max="13577" width="10.625" style="169" customWidth="1"/>
    <col min="13578" max="13578" width="12.5" style="169" customWidth="1"/>
    <col min="13579" max="13579" width="13.25" style="169" customWidth="1"/>
    <col min="13580" max="13587" width="3.125" style="169" customWidth="1"/>
    <col min="13588" max="13588" width="27.625" style="169" bestFit="1" customWidth="1"/>
    <col min="13589" max="13589" width="25.75" style="169" customWidth="1"/>
    <col min="13590" max="13590" width="10.625" style="169" bestFit="1" customWidth="1"/>
    <col min="13591" max="13591" width="11.5" style="169" customWidth="1"/>
    <col min="13592" max="13593" width="11.375" style="169" bestFit="1" customWidth="1"/>
    <col min="13594" max="13594" width="9" style="169"/>
    <col min="13595" max="13595" width="8.875" style="169" customWidth="1"/>
    <col min="13596" max="13825" width="9" style="169"/>
    <col min="13826" max="13826" width="2.25" style="169" customWidth="1"/>
    <col min="13827" max="13827" width="3.75" style="169" customWidth="1"/>
    <col min="13828" max="13828" width="4.125" style="169" customWidth="1"/>
    <col min="13829" max="13829" width="10.5" style="169" customWidth="1"/>
    <col min="13830" max="13830" width="13" style="169" customWidth="1"/>
    <col min="13831" max="13831" width="9.5" style="169" customWidth="1"/>
    <col min="13832" max="13832" width="11.25" style="169" customWidth="1"/>
    <col min="13833" max="13833" width="10.625" style="169" customWidth="1"/>
    <col min="13834" max="13834" width="12.5" style="169" customWidth="1"/>
    <col min="13835" max="13835" width="13.25" style="169" customWidth="1"/>
    <col min="13836" max="13843" width="3.125" style="169" customWidth="1"/>
    <col min="13844" max="13844" width="27.625" style="169" bestFit="1" customWidth="1"/>
    <col min="13845" max="13845" width="25.75" style="169" customWidth="1"/>
    <col min="13846" max="13846" width="10.625" style="169" bestFit="1" customWidth="1"/>
    <col min="13847" max="13847" width="11.5" style="169" customWidth="1"/>
    <col min="13848" max="13849" width="11.375" style="169" bestFit="1" customWidth="1"/>
    <col min="13850" max="13850" width="9" style="169"/>
    <col min="13851" max="13851" width="8.875" style="169" customWidth="1"/>
    <col min="13852" max="14081" width="9" style="169"/>
    <col min="14082" max="14082" width="2.25" style="169" customWidth="1"/>
    <col min="14083" max="14083" width="3.75" style="169" customWidth="1"/>
    <col min="14084" max="14084" width="4.125" style="169" customWidth="1"/>
    <col min="14085" max="14085" width="10.5" style="169" customWidth="1"/>
    <col min="14086" max="14086" width="13" style="169" customWidth="1"/>
    <col min="14087" max="14087" width="9.5" style="169" customWidth="1"/>
    <col min="14088" max="14088" width="11.25" style="169" customWidth="1"/>
    <col min="14089" max="14089" width="10.625" style="169" customWidth="1"/>
    <col min="14090" max="14090" width="12.5" style="169" customWidth="1"/>
    <col min="14091" max="14091" width="13.25" style="169" customWidth="1"/>
    <col min="14092" max="14099" width="3.125" style="169" customWidth="1"/>
    <col min="14100" max="14100" width="27.625" style="169" bestFit="1" customWidth="1"/>
    <col min="14101" max="14101" width="25.75" style="169" customWidth="1"/>
    <col min="14102" max="14102" width="10.625" style="169" bestFit="1" customWidth="1"/>
    <col min="14103" max="14103" width="11.5" style="169" customWidth="1"/>
    <col min="14104" max="14105" width="11.375" style="169" bestFit="1" customWidth="1"/>
    <col min="14106" max="14106" width="9" style="169"/>
    <col min="14107" max="14107" width="8.875" style="169" customWidth="1"/>
    <col min="14108" max="14337" width="9" style="169"/>
    <col min="14338" max="14338" width="2.25" style="169" customWidth="1"/>
    <col min="14339" max="14339" width="3.75" style="169" customWidth="1"/>
    <col min="14340" max="14340" width="4.125" style="169" customWidth="1"/>
    <col min="14341" max="14341" width="10.5" style="169" customWidth="1"/>
    <col min="14342" max="14342" width="13" style="169" customWidth="1"/>
    <col min="14343" max="14343" width="9.5" style="169" customWidth="1"/>
    <col min="14344" max="14344" width="11.25" style="169" customWidth="1"/>
    <col min="14345" max="14345" width="10.625" style="169" customWidth="1"/>
    <col min="14346" max="14346" width="12.5" style="169" customWidth="1"/>
    <col min="14347" max="14347" width="13.25" style="169" customWidth="1"/>
    <col min="14348" max="14355" width="3.125" style="169" customWidth="1"/>
    <col min="14356" max="14356" width="27.625" style="169" bestFit="1" customWidth="1"/>
    <col min="14357" max="14357" width="25.75" style="169" customWidth="1"/>
    <col min="14358" max="14358" width="10.625" style="169" bestFit="1" customWidth="1"/>
    <col min="14359" max="14359" width="11.5" style="169" customWidth="1"/>
    <col min="14360" max="14361" width="11.375" style="169" bestFit="1" customWidth="1"/>
    <col min="14362" max="14362" width="9" style="169"/>
    <col min="14363" max="14363" width="8.875" style="169" customWidth="1"/>
    <col min="14364" max="14593" width="9" style="169"/>
    <col min="14594" max="14594" width="2.25" style="169" customWidth="1"/>
    <col min="14595" max="14595" width="3.75" style="169" customWidth="1"/>
    <col min="14596" max="14596" width="4.125" style="169" customWidth="1"/>
    <col min="14597" max="14597" width="10.5" style="169" customWidth="1"/>
    <col min="14598" max="14598" width="13" style="169" customWidth="1"/>
    <col min="14599" max="14599" width="9.5" style="169" customWidth="1"/>
    <col min="14600" max="14600" width="11.25" style="169" customWidth="1"/>
    <col min="14601" max="14601" width="10.625" style="169" customWidth="1"/>
    <col min="14602" max="14602" width="12.5" style="169" customWidth="1"/>
    <col min="14603" max="14603" width="13.25" style="169" customWidth="1"/>
    <col min="14604" max="14611" width="3.125" style="169" customWidth="1"/>
    <col min="14612" max="14612" width="27.625" style="169" bestFit="1" customWidth="1"/>
    <col min="14613" max="14613" width="25.75" style="169" customWidth="1"/>
    <col min="14614" max="14614" width="10.625" style="169" bestFit="1" customWidth="1"/>
    <col min="14615" max="14615" width="11.5" style="169" customWidth="1"/>
    <col min="14616" max="14617" width="11.375" style="169" bestFit="1" customWidth="1"/>
    <col min="14618" max="14618" width="9" style="169"/>
    <col min="14619" max="14619" width="8.875" style="169" customWidth="1"/>
    <col min="14620" max="14849" width="9" style="169"/>
    <col min="14850" max="14850" width="2.25" style="169" customWidth="1"/>
    <col min="14851" max="14851" width="3.75" style="169" customWidth="1"/>
    <col min="14852" max="14852" width="4.125" style="169" customWidth="1"/>
    <col min="14853" max="14853" width="10.5" style="169" customWidth="1"/>
    <col min="14854" max="14854" width="13" style="169" customWidth="1"/>
    <col min="14855" max="14855" width="9.5" style="169" customWidth="1"/>
    <col min="14856" max="14856" width="11.25" style="169" customWidth="1"/>
    <col min="14857" max="14857" width="10.625" style="169" customWidth="1"/>
    <col min="14858" max="14858" width="12.5" style="169" customWidth="1"/>
    <col min="14859" max="14859" width="13.25" style="169" customWidth="1"/>
    <col min="14860" max="14867" width="3.125" style="169" customWidth="1"/>
    <col min="14868" max="14868" width="27.625" style="169" bestFit="1" customWidth="1"/>
    <col min="14869" max="14869" width="25.75" style="169" customWidth="1"/>
    <col min="14870" max="14870" width="10.625" style="169" bestFit="1" customWidth="1"/>
    <col min="14871" max="14871" width="11.5" style="169" customWidth="1"/>
    <col min="14872" max="14873" width="11.375" style="169" bestFit="1" customWidth="1"/>
    <col min="14874" max="14874" width="9" style="169"/>
    <col min="14875" max="14875" width="8.875" style="169" customWidth="1"/>
    <col min="14876" max="15105" width="9" style="169"/>
    <col min="15106" max="15106" width="2.25" style="169" customWidth="1"/>
    <col min="15107" max="15107" width="3.75" style="169" customWidth="1"/>
    <col min="15108" max="15108" width="4.125" style="169" customWidth="1"/>
    <col min="15109" max="15109" width="10.5" style="169" customWidth="1"/>
    <col min="15110" max="15110" width="13" style="169" customWidth="1"/>
    <col min="15111" max="15111" width="9.5" style="169" customWidth="1"/>
    <col min="15112" max="15112" width="11.25" style="169" customWidth="1"/>
    <col min="15113" max="15113" width="10.625" style="169" customWidth="1"/>
    <col min="15114" max="15114" width="12.5" style="169" customWidth="1"/>
    <col min="15115" max="15115" width="13.25" style="169" customWidth="1"/>
    <col min="15116" max="15123" width="3.125" style="169" customWidth="1"/>
    <col min="15124" max="15124" width="27.625" style="169" bestFit="1" customWidth="1"/>
    <col min="15125" max="15125" width="25.75" style="169" customWidth="1"/>
    <col min="15126" max="15126" width="10.625" style="169" bestFit="1" customWidth="1"/>
    <col min="15127" max="15127" width="11.5" style="169" customWidth="1"/>
    <col min="15128" max="15129" width="11.375" style="169" bestFit="1" customWidth="1"/>
    <col min="15130" max="15130" width="9" style="169"/>
    <col min="15131" max="15131" width="8.875" style="169" customWidth="1"/>
    <col min="15132" max="15361" width="9" style="169"/>
    <col min="15362" max="15362" width="2.25" style="169" customWidth="1"/>
    <col min="15363" max="15363" width="3.75" style="169" customWidth="1"/>
    <col min="15364" max="15364" width="4.125" style="169" customWidth="1"/>
    <col min="15365" max="15365" width="10.5" style="169" customWidth="1"/>
    <col min="15366" max="15366" width="13" style="169" customWidth="1"/>
    <col min="15367" max="15367" width="9.5" style="169" customWidth="1"/>
    <col min="15368" max="15368" width="11.25" style="169" customWidth="1"/>
    <col min="15369" max="15369" width="10.625" style="169" customWidth="1"/>
    <col min="15370" max="15370" width="12.5" style="169" customWidth="1"/>
    <col min="15371" max="15371" width="13.25" style="169" customWidth="1"/>
    <col min="15372" max="15379" width="3.125" style="169" customWidth="1"/>
    <col min="15380" max="15380" width="27.625" style="169" bestFit="1" customWidth="1"/>
    <col min="15381" max="15381" width="25.75" style="169" customWidth="1"/>
    <col min="15382" max="15382" width="10.625" style="169" bestFit="1" customWidth="1"/>
    <col min="15383" max="15383" width="11.5" style="169" customWidth="1"/>
    <col min="15384" max="15385" width="11.375" style="169" bestFit="1" customWidth="1"/>
    <col min="15386" max="15386" width="9" style="169"/>
    <col min="15387" max="15387" width="8.875" style="169" customWidth="1"/>
    <col min="15388" max="15617" width="9" style="169"/>
    <col min="15618" max="15618" width="2.25" style="169" customWidth="1"/>
    <col min="15619" max="15619" width="3.75" style="169" customWidth="1"/>
    <col min="15620" max="15620" width="4.125" style="169" customWidth="1"/>
    <col min="15621" max="15621" width="10.5" style="169" customWidth="1"/>
    <col min="15622" max="15622" width="13" style="169" customWidth="1"/>
    <col min="15623" max="15623" width="9.5" style="169" customWidth="1"/>
    <col min="15624" max="15624" width="11.25" style="169" customWidth="1"/>
    <col min="15625" max="15625" width="10.625" style="169" customWidth="1"/>
    <col min="15626" max="15626" width="12.5" style="169" customWidth="1"/>
    <col min="15627" max="15627" width="13.25" style="169" customWidth="1"/>
    <col min="15628" max="15635" width="3.125" style="169" customWidth="1"/>
    <col min="15636" max="15636" width="27.625" style="169" bestFit="1" customWidth="1"/>
    <col min="15637" max="15637" width="25.75" style="169" customWidth="1"/>
    <col min="15638" max="15638" width="10.625" style="169" bestFit="1" customWidth="1"/>
    <col min="15639" max="15639" width="11.5" style="169" customWidth="1"/>
    <col min="15640" max="15641" width="11.375" style="169" bestFit="1" customWidth="1"/>
    <col min="15642" max="15642" width="9" style="169"/>
    <col min="15643" max="15643" width="8.875" style="169" customWidth="1"/>
    <col min="15644" max="15873" width="9" style="169"/>
    <col min="15874" max="15874" width="2.25" style="169" customWidth="1"/>
    <col min="15875" max="15875" width="3.75" style="169" customWidth="1"/>
    <col min="15876" max="15876" width="4.125" style="169" customWidth="1"/>
    <col min="15877" max="15877" width="10.5" style="169" customWidth="1"/>
    <col min="15878" max="15878" width="13" style="169" customWidth="1"/>
    <col min="15879" max="15879" width="9.5" style="169" customWidth="1"/>
    <col min="15880" max="15880" width="11.25" style="169" customWidth="1"/>
    <col min="15881" max="15881" width="10.625" style="169" customWidth="1"/>
    <col min="15882" max="15882" width="12.5" style="169" customWidth="1"/>
    <col min="15883" max="15883" width="13.25" style="169" customWidth="1"/>
    <col min="15884" max="15891" width="3.125" style="169" customWidth="1"/>
    <col min="15892" max="15892" width="27.625" style="169" bestFit="1" customWidth="1"/>
    <col min="15893" max="15893" width="25.75" style="169" customWidth="1"/>
    <col min="15894" max="15894" width="10.625" style="169" bestFit="1" customWidth="1"/>
    <col min="15895" max="15895" width="11.5" style="169" customWidth="1"/>
    <col min="15896" max="15897" width="11.375" style="169" bestFit="1" customWidth="1"/>
    <col min="15898" max="15898" width="9" style="169"/>
    <col min="15899" max="15899" width="8.875" style="169" customWidth="1"/>
    <col min="15900" max="16129" width="9" style="169"/>
    <col min="16130" max="16130" width="2.25" style="169" customWidth="1"/>
    <col min="16131" max="16131" width="3.75" style="169" customWidth="1"/>
    <col min="16132" max="16132" width="4.125" style="169" customWidth="1"/>
    <col min="16133" max="16133" width="10.5" style="169" customWidth="1"/>
    <col min="16134" max="16134" width="13" style="169" customWidth="1"/>
    <col min="16135" max="16135" width="9.5" style="169" customWidth="1"/>
    <col min="16136" max="16136" width="11.25" style="169" customWidth="1"/>
    <col min="16137" max="16137" width="10.625" style="169" customWidth="1"/>
    <col min="16138" max="16138" width="12.5" style="169" customWidth="1"/>
    <col min="16139" max="16139" width="13.25" style="169" customWidth="1"/>
    <col min="16140" max="16147" width="3.125" style="169" customWidth="1"/>
    <col min="16148" max="16148" width="27.625" style="169" bestFit="1" customWidth="1"/>
    <col min="16149" max="16149" width="25.75" style="169" customWidth="1"/>
    <col min="16150" max="16150" width="10.625" style="169" bestFit="1" customWidth="1"/>
    <col min="16151" max="16151" width="11.5" style="169" customWidth="1"/>
    <col min="16152" max="16153" width="11.375" style="169" bestFit="1" customWidth="1"/>
    <col min="16154" max="16154" width="9" style="169"/>
    <col min="16155" max="16155" width="8.875" style="169" customWidth="1"/>
    <col min="16156" max="16384" width="9" style="169"/>
  </cols>
  <sheetData>
    <row r="1" spans="2:20" ht="13.5" thickBot="1" x14ac:dyDescent="0.2">
      <c r="B1" s="175"/>
    </row>
    <row r="2" spans="2:20" x14ac:dyDescent="0.15">
      <c r="O2" s="170" t="s">
        <v>88</v>
      </c>
      <c r="P2" s="176" t="s">
        <v>89</v>
      </c>
      <c r="Q2" s="177"/>
      <c r="R2" s="177"/>
      <c r="S2" s="177"/>
      <c r="T2" s="178"/>
    </row>
    <row r="3" spans="2:20" ht="13.5" thickBot="1" x14ac:dyDescent="0.2">
      <c r="L3" s="167"/>
      <c r="O3" s="171" t="s">
        <v>202</v>
      </c>
      <c r="P3" s="179" t="e">
        <f ca="1">$O$3&amp;O7&amp;"（"&amp;P7&amp;"）"</f>
        <v>#REF!</v>
      </c>
      <c r="Q3" s="180"/>
      <c r="R3" s="180"/>
      <c r="S3" s="180"/>
      <c r="T3" s="181"/>
    </row>
    <row r="6" spans="2:20" x14ac:dyDescent="0.15">
      <c r="O6" s="172" t="s">
        <v>91</v>
      </c>
      <c r="P6" s="172" t="s">
        <v>92</v>
      </c>
      <c r="Q6" s="172" t="s">
        <v>93</v>
      </c>
      <c r="R6" s="172" t="s">
        <v>94</v>
      </c>
      <c r="S6" s="172" t="s">
        <v>95</v>
      </c>
      <c r="T6" s="172" t="s">
        <v>96</v>
      </c>
    </row>
    <row r="7" spans="2:20" ht="13.5" x14ac:dyDescent="0.15">
      <c r="O7" s="104" t="e">
        <f ca="1">VLOOKUP($O$3,[1]受付台帳!$A$3:$AT$1041,16,FALSE)</f>
        <v>#REF!</v>
      </c>
      <c r="P7" s="94" t="e">
        <f ca="1">VLOOKUP($O$3,[1]受付台帳!$A$4:$AU$1041,21,FALSE)</f>
        <v>#REF!</v>
      </c>
      <c r="Q7" s="94" t="e">
        <f ca="1">VLOOKUP($O$3,[1]受付台帳!$A$4:$AU$1041,13,FALSE)</f>
        <v>#REF!</v>
      </c>
      <c r="R7" s="94" t="e">
        <f ca="1">VLOOKUP($O$3,[1]受付台帳!$A$4:$AU$1041,15,FALSE)</f>
        <v>#REF!</v>
      </c>
      <c r="S7" s="94" t="e">
        <f ca="1">VLOOKUP($O$3,[1]受付台帳!$A$4:$AU$1041,14,FALSE)</f>
        <v>#REF!</v>
      </c>
      <c r="T7" s="95" t="e">
        <f ca="1">VLOOKUP($O$3,[1]受付台帳!$A$4:$AU$1041,47,FALSE)</f>
        <v>#REF!</v>
      </c>
    </row>
    <row r="21" spans="2:27" x14ac:dyDescent="0.15">
      <c r="T21" s="185"/>
      <c r="U21" s="185"/>
      <c r="V21" s="185"/>
      <c r="W21" s="185"/>
      <c r="X21" s="185"/>
    </row>
    <row r="22" spans="2:27" ht="13.5" customHeight="1" thickBot="1" x14ac:dyDescent="0.2">
      <c r="J22" s="234">
        <f ca="1">TODAY()</f>
        <v>42713</v>
      </c>
      <c r="K22" s="234"/>
      <c r="T22" s="187" t="s">
        <v>203</v>
      </c>
      <c r="U22" s="187" t="s">
        <v>204</v>
      </c>
      <c r="V22" s="187" t="s">
        <v>205</v>
      </c>
      <c r="W22" s="187" t="s">
        <v>206</v>
      </c>
      <c r="X22" s="188"/>
      <c r="Z22" s="169" t="s">
        <v>203</v>
      </c>
      <c r="AA22" s="169" t="s">
        <v>207</v>
      </c>
    </row>
    <row r="23" spans="2:27" ht="18.75" customHeight="1" thickBot="1" x14ac:dyDescent="0.2">
      <c r="B23" s="28"/>
      <c r="C23" s="28"/>
      <c r="D23" s="28"/>
      <c r="E23" s="28"/>
      <c r="F23" s="28"/>
      <c r="G23" s="28"/>
      <c r="K23" s="158"/>
      <c r="T23" s="189" t="s">
        <v>208</v>
      </c>
      <c r="U23" s="189" t="s">
        <v>209</v>
      </c>
      <c r="V23" s="189" t="e">
        <f ca="1">$S$7</f>
        <v>#REF!</v>
      </c>
      <c r="W23" s="189" t="e">
        <f ca="1">$R$7</f>
        <v>#REF!</v>
      </c>
      <c r="X23" s="186"/>
      <c r="AA23" s="46" t="e">
        <f ca="1">$Q$7</f>
        <v>#REF!</v>
      </c>
    </row>
    <row r="24" spans="2:27" ht="18.75" customHeight="1" x14ac:dyDescent="0.15">
      <c r="B24" s="28" t="e">
        <f ca="1">P7&amp;"　御中"</f>
        <v>#REF!</v>
      </c>
      <c r="C24" s="28"/>
      <c r="D24" s="28"/>
      <c r="E24" s="28"/>
      <c r="F24" s="28"/>
      <c r="G24" s="28"/>
      <c r="K24" s="158"/>
      <c r="Z24" s="169" t="s">
        <v>210</v>
      </c>
    </row>
    <row r="25" spans="2:27" ht="18.75" customHeight="1" x14ac:dyDescent="0.15">
      <c r="K25" s="158"/>
      <c r="T25" s="169" t="s">
        <v>211</v>
      </c>
      <c r="U25" s="169" t="s">
        <v>212</v>
      </c>
      <c r="V25" s="169" t="s">
        <v>213</v>
      </c>
      <c r="Z25" s="169" t="s">
        <v>214</v>
      </c>
      <c r="AA25" s="46" t="s">
        <v>215</v>
      </c>
    </row>
    <row r="26" spans="2:27" ht="13.5" x14ac:dyDescent="0.15">
      <c r="K26" s="197" t="s">
        <v>216</v>
      </c>
      <c r="T26" s="169" t="e">
        <f ca="1">$T$23&amp;" "&amp;$U$23&amp;" ( "&amp;$V$22&amp;$V$23&amp;" "&amp;$W$22&amp;$W$23&amp;" )"</f>
        <v>#REF!</v>
      </c>
      <c r="U26" s="169" t="s">
        <v>217</v>
      </c>
      <c r="V26" s="169" t="s">
        <v>218</v>
      </c>
      <c r="Z26" s="169" t="s">
        <v>219</v>
      </c>
      <c r="AA26" s="46" t="s">
        <v>220</v>
      </c>
    </row>
    <row r="27" spans="2:27" ht="13.5" x14ac:dyDescent="0.15">
      <c r="K27" s="197" t="s">
        <v>221</v>
      </c>
      <c r="U27" s="169" t="s">
        <v>222</v>
      </c>
      <c r="V27" s="169" t="s">
        <v>223</v>
      </c>
      <c r="AA27" s="46" t="s">
        <v>224</v>
      </c>
    </row>
    <row r="28" spans="2:27" ht="13.5" x14ac:dyDescent="0.15">
      <c r="K28" s="198" t="s">
        <v>225</v>
      </c>
      <c r="U28" s="169" t="s">
        <v>226</v>
      </c>
      <c r="V28" s="169" t="s">
        <v>227</v>
      </c>
      <c r="AA28" s="46"/>
    </row>
    <row r="29" spans="2:27" ht="13.5" x14ac:dyDescent="0.15">
      <c r="K29" s="197" t="s">
        <v>228</v>
      </c>
      <c r="V29" s="169" t="s">
        <v>229</v>
      </c>
      <c r="AA29" s="46" t="s">
        <v>230</v>
      </c>
    </row>
    <row r="30" spans="2:27" ht="13.5" x14ac:dyDescent="0.15">
      <c r="AA30" s="46" t="s">
        <v>231</v>
      </c>
    </row>
    <row r="31" spans="2:27" ht="13.5" x14ac:dyDescent="0.15">
      <c r="B31" s="235" t="s">
        <v>232</v>
      </c>
      <c r="C31" s="235"/>
      <c r="D31" s="235"/>
      <c r="E31" s="235"/>
      <c r="F31" s="235"/>
      <c r="G31" s="235"/>
      <c r="H31" s="235"/>
      <c r="I31" s="235"/>
      <c r="J31" s="235"/>
      <c r="K31" s="235"/>
      <c r="AA31" s="46" t="s">
        <v>233</v>
      </c>
    </row>
    <row r="32" spans="2:27" ht="13.5" x14ac:dyDescent="0.15">
      <c r="B32" s="235"/>
      <c r="C32" s="235"/>
      <c r="D32" s="235"/>
      <c r="E32" s="235"/>
      <c r="F32" s="235"/>
      <c r="G32" s="235"/>
      <c r="H32" s="235"/>
      <c r="I32" s="235"/>
      <c r="J32" s="235"/>
      <c r="K32" s="235"/>
      <c r="AA32" s="46" t="s">
        <v>234</v>
      </c>
    </row>
    <row r="33" spans="2:27" ht="13.5" x14ac:dyDescent="0.15">
      <c r="B33" s="235"/>
      <c r="C33" s="235"/>
      <c r="D33" s="235"/>
      <c r="E33" s="235"/>
      <c r="F33" s="235"/>
      <c r="G33" s="235"/>
      <c r="H33" s="235"/>
      <c r="I33" s="235"/>
      <c r="J33" s="235"/>
      <c r="K33" s="235"/>
      <c r="AA33" s="46"/>
    </row>
    <row r="34" spans="2:27" ht="13.5" x14ac:dyDescent="0.15">
      <c r="B34" s="190"/>
      <c r="C34" s="190"/>
      <c r="D34" s="190"/>
      <c r="E34" s="190"/>
      <c r="F34" s="190"/>
      <c r="G34" s="190"/>
      <c r="H34" s="190"/>
      <c r="I34" s="190"/>
      <c r="J34" s="190"/>
      <c r="K34" s="190"/>
      <c r="AA34" s="46" t="s">
        <v>235</v>
      </c>
    </row>
    <row r="35" spans="2:27" ht="13.5" x14ac:dyDescent="0.15">
      <c r="B35" s="191"/>
      <c r="C35" s="191"/>
      <c r="D35" s="191"/>
      <c r="E35" s="191"/>
      <c r="F35" s="191"/>
      <c r="G35" s="191"/>
      <c r="H35" s="191"/>
      <c r="I35" s="191"/>
      <c r="J35" s="191"/>
      <c r="K35" s="191"/>
      <c r="AA35" s="46" t="s">
        <v>236</v>
      </c>
    </row>
    <row r="36" spans="2:27" ht="13.5" customHeight="1" x14ac:dyDescent="0.15">
      <c r="B36" s="191" t="s">
        <v>87</v>
      </c>
      <c r="C36" s="191"/>
      <c r="D36" s="191"/>
      <c r="E36" s="191"/>
      <c r="F36" s="191"/>
      <c r="G36" s="191"/>
      <c r="H36" s="191"/>
      <c r="I36" s="191"/>
      <c r="J36" s="191"/>
      <c r="K36" s="191"/>
      <c r="AA36" s="46" t="s">
        <v>237</v>
      </c>
    </row>
    <row r="37" spans="2:27" ht="12.75" customHeight="1" x14ac:dyDescent="0.15">
      <c r="B37" s="190"/>
      <c r="C37" s="236" t="s">
        <v>238</v>
      </c>
      <c r="D37" s="236"/>
      <c r="E37" s="236"/>
      <c r="F37" s="236"/>
      <c r="G37" s="236"/>
      <c r="H37" s="236"/>
      <c r="I37" s="236"/>
      <c r="J37" s="236"/>
      <c r="K37" s="236"/>
      <c r="AA37" s="46" t="s">
        <v>239</v>
      </c>
    </row>
    <row r="38" spans="2:27" ht="13.5" x14ac:dyDescent="0.15">
      <c r="B38" s="190"/>
      <c r="C38" s="236"/>
      <c r="D38" s="236"/>
      <c r="E38" s="236"/>
      <c r="F38" s="236"/>
      <c r="G38" s="236"/>
      <c r="H38" s="236"/>
      <c r="I38" s="236"/>
      <c r="J38" s="236"/>
      <c r="K38" s="236"/>
      <c r="AA38" s="46"/>
    </row>
    <row r="39" spans="2:27" ht="13.5" customHeight="1" x14ac:dyDescent="0.15">
      <c r="B39" s="190"/>
      <c r="C39" s="236"/>
      <c r="D39" s="236"/>
      <c r="E39" s="236"/>
      <c r="F39" s="236"/>
      <c r="G39" s="236"/>
      <c r="H39" s="236"/>
      <c r="I39" s="236"/>
      <c r="J39" s="236"/>
      <c r="K39" s="236"/>
      <c r="AA39" s="46" t="s">
        <v>240</v>
      </c>
    </row>
    <row r="40" spans="2:27" ht="13.5" x14ac:dyDescent="0.15">
      <c r="B40" s="190"/>
      <c r="C40" s="236"/>
      <c r="D40" s="236"/>
      <c r="E40" s="236"/>
      <c r="F40" s="236"/>
      <c r="G40" s="236"/>
      <c r="H40" s="236"/>
      <c r="I40" s="236"/>
      <c r="J40" s="236"/>
      <c r="K40" s="236"/>
      <c r="S40" s="169" t="s">
        <v>241</v>
      </c>
      <c r="AA40" s="184" t="s">
        <v>242</v>
      </c>
    </row>
    <row r="41" spans="2:27" ht="13.5" x14ac:dyDescent="0.15">
      <c r="B41" s="190"/>
      <c r="C41" s="236"/>
      <c r="D41" s="236"/>
      <c r="E41" s="236"/>
      <c r="F41" s="236"/>
      <c r="G41" s="236"/>
      <c r="H41" s="236"/>
      <c r="I41" s="236"/>
      <c r="J41" s="236"/>
      <c r="K41" s="236"/>
      <c r="AA41" s="184" t="s">
        <v>243</v>
      </c>
    </row>
    <row r="42" spans="2:27" ht="13.5" customHeight="1" x14ac:dyDescent="0.15">
      <c r="B42" s="190"/>
      <c r="C42" s="236"/>
      <c r="D42" s="236"/>
      <c r="E42" s="236"/>
      <c r="F42" s="236"/>
      <c r="G42" s="236"/>
      <c r="H42" s="236"/>
      <c r="I42" s="236"/>
      <c r="J42" s="236"/>
      <c r="K42" s="236"/>
      <c r="AA42" s="184" t="s">
        <v>244</v>
      </c>
    </row>
    <row r="43" spans="2:27" ht="15" customHeight="1" x14ac:dyDescent="0.15">
      <c r="B43" s="190"/>
      <c r="C43" s="190"/>
      <c r="D43" s="190"/>
      <c r="E43" s="190"/>
      <c r="F43" s="190"/>
      <c r="G43" s="190"/>
      <c r="H43" s="190"/>
      <c r="I43" s="190"/>
      <c r="J43" s="190"/>
      <c r="K43" s="192"/>
      <c r="AA43" s="184" t="s">
        <v>245</v>
      </c>
    </row>
    <row r="44" spans="2:27" ht="13.5" customHeight="1" x14ac:dyDescent="0.15">
      <c r="B44" s="191"/>
      <c r="C44" s="191"/>
      <c r="D44" s="191"/>
      <c r="E44" s="191"/>
      <c r="F44" s="191"/>
      <c r="G44" s="191"/>
      <c r="H44" s="191"/>
      <c r="I44" s="191"/>
      <c r="J44" s="191"/>
      <c r="K44" s="192" t="s">
        <v>246</v>
      </c>
      <c r="AA44" s="184" t="s">
        <v>247</v>
      </c>
    </row>
    <row r="45" spans="2:27" ht="13.5" customHeight="1" x14ac:dyDescent="0.15">
      <c r="B45" s="237" t="s">
        <v>248</v>
      </c>
      <c r="C45" s="237"/>
      <c r="D45" s="237"/>
      <c r="E45" s="237"/>
      <c r="F45" s="237"/>
      <c r="G45" s="237"/>
      <c r="H45" s="237"/>
      <c r="I45" s="237"/>
      <c r="J45" s="237"/>
      <c r="K45" s="237"/>
      <c r="AA45" s="184" t="s">
        <v>243</v>
      </c>
    </row>
    <row r="46" spans="2:27" ht="13.5" x14ac:dyDescent="0.15">
      <c r="B46" s="191"/>
      <c r="C46" s="191"/>
      <c r="D46" s="191"/>
      <c r="E46" s="193"/>
      <c r="F46" s="193"/>
      <c r="G46" s="193"/>
      <c r="H46" s="193"/>
      <c r="I46" s="193"/>
      <c r="J46" s="193"/>
      <c r="K46" s="193"/>
      <c r="AA46" s="185" t="s">
        <v>249</v>
      </c>
    </row>
    <row r="47" spans="2:27" ht="13.5" x14ac:dyDescent="0.15">
      <c r="B47" s="238" t="s">
        <v>250</v>
      </c>
      <c r="C47" s="238"/>
      <c r="D47" s="238"/>
      <c r="E47" s="239" t="e">
        <f ca="1">$T$26</f>
        <v>#REF!</v>
      </c>
      <c r="F47" s="239"/>
      <c r="G47" s="239"/>
      <c r="H47" s="239"/>
      <c r="I47" s="239"/>
      <c r="J47" s="239"/>
      <c r="K47" s="239"/>
      <c r="AA47" s="185" t="s">
        <v>251</v>
      </c>
    </row>
    <row r="48" spans="2:27" ht="13.5" x14ac:dyDescent="0.15">
      <c r="B48" s="191"/>
      <c r="C48" s="194"/>
      <c r="D48" s="194"/>
      <c r="E48" s="193"/>
      <c r="F48" s="193"/>
      <c r="G48" s="193"/>
      <c r="H48" s="193"/>
      <c r="I48" s="193"/>
      <c r="J48" s="193"/>
      <c r="K48" s="193"/>
    </row>
    <row r="49" spans="2:11" ht="13.5" x14ac:dyDescent="0.15">
      <c r="B49" s="238" t="s">
        <v>252</v>
      </c>
      <c r="C49" s="238"/>
      <c r="D49" s="238"/>
      <c r="E49" s="239" t="s">
        <v>253</v>
      </c>
      <c r="F49" s="239"/>
      <c r="G49" s="239"/>
      <c r="H49" s="239"/>
      <c r="I49" s="239"/>
      <c r="J49" s="239"/>
      <c r="K49" s="239"/>
    </row>
    <row r="50" spans="2:11" ht="13.5" x14ac:dyDescent="0.15">
      <c r="B50" s="191"/>
      <c r="C50" s="194"/>
      <c r="D50" s="194"/>
      <c r="E50" s="193"/>
      <c r="F50" s="193"/>
      <c r="G50" s="193"/>
      <c r="H50" s="193"/>
      <c r="I50" s="193"/>
      <c r="J50" s="193"/>
      <c r="K50" s="193"/>
    </row>
    <row r="51" spans="2:11" ht="12.75" customHeight="1" x14ac:dyDescent="0.15">
      <c r="B51" s="238" t="s">
        <v>254</v>
      </c>
      <c r="C51" s="238"/>
      <c r="D51" s="238"/>
      <c r="E51" s="239" t="s">
        <v>255</v>
      </c>
      <c r="F51" s="239"/>
      <c r="G51" s="239"/>
      <c r="H51" s="239"/>
      <c r="I51" s="239"/>
      <c r="J51" s="239"/>
      <c r="K51" s="239"/>
    </row>
    <row r="52" spans="2:11" ht="13.5" x14ac:dyDescent="0.15">
      <c r="B52" s="191"/>
      <c r="C52" s="194"/>
      <c r="D52" s="194"/>
      <c r="E52" s="194"/>
      <c r="F52" s="191"/>
      <c r="G52" s="191"/>
      <c r="H52" s="191"/>
      <c r="I52" s="191"/>
      <c r="J52" s="191"/>
      <c r="K52" s="191"/>
    </row>
    <row r="53" spans="2:11" ht="13.5" x14ac:dyDescent="0.15">
      <c r="B53" s="238" t="s">
        <v>256</v>
      </c>
      <c r="C53" s="238"/>
      <c r="D53" s="238"/>
      <c r="E53" s="236" t="s">
        <v>257</v>
      </c>
      <c r="F53" s="236"/>
      <c r="G53" s="236"/>
      <c r="H53" s="236"/>
      <c r="I53" s="236"/>
      <c r="J53" s="236"/>
      <c r="K53" s="236"/>
    </row>
    <row r="54" spans="2:11" ht="13.5" x14ac:dyDescent="0.15">
      <c r="B54" s="191"/>
      <c r="C54" s="191"/>
      <c r="D54" s="191"/>
      <c r="E54" s="236"/>
      <c r="F54" s="236"/>
      <c r="G54" s="236"/>
      <c r="H54" s="236"/>
      <c r="I54" s="236"/>
      <c r="J54" s="236"/>
      <c r="K54" s="236"/>
    </row>
    <row r="55" spans="2:11" ht="13.5" x14ac:dyDescent="0.15">
      <c r="B55" s="191"/>
      <c r="C55" s="191"/>
      <c r="D55" s="191"/>
      <c r="E55" s="236"/>
      <c r="F55" s="236"/>
      <c r="G55" s="236"/>
      <c r="H55" s="236"/>
      <c r="I55" s="236"/>
      <c r="J55" s="236"/>
      <c r="K55" s="236"/>
    </row>
    <row r="56" spans="2:11" ht="13.5" x14ac:dyDescent="0.15">
      <c r="B56" s="191"/>
      <c r="C56" s="191"/>
      <c r="D56" s="191"/>
      <c r="E56" s="236"/>
      <c r="F56" s="236"/>
      <c r="G56" s="236"/>
      <c r="H56" s="236"/>
      <c r="I56" s="236"/>
      <c r="J56" s="236"/>
      <c r="K56" s="236"/>
    </row>
    <row r="57" spans="2:11" ht="13.5" x14ac:dyDescent="0.15">
      <c r="B57" s="191"/>
      <c r="C57" s="191"/>
      <c r="D57" s="191"/>
      <c r="E57" s="236"/>
      <c r="F57" s="236"/>
      <c r="G57" s="236"/>
      <c r="H57" s="236"/>
      <c r="I57" s="236"/>
      <c r="J57" s="236"/>
      <c r="K57" s="236"/>
    </row>
    <row r="58" spans="2:11" ht="13.5" x14ac:dyDescent="0.15">
      <c r="B58" s="191"/>
      <c r="C58" s="191"/>
      <c r="D58" s="191"/>
      <c r="E58" s="236"/>
      <c r="F58" s="236"/>
      <c r="G58" s="236"/>
      <c r="H58" s="236"/>
      <c r="I58" s="236"/>
      <c r="J58" s="236"/>
      <c r="K58" s="236"/>
    </row>
    <row r="59" spans="2:11" ht="13.5" x14ac:dyDescent="0.15">
      <c r="B59" s="191"/>
      <c r="C59" s="191"/>
      <c r="D59" s="191"/>
      <c r="E59" s="236"/>
      <c r="F59" s="236"/>
      <c r="G59" s="236"/>
      <c r="H59" s="236"/>
      <c r="I59" s="236"/>
      <c r="J59" s="236"/>
      <c r="K59" s="236"/>
    </row>
    <row r="60" spans="2:11" ht="13.5" x14ac:dyDescent="0.15">
      <c r="B60" s="191"/>
      <c r="C60" s="191"/>
      <c r="D60" s="191"/>
      <c r="E60" s="236"/>
      <c r="F60" s="236"/>
      <c r="G60" s="236"/>
      <c r="H60" s="236"/>
      <c r="I60" s="236"/>
      <c r="J60" s="236"/>
      <c r="K60" s="236"/>
    </row>
    <row r="61" spans="2:11" ht="13.5" x14ac:dyDescent="0.15">
      <c r="B61" s="191"/>
      <c r="C61" s="191"/>
      <c r="D61" s="191"/>
      <c r="E61" s="191"/>
      <c r="F61" s="191"/>
      <c r="G61" s="191"/>
      <c r="H61" s="191"/>
      <c r="I61" s="191"/>
      <c r="J61" s="191"/>
      <c r="K61" s="194" t="s">
        <v>146</v>
      </c>
    </row>
    <row r="62" spans="2:11" ht="13.5" x14ac:dyDescent="0.15">
      <c r="B62" s="191"/>
      <c r="C62" s="191"/>
      <c r="D62" s="191"/>
      <c r="E62" s="191"/>
      <c r="F62" s="191"/>
      <c r="G62" s="191"/>
      <c r="H62" s="191"/>
      <c r="I62" s="191"/>
      <c r="J62" s="191"/>
      <c r="K62" s="191"/>
    </row>
    <row r="63" spans="2:11" ht="13.5" x14ac:dyDescent="0.15">
      <c r="B63" s="191"/>
      <c r="C63" s="191"/>
      <c r="D63" s="191"/>
      <c r="E63" s="191"/>
      <c r="F63" s="191"/>
      <c r="G63" s="191"/>
      <c r="H63" s="191"/>
      <c r="I63" s="191"/>
      <c r="J63" s="191"/>
      <c r="K63" s="191"/>
    </row>
    <row r="64" spans="2:11" ht="13.5" x14ac:dyDescent="0.15">
      <c r="B64" s="191"/>
      <c r="C64" s="191"/>
      <c r="D64" s="191"/>
      <c r="E64" s="191"/>
      <c r="F64" s="191"/>
      <c r="G64" s="191"/>
      <c r="H64" s="191"/>
      <c r="I64" s="191"/>
      <c r="J64" s="191"/>
      <c r="K64" s="191"/>
    </row>
    <row r="65" spans="2:11" ht="13.5" x14ac:dyDescent="0.15">
      <c r="B65" s="191"/>
      <c r="C65" s="191"/>
      <c r="D65" s="191"/>
      <c r="E65" s="191"/>
      <c r="F65" s="191"/>
      <c r="G65" s="191"/>
      <c r="H65" s="191"/>
      <c r="I65" s="191"/>
      <c r="J65" s="191"/>
      <c r="K65" s="191"/>
    </row>
    <row r="66" spans="2:11" ht="13.5" x14ac:dyDescent="0.15">
      <c r="B66" s="191"/>
      <c r="C66" s="191"/>
      <c r="D66" s="191"/>
      <c r="E66" s="191"/>
      <c r="F66" s="191"/>
      <c r="G66" s="191"/>
      <c r="H66" s="191"/>
      <c r="I66" s="191"/>
      <c r="J66" s="191"/>
      <c r="K66" s="191"/>
    </row>
    <row r="67" spans="2:11" ht="13.5" x14ac:dyDescent="0.15">
      <c r="B67" s="191"/>
      <c r="C67" s="191"/>
      <c r="D67" s="191"/>
      <c r="E67" s="191"/>
      <c r="F67" s="191"/>
      <c r="G67" s="191"/>
      <c r="H67" s="191"/>
      <c r="I67" s="191"/>
      <c r="J67" s="191"/>
      <c r="K67" s="191"/>
    </row>
    <row r="68" spans="2:11" ht="13.5" x14ac:dyDescent="0.15">
      <c r="B68" s="191"/>
      <c r="C68" s="191"/>
      <c r="D68" s="191"/>
      <c r="E68" s="191"/>
      <c r="F68" s="191"/>
      <c r="G68" s="191"/>
      <c r="H68" s="191"/>
      <c r="I68" s="191"/>
      <c r="J68" s="191"/>
      <c r="K68" s="191"/>
    </row>
    <row r="69" spans="2:11" ht="13.5" customHeight="1" x14ac:dyDescent="0.15">
      <c r="B69" s="191"/>
      <c r="C69" s="191"/>
      <c r="D69" s="191"/>
      <c r="E69" s="191"/>
      <c r="F69" s="191"/>
      <c r="G69" s="191"/>
      <c r="H69" s="191"/>
      <c r="I69" s="191"/>
      <c r="J69" s="191"/>
      <c r="K69" s="191"/>
    </row>
    <row r="70" spans="2:11" ht="13.5" x14ac:dyDescent="0.15">
      <c r="B70" s="191"/>
      <c r="C70" s="191"/>
      <c r="D70" s="191"/>
      <c r="E70" s="191"/>
      <c r="F70" s="191"/>
      <c r="G70" s="191"/>
      <c r="H70" s="191"/>
      <c r="I70" s="191"/>
      <c r="J70" s="191"/>
      <c r="K70" s="191"/>
    </row>
    <row r="71" spans="2:11" ht="13.5" x14ac:dyDescent="0.15">
      <c r="B71" s="195"/>
      <c r="C71" s="196"/>
      <c r="D71" s="196"/>
      <c r="E71" s="196"/>
      <c r="F71" s="196"/>
      <c r="G71" s="196"/>
      <c r="H71" s="196"/>
      <c r="I71" s="196"/>
      <c r="J71" s="196"/>
      <c r="K71" s="196"/>
    </row>
    <row r="72" spans="2:11" ht="13.5" x14ac:dyDescent="0.15">
      <c r="B72" s="191"/>
      <c r="C72" s="191"/>
      <c r="D72" s="191"/>
      <c r="E72" s="191"/>
      <c r="F72" s="191"/>
      <c r="G72" s="191"/>
      <c r="H72" s="191"/>
      <c r="I72" s="191"/>
      <c r="J72" s="191"/>
      <c r="K72" s="194"/>
    </row>
    <row r="74" spans="2:11" ht="13.5" customHeight="1" x14ac:dyDescent="0.15"/>
    <row r="75" spans="2:11" ht="15" customHeight="1" x14ac:dyDescent="0.15"/>
  </sheetData>
  <mergeCells count="14">
    <mergeCell ref="B53:D53"/>
    <mergeCell ref="E53:K60"/>
    <mergeCell ref="B47:D47"/>
    <mergeCell ref="E47:K47"/>
    <mergeCell ref="B49:D49"/>
    <mergeCell ref="E49:K49"/>
    <mergeCell ref="B51:D51"/>
    <mergeCell ref="E51:K51"/>
    <mergeCell ref="J22:K22"/>
    <mergeCell ref="B23:G23"/>
    <mergeCell ref="B24:G24"/>
    <mergeCell ref="B31:K33"/>
    <mergeCell ref="C37:K42"/>
    <mergeCell ref="B45:K45"/>
  </mergeCells>
  <phoneticPr fontId="53"/>
  <dataValidations count="4">
    <dataValidation type="list" allowBlank="1" showInputMessage="1" showErrorMessage="1" sqref="T23 JP23 TL23 ADH23 AND23 AWZ23 BGV23 BQR23 CAN23 CKJ23 CUF23 DEB23 DNX23 DXT23 EHP23 ERL23 FBH23 FLD23 FUZ23 GEV23 GOR23 GYN23 HIJ23 HSF23 ICB23 ILX23 IVT23 JFP23 JPL23 JZH23 KJD23 KSZ23 LCV23 LMR23 LWN23 MGJ23 MQF23 NAB23 NJX23 NTT23 ODP23 ONL23 OXH23 PHD23 PQZ23 QAV23 QKR23 QUN23 REJ23 ROF23 RYB23 SHX23 SRT23 TBP23 TLL23 TVH23 UFD23 UOZ23 UYV23 VIR23 VSN23 WCJ23 WMF23 WWB23 T65559 JP65559 TL65559 ADH65559 AND65559 AWZ65559 BGV65559 BQR65559 CAN65559 CKJ65559 CUF65559 DEB65559 DNX65559 DXT65559 EHP65559 ERL65559 FBH65559 FLD65559 FUZ65559 GEV65559 GOR65559 GYN65559 HIJ65559 HSF65559 ICB65559 ILX65559 IVT65559 JFP65559 JPL65559 JZH65559 KJD65559 KSZ65559 LCV65559 LMR65559 LWN65559 MGJ65559 MQF65559 NAB65559 NJX65559 NTT65559 ODP65559 ONL65559 OXH65559 PHD65559 PQZ65559 QAV65559 QKR65559 QUN65559 REJ65559 ROF65559 RYB65559 SHX65559 SRT65559 TBP65559 TLL65559 TVH65559 UFD65559 UOZ65559 UYV65559 VIR65559 VSN65559 WCJ65559 WMF65559 WWB65559 T131095 JP131095 TL131095 ADH131095 AND131095 AWZ131095 BGV131095 BQR131095 CAN131095 CKJ131095 CUF131095 DEB131095 DNX131095 DXT131095 EHP131095 ERL131095 FBH131095 FLD131095 FUZ131095 GEV131095 GOR131095 GYN131095 HIJ131095 HSF131095 ICB131095 ILX131095 IVT131095 JFP131095 JPL131095 JZH131095 KJD131095 KSZ131095 LCV131095 LMR131095 LWN131095 MGJ131095 MQF131095 NAB131095 NJX131095 NTT131095 ODP131095 ONL131095 OXH131095 PHD131095 PQZ131095 QAV131095 QKR131095 QUN131095 REJ131095 ROF131095 RYB131095 SHX131095 SRT131095 TBP131095 TLL131095 TVH131095 UFD131095 UOZ131095 UYV131095 VIR131095 VSN131095 WCJ131095 WMF131095 WWB131095 T196631 JP196631 TL196631 ADH196631 AND196631 AWZ196631 BGV196631 BQR196631 CAN196631 CKJ196631 CUF196631 DEB196631 DNX196631 DXT196631 EHP196631 ERL196631 FBH196631 FLD196631 FUZ196631 GEV196631 GOR196631 GYN196631 HIJ196631 HSF196631 ICB196631 ILX196631 IVT196631 JFP196631 JPL196631 JZH196631 KJD196631 KSZ196631 LCV196631 LMR196631 LWN196631 MGJ196631 MQF196631 NAB196631 NJX196631 NTT196631 ODP196631 ONL196631 OXH196631 PHD196631 PQZ196631 QAV196631 QKR196631 QUN196631 REJ196631 ROF196631 RYB196631 SHX196631 SRT196631 TBP196631 TLL196631 TVH196631 UFD196631 UOZ196631 UYV196631 VIR196631 VSN196631 WCJ196631 WMF196631 WWB196631 T262167 JP262167 TL262167 ADH262167 AND262167 AWZ262167 BGV262167 BQR262167 CAN262167 CKJ262167 CUF262167 DEB262167 DNX262167 DXT262167 EHP262167 ERL262167 FBH262167 FLD262167 FUZ262167 GEV262167 GOR262167 GYN262167 HIJ262167 HSF262167 ICB262167 ILX262167 IVT262167 JFP262167 JPL262167 JZH262167 KJD262167 KSZ262167 LCV262167 LMR262167 LWN262167 MGJ262167 MQF262167 NAB262167 NJX262167 NTT262167 ODP262167 ONL262167 OXH262167 PHD262167 PQZ262167 QAV262167 QKR262167 QUN262167 REJ262167 ROF262167 RYB262167 SHX262167 SRT262167 TBP262167 TLL262167 TVH262167 UFD262167 UOZ262167 UYV262167 VIR262167 VSN262167 WCJ262167 WMF262167 WWB262167 T327703 JP327703 TL327703 ADH327703 AND327703 AWZ327703 BGV327703 BQR327703 CAN327703 CKJ327703 CUF327703 DEB327703 DNX327703 DXT327703 EHP327703 ERL327703 FBH327703 FLD327703 FUZ327703 GEV327703 GOR327703 GYN327703 HIJ327703 HSF327703 ICB327703 ILX327703 IVT327703 JFP327703 JPL327703 JZH327703 KJD327703 KSZ327703 LCV327703 LMR327703 LWN327703 MGJ327703 MQF327703 NAB327703 NJX327703 NTT327703 ODP327703 ONL327703 OXH327703 PHD327703 PQZ327703 QAV327703 QKR327703 QUN327703 REJ327703 ROF327703 RYB327703 SHX327703 SRT327703 TBP327703 TLL327703 TVH327703 UFD327703 UOZ327703 UYV327703 VIR327703 VSN327703 WCJ327703 WMF327703 WWB327703 T393239 JP393239 TL393239 ADH393239 AND393239 AWZ393239 BGV393239 BQR393239 CAN393239 CKJ393239 CUF393239 DEB393239 DNX393239 DXT393239 EHP393239 ERL393239 FBH393239 FLD393239 FUZ393239 GEV393239 GOR393239 GYN393239 HIJ393239 HSF393239 ICB393239 ILX393239 IVT393239 JFP393239 JPL393239 JZH393239 KJD393239 KSZ393239 LCV393239 LMR393239 LWN393239 MGJ393239 MQF393239 NAB393239 NJX393239 NTT393239 ODP393239 ONL393239 OXH393239 PHD393239 PQZ393239 QAV393239 QKR393239 QUN393239 REJ393239 ROF393239 RYB393239 SHX393239 SRT393239 TBP393239 TLL393239 TVH393239 UFD393239 UOZ393239 UYV393239 VIR393239 VSN393239 WCJ393239 WMF393239 WWB393239 T458775 JP458775 TL458775 ADH458775 AND458775 AWZ458775 BGV458775 BQR458775 CAN458775 CKJ458775 CUF458775 DEB458775 DNX458775 DXT458775 EHP458775 ERL458775 FBH458775 FLD458775 FUZ458775 GEV458775 GOR458775 GYN458775 HIJ458775 HSF458775 ICB458775 ILX458775 IVT458775 JFP458775 JPL458775 JZH458775 KJD458775 KSZ458775 LCV458775 LMR458775 LWN458775 MGJ458775 MQF458775 NAB458775 NJX458775 NTT458775 ODP458775 ONL458775 OXH458775 PHD458775 PQZ458775 QAV458775 QKR458775 QUN458775 REJ458775 ROF458775 RYB458775 SHX458775 SRT458775 TBP458775 TLL458775 TVH458775 UFD458775 UOZ458775 UYV458775 VIR458775 VSN458775 WCJ458775 WMF458775 WWB458775 T524311 JP524311 TL524311 ADH524311 AND524311 AWZ524311 BGV524311 BQR524311 CAN524311 CKJ524311 CUF524311 DEB524311 DNX524311 DXT524311 EHP524311 ERL524311 FBH524311 FLD524311 FUZ524311 GEV524311 GOR524311 GYN524311 HIJ524311 HSF524311 ICB524311 ILX524311 IVT524311 JFP524311 JPL524311 JZH524311 KJD524311 KSZ524311 LCV524311 LMR524311 LWN524311 MGJ524311 MQF524311 NAB524311 NJX524311 NTT524311 ODP524311 ONL524311 OXH524311 PHD524311 PQZ524311 QAV524311 QKR524311 QUN524311 REJ524311 ROF524311 RYB524311 SHX524311 SRT524311 TBP524311 TLL524311 TVH524311 UFD524311 UOZ524311 UYV524311 VIR524311 VSN524311 WCJ524311 WMF524311 WWB524311 T589847 JP589847 TL589847 ADH589847 AND589847 AWZ589847 BGV589847 BQR589847 CAN589847 CKJ589847 CUF589847 DEB589847 DNX589847 DXT589847 EHP589847 ERL589847 FBH589847 FLD589847 FUZ589847 GEV589847 GOR589847 GYN589847 HIJ589847 HSF589847 ICB589847 ILX589847 IVT589847 JFP589847 JPL589847 JZH589847 KJD589847 KSZ589847 LCV589847 LMR589847 LWN589847 MGJ589847 MQF589847 NAB589847 NJX589847 NTT589847 ODP589847 ONL589847 OXH589847 PHD589847 PQZ589847 QAV589847 QKR589847 QUN589847 REJ589847 ROF589847 RYB589847 SHX589847 SRT589847 TBP589847 TLL589847 TVH589847 UFD589847 UOZ589847 UYV589847 VIR589847 VSN589847 WCJ589847 WMF589847 WWB589847 T655383 JP655383 TL655383 ADH655383 AND655383 AWZ655383 BGV655383 BQR655383 CAN655383 CKJ655383 CUF655383 DEB655383 DNX655383 DXT655383 EHP655383 ERL655383 FBH655383 FLD655383 FUZ655383 GEV655383 GOR655383 GYN655383 HIJ655383 HSF655383 ICB655383 ILX655383 IVT655383 JFP655383 JPL655383 JZH655383 KJD655383 KSZ655383 LCV655383 LMR655383 LWN655383 MGJ655383 MQF655383 NAB655383 NJX655383 NTT655383 ODP655383 ONL655383 OXH655383 PHD655383 PQZ655383 QAV655383 QKR655383 QUN655383 REJ655383 ROF655383 RYB655383 SHX655383 SRT655383 TBP655383 TLL655383 TVH655383 UFD655383 UOZ655383 UYV655383 VIR655383 VSN655383 WCJ655383 WMF655383 WWB655383 T720919 JP720919 TL720919 ADH720919 AND720919 AWZ720919 BGV720919 BQR720919 CAN720919 CKJ720919 CUF720919 DEB720919 DNX720919 DXT720919 EHP720919 ERL720919 FBH720919 FLD720919 FUZ720919 GEV720919 GOR720919 GYN720919 HIJ720919 HSF720919 ICB720919 ILX720919 IVT720919 JFP720919 JPL720919 JZH720919 KJD720919 KSZ720919 LCV720919 LMR720919 LWN720919 MGJ720919 MQF720919 NAB720919 NJX720919 NTT720919 ODP720919 ONL720919 OXH720919 PHD720919 PQZ720919 QAV720919 QKR720919 QUN720919 REJ720919 ROF720919 RYB720919 SHX720919 SRT720919 TBP720919 TLL720919 TVH720919 UFD720919 UOZ720919 UYV720919 VIR720919 VSN720919 WCJ720919 WMF720919 WWB720919 T786455 JP786455 TL786455 ADH786455 AND786455 AWZ786455 BGV786455 BQR786455 CAN786455 CKJ786455 CUF786455 DEB786455 DNX786455 DXT786455 EHP786455 ERL786455 FBH786455 FLD786455 FUZ786455 GEV786455 GOR786455 GYN786455 HIJ786455 HSF786455 ICB786455 ILX786455 IVT786455 JFP786455 JPL786455 JZH786455 KJD786455 KSZ786455 LCV786455 LMR786455 LWN786455 MGJ786455 MQF786455 NAB786455 NJX786455 NTT786455 ODP786455 ONL786455 OXH786455 PHD786455 PQZ786455 QAV786455 QKR786455 QUN786455 REJ786455 ROF786455 RYB786455 SHX786455 SRT786455 TBP786455 TLL786455 TVH786455 UFD786455 UOZ786455 UYV786455 VIR786455 VSN786455 WCJ786455 WMF786455 WWB786455 T851991 JP851991 TL851991 ADH851991 AND851991 AWZ851991 BGV851991 BQR851991 CAN851991 CKJ851991 CUF851991 DEB851991 DNX851991 DXT851991 EHP851991 ERL851991 FBH851991 FLD851991 FUZ851991 GEV851991 GOR851991 GYN851991 HIJ851991 HSF851991 ICB851991 ILX851991 IVT851991 JFP851991 JPL851991 JZH851991 KJD851991 KSZ851991 LCV851991 LMR851991 LWN851991 MGJ851991 MQF851991 NAB851991 NJX851991 NTT851991 ODP851991 ONL851991 OXH851991 PHD851991 PQZ851991 QAV851991 QKR851991 QUN851991 REJ851991 ROF851991 RYB851991 SHX851991 SRT851991 TBP851991 TLL851991 TVH851991 UFD851991 UOZ851991 UYV851991 VIR851991 VSN851991 WCJ851991 WMF851991 WWB851991 T917527 JP917527 TL917527 ADH917527 AND917527 AWZ917527 BGV917527 BQR917527 CAN917527 CKJ917527 CUF917527 DEB917527 DNX917527 DXT917527 EHP917527 ERL917527 FBH917527 FLD917527 FUZ917527 GEV917527 GOR917527 GYN917527 HIJ917527 HSF917527 ICB917527 ILX917527 IVT917527 JFP917527 JPL917527 JZH917527 KJD917527 KSZ917527 LCV917527 LMR917527 LWN917527 MGJ917527 MQF917527 NAB917527 NJX917527 NTT917527 ODP917527 ONL917527 OXH917527 PHD917527 PQZ917527 QAV917527 QKR917527 QUN917527 REJ917527 ROF917527 RYB917527 SHX917527 SRT917527 TBP917527 TLL917527 TVH917527 UFD917527 UOZ917527 UYV917527 VIR917527 VSN917527 WCJ917527 WMF917527 WWB917527 T983063 JP983063 TL983063 ADH983063 AND983063 AWZ983063 BGV983063 BQR983063 CAN983063 CKJ983063 CUF983063 DEB983063 DNX983063 DXT983063 EHP983063 ERL983063 FBH983063 FLD983063 FUZ983063 GEV983063 GOR983063 GYN983063 HIJ983063 HSF983063 ICB983063 ILX983063 IVT983063 JFP983063 JPL983063 JZH983063 KJD983063 KSZ983063 LCV983063 LMR983063 LWN983063 MGJ983063 MQF983063 NAB983063 NJX983063 NTT983063 ODP983063 ONL983063 OXH983063 PHD983063 PQZ983063 QAV983063 QKR983063 QUN983063 REJ983063 ROF983063 RYB983063 SHX983063 SRT983063 TBP983063 TLL983063 TVH983063 UFD983063 UOZ983063 UYV983063 VIR983063 VSN983063 WCJ983063 WMF983063 WWB983063">
      <formula1>プローブ種別</formula1>
    </dataValidation>
    <dataValidation type="list" allowBlank="1" showInputMessage="1" showErrorMessage="1" sqref="E49:K49 JA49:JG49 SW49:TC49 ACS49:ACY49 AMO49:AMU49 AWK49:AWQ49 BGG49:BGM49 BQC49:BQI49 BZY49:CAE49 CJU49:CKA49 CTQ49:CTW49 DDM49:DDS49 DNI49:DNO49 DXE49:DXK49 EHA49:EHG49 EQW49:ERC49 FAS49:FAY49 FKO49:FKU49 FUK49:FUQ49 GEG49:GEM49 GOC49:GOI49 GXY49:GYE49 HHU49:HIA49 HRQ49:HRW49 IBM49:IBS49 ILI49:ILO49 IVE49:IVK49 JFA49:JFG49 JOW49:JPC49 JYS49:JYY49 KIO49:KIU49 KSK49:KSQ49 LCG49:LCM49 LMC49:LMI49 LVY49:LWE49 MFU49:MGA49 MPQ49:MPW49 MZM49:MZS49 NJI49:NJO49 NTE49:NTK49 ODA49:ODG49 OMW49:ONC49 OWS49:OWY49 PGO49:PGU49 PQK49:PQQ49 QAG49:QAM49 QKC49:QKI49 QTY49:QUE49 RDU49:REA49 RNQ49:RNW49 RXM49:RXS49 SHI49:SHO49 SRE49:SRK49 TBA49:TBG49 TKW49:TLC49 TUS49:TUY49 UEO49:UEU49 UOK49:UOQ49 UYG49:UYM49 VIC49:VII49 VRY49:VSE49 WBU49:WCA49 WLQ49:WLW49 WVM49:WVS49 E65585:K65585 JA65585:JG65585 SW65585:TC65585 ACS65585:ACY65585 AMO65585:AMU65585 AWK65585:AWQ65585 BGG65585:BGM65585 BQC65585:BQI65585 BZY65585:CAE65585 CJU65585:CKA65585 CTQ65585:CTW65585 DDM65585:DDS65585 DNI65585:DNO65585 DXE65585:DXK65585 EHA65585:EHG65585 EQW65585:ERC65585 FAS65585:FAY65585 FKO65585:FKU65585 FUK65585:FUQ65585 GEG65585:GEM65585 GOC65585:GOI65585 GXY65585:GYE65585 HHU65585:HIA65585 HRQ65585:HRW65585 IBM65585:IBS65585 ILI65585:ILO65585 IVE65585:IVK65585 JFA65585:JFG65585 JOW65585:JPC65585 JYS65585:JYY65585 KIO65585:KIU65585 KSK65585:KSQ65585 LCG65585:LCM65585 LMC65585:LMI65585 LVY65585:LWE65585 MFU65585:MGA65585 MPQ65585:MPW65585 MZM65585:MZS65585 NJI65585:NJO65585 NTE65585:NTK65585 ODA65585:ODG65585 OMW65585:ONC65585 OWS65585:OWY65585 PGO65585:PGU65585 PQK65585:PQQ65585 QAG65585:QAM65585 QKC65585:QKI65585 QTY65585:QUE65585 RDU65585:REA65585 RNQ65585:RNW65585 RXM65585:RXS65585 SHI65585:SHO65585 SRE65585:SRK65585 TBA65585:TBG65585 TKW65585:TLC65585 TUS65585:TUY65585 UEO65585:UEU65585 UOK65585:UOQ65585 UYG65585:UYM65585 VIC65585:VII65585 VRY65585:VSE65585 WBU65585:WCA65585 WLQ65585:WLW65585 WVM65585:WVS65585 E131121:K131121 JA131121:JG131121 SW131121:TC131121 ACS131121:ACY131121 AMO131121:AMU131121 AWK131121:AWQ131121 BGG131121:BGM131121 BQC131121:BQI131121 BZY131121:CAE131121 CJU131121:CKA131121 CTQ131121:CTW131121 DDM131121:DDS131121 DNI131121:DNO131121 DXE131121:DXK131121 EHA131121:EHG131121 EQW131121:ERC131121 FAS131121:FAY131121 FKO131121:FKU131121 FUK131121:FUQ131121 GEG131121:GEM131121 GOC131121:GOI131121 GXY131121:GYE131121 HHU131121:HIA131121 HRQ131121:HRW131121 IBM131121:IBS131121 ILI131121:ILO131121 IVE131121:IVK131121 JFA131121:JFG131121 JOW131121:JPC131121 JYS131121:JYY131121 KIO131121:KIU131121 KSK131121:KSQ131121 LCG131121:LCM131121 LMC131121:LMI131121 LVY131121:LWE131121 MFU131121:MGA131121 MPQ131121:MPW131121 MZM131121:MZS131121 NJI131121:NJO131121 NTE131121:NTK131121 ODA131121:ODG131121 OMW131121:ONC131121 OWS131121:OWY131121 PGO131121:PGU131121 PQK131121:PQQ131121 QAG131121:QAM131121 QKC131121:QKI131121 QTY131121:QUE131121 RDU131121:REA131121 RNQ131121:RNW131121 RXM131121:RXS131121 SHI131121:SHO131121 SRE131121:SRK131121 TBA131121:TBG131121 TKW131121:TLC131121 TUS131121:TUY131121 UEO131121:UEU131121 UOK131121:UOQ131121 UYG131121:UYM131121 VIC131121:VII131121 VRY131121:VSE131121 WBU131121:WCA131121 WLQ131121:WLW131121 WVM131121:WVS131121 E196657:K196657 JA196657:JG196657 SW196657:TC196657 ACS196657:ACY196657 AMO196657:AMU196657 AWK196657:AWQ196657 BGG196657:BGM196657 BQC196657:BQI196657 BZY196657:CAE196657 CJU196657:CKA196657 CTQ196657:CTW196657 DDM196657:DDS196657 DNI196657:DNO196657 DXE196657:DXK196657 EHA196657:EHG196657 EQW196657:ERC196657 FAS196657:FAY196657 FKO196657:FKU196657 FUK196657:FUQ196657 GEG196657:GEM196657 GOC196657:GOI196657 GXY196657:GYE196657 HHU196657:HIA196657 HRQ196657:HRW196657 IBM196657:IBS196657 ILI196657:ILO196657 IVE196657:IVK196657 JFA196657:JFG196657 JOW196657:JPC196657 JYS196657:JYY196657 KIO196657:KIU196657 KSK196657:KSQ196657 LCG196657:LCM196657 LMC196657:LMI196657 LVY196657:LWE196657 MFU196657:MGA196657 MPQ196657:MPW196657 MZM196657:MZS196657 NJI196657:NJO196657 NTE196657:NTK196657 ODA196657:ODG196657 OMW196657:ONC196657 OWS196657:OWY196657 PGO196657:PGU196657 PQK196657:PQQ196657 QAG196657:QAM196657 QKC196657:QKI196657 QTY196657:QUE196657 RDU196657:REA196657 RNQ196657:RNW196657 RXM196657:RXS196657 SHI196657:SHO196657 SRE196657:SRK196657 TBA196657:TBG196657 TKW196657:TLC196657 TUS196657:TUY196657 UEO196657:UEU196657 UOK196657:UOQ196657 UYG196657:UYM196657 VIC196657:VII196657 VRY196657:VSE196657 WBU196657:WCA196657 WLQ196657:WLW196657 WVM196657:WVS196657 E262193:K262193 JA262193:JG262193 SW262193:TC262193 ACS262193:ACY262193 AMO262193:AMU262193 AWK262193:AWQ262193 BGG262193:BGM262193 BQC262193:BQI262193 BZY262193:CAE262193 CJU262193:CKA262193 CTQ262193:CTW262193 DDM262193:DDS262193 DNI262193:DNO262193 DXE262193:DXK262193 EHA262193:EHG262193 EQW262193:ERC262193 FAS262193:FAY262193 FKO262193:FKU262193 FUK262193:FUQ262193 GEG262193:GEM262193 GOC262193:GOI262193 GXY262193:GYE262193 HHU262193:HIA262193 HRQ262193:HRW262193 IBM262193:IBS262193 ILI262193:ILO262193 IVE262193:IVK262193 JFA262193:JFG262193 JOW262193:JPC262193 JYS262193:JYY262193 KIO262193:KIU262193 KSK262193:KSQ262193 LCG262193:LCM262193 LMC262193:LMI262193 LVY262193:LWE262193 MFU262193:MGA262193 MPQ262193:MPW262193 MZM262193:MZS262193 NJI262193:NJO262193 NTE262193:NTK262193 ODA262193:ODG262193 OMW262193:ONC262193 OWS262193:OWY262193 PGO262193:PGU262193 PQK262193:PQQ262193 QAG262193:QAM262193 QKC262193:QKI262193 QTY262193:QUE262193 RDU262193:REA262193 RNQ262193:RNW262193 RXM262193:RXS262193 SHI262193:SHO262193 SRE262193:SRK262193 TBA262193:TBG262193 TKW262193:TLC262193 TUS262193:TUY262193 UEO262193:UEU262193 UOK262193:UOQ262193 UYG262193:UYM262193 VIC262193:VII262193 VRY262193:VSE262193 WBU262193:WCA262193 WLQ262193:WLW262193 WVM262193:WVS262193 E327729:K327729 JA327729:JG327729 SW327729:TC327729 ACS327729:ACY327729 AMO327729:AMU327729 AWK327729:AWQ327729 BGG327729:BGM327729 BQC327729:BQI327729 BZY327729:CAE327729 CJU327729:CKA327729 CTQ327729:CTW327729 DDM327729:DDS327729 DNI327729:DNO327729 DXE327729:DXK327729 EHA327729:EHG327729 EQW327729:ERC327729 FAS327729:FAY327729 FKO327729:FKU327729 FUK327729:FUQ327729 GEG327729:GEM327729 GOC327729:GOI327729 GXY327729:GYE327729 HHU327729:HIA327729 HRQ327729:HRW327729 IBM327729:IBS327729 ILI327729:ILO327729 IVE327729:IVK327729 JFA327729:JFG327729 JOW327729:JPC327729 JYS327729:JYY327729 KIO327729:KIU327729 KSK327729:KSQ327729 LCG327729:LCM327729 LMC327729:LMI327729 LVY327729:LWE327729 MFU327729:MGA327729 MPQ327729:MPW327729 MZM327729:MZS327729 NJI327729:NJO327729 NTE327729:NTK327729 ODA327729:ODG327729 OMW327729:ONC327729 OWS327729:OWY327729 PGO327729:PGU327729 PQK327729:PQQ327729 QAG327729:QAM327729 QKC327729:QKI327729 QTY327729:QUE327729 RDU327729:REA327729 RNQ327729:RNW327729 RXM327729:RXS327729 SHI327729:SHO327729 SRE327729:SRK327729 TBA327729:TBG327729 TKW327729:TLC327729 TUS327729:TUY327729 UEO327729:UEU327729 UOK327729:UOQ327729 UYG327729:UYM327729 VIC327729:VII327729 VRY327729:VSE327729 WBU327729:WCA327729 WLQ327729:WLW327729 WVM327729:WVS327729 E393265:K393265 JA393265:JG393265 SW393265:TC393265 ACS393265:ACY393265 AMO393265:AMU393265 AWK393265:AWQ393265 BGG393265:BGM393265 BQC393265:BQI393265 BZY393265:CAE393265 CJU393265:CKA393265 CTQ393265:CTW393265 DDM393265:DDS393265 DNI393265:DNO393265 DXE393265:DXK393265 EHA393265:EHG393265 EQW393265:ERC393265 FAS393265:FAY393265 FKO393265:FKU393265 FUK393265:FUQ393265 GEG393265:GEM393265 GOC393265:GOI393265 GXY393265:GYE393265 HHU393265:HIA393265 HRQ393265:HRW393265 IBM393265:IBS393265 ILI393265:ILO393265 IVE393265:IVK393265 JFA393265:JFG393265 JOW393265:JPC393265 JYS393265:JYY393265 KIO393265:KIU393265 KSK393265:KSQ393265 LCG393265:LCM393265 LMC393265:LMI393265 LVY393265:LWE393265 MFU393265:MGA393265 MPQ393265:MPW393265 MZM393265:MZS393265 NJI393265:NJO393265 NTE393265:NTK393265 ODA393265:ODG393265 OMW393265:ONC393265 OWS393265:OWY393265 PGO393265:PGU393265 PQK393265:PQQ393265 QAG393265:QAM393265 QKC393265:QKI393265 QTY393265:QUE393265 RDU393265:REA393265 RNQ393265:RNW393265 RXM393265:RXS393265 SHI393265:SHO393265 SRE393265:SRK393265 TBA393265:TBG393265 TKW393265:TLC393265 TUS393265:TUY393265 UEO393265:UEU393265 UOK393265:UOQ393265 UYG393265:UYM393265 VIC393265:VII393265 VRY393265:VSE393265 WBU393265:WCA393265 WLQ393265:WLW393265 WVM393265:WVS393265 E458801:K458801 JA458801:JG458801 SW458801:TC458801 ACS458801:ACY458801 AMO458801:AMU458801 AWK458801:AWQ458801 BGG458801:BGM458801 BQC458801:BQI458801 BZY458801:CAE458801 CJU458801:CKA458801 CTQ458801:CTW458801 DDM458801:DDS458801 DNI458801:DNO458801 DXE458801:DXK458801 EHA458801:EHG458801 EQW458801:ERC458801 FAS458801:FAY458801 FKO458801:FKU458801 FUK458801:FUQ458801 GEG458801:GEM458801 GOC458801:GOI458801 GXY458801:GYE458801 HHU458801:HIA458801 HRQ458801:HRW458801 IBM458801:IBS458801 ILI458801:ILO458801 IVE458801:IVK458801 JFA458801:JFG458801 JOW458801:JPC458801 JYS458801:JYY458801 KIO458801:KIU458801 KSK458801:KSQ458801 LCG458801:LCM458801 LMC458801:LMI458801 LVY458801:LWE458801 MFU458801:MGA458801 MPQ458801:MPW458801 MZM458801:MZS458801 NJI458801:NJO458801 NTE458801:NTK458801 ODA458801:ODG458801 OMW458801:ONC458801 OWS458801:OWY458801 PGO458801:PGU458801 PQK458801:PQQ458801 QAG458801:QAM458801 QKC458801:QKI458801 QTY458801:QUE458801 RDU458801:REA458801 RNQ458801:RNW458801 RXM458801:RXS458801 SHI458801:SHO458801 SRE458801:SRK458801 TBA458801:TBG458801 TKW458801:TLC458801 TUS458801:TUY458801 UEO458801:UEU458801 UOK458801:UOQ458801 UYG458801:UYM458801 VIC458801:VII458801 VRY458801:VSE458801 WBU458801:WCA458801 WLQ458801:WLW458801 WVM458801:WVS458801 E524337:K524337 JA524337:JG524337 SW524337:TC524337 ACS524337:ACY524337 AMO524337:AMU524337 AWK524337:AWQ524337 BGG524337:BGM524337 BQC524337:BQI524337 BZY524337:CAE524337 CJU524337:CKA524337 CTQ524337:CTW524337 DDM524337:DDS524337 DNI524337:DNO524337 DXE524337:DXK524337 EHA524337:EHG524337 EQW524337:ERC524337 FAS524337:FAY524337 FKO524337:FKU524337 FUK524337:FUQ524337 GEG524337:GEM524337 GOC524337:GOI524337 GXY524337:GYE524337 HHU524337:HIA524337 HRQ524337:HRW524337 IBM524337:IBS524337 ILI524337:ILO524337 IVE524337:IVK524337 JFA524337:JFG524337 JOW524337:JPC524337 JYS524337:JYY524337 KIO524337:KIU524337 KSK524337:KSQ524337 LCG524337:LCM524337 LMC524337:LMI524337 LVY524337:LWE524337 MFU524337:MGA524337 MPQ524337:MPW524337 MZM524337:MZS524337 NJI524337:NJO524337 NTE524337:NTK524337 ODA524337:ODG524337 OMW524337:ONC524337 OWS524337:OWY524337 PGO524337:PGU524337 PQK524337:PQQ524337 QAG524337:QAM524337 QKC524337:QKI524337 QTY524337:QUE524337 RDU524337:REA524337 RNQ524337:RNW524337 RXM524337:RXS524337 SHI524337:SHO524337 SRE524337:SRK524337 TBA524337:TBG524337 TKW524337:TLC524337 TUS524337:TUY524337 UEO524337:UEU524337 UOK524337:UOQ524337 UYG524337:UYM524337 VIC524337:VII524337 VRY524337:VSE524337 WBU524337:WCA524337 WLQ524337:WLW524337 WVM524337:WVS524337 E589873:K589873 JA589873:JG589873 SW589873:TC589873 ACS589873:ACY589873 AMO589873:AMU589873 AWK589873:AWQ589873 BGG589873:BGM589873 BQC589873:BQI589873 BZY589873:CAE589873 CJU589873:CKA589873 CTQ589873:CTW589873 DDM589873:DDS589873 DNI589873:DNO589873 DXE589873:DXK589873 EHA589873:EHG589873 EQW589873:ERC589873 FAS589873:FAY589873 FKO589873:FKU589873 FUK589873:FUQ589873 GEG589873:GEM589873 GOC589873:GOI589873 GXY589873:GYE589873 HHU589873:HIA589873 HRQ589873:HRW589873 IBM589873:IBS589873 ILI589873:ILO589873 IVE589873:IVK589873 JFA589873:JFG589873 JOW589873:JPC589873 JYS589873:JYY589873 KIO589873:KIU589873 KSK589873:KSQ589873 LCG589873:LCM589873 LMC589873:LMI589873 LVY589873:LWE589873 MFU589873:MGA589873 MPQ589873:MPW589873 MZM589873:MZS589873 NJI589873:NJO589873 NTE589873:NTK589873 ODA589873:ODG589873 OMW589873:ONC589873 OWS589873:OWY589873 PGO589873:PGU589873 PQK589873:PQQ589873 QAG589873:QAM589873 QKC589873:QKI589873 QTY589873:QUE589873 RDU589873:REA589873 RNQ589873:RNW589873 RXM589873:RXS589873 SHI589873:SHO589873 SRE589873:SRK589873 TBA589873:TBG589873 TKW589873:TLC589873 TUS589873:TUY589873 UEO589873:UEU589873 UOK589873:UOQ589873 UYG589873:UYM589873 VIC589873:VII589873 VRY589873:VSE589873 WBU589873:WCA589873 WLQ589873:WLW589873 WVM589873:WVS589873 E655409:K655409 JA655409:JG655409 SW655409:TC655409 ACS655409:ACY655409 AMO655409:AMU655409 AWK655409:AWQ655409 BGG655409:BGM655409 BQC655409:BQI655409 BZY655409:CAE655409 CJU655409:CKA655409 CTQ655409:CTW655409 DDM655409:DDS655409 DNI655409:DNO655409 DXE655409:DXK655409 EHA655409:EHG655409 EQW655409:ERC655409 FAS655409:FAY655409 FKO655409:FKU655409 FUK655409:FUQ655409 GEG655409:GEM655409 GOC655409:GOI655409 GXY655409:GYE655409 HHU655409:HIA655409 HRQ655409:HRW655409 IBM655409:IBS655409 ILI655409:ILO655409 IVE655409:IVK655409 JFA655409:JFG655409 JOW655409:JPC655409 JYS655409:JYY655409 KIO655409:KIU655409 KSK655409:KSQ655409 LCG655409:LCM655409 LMC655409:LMI655409 LVY655409:LWE655409 MFU655409:MGA655409 MPQ655409:MPW655409 MZM655409:MZS655409 NJI655409:NJO655409 NTE655409:NTK655409 ODA655409:ODG655409 OMW655409:ONC655409 OWS655409:OWY655409 PGO655409:PGU655409 PQK655409:PQQ655409 QAG655409:QAM655409 QKC655409:QKI655409 QTY655409:QUE655409 RDU655409:REA655409 RNQ655409:RNW655409 RXM655409:RXS655409 SHI655409:SHO655409 SRE655409:SRK655409 TBA655409:TBG655409 TKW655409:TLC655409 TUS655409:TUY655409 UEO655409:UEU655409 UOK655409:UOQ655409 UYG655409:UYM655409 VIC655409:VII655409 VRY655409:VSE655409 WBU655409:WCA655409 WLQ655409:WLW655409 WVM655409:WVS655409 E720945:K720945 JA720945:JG720945 SW720945:TC720945 ACS720945:ACY720945 AMO720945:AMU720945 AWK720945:AWQ720945 BGG720945:BGM720945 BQC720945:BQI720945 BZY720945:CAE720945 CJU720945:CKA720945 CTQ720945:CTW720945 DDM720945:DDS720945 DNI720945:DNO720945 DXE720945:DXK720945 EHA720945:EHG720945 EQW720945:ERC720945 FAS720945:FAY720945 FKO720945:FKU720945 FUK720945:FUQ720945 GEG720945:GEM720945 GOC720945:GOI720945 GXY720945:GYE720945 HHU720945:HIA720945 HRQ720945:HRW720945 IBM720945:IBS720945 ILI720945:ILO720945 IVE720945:IVK720945 JFA720945:JFG720945 JOW720945:JPC720945 JYS720945:JYY720945 KIO720945:KIU720945 KSK720945:KSQ720945 LCG720945:LCM720945 LMC720945:LMI720945 LVY720945:LWE720945 MFU720945:MGA720945 MPQ720945:MPW720945 MZM720945:MZS720945 NJI720945:NJO720945 NTE720945:NTK720945 ODA720945:ODG720945 OMW720945:ONC720945 OWS720945:OWY720945 PGO720945:PGU720945 PQK720945:PQQ720945 QAG720945:QAM720945 QKC720945:QKI720945 QTY720945:QUE720945 RDU720945:REA720945 RNQ720945:RNW720945 RXM720945:RXS720945 SHI720945:SHO720945 SRE720945:SRK720945 TBA720945:TBG720945 TKW720945:TLC720945 TUS720945:TUY720945 UEO720945:UEU720945 UOK720945:UOQ720945 UYG720945:UYM720945 VIC720945:VII720945 VRY720945:VSE720945 WBU720945:WCA720945 WLQ720945:WLW720945 WVM720945:WVS720945 E786481:K786481 JA786481:JG786481 SW786481:TC786481 ACS786481:ACY786481 AMO786481:AMU786481 AWK786481:AWQ786481 BGG786481:BGM786481 BQC786481:BQI786481 BZY786481:CAE786481 CJU786481:CKA786481 CTQ786481:CTW786481 DDM786481:DDS786481 DNI786481:DNO786481 DXE786481:DXK786481 EHA786481:EHG786481 EQW786481:ERC786481 FAS786481:FAY786481 FKO786481:FKU786481 FUK786481:FUQ786481 GEG786481:GEM786481 GOC786481:GOI786481 GXY786481:GYE786481 HHU786481:HIA786481 HRQ786481:HRW786481 IBM786481:IBS786481 ILI786481:ILO786481 IVE786481:IVK786481 JFA786481:JFG786481 JOW786481:JPC786481 JYS786481:JYY786481 KIO786481:KIU786481 KSK786481:KSQ786481 LCG786481:LCM786481 LMC786481:LMI786481 LVY786481:LWE786481 MFU786481:MGA786481 MPQ786481:MPW786481 MZM786481:MZS786481 NJI786481:NJO786481 NTE786481:NTK786481 ODA786481:ODG786481 OMW786481:ONC786481 OWS786481:OWY786481 PGO786481:PGU786481 PQK786481:PQQ786481 QAG786481:QAM786481 QKC786481:QKI786481 QTY786481:QUE786481 RDU786481:REA786481 RNQ786481:RNW786481 RXM786481:RXS786481 SHI786481:SHO786481 SRE786481:SRK786481 TBA786481:TBG786481 TKW786481:TLC786481 TUS786481:TUY786481 UEO786481:UEU786481 UOK786481:UOQ786481 UYG786481:UYM786481 VIC786481:VII786481 VRY786481:VSE786481 WBU786481:WCA786481 WLQ786481:WLW786481 WVM786481:WVS786481 E852017:K852017 JA852017:JG852017 SW852017:TC852017 ACS852017:ACY852017 AMO852017:AMU852017 AWK852017:AWQ852017 BGG852017:BGM852017 BQC852017:BQI852017 BZY852017:CAE852017 CJU852017:CKA852017 CTQ852017:CTW852017 DDM852017:DDS852017 DNI852017:DNO852017 DXE852017:DXK852017 EHA852017:EHG852017 EQW852017:ERC852017 FAS852017:FAY852017 FKO852017:FKU852017 FUK852017:FUQ852017 GEG852017:GEM852017 GOC852017:GOI852017 GXY852017:GYE852017 HHU852017:HIA852017 HRQ852017:HRW852017 IBM852017:IBS852017 ILI852017:ILO852017 IVE852017:IVK852017 JFA852017:JFG852017 JOW852017:JPC852017 JYS852017:JYY852017 KIO852017:KIU852017 KSK852017:KSQ852017 LCG852017:LCM852017 LMC852017:LMI852017 LVY852017:LWE852017 MFU852017:MGA852017 MPQ852017:MPW852017 MZM852017:MZS852017 NJI852017:NJO852017 NTE852017:NTK852017 ODA852017:ODG852017 OMW852017:ONC852017 OWS852017:OWY852017 PGO852017:PGU852017 PQK852017:PQQ852017 QAG852017:QAM852017 QKC852017:QKI852017 QTY852017:QUE852017 RDU852017:REA852017 RNQ852017:RNW852017 RXM852017:RXS852017 SHI852017:SHO852017 SRE852017:SRK852017 TBA852017:TBG852017 TKW852017:TLC852017 TUS852017:TUY852017 UEO852017:UEU852017 UOK852017:UOQ852017 UYG852017:UYM852017 VIC852017:VII852017 VRY852017:VSE852017 WBU852017:WCA852017 WLQ852017:WLW852017 WVM852017:WVS852017 E917553:K917553 JA917553:JG917553 SW917553:TC917553 ACS917553:ACY917553 AMO917553:AMU917553 AWK917553:AWQ917553 BGG917553:BGM917553 BQC917553:BQI917553 BZY917553:CAE917553 CJU917553:CKA917553 CTQ917553:CTW917553 DDM917553:DDS917553 DNI917553:DNO917553 DXE917553:DXK917553 EHA917553:EHG917553 EQW917553:ERC917553 FAS917553:FAY917553 FKO917553:FKU917553 FUK917553:FUQ917553 GEG917553:GEM917553 GOC917553:GOI917553 GXY917553:GYE917553 HHU917553:HIA917553 HRQ917553:HRW917553 IBM917553:IBS917553 ILI917553:ILO917553 IVE917553:IVK917553 JFA917553:JFG917553 JOW917553:JPC917553 JYS917553:JYY917553 KIO917553:KIU917553 KSK917553:KSQ917553 LCG917553:LCM917553 LMC917553:LMI917553 LVY917553:LWE917553 MFU917553:MGA917553 MPQ917553:MPW917553 MZM917553:MZS917553 NJI917553:NJO917553 NTE917553:NTK917553 ODA917553:ODG917553 OMW917553:ONC917553 OWS917553:OWY917553 PGO917553:PGU917553 PQK917553:PQQ917553 QAG917553:QAM917553 QKC917553:QKI917553 QTY917553:QUE917553 RDU917553:REA917553 RNQ917553:RNW917553 RXM917553:RXS917553 SHI917553:SHO917553 SRE917553:SRK917553 TBA917553:TBG917553 TKW917553:TLC917553 TUS917553:TUY917553 UEO917553:UEU917553 UOK917553:UOQ917553 UYG917553:UYM917553 VIC917553:VII917553 VRY917553:VSE917553 WBU917553:WCA917553 WLQ917553:WLW917553 WVM917553:WVS917553 E983089:K983089 JA983089:JG983089 SW983089:TC983089 ACS983089:ACY983089 AMO983089:AMU983089 AWK983089:AWQ983089 BGG983089:BGM983089 BQC983089:BQI983089 BZY983089:CAE983089 CJU983089:CKA983089 CTQ983089:CTW983089 DDM983089:DDS983089 DNI983089:DNO983089 DXE983089:DXK983089 EHA983089:EHG983089 EQW983089:ERC983089 FAS983089:FAY983089 FKO983089:FKU983089 FUK983089:FUQ983089 GEG983089:GEM983089 GOC983089:GOI983089 GXY983089:GYE983089 HHU983089:HIA983089 HRQ983089:HRW983089 IBM983089:IBS983089 ILI983089:ILO983089 IVE983089:IVK983089 JFA983089:JFG983089 JOW983089:JPC983089 JYS983089:JYY983089 KIO983089:KIU983089 KSK983089:KSQ983089 LCG983089:LCM983089 LMC983089:LMI983089 LVY983089:LWE983089 MFU983089:MGA983089 MPQ983089:MPW983089 MZM983089:MZS983089 NJI983089:NJO983089 NTE983089:NTK983089 ODA983089:ODG983089 OMW983089:ONC983089 OWS983089:OWY983089 PGO983089:PGU983089 PQK983089:PQQ983089 QAG983089:QAM983089 QKC983089:QKI983089 QTY983089:QUE983089 RDU983089:REA983089 RNQ983089:RNW983089 RXM983089:RXS983089 SHI983089:SHO983089 SRE983089:SRK983089 TBA983089:TBG983089 TKW983089:TLC983089 TUS983089:TUY983089 UEO983089:UEU983089 UOK983089:UOQ983089 UYG983089:UYM983089 VIC983089:VII983089 VRY983089:VSE983089 WBU983089:WCA983089 WLQ983089:WLW983089 WVM983089:WVS983089">
      <formula1>修理不能書症状</formula1>
    </dataValidation>
    <dataValidation type="list" allowBlank="1" showInputMessage="1" showErrorMessage="1" sqref="U23 JQ23 TM23 ADI23 ANE23 AXA23 BGW23 BQS23 CAO23 CKK23 CUG23 DEC23 DNY23 DXU23 EHQ23 ERM23 FBI23 FLE23 FVA23 GEW23 GOS23 GYO23 HIK23 HSG23 ICC23 ILY23 IVU23 JFQ23 JPM23 JZI23 KJE23 KTA23 LCW23 LMS23 LWO23 MGK23 MQG23 NAC23 NJY23 NTU23 ODQ23 ONM23 OXI23 PHE23 PRA23 QAW23 QKS23 QUO23 REK23 ROG23 RYC23 SHY23 SRU23 TBQ23 TLM23 TVI23 UFE23 UPA23 UYW23 VIS23 VSO23 WCK23 WMG23 WWC23 U65559 JQ65559 TM65559 ADI65559 ANE65559 AXA65559 BGW65559 BQS65559 CAO65559 CKK65559 CUG65559 DEC65559 DNY65559 DXU65559 EHQ65559 ERM65559 FBI65559 FLE65559 FVA65559 GEW65559 GOS65559 GYO65559 HIK65559 HSG65559 ICC65559 ILY65559 IVU65559 JFQ65559 JPM65559 JZI65559 KJE65559 KTA65559 LCW65559 LMS65559 LWO65559 MGK65559 MQG65559 NAC65559 NJY65559 NTU65559 ODQ65559 ONM65559 OXI65559 PHE65559 PRA65559 QAW65559 QKS65559 QUO65559 REK65559 ROG65559 RYC65559 SHY65559 SRU65559 TBQ65559 TLM65559 TVI65559 UFE65559 UPA65559 UYW65559 VIS65559 VSO65559 WCK65559 WMG65559 WWC65559 U131095 JQ131095 TM131095 ADI131095 ANE131095 AXA131095 BGW131095 BQS131095 CAO131095 CKK131095 CUG131095 DEC131095 DNY131095 DXU131095 EHQ131095 ERM131095 FBI131095 FLE131095 FVA131095 GEW131095 GOS131095 GYO131095 HIK131095 HSG131095 ICC131095 ILY131095 IVU131095 JFQ131095 JPM131095 JZI131095 KJE131095 KTA131095 LCW131095 LMS131095 LWO131095 MGK131095 MQG131095 NAC131095 NJY131095 NTU131095 ODQ131095 ONM131095 OXI131095 PHE131095 PRA131095 QAW131095 QKS131095 QUO131095 REK131095 ROG131095 RYC131095 SHY131095 SRU131095 TBQ131095 TLM131095 TVI131095 UFE131095 UPA131095 UYW131095 VIS131095 VSO131095 WCK131095 WMG131095 WWC131095 U196631 JQ196631 TM196631 ADI196631 ANE196631 AXA196631 BGW196631 BQS196631 CAO196631 CKK196631 CUG196631 DEC196631 DNY196631 DXU196631 EHQ196631 ERM196631 FBI196631 FLE196631 FVA196631 GEW196631 GOS196631 GYO196631 HIK196631 HSG196631 ICC196631 ILY196631 IVU196631 JFQ196631 JPM196631 JZI196631 KJE196631 KTA196631 LCW196631 LMS196631 LWO196631 MGK196631 MQG196631 NAC196631 NJY196631 NTU196631 ODQ196631 ONM196631 OXI196631 PHE196631 PRA196631 QAW196631 QKS196631 QUO196631 REK196631 ROG196631 RYC196631 SHY196631 SRU196631 TBQ196631 TLM196631 TVI196631 UFE196631 UPA196631 UYW196631 VIS196631 VSO196631 WCK196631 WMG196631 WWC196631 U262167 JQ262167 TM262167 ADI262167 ANE262167 AXA262167 BGW262167 BQS262167 CAO262167 CKK262167 CUG262167 DEC262167 DNY262167 DXU262167 EHQ262167 ERM262167 FBI262167 FLE262167 FVA262167 GEW262167 GOS262167 GYO262167 HIK262167 HSG262167 ICC262167 ILY262167 IVU262167 JFQ262167 JPM262167 JZI262167 KJE262167 KTA262167 LCW262167 LMS262167 LWO262167 MGK262167 MQG262167 NAC262167 NJY262167 NTU262167 ODQ262167 ONM262167 OXI262167 PHE262167 PRA262167 QAW262167 QKS262167 QUO262167 REK262167 ROG262167 RYC262167 SHY262167 SRU262167 TBQ262167 TLM262167 TVI262167 UFE262167 UPA262167 UYW262167 VIS262167 VSO262167 WCK262167 WMG262167 WWC262167 U327703 JQ327703 TM327703 ADI327703 ANE327703 AXA327703 BGW327703 BQS327703 CAO327703 CKK327703 CUG327703 DEC327703 DNY327703 DXU327703 EHQ327703 ERM327703 FBI327703 FLE327703 FVA327703 GEW327703 GOS327703 GYO327703 HIK327703 HSG327703 ICC327703 ILY327703 IVU327703 JFQ327703 JPM327703 JZI327703 KJE327703 KTA327703 LCW327703 LMS327703 LWO327703 MGK327703 MQG327703 NAC327703 NJY327703 NTU327703 ODQ327703 ONM327703 OXI327703 PHE327703 PRA327703 QAW327703 QKS327703 QUO327703 REK327703 ROG327703 RYC327703 SHY327703 SRU327703 TBQ327703 TLM327703 TVI327703 UFE327703 UPA327703 UYW327703 VIS327703 VSO327703 WCK327703 WMG327703 WWC327703 U393239 JQ393239 TM393239 ADI393239 ANE393239 AXA393239 BGW393239 BQS393239 CAO393239 CKK393239 CUG393239 DEC393239 DNY393239 DXU393239 EHQ393239 ERM393239 FBI393239 FLE393239 FVA393239 GEW393239 GOS393239 GYO393239 HIK393239 HSG393239 ICC393239 ILY393239 IVU393239 JFQ393239 JPM393239 JZI393239 KJE393239 KTA393239 LCW393239 LMS393239 LWO393239 MGK393239 MQG393239 NAC393239 NJY393239 NTU393239 ODQ393239 ONM393239 OXI393239 PHE393239 PRA393239 QAW393239 QKS393239 QUO393239 REK393239 ROG393239 RYC393239 SHY393239 SRU393239 TBQ393239 TLM393239 TVI393239 UFE393239 UPA393239 UYW393239 VIS393239 VSO393239 WCK393239 WMG393239 WWC393239 U458775 JQ458775 TM458775 ADI458775 ANE458775 AXA458775 BGW458775 BQS458775 CAO458775 CKK458775 CUG458775 DEC458775 DNY458775 DXU458775 EHQ458775 ERM458775 FBI458775 FLE458775 FVA458775 GEW458775 GOS458775 GYO458775 HIK458775 HSG458775 ICC458775 ILY458775 IVU458775 JFQ458775 JPM458775 JZI458775 KJE458775 KTA458775 LCW458775 LMS458775 LWO458775 MGK458775 MQG458775 NAC458775 NJY458775 NTU458775 ODQ458775 ONM458775 OXI458775 PHE458775 PRA458775 QAW458775 QKS458775 QUO458775 REK458775 ROG458775 RYC458775 SHY458775 SRU458775 TBQ458775 TLM458775 TVI458775 UFE458775 UPA458775 UYW458775 VIS458775 VSO458775 WCK458775 WMG458775 WWC458775 U524311 JQ524311 TM524311 ADI524311 ANE524311 AXA524311 BGW524311 BQS524311 CAO524311 CKK524311 CUG524311 DEC524311 DNY524311 DXU524311 EHQ524311 ERM524311 FBI524311 FLE524311 FVA524311 GEW524311 GOS524311 GYO524311 HIK524311 HSG524311 ICC524311 ILY524311 IVU524311 JFQ524311 JPM524311 JZI524311 KJE524311 KTA524311 LCW524311 LMS524311 LWO524311 MGK524311 MQG524311 NAC524311 NJY524311 NTU524311 ODQ524311 ONM524311 OXI524311 PHE524311 PRA524311 QAW524311 QKS524311 QUO524311 REK524311 ROG524311 RYC524311 SHY524311 SRU524311 TBQ524311 TLM524311 TVI524311 UFE524311 UPA524311 UYW524311 VIS524311 VSO524311 WCK524311 WMG524311 WWC524311 U589847 JQ589847 TM589847 ADI589847 ANE589847 AXA589847 BGW589847 BQS589847 CAO589847 CKK589847 CUG589847 DEC589847 DNY589847 DXU589847 EHQ589847 ERM589847 FBI589847 FLE589847 FVA589847 GEW589847 GOS589847 GYO589847 HIK589847 HSG589847 ICC589847 ILY589847 IVU589847 JFQ589847 JPM589847 JZI589847 KJE589847 KTA589847 LCW589847 LMS589847 LWO589847 MGK589847 MQG589847 NAC589847 NJY589847 NTU589847 ODQ589847 ONM589847 OXI589847 PHE589847 PRA589847 QAW589847 QKS589847 QUO589847 REK589847 ROG589847 RYC589847 SHY589847 SRU589847 TBQ589847 TLM589847 TVI589847 UFE589847 UPA589847 UYW589847 VIS589847 VSO589847 WCK589847 WMG589847 WWC589847 U655383 JQ655383 TM655383 ADI655383 ANE655383 AXA655383 BGW655383 BQS655383 CAO655383 CKK655383 CUG655383 DEC655383 DNY655383 DXU655383 EHQ655383 ERM655383 FBI655383 FLE655383 FVA655383 GEW655383 GOS655383 GYO655383 HIK655383 HSG655383 ICC655383 ILY655383 IVU655383 JFQ655383 JPM655383 JZI655383 KJE655383 KTA655383 LCW655383 LMS655383 LWO655383 MGK655383 MQG655383 NAC655383 NJY655383 NTU655383 ODQ655383 ONM655383 OXI655383 PHE655383 PRA655383 QAW655383 QKS655383 QUO655383 REK655383 ROG655383 RYC655383 SHY655383 SRU655383 TBQ655383 TLM655383 TVI655383 UFE655383 UPA655383 UYW655383 VIS655383 VSO655383 WCK655383 WMG655383 WWC655383 U720919 JQ720919 TM720919 ADI720919 ANE720919 AXA720919 BGW720919 BQS720919 CAO720919 CKK720919 CUG720919 DEC720919 DNY720919 DXU720919 EHQ720919 ERM720919 FBI720919 FLE720919 FVA720919 GEW720919 GOS720919 GYO720919 HIK720919 HSG720919 ICC720919 ILY720919 IVU720919 JFQ720919 JPM720919 JZI720919 KJE720919 KTA720919 LCW720919 LMS720919 LWO720919 MGK720919 MQG720919 NAC720919 NJY720919 NTU720919 ODQ720919 ONM720919 OXI720919 PHE720919 PRA720919 QAW720919 QKS720919 QUO720919 REK720919 ROG720919 RYC720919 SHY720919 SRU720919 TBQ720919 TLM720919 TVI720919 UFE720919 UPA720919 UYW720919 VIS720919 VSO720919 WCK720919 WMG720919 WWC720919 U786455 JQ786455 TM786455 ADI786455 ANE786455 AXA786455 BGW786455 BQS786455 CAO786455 CKK786455 CUG786455 DEC786455 DNY786455 DXU786455 EHQ786455 ERM786455 FBI786455 FLE786455 FVA786455 GEW786455 GOS786455 GYO786455 HIK786455 HSG786455 ICC786455 ILY786455 IVU786455 JFQ786455 JPM786455 JZI786455 KJE786455 KTA786455 LCW786455 LMS786455 LWO786455 MGK786455 MQG786455 NAC786455 NJY786455 NTU786455 ODQ786455 ONM786455 OXI786455 PHE786455 PRA786455 QAW786455 QKS786455 QUO786455 REK786455 ROG786455 RYC786455 SHY786455 SRU786455 TBQ786455 TLM786455 TVI786455 UFE786455 UPA786455 UYW786455 VIS786455 VSO786455 WCK786455 WMG786455 WWC786455 U851991 JQ851991 TM851991 ADI851991 ANE851991 AXA851991 BGW851991 BQS851991 CAO851991 CKK851991 CUG851991 DEC851991 DNY851991 DXU851991 EHQ851991 ERM851991 FBI851991 FLE851991 FVA851991 GEW851991 GOS851991 GYO851991 HIK851991 HSG851991 ICC851991 ILY851991 IVU851991 JFQ851991 JPM851991 JZI851991 KJE851991 KTA851991 LCW851991 LMS851991 LWO851991 MGK851991 MQG851991 NAC851991 NJY851991 NTU851991 ODQ851991 ONM851991 OXI851991 PHE851991 PRA851991 QAW851991 QKS851991 QUO851991 REK851991 ROG851991 RYC851991 SHY851991 SRU851991 TBQ851991 TLM851991 TVI851991 UFE851991 UPA851991 UYW851991 VIS851991 VSO851991 WCK851991 WMG851991 WWC851991 U917527 JQ917527 TM917527 ADI917527 ANE917527 AXA917527 BGW917527 BQS917527 CAO917527 CKK917527 CUG917527 DEC917527 DNY917527 DXU917527 EHQ917527 ERM917527 FBI917527 FLE917527 FVA917527 GEW917527 GOS917527 GYO917527 HIK917527 HSG917527 ICC917527 ILY917527 IVU917527 JFQ917527 JPM917527 JZI917527 KJE917527 KTA917527 LCW917527 LMS917527 LWO917527 MGK917527 MQG917527 NAC917527 NJY917527 NTU917527 ODQ917527 ONM917527 OXI917527 PHE917527 PRA917527 QAW917527 QKS917527 QUO917527 REK917527 ROG917527 RYC917527 SHY917527 SRU917527 TBQ917527 TLM917527 TVI917527 UFE917527 UPA917527 UYW917527 VIS917527 VSO917527 WCK917527 WMG917527 WWC917527 U983063 JQ983063 TM983063 ADI983063 ANE983063 AXA983063 BGW983063 BQS983063 CAO983063 CKK983063 CUG983063 DEC983063 DNY983063 DXU983063 EHQ983063 ERM983063 FBI983063 FLE983063 FVA983063 GEW983063 GOS983063 GYO983063 HIK983063 HSG983063 ICC983063 ILY983063 IVU983063 JFQ983063 JPM983063 JZI983063 KJE983063 KTA983063 LCW983063 LMS983063 LWO983063 MGK983063 MQG983063 NAC983063 NJY983063 NTU983063 ODQ983063 ONM983063 OXI983063 PHE983063 PRA983063 QAW983063 QKS983063 QUO983063 REK983063 ROG983063 RYC983063 SHY983063 SRU983063 TBQ983063 TLM983063 TVI983063 UFE983063 UPA983063 UYW983063 VIS983063 VSO983063 WCK983063 WMG983063 WWC983063">
      <formula1>修理不能書製品名</formula1>
    </dataValidation>
    <dataValidation type="list" allowBlank="1" showInputMessage="1" showErrorMessage="1" sqref="E51:K51 JA51:JG51 SW51:TC51 ACS51:ACY51 AMO51:AMU51 AWK51:AWQ51 BGG51:BGM51 BQC51:BQI51 BZY51:CAE51 CJU51:CKA51 CTQ51:CTW51 DDM51:DDS51 DNI51:DNO51 DXE51:DXK51 EHA51:EHG51 EQW51:ERC51 FAS51:FAY51 FKO51:FKU51 FUK51:FUQ51 GEG51:GEM51 GOC51:GOI51 GXY51:GYE51 HHU51:HIA51 HRQ51:HRW51 IBM51:IBS51 ILI51:ILO51 IVE51:IVK51 JFA51:JFG51 JOW51:JPC51 JYS51:JYY51 KIO51:KIU51 KSK51:KSQ51 LCG51:LCM51 LMC51:LMI51 LVY51:LWE51 MFU51:MGA51 MPQ51:MPW51 MZM51:MZS51 NJI51:NJO51 NTE51:NTK51 ODA51:ODG51 OMW51:ONC51 OWS51:OWY51 PGO51:PGU51 PQK51:PQQ51 QAG51:QAM51 QKC51:QKI51 QTY51:QUE51 RDU51:REA51 RNQ51:RNW51 RXM51:RXS51 SHI51:SHO51 SRE51:SRK51 TBA51:TBG51 TKW51:TLC51 TUS51:TUY51 UEO51:UEU51 UOK51:UOQ51 UYG51:UYM51 VIC51:VII51 VRY51:VSE51 WBU51:WCA51 WLQ51:WLW51 WVM51:WVS51 E65587:K65587 JA65587:JG65587 SW65587:TC65587 ACS65587:ACY65587 AMO65587:AMU65587 AWK65587:AWQ65587 BGG65587:BGM65587 BQC65587:BQI65587 BZY65587:CAE65587 CJU65587:CKA65587 CTQ65587:CTW65587 DDM65587:DDS65587 DNI65587:DNO65587 DXE65587:DXK65587 EHA65587:EHG65587 EQW65587:ERC65587 FAS65587:FAY65587 FKO65587:FKU65587 FUK65587:FUQ65587 GEG65587:GEM65587 GOC65587:GOI65587 GXY65587:GYE65587 HHU65587:HIA65587 HRQ65587:HRW65587 IBM65587:IBS65587 ILI65587:ILO65587 IVE65587:IVK65587 JFA65587:JFG65587 JOW65587:JPC65587 JYS65587:JYY65587 KIO65587:KIU65587 KSK65587:KSQ65587 LCG65587:LCM65587 LMC65587:LMI65587 LVY65587:LWE65587 MFU65587:MGA65587 MPQ65587:MPW65587 MZM65587:MZS65587 NJI65587:NJO65587 NTE65587:NTK65587 ODA65587:ODG65587 OMW65587:ONC65587 OWS65587:OWY65587 PGO65587:PGU65587 PQK65587:PQQ65587 QAG65587:QAM65587 QKC65587:QKI65587 QTY65587:QUE65587 RDU65587:REA65587 RNQ65587:RNW65587 RXM65587:RXS65587 SHI65587:SHO65587 SRE65587:SRK65587 TBA65587:TBG65587 TKW65587:TLC65587 TUS65587:TUY65587 UEO65587:UEU65587 UOK65587:UOQ65587 UYG65587:UYM65587 VIC65587:VII65587 VRY65587:VSE65587 WBU65587:WCA65587 WLQ65587:WLW65587 WVM65587:WVS65587 E131123:K131123 JA131123:JG131123 SW131123:TC131123 ACS131123:ACY131123 AMO131123:AMU131123 AWK131123:AWQ131123 BGG131123:BGM131123 BQC131123:BQI131123 BZY131123:CAE131123 CJU131123:CKA131123 CTQ131123:CTW131123 DDM131123:DDS131123 DNI131123:DNO131123 DXE131123:DXK131123 EHA131123:EHG131123 EQW131123:ERC131123 FAS131123:FAY131123 FKO131123:FKU131123 FUK131123:FUQ131123 GEG131123:GEM131123 GOC131123:GOI131123 GXY131123:GYE131123 HHU131123:HIA131123 HRQ131123:HRW131123 IBM131123:IBS131123 ILI131123:ILO131123 IVE131123:IVK131123 JFA131123:JFG131123 JOW131123:JPC131123 JYS131123:JYY131123 KIO131123:KIU131123 KSK131123:KSQ131123 LCG131123:LCM131123 LMC131123:LMI131123 LVY131123:LWE131123 MFU131123:MGA131123 MPQ131123:MPW131123 MZM131123:MZS131123 NJI131123:NJO131123 NTE131123:NTK131123 ODA131123:ODG131123 OMW131123:ONC131123 OWS131123:OWY131123 PGO131123:PGU131123 PQK131123:PQQ131123 QAG131123:QAM131123 QKC131123:QKI131123 QTY131123:QUE131123 RDU131123:REA131123 RNQ131123:RNW131123 RXM131123:RXS131123 SHI131123:SHO131123 SRE131123:SRK131123 TBA131123:TBG131123 TKW131123:TLC131123 TUS131123:TUY131123 UEO131123:UEU131123 UOK131123:UOQ131123 UYG131123:UYM131123 VIC131123:VII131123 VRY131123:VSE131123 WBU131123:WCA131123 WLQ131123:WLW131123 WVM131123:WVS131123 E196659:K196659 JA196659:JG196659 SW196659:TC196659 ACS196659:ACY196659 AMO196659:AMU196659 AWK196659:AWQ196659 BGG196659:BGM196659 BQC196659:BQI196659 BZY196659:CAE196659 CJU196659:CKA196659 CTQ196659:CTW196659 DDM196659:DDS196659 DNI196659:DNO196659 DXE196659:DXK196659 EHA196659:EHG196659 EQW196659:ERC196659 FAS196659:FAY196659 FKO196659:FKU196659 FUK196659:FUQ196659 GEG196659:GEM196659 GOC196659:GOI196659 GXY196659:GYE196659 HHU196659:HIA196659 HRQ196659:HRW196659 IBM196659:IBS196659 ILI196659:ILO196659 IVE196659:IVK196659 JFA196659:JFG196659 JOW196659:JPC196659 JYS196659:JYY196659 KIO196659:KIU196659 KSK196659:KSQ196659 LCG196659:LCM196659 LMC196659:LMI196659 LVY196659:LWE196659 MFU196659:MGA196659 MPQ196659:MPW196659 MZM196659:MZS196659 NJI196659:NJO196659 NTE196659:NTK196659 ODA196659:ODG196659 OMW196659:ONC196659 OWS196659:OWY196659 PGO196659:PGU196659 PQK196659:PQQ196659 QAG196659:QAM196659 QKC196659:QKI196659 QTY196659:QUE196659 RDU196659:REA196659 RNQ196659:RNW196659 RXM196659:RXS196659 SHI196659:SHO196659 SRE196659:SRK196659 TBA196659:TBG196659 TKW196659:TLC196659 TUS196659:TUY196659 UEO196659:UEU196659 UOK196659:UOQ196659 UYG196659:UYM196659 VIC196659:VII196659 VRY196659:VSE196659 WBU196659:WCA196659 WLQ196659:WLW196659 WVM196659:WVS196659 E262195:K262195 JA262195:JG262195 SW262195:TC262195 ACS262195:ACY262195 AMO262195:AMU262195 AWK262195:AWQ262195 BGG262195:BGM262195 BQC262195:BQI262195 BZY262195:CAE262195 CJU262195:CKA262195 CTQ262195:CTW262195 DDM262195:DDS262195 DNI262195:DNO262195 DXE262195:DXK262195 EHA262195:EHG262195 EQW262195:ERC262195 FAS262195:FAY262195 FKO262195:FKU262195 FUK262195:FUQ262195 GEG262195:GEM262195 GOC262195:GOI262195 GXY262195:GYE262195 HHU262195:HIA262195 HRQ262195:HRW262195 IBM262195:IBS262195 ILI262195:ILO262195 IVE262195:IVK262195 JFA262195:JFG262195 JOW262195:JPC262195 JYS262195:JYY262195 KIO262195:KIU262195 KSK262195:KSQ262195 LCG262195:LCM262195 LMC262195:LMI262195 LVY262195:LWE262195 MFU262195:MGA262195 MPQ262195:MPW262195 MZM262195:MZS262195 NJI262195:NJO262195 NTE262195:NTK262195 ODA262195:ODG262195 OMW262195:ONC262195 OWS262195:OWY262195 PGO262195:PGU262195 PQK262195:PQQ262195 QAG262195:QAM262195 QKC262195:QKI262195 QTY262195:QUE262195 RDU262195:REA262195 RNQ262195:RNW262195 RXM262195:RXS262195 SHI262195:SHO262195 SRE262195:SRK262195 TBA262195:TBG262195 TKW262195:TLC262195 TUS262195:TUY262195 UEO262195:UEU262195 UOK262195:UOQ262195 UYG262195:UYM262195 VIC262195:VII262195 VRY262195:VSE262195 WBU262195:WCA262195 WLQ262195:WLW262195 WVM262195:WVS262195 E327731:K327731 JA327731:JG327731 SW327731:TC327731 ACS327731:ACY327731 AMO327731:AMU327731 AWK327731:AWQ327731 BGG327731:BGM327731 BQC327731:BQI327731 BZY327731:CAE327731 CJU327731:CKA327731 CTQ327731:CTW327731 DDM327731:DDS327731 DNI327731:DNO327731 DXE327731:DXK327731 EHA327731:EHG327731 EQW327731:ERC327731 FAS327731:FAY327731 FKO327731:FKU327731 FUK327731:FUQ327731 GEG327731:GEM327731 GOC327731:GOI327731 GXY327731:GYE327731 HHU327731:HIA327731 HRQ327731:HRW327731 IBM327731:IBS327731 ILI327731:ILO327731 IVE327731:IVK327731 JFA327731:JFG327731 JOW327731:JPC327731 JYS327731:JYY327731 KIO327731:KIU327731 KSK327731:KSQ327731 LCG327731:LCM327731 LMC327731:LMI327731 LVY327731:LWE327731 MFU327731:MGA327731 MPQ327731:MPW327731 MZM327731:MZS327731 NJI327731:NJO327731 NTE327731:NTK327731 ODA327731:ODG327731 OMW327731:ONC327731 OWS327731:OWY327731 PGO327731:PGU327731 PQK327731:PQQ327731 QAG327731:QAM327731 QKC327731:QKI327731 QTY327731:QUE327731 RDU327731:REA327731 RNQ327731:RNW327731 RXM327731:RXS327731 SHI327731:SHO327731 SRE327731:SRK327731 TBA327731:TBG327731 TKW327731:TLC327731 TUS327731:TUY327731 UEO327731:UEU327731 UOK327731:UOQ327731 UYG327731:UYM327731 VIC327731:VII327731 VRY327731:VSE327731 WBU327731:WCA327731 WLQ327731:WLW327731 WVM327731:WVS327731 E393267:K393267 JA393267:JG393267 SW393267:TC393267 ACS393267:ACY393267 AMO393267:AMU393267 AWK393267:AWQ393267 BGG393267:BGM393267 BQC393267:BQI393267 BZY393267:CAE393267 CJU393267:CKA393267 CTQ393267:CTW393267 DDM393267:DDS393267 DNI393267:DNO393267 DXE393267:DXK393267 EHA393267:EHG393267 EQW393267:ERC393267 FAS393267:FAY393267 FKO393267:FKU393267 FUK393267:FUQ393267 GEG393267:GEM393267 GOC393267:GOI393267 GXY393267:GYE393267 HHU393267:HIA393267 HRQ393267:HRW393267 IBM393267:IBS393267 ILI393267:ILO393267 IVE393267:IVK393267 JFA393267:JFG393267 JOW393267:JPC393267 JYS393267:JYY393267 KIO393267:KIU393267 KSK393267:KSQ393267 LCG393267:LCM393267 LMC393267:LMI393267 LVY393267:LWE393267 MFU393267:MGA393267 MPQ393267:MPW393267 MZM393267:MZS393267 NJI393267:NJO393267 NTE393267:NTK393267 ODA393267:ODG393267 OMW393267:ONC393267 OWS393267:OWY393267 PGO393267:PGU393267 PQK393267:PQQ393267 QAG393267:QAM393267 QKC393267:QKI393267 QTY393267:QUE393267 RDU393267:REA393267 RNQ393267:RNW393267 RXM393267:RXS393267 SHI393267:SHO393267 SRE393267:SRK393267 TBA393267:TBG393267 TKW393267:TLC393267 TUS393267:TUY393267 UEO393267:UEU393267 UOK393267:UOQ393267 UYG393267:UYM393267 VIC393267:VII393267 VRY393267:VSE393267 WBU393267:WCA393267 WLQ393267:WLW393267 WVM393267:WVS393267 E458803:K458803 JA458803:JG458803 SW458803:TC458803 ACS458803:ACY458803 AMO458803:AMU458803 AWK458803:AWQ458803 BGG458803:BGM458803 BQC458803:BQI458803 BZY458803:CAE458803 CJU458803:CKA458803 CTQ458803:CTW458803 DDM458803:DDS458803 DNI458803:DNO458803 DXE458803:DXK458803 EHA458803:EHG458803 EQW458803:ERC458803 FAS458803:FAY458803 FKO458803:FKU458803 FUK458803:FUQ458803 GEG458803:GEM458803 GOC458803:GOI458803 GXY458803:GYE458803 HHU458803:HIA458803 HRQ458803:HRW458803 IBM458803:IBS458803 ILI458803:ILO458803 IVE458803:IVK458803 JFA458803:JFG458803 JOW458803:JPC458803 JYS458803:JYY458803 KIO458803:KIU458803 KSK458803:KSQ458803 LCG458803:LCM458803 LMC458803:LMI458803 LVY458803:LWE458803 MFU458803:MGA458803 MPQ458803:MPW458803 MZM458803:MZS458803 NJI458803:NJO458803 NTE458803:NTK458803 ODA458803:ODG458803 OMW458803:ONC458803 OWS458803:OWY458803 PGO458803:PGU458803 PQK458803:PQQ458803 QAG458803:QAM458803 QKC458803:QKI458803 QTY458803:QUE458803 RDU458803:REA458803 RNQ458803:RNW458803 RXM458803:RXS458803 SHI458803:SHO458803 SRE458803:SRK458803 TBA458803:TBG458803 TKW458803:TLC458803 TUS458803:TUY458803 UEO458803:UEU458803 UOK458803:UOQ458803 UYG458803:UYM458803 VIC458803:VII458803 VRY458803:VSE458803 WBU458803:WCA458803 WLQ458803:WLW458803 WVM458803:WVS458803 E524339:K524339 JA524339:JG524339 SW524339:TC524339 ACS524339:ACY524339 AMO524339:AMU524339 AWK524339:AWQ524339 BGG524339:BGM524339 BQC524339:BQI524339 BZY524339:CAE524339 CJU524339:CKA524339 CTQ524339:CTW524339 DDM524339:DDS524339 DNI524339:DNO524339 DXE524339:DXK524339 EHA524339:EHG524339 EQW524339:ERC524339 FAS524339:FAY524339 FKO524339:FKU524339 FUK524339:FUQ524339 GEG524339:GEM524339 GOC524339:GOI524339 GXY524339:GYE524339 HHU524339:HIA524339 HRQ524339:HRW524339 IBM524339:IBS524339 ILI524339:ILO524339 IVE524339:IVK524339 JFA524339:JFG524339 JOW524339:JPC524339 JYS524339:JYY524339 KIO524339:KIU524339 KSK524339:KSQ524339 LCG524339:LCM524339 LMC524339:LMI524339 LVY524339:LWE524339 MFU524339:MGA524339 MPQ524339:MPW524339 MZM524339:MZS524339 NJI524339:NJO524339 NTE524339:NTK524339 ODA524339:ODG524339 OMW524339:ONC524339 OWS524339:OWY524339 PGO524339:PGU524339 PQK524339:PQQ524339 QAG524339:QAM524339 QKC524339:QKI524339 QTY524339:QUE524339 RDU524339:REA524339 RNQ524339:RNW524339 RXM524339:RXS524339 SHI524339:SHO524339 SRE524339:SRK524339 TBA524339:TBG524339 TKW524339:TLC524339 TUS524339:TUY524339 UEO524339:UEU524339 UOK524339:UOQ524339 UYG524339:UYM524339 VIC524339:VII524339 VRY524339:VSE524339 WBU524339:WCA524339 WLQ524339:WLW524339 WVM524339:WVS524339 E589875:K589875 JA589875:JG589875 SW589875:TC589875 ACS589875:ACY589875 AMO589875:AMU589875 AWK589875:AWQ589875 BGG589875:BGM589875 BQC589875:BQI589875 BZY589875:CAE589875 CJU589875:CKA589875 CTQ589875:CTW589875 DDM589875:DDS589875 DNI589875:DNO589875 DXE589875:DXK589875 EHA589875:EHG589875 EQW589875:ERC589875 FAS589875:FAY589875 FKO589875:FKU589875 FUK589875:FUQ589875 GEG589875:GEM589875 GOC589875:GOI589875 GXY589875:GYE589875 HHU589875:HIA589875 HRQ589875:HRW589875 IBM589875:IBS589875 ILI589875:ILO589875 IVE589875:IVK589875 JFA589875:JFG589875 JOW589875:JPC589875 JYS589875:JYY589875 KIO589875:KIU589875 KSK589875:KSQ589875 LCG589875:LCM589875 LMC589875:LMI589875 LVY589875:LWE589875 MFU589875:MGA589875 MPQ589875:MPW589875 MZM589875:MZS589875 NJI589875:NJO589875 NTE589875:NTK589875 ODA589875:ODG589875 OMW589875:ONC589875 OWS589875:OWY589875 PGO589875:PGU589875 PQK589875:PQQ589875 QAG589875:QAM589875 QKC589875:QKI589875 QTY589875:QUE589875 RDU589875:REA589875 RNQ589875:RNW589875 RXM589875:RXS589875 SHI589875:SHO589875 SRE589875:SRK589875 TBA589875:TBG589875 TKW589875:TLC589875 TUS589875:TUY589875 UEO589875:UEU589875 UOK589875:UOQ589875 UYG589875:UYM589875 VIC589875:VII589875 VRY589875:VSE589875 WBU589875:WCA589875 WLQ589875:WLW589875 WVM589875:WVS589875 E655411:K655411 JA655411:JG655411 SW655411:TC655411 ACS655411:ACY655411 AMO655411:AMU655411 AWK655411:AWQ655411 BGG655411:BGM655411 BQC655411:BQI655411 BZY655411:CAE655411 CJU655411:CKA655411 CTQ655411:CTW655411 DDM655411:DDS655411 DNI655411:DNO655411 DXE655411:DXK655411 EHA655411:EHG655411 EQW655411:ERC655411 FAS655411:FAY655411 FKO655411:FKU655411 FUK655411:FUQ655411 GEG655411:GEM655411 GOC655411:GOI655411 GXY655411:GYE655411 HHU655411:HIA655411 HRQ655411:HRW655411 IBM655411:IBS655411 ILI655411:ILO655411 IVE655411:IVK655411 JFA655411:JFG655411 JOW655411:JPC655411 JYS655411:JYY655411 KIO655411:KIU655411 KSK655411:KSQ655411 LCG655411:LCM655411 LMC655411:LMI655411 LVY655411:LWE655411 MFU655411:MGA655411 MPQ655411:MPW655411 MZM655411:MZS655411 NJI655411:NJO655411 NTE655411:NTK655411 ODA655411:ODG655411 OMW655411:ONC655411 OWS655411:OWY655411 PGO655411:PGU655411 PQK655411:PQQ655411 QAG655411:QAM655411 QKC655411:QKI655411 QTY655411:QUE655411 RDU655411:REA655411 RNQ655411:RNW655411 RXM655411:RXS655411 SHI655411:SHO655411 SRE655411:SRK655411 TBA655411:TBG655411 TKW655411:TLC655411 TUS655411:TUY655411 UEO655411:UEU655411 UOK655411:UOQ655411 UYG655411:UYM655411 VIC655411:VII655411 VRY655411:VSE655411 WBU655411:WCA655411 WLQ655411:WLW655411 WVM655411:WVS655411 E720947:K720947 JA720947:JG720947 SW720947:TC720947 ACS720947:ACY720947 AMO720947:AMU720947 AWK720947:AWQ720947 BGG720947:BGM720947 BQC720947:BQI720947 BZY720947:CAE720947 CJU720947:CKA720947 CTQ720947:CTW720947 DDM720947:DDS720947 DNI720947:DNO720947 DXE720947:DXK720947 EHA720947:EHG720947 EQW720947:ERC720947 FAS720947:FAY720947 FKO720947:FKU720947 FUK720947:FUQ720947 GEG720947:GEM720947 GOC720947:GOI720947 GXY720947:GYE720947 HHU720947:HIA720947 HRQ720947:HRW720947 IBM720947:IBS720947 ILI720947:ILO720947 IVE720947:IVK720947 JFA720947:JFG720947 JOW720947:JPC720947 JYS720947:JYY720947 KIO720947:KIU720947 KSK720947:KSQ720947 LCG720947:LCM720947 LMC720947:LMI720947 LVY720947:LWE720947 MFU720947:MGA720947 MPQ720947:MPW720947 MZM720947:MZS720947 NJI720947:NJO720947 NTE720947:NTK720947 ODA720947:ODG720947 OMW720947:ONC720947 OWS720947:OWY720947 PGO720947:PGU720947 PQK720947:PQQ720947 QAG720947:QAM720947 QKC720947:QKI720947 QTY720947:QUE720947 RDU720947:REA720947 RNQ720947:RNW720947 RXM720947:RXS720947 SHI720947:SHO720947 SRE720947:SRK720947 TBA720947:TBG720947 TKW720947:TLC720947 TUS720947:TUY720947 UEO720947:UEU720947 UOK720947:UOQ720947 UYG720947:UYM720947 VIC720947:VII720947 VRY720947:VSE720947 WBU720947:WCA720947 WLQ720947:WLW720947 WVM720947:WVS720947 E786483:K786483 JA786483:JG786483 SW786483:TC786483 ACS786483:ACY786483 AMO786483:AMU786483 AWK786483:AWQ786483 BGG786483:BGM786483 BQC786483:BQI786483 BZY786483:CAE786483 CJU786483:CKA786483 CTQ786483:CTW786483 DDM786483:DDS786483 DNI786483:DNO786483 DXE786483:DXK786483 EHA786483:EHG786483 EQW786483:ERC786483 FAS786483:FAY786483 FKO786483:FKU786483 FUK786483:FUQ786483 GEG786483:GEM786483 GOC786483:GOI786483 GXY786483:GYE786483 HHU786483:HIA786483 HRQ786483:HRW786483 IBM786483:IBS786483 ILI786483:ILO786483 IVE786483:IVK786483 JFA786483:JFG786483 JOW786483:JPC786483 JYS786483:JYY786483 KIO786483:KIU786483 KSK786483:KSQ786483 LCG786483:LCM786483 LMC786483:LMI786483 LVY786483:LWE786483 MFU786483:MGA786483 MPQ786483:MPW786483 MZM786483:MZS786483 NJI786483:NJO786483 NTE786483:NTK786483 ODA786483:ODG786483 OMW786483:ONC786483 OWS786483:OWY786483 PGO786483:PGU786483 PQK786483:PQQ786483 QAG786483:QAM786483 QKC786483:QKI786483 QTY786483:QUE786483 RDU786483:REA786483 RNQ786483:RNW786483 RXM786483:RXS786483 SHI786483:SHO786483 SRE786483:SRK786483 TBA786483:TBG786483 TKW786483:TLC786483 TUS786483:TUY786483 UEO786483:UEU786483 UOK786483:UOQ786483 UYG786483:UYM786483 VIC786483:VII786483 VRY786483:VSE786483 WBU786483:WCA786483 WLQ786483:WLW786483 WVM786483:WVS786483 E852019:K852019 JA852019:JG852019 SW852019:TC852019 ACS852019:ACY852019 AMO852019:AMU852019 AWK852019:AWQ852019 BGG852019:BGM852019 BQC852019:BQI852019 BZY852019:CAE852019 CJU852019:CKA852019 CTQ852019:CTW852019 DDM852019:DDS852019 DNI852019:DNO852019 DXE852019:DXK852019 EHA852019:EHG852019 EQW852019:ERC852019 FAS852019:FAY852019 FKO852019:FKU852019 FUK852019:FUQ852019 GEG852019:GEM852019 GOC852019:GOI852019 GXY852019:GYE852019 HHU852019:HIA852019 HRQ852019:HRW852019 IBM852019:IBS852019 ILI852019:ILO852019 IVE852019:IVK852019 JFA852019:JFG852019 JOW852019:JPC852019 JYS852019:JYY852019 KIO852019:KIU852019 KSK852019:KSQ852019 LCG852019:LCM852019 LMC852019:LMI852019 LVY852019:LWE852019 MFU852019:MGA852019 MPQ852019:MPW852019 MZM852019:MZS852019 NJI852019:NJO852019 NTE852019:NTK852019 ODA852019:ODG852019 OMW852019:ONC852019 OWS852019:OWY852019 PGO852019:PGU852019 PQK852019:PQQ852019 QAG852019:QAM852019 QKC852019:QKI852019 QTY852019:QUE852019 RDU852019:REA852019 RNQ852019:RNW852019 RXM852019:RXS852019 SHI852019:SHO852019 SRE852019:SRK852019 TBA852019:TBG852019 TKW852019:TLC852019 TUS852019:TUY852019 UEO852019:UEU852019 UOK852019:UOQ852019 UYG852019:UYM852019 VIC852019:VII852019 VRY852019:VSE852019 WBU852019:WCA852019 WLQ852019:WLW852019 WVM852019:WVS852019 E917555:K917555 JA917555:JG917555 SW917555:TC917555 ACS917555:ACY917555 AMO917555:AMU917555 AWK917555:AWQ917555 BGG917555:BGM917555 BQC917555:BQI917555 BZY917555:CAE917555 CJU917555:CKA917555 CTQ917555:CTW917555 DDM917555:DDS917555 DNI917555:DNO917555 DXE917555:DXK917555 EHA917555:EHG917555 EQW917555:ERC917555 FAS917555:FAY917555 FKO917555:FKU917555 FUK917555:FUQ917555 GEG917555:GEM917555 GOC917555:GOI917555 GXY917555:GYE917555 HHU917555:HIA917555 HRQ917555:HRW917555 IBM917555:IBS917555 ILI917555:ILO917555 IVE917555:IVK917555 JFA917555:JFG917555 JOW917555:JPC917555 JYS917555:JYY917555 KIO917555:KIU917555 KSK917555:KSQ917555 LCG917555:LCM917555 LMC917555:LMI917555 LVY917555:LWE917555 MFU917555:MGA917555 MPQ917555:MPW917555 MZM917555:MZS917555 NJI917555:NJO917555 NTE917555:NTK917555 ODA917555:ODG917555 OMW917555:ONC917555 OWS917555:OWY917555 PGO917555:PGU917555 PQK917555:PQQ917555 QAG917555:QAM917555 QKC917555:QKI917555 QTY917555:QUE917555 RDU917555:REA917555 RNQ917555:RNW917555 RXM917555:RXS917555 SHI917555:SHO917555 SRE917555:SRK917555 TBA917555:TBG917555 TKW917555:TLC917555 TUS917555:TUY917555 UEO917555:UEU917555 UOK917555:UOQ917555 UYG917555:UYM917555 VIC917555:VII917555 VRY917555:VSE917555 WBU917555:WCA917555 WLQ917555:WLW917555 WVM917555:WVS917555 E983091:K983091 JA983091:JG983091 SW983091:TC983091 ACS983091:ACY983091 AMO983091:AMU983091 AWK983091:AWQ983091 BGG983091:BGM983091 BQC983091:BQI983091 BZY983091:CAE983091 CJU983091:CKA983091 CTQ983091:CTW983091 DDM983091:DDS983091 DNI983091:DNO983091 DXE983091:DXK983091 EHA983091:EHG983091 EQW983091:ERC983091 FAS983091:FAY983091 FKO983091:FKU983091 FUK983091:FUQ983091 GEG983091:GEM983091 GOC983091:GOI983091 GXY983091:GYE983091 HHU983091:HIA983091 HRQ983091:HRW983091 IBM983091:IBS983091 ILI983091:ILO983091 IVE983091:IVK983091 JFA983091:JFG983091 JOW983091:JPC983091 JYS983091:JYY983091 KIO983091:KIU983091 KSK983091:KSQ983091 LCG983091:LCM983091 LMC983091:LMI983091 LVY983091:LWE983091 MFU983091:MGA983091 MPQ983091:MPW983091 MZM983091:MZS983091 NJI983091:NJO983091 NTE983091:NTK983091 ODA983091:ODG983091 OMW983091:ONC983091 OWS983091:OWY983091 PGO983091:PGU983091 PQK983091:PQQ983091 QAG983091:QAM983091 QKC983091:QKI983091 QTY983091:QUE983091 RDU983091:REA983091 RNQ983091:RNW983091 RXM983091:RXS983091 SHI983091:SHO983091 SRE983091:SRK983091 TBA983091:TBG983091 TKW983091:TLC983091 TUS983091:TUY983091 UEO983091:UEU983091 UOK983091:UOQ983091 UYG983091:UYM983091 VIC983091:VII983091 VRY983091:VSE983091 WBU983091:WCA983091 WLQ983091:WLW983091 WVM983091:WVS983091">
      <formula1>修理不能書原因</formula1>
    </dataValidation>
  </dataValidations>
  <printOptions horizontalCentered="1"/>
  <pageMargins left="0.62992125984251968" right="0.62992125984251968" top="0.74803149606299213" bottom="0.74803149606299213" header="0.31496062992125984" footer="0.31496062992125984"/>
  <pageSetup paperSize="9" orientation="portrait" r:id="rId1"/>
  <headerFooter>
    <oddHeader>&amp;R&amp;G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7169" r:id="rId5" name="Button 1">
              <controlPr defaultSize="0" print="0" autoFill="0" autoPict="0" macro="[1]!修理不能書作成">
                <anchor moveWithCells="1" sizeWithCells="1">
                  <from>
                    <xdr:col>2</xdr:col>
                    <xdr:colOff>247650</xdr:colOff>
                    <xdr:row>14</xdr:row>
                    <xdr:rowOff>142875</xdr:rowOff>
                  </from>
                  <to>
                    <xdr:col>5</xdr:col>
                    <xdr:colOff>704850</xdr:colOff>
                    <xdr:row>18</xdr:row>
                    <xdr:rowOff>38100</xdr:rowOff>
                  </to>
                </anchor>
              </controlPr>
            </control>
          </mc:Choice>
        </mc:AlternateContent>
        <mc:AlternateContent xmlns:mc="http://schemas.openxmlformats.org/markup-compatibility/2006">
          <mc:Choice Requires="x14">
            <control shapeId="7170" r:id="rId6" name="Button 2">
              <controlPr defaultSize="0" print="0" autoFill="0" autoPict="0" macro="[1]!修理不能書保存">
                <anchor moveWithCells="1" sizeWithCells="1">
                  <from>
                    <xdr:col>7</xdr:col>
                    <xdr:colOff>66675</xdr:colOff>
                    <xdr:row>15</xdr:row>
                    <xdr:rowOff>66675</xdr:rowOff>
                  </from>
                  <to>
                    <xdr:col>9</xdr:col>
                    <xdr:colOff>285750</xdr:colOff>
                    <xdr:row>18</xdr:row>
                    <xdr:rowOff>85725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5</vt:i4>
      </vt:variant>
    </vt:vector>
  </HeadingPairs>
  <TitlesOfParts>
    <vt:vector size="11" baseType="lpstr">
      <vt:lpstr>data</vt:lpstr>
      <vt:lpstr>受付台帳</vt:lpstr>
      <vt:lpstr>FAXヘッダー</vt:lpstr>
      <vt:lpstr>耐用期間終了後のご案内</vt:lpstr>
      <vt:lpstr>修理前報告書</vt:lpstr>
      <vt:lpstr>修理不能書</vt:lpstr>
      <vt:lpstr>FAXヘッダー!Print_Area</vt:lpstr>
      <vt:lpstr>修理前報告書!Print_Area</vt:lpstr>
      <vt:lpstr>修理不能書!Print_Area</vt:lpstr>
      <vt:lpstr>耐用期間終了後のご案内!Print_Area</vt:lpstr>
      <vt:lpstr>担当者</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Umayahra</dc:creator>
  <cp:lastModifiedBy>Umayahra</cp:lastModifiedBy>
  <dcterms:created xsi:type="dcterms:W3CDTF">2016-12-09T06:03:21Z</dcterms:created>
  <dcterms:modified xsi:type="dcterms:W3CDTF">2016-12-09T08:58:37Z</dcterms:modified>
</cp:coreProperties>
</file>